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project\EXCEL PROJECT\"/>
    </mc:Choice>
  </mc:AlternateContent>
  <xr:revisionPtr revIDLastSave="0" documentId="13_ncr:1_{A60C40CA-3DF7-47EA-8695-CF3461891C0F}" xr6:coauthVersionLast="47" xr6:coauthVersionMax="47" xr10:uidLastSave="{00000000-0000-0000-0000-000000000000}"/>
  <bookViews>
    <workbookView xWindow="-108" yWindow="-108" windowWidth="23256" windowHeight="12456" activeTab="5" xr2:uid="{2343ACD5-E27E-41D1-AA0E-9678A896B4F0}"/>
  </bookViews>
  <sheets>
    <sheet name="Raw Data" sheetId="13" r:id="rId1"/>
    <sheet name="Data" sheetId="1" r:id="rId2"/>
    <sheet name="KPI Calculation" sheetId="4" r:id="rId3"/>
    <sheet name="Pivot Table" sheetId="5" r:id="rId4"/>
    <sheet name="Pivot Charts" sheetId="9" r:id="rId5"/>
    <sheet name="Dashboard" sheetId="12" r:id="rId6"/>
  </sheets>
  <definedNames>
    <definedName name="Slicer_category">#N/A</definedName>
    <definedName name="Slicer_gender">#N/A</definedName>
  </definedNames>
  <calcPr calcId="191029" iterateDelta="1E-4"/>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9" i="12" l="1"/>
  <c r="P49" i="12"/>
  <c r="Q49" i="12"/>
  <c r="R49" i="12"/>
  <c r="S49" i="12"/>
  <c r="O50" i="12"/>
  <c r="P50" i="12"/>
  <c r="Q50" i="12"/>
  <c r="R50" i="12"/>
  <c r="S50" i="12"/>
  <c r="O51" i="12"/>
  <c r="P51" i="12"/>
  <c r="Q51" i="12"/>
  <c r="R51" i="12"/>
  <c r="S51" i="12"/>
  <c r="O52" i="12"/>
  <c r="P52" i="12"/>
  <c r="Q52" i="12"/>
  <c r="R52" i="12"/>
  <c r="S52" i="12"/>
  <c r="O53" i="12"/>
  <c r="P53" i="12"/>
  <c r="Q53" i="12"/>
  <c r="R53" i="12"/>
  <c r="S53" i="12"/>
  <c r="P48" i="12"/>
  <c r="Q48" i="12"/>
  <c r="R48" i="12"/>
  <c r="S48" i="12"/>
  <c r="O48" i="12"/>
  <c r="I49" i="12"/>
  <c r="J49" i="12"/>
  <c r="K49" i="12"/>
  <c r="L49" i="12"/>
  <c r="M49" i="12"/>
  <c r="I50" i="12"/>
  <c r="J50" i="12"/>
  <c r="K50" i="12"/>
  <c r="L50" i="12"/>
  <c r="M50" i="12"/>
  <c r="I51" i="12"/>
  <c r="J51" i="12"/>
  <c r="K51" i="12"/>
  <c r="L51" i="12"/>
  <c r="M51" i="12"/>
  <c r="I52" i="12"/>
  <c r="J52" i="12"/>
  <c r="K52" i="12"/>
  <c r="L52" i="12"/>
  <c r="M52" i="12"/>
  <c r="I53" i="12"/>
  <c r="J53" i="12"/>
  <c r="K53" i="12"/>
  <c r="L53" i="12"/>
  <c r="M53" i="12"/>
  <c r="J48" i="12"/>
  <c r="K48" i="12"/>
  <c r="L48" i="12"/>
  <c r="M48" i="12"/>
  <c r="I48" i="12"/>
  <c r="C49" i="12"/>
  <c r="D49" i="12"/>
  <c r="E49" i="12"/>
  <c r="F49" i="12"/>
  <c r="G49" i="12"/>
  <c r="C50" i="12"/>
  <c r="D50" i="12"/>
  <c r="E50" i="12"/>
  <c r="F50" i="12"/>
  <c r="G50" i="12"/>
  <c r="C51" i="12"/>
  <c r="D51" i="12"/>
  <c r="E51" i="12"/>
  <c r="F51" i="12"/>
  <c r="G51" i="12"/>
  <c r="C52" i="12"/>
  <c r="D52" i="12"/>
  <c r="E52" i="12"/>
  <c r="F52" i="12"/>
  <c r="G52" i="12"/>
  <c r="C53" i="12"/>
  <c r="D53" i="12"/>
  <c r="E53" i="12"/>
  <c r="F53" i="12"/>
  <c r="G53" i="12"/>
  <c r="D48" i="12"/>
  <c r="E48" i="12"/>
  <c r="F48" i="12"/>
  <c r="G48" i="12"/>
  <c r="C48" i="12"/>
  <c r="C7" i="4"/>
  <c r="P16" i="12"/>
  <c r="Q16" i="12"/>
  <c r="R16" i="12"/>
  <c r="S16" i="12"/>
  <c r="T16" i="12"/>
  <c r="P17" i="12"/>
  <c r="Q17" i="12"/>
  <c r="R17" i="12"/>
  <c r="S17" i="12"/>
  <c r="T17" i="12"/>
  <c r="P18" i="12"/>
  <c r="Q18" i="12"/>
  <c r="R18" i="12"/>
  <c r="S18" i="12"/>
  <c r="T18" i="12"/>
  <c r="P19" i="12"/>
  <c r="Q19" i="12"/>
  <c r="R19" i="12"/>
  <c r="S19" i="12"/>
  <c r="T19" i="12"/>
  <c r="P20" i="12"/>
  <c r="Q20" i="12"/>
  <c r="R20" i="12"/>
  <c r="S20" i="12"/>
  <c r="T20" i="12"/>
  <c r="P21" i="12"/>
  <c r="Q21" i="12"/>
  <c r="R21" i="12"/>
  <c r="S21" i="12"/>
  <c r="T21" i="12"/>
  <c r="Q15" i="12"/>
  <c r="R15" i="12"/>
  <c r="S15" i="12"/>
  <c r="T15" i="12"/>
  <c r="P15" i="12"/>
  <c r="L17" i="12"/>
  <c r="L18" i="12"/>
  <c r="J17" i="12"/>
  <c r="K17" i="12"/>
  <c r="M17" i="12"/>
  <c r="N17" i="12"/>
  <c r="J18" i="12"/>
  <c r="K18" i="12"/>
  <c r="M18" i="12"/>
  <c r="N18" i="12"/>
  <c r="J19" i="12"/>
  <c r="K19" i="12"/>
  <c r="L19" i="12"/>
  <c r="M19" i="12"/>
  <c r="N19" i="12"/>
  <c r="J16" i="12"/>
  <c r="K16" i="12"/>
  <c r="L16" i="12"/>
  <c r="M16" i="12"/>
  <c r="N16" i="12"/>
  <c r="D17" i="12"/>
  <c r="E17" i="12"/>
  <c r="F17" i="12"/>
  <c r="G17" i="12"/>
  <c r="H17" i="12"/>
  <c r="D18" i="12"/>
  <c r="E18" i="12"/>
  <c r="F18" i="12"/>
  <c r="G18" i="12"/>
  <c r="H18" i="12"/>
  <c r="D19" i="12"/>
  <c r="E19" i="12"/>
  <c r="F19" i="12"/>
  <c r="G19" i="12"/>
  <c r="H19" i="12"/>
  <c r="D20" i="12"/>
  <c r="E20" i="12"/>
  <c r="F20" i="12"/>
  <c r="G20" i="12"/>
  <c r="H20" i="12"/>
  <c r="D21" i="12"/>
  <c r="E21" i="12"/>
  <c r="F21" i="12"/>
  <c r="G21" i="12"/>
  <c r="H21" i="12"/>
  <c r="E16" i="12"/>
  <c r="F16" i="12"/>
  <c r="G16" i="12"/>
  <c r="H16" i="12"/>
  <c r="D16" i="12"/>
  <c r="E32" i="5"/>
  <c r="B32" i="5"/>
  <c r="D9" i="5"/>
  <c r="D19" i="5"/>
  <c r="C9" i="5"/>
  <c r="B9" i="5"/>
  <c r="R2003" i="1"/>
  <c r="C20" i="4"/>
  <c r="C19" i="4"/>
  <c r="C18" i="4"/>
  <c r="C17" i="4"/>
  <c r="C16" i="4" a="1"/>
  <c r="C15" i="4" a="1"/>
  <c r="C14" i="4"/>
  <c r="C13" i="4"/>
  <c r="C12" i="4"/>
  <c r="C11" i="4"/>
  <c r="C10" i="4"/>
  <c r="C9" i="4"/>
  <c r="C8" i="4"/>
  <c r="C6" i="4"/>
  <c r="C5" i="4"/>
  <c r="C4" i="4"/>
  <c r="C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<sst xmlns="http://schemas.openxmlformats.org/spreadsheetml/2006/main" count="53513" uniqueCount="9227">
  <si>
    <t>order_id</t>
  </si>
  <si>
    <t>customer_id</t>
  </si>
  <si>
    <t>age</t>
  </si>
  <si>
    <t>product_id</t>
  </si>
  <si>
    <t>country</t>
  </si>
  <si>
    <t>signup_date</t>
  </si>
  <si>
    <t>last_purchase_date</t>
  </si>
  <si>
    <t>cancellations_count</t>
  </si>
  <si>
    <t>subscription_status</t>
  </si>
  <si>
    <t>order_date</t>
  </si>
  <si>
    <t xml:space="preserve"> unit_price </t>
  </si>
  <si>
    <t>quantity</t>
  </si>
  <si>
    <t>purchase_frequency</t>
  </si>
  <si>
    <t>preferred_category</t>
  </si>
  <si>
    <t>product_name</t>
  </si>
  <si>
    <t>category</t>
  </si>
  <si>
    <t>gender</t>
  </si>
  <si>
    <t>gross_revenue</t>
  </si>
  <si>
    <t>preference_alignment</t>
  </si>
  <si>
    <t>age_group</t>
  </si>
  <si>
    <t>Customer_Lifetime_Value_Tier</t>
  </si>
  <si>
    <t>dormancy_risk</t>
  </si>
  <si>
    <t>ORD5000</t>
  </si>
  <si>
    <t>CUST1000</t>
  </si>
  <si>
    <t>PROD200</t>
  </si>
  <si>
    <t>Canada</t>
  </si>
  <si>
    <t>2/21/2023</t>
  </si>
  <si>
    <t>active</t>
  </si>
  <si>
    <t>8/20/2024</t>
  </si>
  <si>
    <t xml:space="preserve"> $78.21 </t>
  </si>
  <si>
    <t>Sports</t>
  </si>
  <si>
    <t>Football</t>
  </si>
  <si>
    <t>Female</t>
  </si>
  <si>
    <t>Aligned</t>
  </si>
  <si>
    <t>35-49 Gen X</t>
  </si>
  <si>
    <t>High Value Tier</t>
  </si>
  <si>
    <t>Stable</t>
  </si>
  <si>
    <t>ORD5001</t>
  </si>
  <si>
    <t>CUST1001</t>
  </si>
  <si>
    <t>PROD201</t>
  </si>
  <si>
    <t>USA</t>
  </si>
  <si>
    <t>10/19/2020</t>
  </si>
  <si>
    <t>7/17/2025</t>
  </si>
  <si>
    <t xml:space="preserve"> $64.02 </t>
  </si>
  <si>
    <t>Refrigerator</t>
  </si>
  <si>
    <t>Home</t>
  </si>
  <si>
    <t>Misaligned</t>
  </si>
  <si>
    <t>50-64 Boomers</t>
  </si>
  <si>
    <t>ORD5002</t>
  </si>
  <si>
    <t>CUST1002</t>
  </si>
  <si>
    <t>PROD202</t>
  </si>
  <si>
    <t>Pakistan</t>
  </si>
  <si>
    <t>cancelled</t>
  </si>
  <si>
    <t xml:space="preserve"> $604.14 </t>
  </si>
  <si>
    <t>Electronics</t>
  </si>
  <si>
    <t>Hoodie</t>
  </si>
  <si>
    <t>Clothing</t>
  </si>
  <si>
    <t>25-34 Millennials</t>
  </si>
  <si>
    <t>ORD5003</t>
  </si>
  <si>
    <t>CUST1003</t>
  </si>
  <si>
    <t>PROD203</t>
  </si>
  <si>
    <t>India</t>
  </si>
  <si>
    <t>7/30/2023</t>
  </si>
  <si>
    <t>2/20/2024</t>
  </si>
  <si>
    <t>paused</t>
  </si>
  <si>
    <t>9/19/2024</t>
  </si>
  <si>
    <t xml:space="preserve"> $84.66 </t>
  </si>
  <si>
    <t>Conditioner</t>
  </si>
  <si>
    <t>Beauty</t>
  </si>
  <si>
    <t>Male</t>
  </si>
  <si>
    <t>Value Tier</t>
  </si>
  <si>
    <t>Elevated Risk</t>
  </si>
  <si>
    <t>ORD5004</t>
  </si>
  <si>
    <t>CUST1004</t>
  </si>
  <si>
    <t>PROD204</t>
  </si>
  <si>
    <t>9/14/2024</t>
  </si>
  <si>
    <t xml:space="preserve"> $62.66 </t>
  </si>
  <si>
    <t>Smartwatch</t>
  </si>
  <si>
    <t>ORD5005</t>
  </si>
  <si>
    <t>CUST1005</t>
  </si>
  <si>
    <t>PROD205</t>
  </si>
  <si>
    <t>5/16/2023</t>
  </si>
  <si>
    <t>8/13/2025</t>
  </si>
  <si>
    <t>10/14/2024</t>
  </si>
  <si>
    <t xml:space="preserve"> $221.61 </t>
  </si>
  <si>
    <t>ORD5006</t>
  </si>
  <si>
    <t>CUST1006</t>
  </si>
  <si>
    <t>PROD206</t>
  </si>
  <si>
    <t>Germany</t>
  </si>
  <si>
    <t>7/15/2025</t>
  </si>
  <si>
    <t xml:space="preserve"> $175.74 </t>
  </si>
  <si>
    <t>Tablet</t>
  </si>
  <si>
    <t>ORD5007</t>
  </si>
  <si>
    <t>CUST1007</t>
  </si>
  <si>
    <t>PROD207</t>
  </si>
  <si>
    <t>UK</t>
  </si>
  <si>
    <t>12/31/2024</t>
  </si>
  <si>
    <t>3/21/2025</t>
  </si>
  <si>
    <t xml:space="preserve"> $9.56 </t>
  </si>
  <si>
    <t>Jacket</t>
  </si>
  <si>
    <t>18-24 Gen Z</t>
  </si>
  <si>
    <t>Core Tier</t>
  </si>
  <si>
    <t>ORD5008</t>
  </si>
  <si>
    <t>CUST1008</t>
  </si>
  <si>
    <t>PROD208</t>
  </si>
  <si>
    <t>4/25/2021</t>
  </si>
  <si>
    <t>12/26/2024</t>
  </si>
  <si>
    <t>12/14/2023</t>
  </si>
  <si>
    <t xml:space="preserve"> $1,525.80 </t>
  </si>
  <si>
    <t>Nail Polish</t>
  </si>
  <si>
    <t>ORD5009</t>
  </si>
  <si>
    <t>CUST1009</t>
  </si>
  <si>
    <t>PROD209</t>
  </si>
  <si>
    <t>11/29/2024</t>
  </si>
  <si>
    <t>12/24/2021</t>
  </si>
  <si>
    <t xml:space="preserve"> $337.24 </t>
  </si>
  <si>
    <t>Camera</t>
  </si>
  <si>
    <t>ORD5010</t>
  </si>
  <si>
    <t>CUST1010</t>
  </si>
  <si>
    <t>PROD210</t>
  </si>
  <si>
    <t>11/23/2023</t>
  </si>
  <si>
    <t xml:space="preserve"> $203.05 </t>
  </si>
  <si>
    <t>Dumbbells</t>
  </si>
  <si>
    <t>ORD5011</t>
  </si>
  <si>
    <t>CUST1011</t>
  </si>
  <si>
    <t>PROD211</t>
  </si>
  <si>
    <t>5/30/2025</t>
  </si>
  <si>
    <t xml:space="preserve"> $940.17 </t>
  </si>
  <si>
    <t>Headphones</t>
  </si>
  <si>
    <t>ORD5012</t>
  </si>
  <si>
    <t>CUST1012</t>
  </si>
  <si>
    <t>PROD212</t>
  </si>
  <si>
    <t>12/20/2020</t>
  </si>
  <si>
    <t>1/16/2023</t>
  </si>
  <si>
    <t xml:space="preserve"> $168.79 </t>
  </si>
  <si>
    <t>Vacuum Cleaner</t>
  </si>
  <si>
    <t>ORD5013</t>
  </si>
  <si>
    <t>CUST1013</t>
  </si>
  <si>
    <t>PROD213</t>
  </si>
  <si>
    <t>2/19/2021</t>
  </si>
  <si>
    <t>1/26/2024</t>
  </si>
  <si>
    <t xml:space="preserve"> $236.77 </t>
  </si>
  <si>
    <t>Perfume</t>
  </si>
  <si>
    <t>ORD5014</t>
  </si>
  <si>
    <t>CUST1014</t>
  </si>
  <si>
    <t>PROD214</t>
  </si>
  <si>
    <t>2/27/2021</t>
  </si>
  <si>
    <t>4/24/2025</t>
  </si>
  <si>
    <t xml:space="preserve"> $130.32 </t>
  </si>
  <si>
    <t>Cycling Helmet</t>
  </si>
  <si>
    <t>ORD5015</t>
  </si>
  <si>
    <t>CUST1015</t>
  </si>
  <si>
    <t>PROD215</t>
  </si>
  <si>
    <t>12/31/2021</t>
  </si>
  <si>
    <t>11/15/2023</t>
  </si>
  <si>
    <t>11/30/2024</t>
  </si>
  <si>
    <t xml:space="preserve"> $333.99 </t>
  </si>
  <si>
    <t>Face Wash</t>
  </si>
  <si>
    <t>ORD5016</t>
  </si>
  <si>
    <t>CUST1016</t>
  </si>
  <si>
    <t>PROD216</t>
  </si>
  <si>
    <t>6/19/2024</t>
  </si>
  <si>
    <t xml:space="preserve"> $1,875.08 </t>
  </si>
  <si>
    <t>ORD5017</t>
  </si>
  <si>
    <t>CUST1017</t>
  </si>
  <si>
    <t>PROD217</t>
  </si>
  <si>
    <t>9/14/2021</t>
  </si>
  <si>
    <t>1/27/2024</t>
  </si>
  <si>
    <t xml:space="preserve"> $211.24 </t>
  </si>
  <si>
    <t>Cricket Bat</t>
  </si>
  <si>
    <t>ORD5018</t>
  </si>
  <si>
    <t>CUST1018</t>
  </si>
  <si>
    <t>PROD218</t>
  </si>
  <si>
    <t>5/25/2023</t>
  </si>
  <si>
    <t xml:space="preserve"> $1,702.39 </t>
  </si>
  <si>
    <t>Sneakers</t>
  </si>
  <si>
    <t>ORD5019</t>
  </si>
  <si>
    <t>CUST1019</t>
  </si>
  <si>
    <t>PROD219</t>
  </si>
  <si>
    <t>9/14/2022</t>
  </si>
  <si>
    <t>10/27/2024</t>
  </si>
  <si>
    <t xml:space="preserve"> $199.58 </t>
  </si>
  <si>
    <t>ORD5020</t>
  </si>
  <si>
    <t>CUST1020</t>
  </si>
  <si>
    <t>PROD220</t>
  </si>
  <si>
    <t>3/13/2022</t>
  </si>
  <si>
    <t>1/23/2024</t>
  </si>
  <si>
    <t xml:space="preserve"> $242.03 </t>
  </si>
  <si>
    <t>Critical Risk</t>
  </si>
  <si>
    <t>ORD5021</t>
  </si>
  <si>
    <t>CUST1021</t>
  </si>
  <si>
    <t>PROD221</t>
  </si>
  <si>
    <t>6/20/2022</t>
  </si>
  <si>
    <t xml:space="preserve"> $50.78 </t>
  </si>
  <si>
    <t>Dress</t>
  </si>
  <si>
    <t>ORD5022</t>
  </si>
  <si>
    <t>CUST1022</t>
  </si>
  <si>
    <t>PROD222</t>
  </si>
  <si>
    <t xml:space="preserve"> $89.87 </t>
  </si>
  <si>
    <t>Smartphone</t>
  </si>
  <si>
    <t>ORD5023</t>
  </si>
  <si>
    <t>CUST1023</t>
  </si>
  <si>
    <t>PROD223</t>
  </si>
  <si>
    <t xml:space="preserve"> $52.34 </t>
  </si>
  <si>
    <t>ORD5024</t>
  </si>
  <si>
    <t>CUST1024</t>
  </si>
  <si>
    <t>PROD224</t>
  </si>
  <si>
    <t>4/14/2022</t>
  </si>
  <si>
    <t>1/29/2023</t>
  </si>
  <si>
    <t>5/21/2024</t>
  </si>
  <si>
    <t xml:space="preserve"> $232.67 </t>
  </si>
  <si>
    <t>Lipstick</t>
  </si>
  <si>
    <t>ORD5025</t>
  </si>
  <si>
    <t>CUST1025</t>
  </si>
  <si>
    <t>PROD225</t>
  </si>
  <si>
    <t>9/26/2022</t>
  </si>
  <si>
    <t xml:space="preserve"> $142.89 </t>
  </si>
  <si>
    <t>ORD5026</t>
  </si>
  <si>
    <t>CUST1026</t>
  </si>
  <si>
    <t>PROD226</t>
  </si>
  <si>
    <t>5/15/2023</t>
  </si>
  <si>
    <t>8/26/2024</t>
  </si>
  <si>
    <t xml:space="preserve"> $44.69 </t>
  </si>
  <si>
    <t>T-Shirt</t>
  </si>
  <si>
    <t>ORD5027</t>
  </si>
  <si>
    <t>CUST1027</t>
  </si>
  <si>
    <t>PROD227</t>
  </si>
  <si>
    <t>3/23/2021</t>
  </si>
  <si>
    <t>2/25/2022</t>
  </si>
  <si>
    <t>11/13/2024</t>
  </si>
  <si>
    <t xml:space="preserve"> $139.30 </t>
  </si>
  <si>
    <t>Tennis Racket</t>
  </si>
  <si>
    <t>65+ Seniors</t>
  </si>
  <si>
    <t>ORD5028</t>
  </si>
  <si>
    <t>CUST1028</t>
  </si>
  <si>
    <t>PROD228</t>
  </si>
  <si>
    <t>1/17/2022</t>
  </si>
  <si>
    <t xml:space="preserve"> $149.65 </t>
  </si>
  <si>
    <t>Sofa</t>
  </si>
  <si>
    <t>ORD5029</t>
  </si>
  <si>
    <t>CUST1029</t>
  </si>
  <si>
    <t>PROD229</t>
  </si>
  <si>
    <t>8/22/2020</t>
  </si>
  <si>
    <t>3/22/2024</t>
  </si>
  <si>
    <t xml:space="preserve"> $157.10 </t>
  </si>
  <si>
    <t>Laptop</t>
  </si>
  <si>
    <t>ORD5030</t>
  </si>
  <si>
    <t>CUST1030</t>
  </si>
  <si>
    <t>PROD230</t>
  </si>
  <si>
    <t>4/19/2021</t>
  </si>
  <si>
    <t xml:space="preserve"> $182.53 </t>
  </si>
  <si>
    <t>Basketball</t>
  </si>
  <si>
    <t>ORD5031</t>
  </si>
  <si>
    <t>CUST1031</t>
  </si>
  <si>
    <t>PROD231</t>
  </si>
  <si>
    <t>8/19/2021</t>
  </si>
  <si>
    <t>7/22/2023</t>
  </si>
  <si>
    <t xml:space="preserve"> $31.95 </t>
  </si>
  <si>
    <t>ORD5032</t>
  </si>
  <si>
    <t>CUST1032</t>
  </si>
  <si>
    <t>PROD232</t>
  </si>
  <si>
    <t>7/27/2021</t>
  </si>
  <si>
    <t xml:space="preserve"> $804.77 </t>
  </si>
  <si>
    <t>ORD5033</t>
  </si>
  <si>
    <t>CUST1033</t>
  </si>
  <si>
    <t>PROD233</t>
  </si>
  <si>
    <t>3/25/2022</t>
  </si>
  <si>
    <t>9/25/2022</t>
  </si>
  <si>
    <t xml:space="preserve"> $332.38 </t>
  </si>
  <si>
    <t>Shirt</t>
  </si>
  <si>
    <t>ORD5034</t>
  </si>
  <si>
    <t>CUST1034</t>
  </si>
  <si>
    <t>PROD234</t>
  </si>
  <si>
    <t>2/26/2021</t>
  </si>
  <si>
    <t>4/22/2025</t>
  </si>
  <si>
    <t>10/18/2021</t>
  </si>
  <si>
    <t xml:space="preserve"> $1,292.65 </t>
  </si>
  <si>
    <t>ORD5035</t>
  </si>
  <si>
    <t>CUST1035</t>
  </si>
  <si>
    <t>PROD235</t>
  </si>
  <si>
    <t xml:space="preserve"> $36.39 </t>
  </si>
  <si>
    <t>ORD5036</t>
  </si>
  <si>
    <t>CUST1036</t>
  </si>
  <si>
    <t>PROD236</t>
  </si>
  <si>
    <t>1/14/2024</t>
  </si>
  <si>
    <t>9/22/2024</t>
  </si>
  <si>
    <t xml:space="preserve"> $79.19 </t>
  </si>
  <si>
    <t>ORD5037</t>
  </si>
  <si>
    <t>CUST1037</t>
  </si>
  <si>
    <t>PROD237</t>
  </si>
  <si>
    <t>3/25/2023</t>
  </si>
  <si>
    <t>12/29/2024</t>
  </si>
  <si>
    <t xml:space="preserve"> $94.06 </t>
  </si>
  <si>
    <t>Blender</t>
  </si>
  <si>
    <t>ORD5038</t>
  </si>
  <si>
    <t>CUST1038</t>
  </si>
  <si>
    <t>PROD238</t>
  </si>
  <si>
    <t>2/17/2022</t>
  </si>
  <si>
    <t>6/29/2023</t>
  </si>
  <si>
    <t xml:space="preserve"> $786.48 </t>
  </si>
  <si>
    <t>ORD5039</t>
  </si>
  <si>
    <t>CUST1039</t>
  </si>
  <si>
    <t>PROD239</t>
  </si>
  <si>
    <t>12/13/2024</t>
  </si>
  <si>
    <t xml:space="preserve"> $20.55 </t>
  </si>
  <si>
    <t>ORD5040</t>
  </si>
  <si>
    <t>CUST1040</t>
  </si>
  <si>
    <t>PROD240</t>
  </si>
  <si>
    <t xml:space="preserve"> $203.23 </t>
  </si>
  <si>
    <t>ORD5041</t>
  </si>
  <si>
    <t>CUST1041</t>
  </si>
  <si>
    <t>PROD241</t>
  </si>
  <si>
    <t>7/19/2022</t>
  </si>
  <si>
    <t>3/28/2025</t>
  </si>
  <si>
    <t xml:space="preserve"> $65.07 </t>
  </si>
  <si>
    <t>ORD5042</t>
  </si>
  <si>
    <t>CUST1042</t>
  </si>
  <si>
    <t>PROD242</t>
  </si>
  <si>
    <t>5/23/2023</t>
  </si>
  <si>
    <t>3/15/2025</t>
  </si>
  <si>
    <t>8/25/2023</t>
  </si>
  <si>
    <t xml:space="preserve"> $1,954.64 </t>
  </si>
  <si>
    <t>Other</t>
  </si>
  <si>
    <t>ORD5043</t>
  </si>
  <si>
    <t>CUST1043</t>
  </si>
  <si>
    <t>PROD243</t>
  </si>
  <si>
    <t>4/22/2023</t>
  </si>
  <si>
    <t>5/28/2024</t>
  </si>
  <si>
    <t>12/24/2024</t>
  </si>
  <si>
    <t xml:space="preserve"> $18.98 </t>
  </si>
  <si>
    <t>ORD5044</t>
  </si>
  <si>
    <t>CUST1044</t>
  </si>
  <si>
    <t>PROD244</t>
  </si>
  <si>
    <t xml:space="preserve"> $654.56 </t>
  </si>
  <si>
    <t>ORD5045</t>
  </si>
  <si>
    <t>CUST1045</t>
  </si>
  <si>
    <t>PROD245</t>
  </si>
  <si>
    <t>11/30/2020</t>
  </si>
  <si>
    <t>5/22/2022</t>
  </si>
  <si>
    <t>10/24/2023</t>
  </si>
  <si>
    <t xml:space="preserve"> $334.17 </t>
  </si>
  <si>
    <t>ORD5046</t>
  </si>
  <si>
    <t>CUST1046</t>
  </si>
  <si>
    <t>PROD246</t>
  </si>
  <si>
    <t>3/21/2023</t>
  </si>
  <si>
    <t>1/14/2025</t>
  </si>
  <si>
    <t>4/29/2024</t>
  </si>
  <si>
    <t xml:space="preserve"> $219.75 </t>
  </si>
  <si>
    <t>ORD5047</t>
  </si>
  <si>
    <t>CUST1047</t>
  </si>
  <si>
    <t>PROD247</t>
  </si>
  <si>
    <t>7/13/2021</t>
  </si>
  <si>
    <t>7/23/2021</t>
  </si>
  <si>
    <t xml:space="preserve"> $223.05 </t>
  </si>
  <si>
    <t>Lamp</t>
  </si>
  <si>
    <t>ORD5048</t>
  </si>
  <si>
    <t>CUST1048</t>
  </si>
  <si>
    <t>PROD248</t>
  </si>
  <si>
    <t>4/18/2025</t>
  </si>
  <si>
    <t xml:space="preserve"> $149.88 </t>
  </si>
  <si>
    <t>ORD5049</t>
  </si>
  <si>
    <t>CUST1049</t>
  </si>
  <si>
    <t>PROD249</t>
  </si>
  <si>
    <t>6/17/2022</t>
  </si>
  <si>
    <t>11/26/2024</t>
  </si>
  <si>
    <t xml:space="preserve"> $165.27 </t>
  </si>
  <si>
    <t>Bluetooth Speaker</t>
  </si>
  <si>
    <t>ORD5050</t>
  </si>
  <si>
    <t>CUST1050</t>
  </si>
  <si>
    <t>PROD250</t>
  </si>
  <si>
    <t>8/29/2020</t>
  </si>
  <si>
    <t>8/15/2024</t>
  </si>
  <si>
    <t xml:space="preserve"> $222.62 </t>
  </si>
  <si>
    <t>Gaming Console</t>
  </si>
  <si>
    <t>ORD5051</t>
  </si>
  <si>
    <t>CUST1051</t>
  </si>
  <si>
    <t>PROD251</t>
  </si>
  <si>
    <t>7/13/2023</t>
  </si>
  <si>
    <t xml:space="preserve"> $45.17 </t>
  </si>
  <si>
    <t>ORD5052</t>
  </si>
  <si>
    <t>CUST1052</t>
  </si>
  <si>
    <t>PROD252</t>
  </si>
  <si>
    <t>5/28/2025</t>
  </si>
  <si>
    <t>3/19/2022</t>
  </si>
  <si>
    <t xml:space="preserve"> $136.95 </t>
  </si>
  <si>
    <t>ORD5053</t>
  </si>
  <si>
    <t>CUST1053</t>
  </si>
  <si>
    <t>PROD253</t>
  </si>
  <si>
    <t>8/16/2021</t>
  </si>
  <si>
    <t xml:space="preserve"> $323.04 </t>
  </si>
  <si>
    <t>ORD5054</t>
  </si>
  <si>
    <t>CUST1054</t>
  </si>
  <si>
    <t>PROD254</t>
  </si>
  <si>
    <t>4/26/2024</t>
  </si>
  <si>
    <t>12/24/2023</t>
  </si>
  <si>
    <t xml:space="preserve"> $104.00 </t>
  </si>
  <si>
    <t>ORD5055</t>
  </si>
  <si>
    <t>CUST1055</t>
  </si>
  <si>
    <t>PROD255</t>
  </si>
  <si>
    <t xml:space="preserve"> $251.60 </t>
  </si>
  <si>
    <t>ORD5056</t>
  </si>
  <si>
    <t>CUST1056</t>
  </si>
  <si>
    <t>PROD256</t>
  </si>
  <si>
    <t>8/15/2023</t>
  </si>
  <si>
    <t>12/28/2023</t>
  </si>
  <si>
    <t xml:space="preserve"> $472.04 </t>
  </si>
  <si>
    <t>ORD5057</t>
  </si>
  <si>
    <t>CUST1057</t>
  </si>
  <si>
    <t>PROD257</t>
  </si>
  <si>
    <t>2/27/2023</t>
  </si>
  <si>
    <t>3/14/2023</t>
  </si>
  <si>
    <t xml:space="preserve"> $21.85 </t>
  </si>
  <si>
    <t>ORD5058</t>
  </si>
  <si>
    <t>CUST1058</t>
  </si>
  <si>
    <t>PROD258</t>
  </si>
  <si>
    <t>4/22/2021</t>
  </si>
  <si>
    <t>5/18/2023</t>
  </si>
  <si>
    <t xml:space="preserve"> $295.22 </t>
  </si>
  <si>
    <t>Jeans</t>
  </si>
  <si>
    <t>ORD5059</t>
  </si>
  <si>
    <t>CUST1059</t>
  </si>
  <si>
    <t>PROD259</t>
  </si>
  <si>
    <t>8/30/2020</t>
  </si>
  <si>
    <t>9/30/2023</t>
  </si>
  <si>
    <t xml:space="preserve"> $362.26 </t>
  </si>
  <si>
    <t>Running Shoes</t>
  </si>
  <si>
    <t>ORD5060</t>
  </si>
  <si>
    <t>CUST1060</t>
  </si>
  <si>
    <t>PROD260</t>
  </si>
  <si>
    <t>9/21/2021</t>
  </si>
  <si>
    <t>11/22/2021</t>
  </si>
  <si>
    <t xml:space="preserve"> $286.73 </t>
  </si>
  <si>
    <t>ORD5061</t>
  </si>
  <si>
    <t>CUST1061</t>
  </si>
  <si>
    <t>PROD261</t>
  </si>
  <si>
    <t>12/29/2021</t>
  </si>
  <si>
    <t xml:space="preserve"> $34.68 </t>
  </si>
  <si>
    <t>ORD5062</t>
  </si>
  <si>
    <t>CUST1062</t>
  </si>
  <si>
    <t>PROD262</t>
  </si>
  <si>
    <t>11/14/2022</t>
  </si>
  <si>
    <t xml:space="preserve"> $370.97 </t>
  </si>
  <si>
    <t>ORD5063</t>
  </si>
  <si>
    <t>CUST1063</t>
  </si>
  <si>
    <t>PROD263</t>
  </si>
  <si>
    <t>11/26/2020</t>
  </si>
  <si>
    <t>8/17/2021</t>
  </si>
  <si>
    <t xml:space="preserve"> $841.95 </t>
  </si>
  <si>
    <t>ORD5064</t>
  </si>
  <si>
    <t>CUST1064</t>
  </si>
  <si>
    <t>PROD264</t>
  </si>
  <si>
    <t>3/31/2024</t>
  </si>
  <si>
    <t xml:space="preserve"> $1,795.65 </t>
  </si>
  <si>
    <t>ORD5065</t>
  </si>
  <si>
    <t>CUST1065</t>
  </si>
  <si>
    <t>PROD265</t>
  </si>
  <si>
    <t>11/16/2020</t>
  </si>
  <si>
    <t>8/15/2022</t>
  </si>
  <si>
    <t xml:space="preserve"> $459.56 </t>
  </si>
  <si>
    <t>ORD5066</t>
  </si>
  <si>
    <t>CUST1066</t>
  </si>
  <si>
    <t>PROD266</t>
  </si>
  <si>
    <t xml:space="preserve"> $193.86 </t>
  </si>
  <si>
    <t>ORD5067</t>
  </si>
  <si>
    <t>CUST1067</t>
  </si>
  <si>
    <t>PROD267</t>
  </si>
  <si>
    <t>9/24/2021</t>
  </si>
  <si>
    <t>10/30/2024</t>
  </si>
  <si>
    <t>6/22/2024</t>
  </si>
  <si>
    <t xml:space="preserve"> $180.63 </t>
  </si>
  <si>
    <t>ORD5068</t>
  </si>
  <si>
    <t>CUST1068</t>
  </si>
  <si>
    <t>PROD268</t>
  </si>
  <si>
    <t>5/27/2023</t>
  </si>
  <si>
    <t>9/28/2024</t>
  </si>
  <si>
    <t xml:space="preserve"> $1,217.67 </t>
  </si>
  <si>
    <t>ORD5069</t>
  </si>
  <si>
    <t>CUST1069</t>
  </si>
  <si>
    <t>PROD269</t>
  </si>
  <si>
    <t>1/25/2022</t>
  </si>
  <si>
    <t>6/29/2025</t>
  </si>
  <si>
    <t xml:space="preserve"> $262.10 </t>
  </si>
  <si>
    <t>ORD5070</t>
  </si>
  <si>
    <t>CUST1070</t>
  </si>
  <si>
    <t>PROD270</t>
  </si>
  <si>
    <t>7/29/2023</t>
  </si>
  <si>
    <t>12/18/2024</t>
  </si>
  <si>
    <t>4/17/2025</t>
  </si>
  <si>
    <t xml:space="preserve"> $466.13 </t>
  </si>
  <si>
    <t>ORD5071</t>
  </si>
  <si>
    <t>CUST1071</t>
  </si>
  <si>
    <t>PROD271</t>
  </si>
  <si>
    <t>12/25/2022</t>
  </si>
  <si>
    <t xml:space="preserve"> $365.16 </t>
  </si>
  <si>
    <t>ORD5072</t>
  </si>
  <si>
    <t>CUST1072</t>
  </si>
  <si>
    <t>PROD272</t>
  </si>
  <si>
    <t>12/14/2020</t>
  </si>
  <si>
    <t xml:space="preserve"> $24.08 </t>
  </si>
  <si>
    <t>ORD5073</t>
  </si>
  <si>
    <t>CUST1073</t>
  </si>
  <si>
    <t>PROD273</t>
  </si>
  <si>
    <t>10/20/2022</t>
  </si>
  <si>
    <t>7/21/2025</t>
  </si>
  <si>
    <t xml:space="preserve"> $167.47 </t>
  </si>
  <si>
    <t>ORD5074</t>
  </si>
  <si>
    <t>CUST1074</t>
  </si>
  <si>
    <t>PROD274</t>
  </si>
  <si>
    <t>5/21/2025</t>
  </si>
  <si>
    <t xml:space="preserve"> $44.36 </t>
  </si>
  <si>
    <t>ORD5075</t>
  </si>
  <si>
    <t>CUST1075</t>
  </si>
  <si>
    <t>PROD275</t>
  </si>
  <si>
    <t>8/20/2022</t>
  </si>
  <si>
    <t>8/16/2023</t>
  </si>
  <si>
    <t xml:space="preserve"> $157.70 </t>
  </si>
  <si>
    <t>ORD5076</t>
  </si>
  <si>
    <t>CUST1076</t>
  </si>
  <si>
    <t>PROD276</t>
  </si>
  <si>
    <t>7/30/2025</t>
  </si>
  <si>
    <t xml:space="preserve"> $244.50 </t>
  </si>
  <si>
    <t>ORD5077</t>
  </si>
  <si>
    <t>CUST1077</t>
  </si>
  <si>
    <t>PROD277</t>
  </si>
  <si>
    <t>7/17/2021</t>
  </si>
  <si>
    <t>10/28/2024</t>
  </si>
  <si>
    <t xml:space="preserve"> $1,519.11 </t>
  </si>
  <si>
    <t>ORD5078</t>
  </si>
  <si>
    <t>CUST1078</t>
  </si>
  <si>
    <t>PROD278</t>
  </si>
  <si>
    <t>12/29/2023</t>
  </si>
  <si>
    <t xml:space="preserve"> $160.26 </t>
  </si>
  <si>
    <t>ORD5079</t>
  </si>
  <si>
    <t>CUST1079</t>
  </si>
  <si>
    <t>PROD279</t>
  </si>
  <si>
    <t xml:space="preserve"> $154.00 </t>
  </si>
  <si>
    <t>Foundation</t>
  </si>
  <si>
    <t>ORD5080</t>
  </si>
  <si>
    <t>CUST1080</t>
  </si>
  <si>
    <t>PROD280</t>
  </si>
  <si>
    <t xml:space="preserve"> $119.16 </t>
  </si>
  <si>
    <t>ORD5081</t>
  </si>
  <si>
    <t>CUST1081</t>
  </si>
  <si>
    <t>PROD281</t>
  </si>
  <si>
    <t>12/18/2023</t>
  </si>
  <si>
    <t>2/16/2025</t>
  </si>
  <si>
    <t xml:space="preserve"> $68.21 </t>
  </si>
  <si>
    <t>ORD5082</t>
  </si>
  <si>
    <t>CUST1082</t>
  </si>
  <si>
    <t>PROD282</t>
  </si>
  <si>
    <t>9/23/2021</t>
  </si>
  <si>
    <t>2/20/2022</t>
  </si>
  <si>
    <t xml:space="preserve"> $112.63 </t>
  </si>
  <si>
    <t>ORD5083</t>
  </si>
  <si>
    <t>CUST1083</t>
  </si>
  <si>
    <t>PROD283</t>
  </si>
  <si>
    <t>4/23/2022</t>
  </si>
  <si>
    <t xml:space="preserve"> $269.36 </t>
  </si>
  <si>
    <t>ORD5084</t>
  </si>
  <si>
    <t>CUST1084</t>
  </si>
  <si>
    <t>PROD284</t>
  </si>
  <si>
    <t>4/26/2025</t>
  </si>
  <si>
    <t xml:space="preserve"> $1,032.49 </t>
  </si>
  <si>
    <t>ORD5085</t>
  </si>
  <si>
    <t>CUST1085</t>
  </si>
  <si>
    <t>PROD285</t>
  </si>
  <si>
    <t>11/27/2023</t>
  </si>
  <si>
    <t xml:space="preserve"> $253.07 </t>
  </si>
  <si>
    <t>ORD5086</t>
  </si>
  <si>
    <t>CUST1086</t>
  </si>
  <si>
    <t>PROD286</t>
  </si>
  <si>
    <t>1/15/2021</t>
  </si>
  <si>
    <t>6/21/2024</t>
  </si>
  <si>
    <t>8/25/2021</t>
  </si>
  <si>
    <t xml:space="preserve"> $189.41 </t>
  </si>
  <si>
    <t>ORD5087</t>
  </si>
  <si>
    <t>CUST1087</t>
  </si>
  <si>
    <t>PROD287</t>
  </si>
  <si>
    <t>6/20/2023</t>
  </si>
  <si>
    <t>3/27/2024</t>
  </si>
  <si>
    <t xml:space="preserve"> $1,495.51 </t>
  </si>
  <si>
    <t>ORD5088</t>
  </si>
  <si>
    <t>CUST1088</t>
  </si>
  <si>
    <t>PROD288</t>
  </si>
  <si>
    <t>10/16/2021</t>
  </si>
  <si>
    <t xml:space="preserve"> $384.70 </t>
  </si>
  <si>
    <t>ORD5089</t>
  </si>
  <si>
    <t>CUST1089</t>
  </si>
  <si>
    <t>PROD289</t>
  </si>
  <si>
    <t>8/28/2021</t>
  </si>
  <si>
    <t>1/16/2024</t>
  </si>
  <si>
    <t xml:space="preserve"> $256.40 </t>
  </si>
  <si>
    <t>ORD5090</t>
  </si>
  <si>
    <t>CUST1090</t>
  </si>
  <si>
    <t>PROD290</t>
  </si>
  <si>
    <t>7/14/2025</t>
  </si>
  <si>
    <t xml:space="preserve"> $289.70 </t>
  </si>
  <si>
    <t>Chair</t>
  </si>
  <si>
    <t>ORD5091</t>
  </si>
  <si>
    <t>CUST1091</t>
  </si>
  <si>
    <t>PROD291</t>
  </si>
  <si>
    <t>6/26/2023</t>
  </si>
  <si>
    <t>2/25/2024</t>
  </si>
  <si>
    <t xml:space="preserve"> $27.00 </t>
  </si>
  <si>
    <t>Dining Table</t>
  </si>
  <si>
    <t>ORD5092</t>
  </si>
  <si>
    <t>CUST1092</t>
  </si>
  <si>
    <t>PROD292</t>
  </si>
  <si>
    <t>9/13/2021</t>
  </si>
  <si>
    <t xml:space="preserve"> $279.83 </t>
  </si>
  <si>
    <t>Moisturizer</t>
  </si>
  <si>
    <t>ORD5093</t>
  </si>
  <si>
    <t>CUST1093</t>
  </si>
  <si>
    <t>PROD293</t>
  </si>
  <si>
    <t>5/29/2023</t>
  </si>
  <si>
    <t>6/28/2024</t>
  </si>
  <si>
    <t>10/22/2024</t>
  </si>
  <si>
    <t xml:space="preserve"> $290.29 </t>
  </si>
  <si>
    <t>ORD5094</t>
  </si>
  <si>
    <t>CUST1094</t>
  </si>
  <si>
    <t>PROD294</t>
  </si>
  <si>
    <t>7/14/2022</t>
  </si>
  <si>
    <t>12/25/2024</t>
  </si>
  <si>
    <t xml:space="preserve"> $259.26 </t>
  </si>
  <si>
    <t>Yoga Mat</t>
  </si>
  <si>
    <t>ORD5095</t>
  </si>
  <si>
    <t>CUST1095</t>
  </si>
  <si>
    <t>PROD295</t>
  </si>
  <si>
    <t xml:space="preserve"> $159.25 </t>
  </si>
  <si>
    <t>ORD5096</t>
  </si>
  <si>
    <t>CUST1096</t>
  </si>
  <si>
    <t>PROD296</t>
  </si>
  <si>
    <t>2/15/2021</t>
  </si>
  <si>
    <t>10/19/2021</t>
  </si>
  <si>
    <t>1/25/2025</t>
  </si>
  <si>
    <t xml:space="preserve"> $62.41 </t>
  </si>
  <si>
    <t>ORD5097</t>
  </si>
  <si>
    <t>CUST1097</t>
  </si>
  <si>
    <t>PROD297</t>
  </si>
  <si>
    <t>3/31/2021</t>
  </si>
  <si>
    <t>11/21/2022</t>
  </si>
  <si>
    <t xml:space="preserve"> $107.73 </t>
  </si>
  <si>
    <t>ORD5098</t>
  </si>
  <si>
    <t>CUST1098</t>
  </si>
  <si>
    <t>PROD298</t>
  </si>
  <si>
    <t>9/15/2021</t>
  </si>
  <si>
    <t>5/28/2022</t>
  </si>
  <si>
    <t xml:space="preserve"> $556.57 </t>
  </si>
  <si>
    <t>ORD5099</t>
  </si>
  <si>
    <t>CUST1099</t>
  </si>
  <si>
    <t>PROD299</t>
  </si>
  <si>
    <t>9/18/2021</t>
  </si>
  <si>
    <t>4/15/2022</t>
  </si>
  <si>
    <t>1/19/2022</t>
  </si>
  <si>
    <t xml:space="preserve"> $990.57 </t>
  </si>
  <si>
    <t>ORD5100</t>
  </si>
  <si>
    <t>CUST1100</t>
  </si>
  <si>
    <t>PROD300</t>
  </si>
  <si>
    <t>11/28/2020</t>
  </si>
  <si>
    <t>1/20/2024</t>
  </si>
  <si>
    <t xml:space="preserve"> $140.71 </t>
  </si>
  <si>
    <t>ORD5101</t>
  </si>
  <si>
    <t>CUST1101</t>
  </si>
  <si>
    <t>PROD301</t>
  </si>
  <si>
    <t>9/20/2024</t>
  </si>
  <si>
    <t xml:space="preserve"> $38.59 </t>
  </si>
  <si>
    <t>ORD5102</t>
  </si>
  <si>
    <t>CUST1102</t>
  </si>
  <si>
    <t>PROD302</t>
  </si>
  <si>
    <t>8/14/2023</t>
  </si>
  <si>
    <t>5/18/2025</t>
  </si>
  <si>
    <t xml:space="preserve"> $196.79 </t>
  </si>
  <si>
    <t>ORD5103</t>
  </si>
  <si>
    <t>CUST1103</t>
  </si>
  <si>
    <t>PROD303</t>
  </si>
  <si>
    <t>6/18/2023</t>
  </si>
  <si>
    <t xml:space="preserve"> $84.34 </t>
  </si>
  <si>
    <t>ORD5104</t>
  </si>
  <si>
    <t>CUST1104</t>
  </si>
  <si>
    <t>PROD304</t>
  </si>
  <si>
    <t>7/27/2022</t>
  </si>
  <si>
    <t>10/17/2023</t>
  </si>
  <si>
    <t xml:space="preserve"> $760.96 </t>
  </si>
  <si>
    <t>ORD5105</t>
  </si>
  <si>
    <t>CUST1105</t>
  </si>
  <si>
    <t>PROD305</t>
  </si>
  <si>
    <t xml:space="preserve"> $716.30 </t>
  </si>
  <si>
    <t>ORD5106</t>
  </si>
  <si>
    <t>CUST1106</t>
  </si>
  <si>
    <t>PROD306</t>
  </si>
  <si>
    <t>9/15/2022</t>
  </si>
  <si>
    <t>2/21/2025</t>
  </si>
  <si>
    <t>6/28/2025</t>
  </si>
  <si>
    <t xml:space="preserve"> $396.36 </t>
  </si>
  <si>
    <t>ORD5107</t>
  </si>
  <si>
    <t>CUST1107</t>
  </si>
  <si>
    <t>PROD307</t>
  </si>
  <si>
    <t>10/16/2020</t>
  </si>
  <si>
    <t xml:space="preserve"> $805.84 </t>
  </si>
  <si>
    <t>ORD5108</t>
  </si>
  <si>
    <t>CUST1108</t>
  </si>
  <si>
    <t>PROD308</t>
  </si>
  <si>
    <t>7/23/2024</t>
  </si>
  <si>
    <t xml:space="preserve"> $107.67 </t>
  </si>
  <si>
    <t>ORD5109</t>
  </si>
  <si>
    <t>CUST1109</t>
  </si>
  <si>
    <t>PROD309</t>
  </si>
  <si>
    <t xml:space="preserve"> $233.34 </t>
  </si>
  <si>
    <t>ORD5110</t>
  </si>
  <si>
    <t>CUST1110</t>
  </si>
  <si>
    <t>PROD310</t>
  </si>
  <si>
    <t>10/29/2022</t>
  </si>
  <si>
    <t>8/21/2023</t>
  </si>
  <si>
    <t xml:space="preserve"> $353.80 </t>
  </si>
  <si>
    <t>ORD5111</t>
  </si>
  <si>
    <t>CUST1111</t>
  </si>
  <si>
    <t>PROD311</t>
  </si>
  <si>
    <t>1/27/2023</t>
  </si>
  <si>
    <t>12/26/2023</t>
  </si>
  <si>
    <t xml:space="preserve"> $221.28 </t>
  </si>
  <si>
    <t>ORD5112</t>
  </si>
  <si>
    <t>CUST1112</t>
  </si>
  <si>
    <t>PROD312</t>
  </si>
  <si>
    <t>2/13/2021</t>
  </si>
  <si>
    <t>11/27/2024</t>
  </si>
  <si>
    <t xml:space="preserve"> $247.78 </t>
  </si>
  <si>
    <t>ORD5113</t>
  </si>
  <si>
    <t>CUST1113</t>
  </si>
  <si>
    <t>PROD313</t>
  </si>
  <si>
    <t>10/26/2023</t>
  </si>
  <si>
    <t xml:space="preserve"> $1,810.76 </t>
  </si>
  <si>
    <t>ORD5114</t>
  </si>
  <si>
    <t>CUST1114</t>
  </si>
  <si>
    <t>PROD314</t>
  </si>
  <si>
    <t>12/16/2021</t>
  </si>
  <si>
    <t xml:space="preserve"> $164.62 </t>
  </si>
  <si>
    <t>ORD5115</t>
  </si>
  <si>
    <t>CUST1115</t>
  </si>
  <si>
    <t>PROD315</t>
  </si>
  <si>
    <t>7/26/2022</t>
  </si>
  <si>
    <t>6/15/2023</t>
  </si>
  <si>
    <t xml:space="preserve"> $57.48 </t>
  </si>
  <si>
    <t>ORD5116</t>
  </si>
  <si>
    <t>CUST1116</t>
  </si>
  <si>
    <t>PROD316</t>
  </si>
  <si>
    <t>11/29/2022</t>
  </si>
  <si>
    <t>5/16/2024</t>
  </si>
  <si>
    <t xml:space="preserve"> $431.26 </t>
  </si>
  <si>
    <t>ORD5117</t>
  </si>
  <si>
    <t>CUST1117</t>
  </si>
  <si>
    <t>PROD317</t>
  </si>
  <si>
    <t>12/30/2020</t>
  </si>
  <si>
    <t xml:space="preserve"> $205.69 </t>
  </si>
  <si>
    <t>ORD5118</t>
  </si>
  <si>
    <t>CUST1118</t>
  </si>
  <si>
    <t>PROD318</t>
  </si>
  <si>
    <t>9/17/2024</t>
  </si>
  <si>
    <t>8/22/2022</t>
  </si>
  <si>
    <t xml:space="preserve"> $338.72 </t>
  </si>
  <si>
    <t>ORD5119</t>
  </si>
  <si>
    <t>CUST1119</t>
  </si>
  <si>
    <t>PROD319</t>
  </si>
  <si>
    <t>10/24/2022</t>
  </si>
  <si>
    <t xml:space="preserve"> $174.49 </t>
  </si>
  <si>
    <t>ORD5120</t>
  </si>
  <si>
    <t>CUST1120</t>
  </si>
  <si>
    <t>PROD320</t>
  </si>
  <si>
    <t xml:space="preserve"> $102.01 </t>
  </si>
  <si>
    <t>ORD5121</t>
  </si>
  <si>
    <t>CUST1121</t>
  </si>
  <si>
    <t>PROD321</t>
  </si>
  <si>
    <t>10/30/2022</t>
  </si>
  <si>
    <t>4/27/2024</t>
  </si>
  <si>
    <t>2/18/2023</t>
  </si>
  <si>
    <t xml:space="preserve"> $389.99 </t>
  </si>
  <si>
    <t>ORD5122</t>
  </si>
  <si>
    <t>CUST1122</t>
  </si>
  <si>
    <t>PROD322</t>
  </si>
  <si>
    <t>12/19/2024</t>
  </si>
  <si>
    <t xml:space="preserve"> $21.57 </t>
  </si>
  <si>
    <t>ORD5123</t>
  </si>
  <si>
    <t>CUST1123</t>
  </si>
  <si>
    <t>PROD323</t>
  </si>
  <si>
    <t>4/25/2023</t>
  </si>
  <si>
    <t>9/24/2024</t>
  </si>
  <si>
    <t>3/26/2025</t>
  </si>
  <si>
    <t xml:space="preserve"> $649.18 </t>
  </si>
  <si>
    <t>ORD5124</t>
  </si>
  <si>
    <t>CUST1124</t>
  </si>
  <si>
    <t>PROD324</t>
  </si>
  <si>
    <t>2/19/2023</t>
  </si>
  <si>
    <t>4/23/2025</t>
  </si>
  <si>
    <t>7/29/2025</t>
  </si>
  <si>
    <t xml:space="preserve"> $964.88 </t>
  </si>
  <si>
    <t>ORD5125</t>
  </si>
  <si>
    <t>CUST1125</t>
  </si>
  <si>
    <t>PROD325</t>
  </si>
  <si>
    <t>5/20/2023</t>
  </si>
  <si>
    <t xml:space="preserve"> $201.06 </t>
  </si>
  <si>
    <t>ORD5126</t>
  </si>
  <si>
    <t>CUST1126</t>
  </si>
  <si>
    <t>PROD326</t>
  </si>
  <si>
    <t>10/18/2024</t>
  </si>
  <si>
    <t>5/31/2022</t>
  </si>
  <si>
    <t xml:space="preserve"> $178.81 </t>
  </si>
  <si>
    <t>ORD5127</t>
  </si>
  <si>
    <t>CUST1127</t>
  </si>
  <si>
    <t>PROD327</t>
  </si>
  <si>
    <t>7/25/2022</t>
  </si>
  <si>
    <t>11/14/2023</t>
  </si>
  <si>
    <t xml:space="preserve"> $167.69 </t>
  </si>
  <si>
    <t>ORD5128</t>
  </si>
  <si>
    <t>CUST1128</t>
  </si>
  <si>
    <t>PROD328</t>
  </si>
  <si>
    <t>9/28/2022</t>
  </si>
  <si>
    <t xml:space="preserve"> $19.56 </t>
  </si>
  <si>
    <t>ORD5129</t>
  </si>
  <si>
    <t>CUST1129</t>
  </si>
  <si>
    <t>PROD329</t>
  </si>
  <si>
    <t>4/24/2021</t>
  </si>
  <si>
    <t xml:space="preserve"> $170.27 </t>
  </si>
  <si>
    <t>Shampoo</t>
  </si>
  <si>
    <t>ORD5130</t>
  </si>
  <si>
    <t>CUST1130</t>
  </si>
  <si>
    <t>PROD330</t>
  </si>
  <si>
    <t>10/31/2022</t>
  </si>
  <si>
    <t xml:space="preserve"> $968.05 </t>
  </si>
  <si>
    <t>ORD5131</t>
  </si>
  <si>
    <t>CUST1131</t>
  </si>
  <si>
    <t>PROD331</t>
  </si>
  <si>
    <t>4/14/2025</t>
  </si>
  <si>
    <t xml:space="preserve"> $184.34 </t>
  </si>
  <si>
    <t>ORD5132</t>
  </si>
  <si>
    <t>CUST1132</t>
  </si>
  <si>
    <t>PROD332</t>
  </si>
  <si>
    <t>7/13/2022</t>
  </si>
  <si>
    <t xml:space="preserve"> $332.14 </t>
  </si>
  <si>
    <t>Skirt</t>
  </si>
  <si>
    <t>ORD5133</t>
  </si>
  <si>
    <t>CUST1133</t>
  </si>
  <si>
    <t>PROD333</t>
  </si>
  <si>
    <t>6/29/2021</t>
  </si>
  <si>
    <t xml:space="preserve"> $42.65 </t>
  </si>
  <si>
    <t>ORD5134</t>
  </si>
  <si>
    <t>CUST1134</t>
  </si>
  <si>
    <t>PROD334</t>
  </si>
  <si>
    <t>11/18/2024</t>
  </si>
  <si>
    <t>11/28/2022</t>
  </si>
  <si>
    <t xml:space="preserve"> $21.30 </t>
  </si>
  <si>
    <t>ORD5135</t>
  </si>
  <si>
    <t>CUST1135</t>
  </si>
  <si>
    <t>PROD335</t>
  </si>
  <si>
    <t>5/17/2024</t>
  </si>
  <si>
    <t>6/25/2024</t>
  </si>
  <si>
    <t xml:space="preserve"> $111.78 </t>
  </si>
  <si>
    <t>Microwave</t>
  </si>
  <si>
    <t>ORD5136</t>
  </si>
  <si>
    <t>CUST1136</t>
  </si>
  <si>
    <t>PROD336</t>
  </si>
  <si>
    <t xml:space="preserve"> $103.26 </t>
  </si>
  <si>
    <t>ORD5137</t>
  </si>
  <si>
    <t>CUST1137</t>
  </si>
  <si>
    <t>PROD337</t>
  </si>
  <si>
    <t>6/30/2025</t>
  </si>
  <si>
    <t xml:space="preserve"> $5.48 </t>
  </si>
  <si>
    <t>ORD5138</t>
  </si>
  <si>
    <t>CUST1138</t>
  </si>
  <si>
    <t>PROD338</t>
  </si>
  <si>
    <t xml:space="preserve"> $151.96 </t>
  </si>
  <si>
    <t>ORD5139</t>
  </si>
  <si>
    <t>CUST1139</t>
  </si>
  <si>
    <t>PROD339</t>
  </si>
  <si>
    <t>7/19/2023</t>
  </si>
  <si>
    <t>3/23/2025</t>
  </si>
  <si>
    <t xml:space="preserve"> $152.78 </t>
  </si>
  <si>
    <t>ORD5140</t>
  </si>
  <si>
    <t>CUST1140</t>
  </si>
  <si>
    <t>PROD340</t>
  </si>
  <si>
    <t>2/14/2022</t>
  </si>
  <si>
    <t xml:space="preserve"> $179.86 </t>
  </si>
  <si>
    <t>ORD5141</t>
  </si>
  <si>
    <t>CUST1141</t>
  </si>
  <si>
    <t>PROD341</t>
  </si>
  <si>
    <t>3/24/2023</t>
  </si>
  <si>
    <t>12/30/2023</t>
  </si>
  <si>
    <t xml:space="preserve"> $218.72 </t>
  </si>
  <si>
    <t>ORD5142</t>
  </si>
  <si>
    <t>CUST1142</t>
  </si>
  <si>
    <t>PROD342</t>
  </si>
  <si>
    <t>8/24/2023</t>
  </si>
  <si>
    <t xml:space="preserve"> $177.72 </t>
  </si>
  <si>
    <t>ORD5143</t>
  </si>
  <si>
    <t>CUST1143</t>
  </si>
  <si>
    <t>PROD343</t>
  </si>
  <si>
    <t>10/20/2021</t>
  </si>
  <si>
    <t>9/16/2024</t>
  </si>
  <si>
    <t xml:space="preserve"> $224.37 </t>
  </si>
  <si>
    <t>ORD5144</t>
  </si>
  <si>
    <t>CUST1144</t>
  </si>
  <si>
    <t>PROD344</t>
  </si>
  <si>
    <t>6/26/2024</t>
  </si>
  <si>
    <t>8/19/2025</t>
  </si>
  <si>
    <t xml:space="preserve"> $283.60 </t>
  </si>
  <si>
    <t>ORD5145</t>
  </si>
  <si>
    <t>CUST1145</t>
  </si>
  <si>
    <t>PROD345</t>
  </si>
  <si>
    <t xml:space="preserve"> $167.00 </t>
  </si>
  <si>
    <t>ORD5146</t>
  </si>
  <si>
    <t>CUST1146</t>
  </si>
  <si>
    <t>PROD346</t>
  </si>
  <si>
    <t>3/17/2021</t>
  </si>
  <si>
    <t>10/30/2023</t>
  </si>
  <si>
    <t>1/25/2023</t>
  </si>
  <si>
    <t xml:space="preserve"> $121.06 </t>
  </si>
  <si>
    <t>ORD5147</t>
  </si>
  <si>
    <t>CUST1147</t>
  </si>
  <si>
    <t>PROD347</t>
  </si>
  <si>
    <t>8/24/2022</t>
  </si>
  <si>
    <t>2/28/2025</t>
  </si>
  <si>
    <t>7/19/2025</t>
  </si>
  <si>
    <t xml:space="preserve"> $433.59 </t>
  </si>
  <si>
    <t>ORD5148</t>
  </si>
  <si>
    <t>CUST1148</t>
  </si>
  <si>
    <t>PROD348</t>
  </si>
  <si>
    <t>7/25/2024</t>
  </si>
  <si>
    <t xml:space="preserve"> $230.28 </t>
  </si>
  <si>
    <t>ORD5149</t>
  </si>
  <si>
    <t>CUST1149</t>
  </si>
  <si>
    <t>PROD349</t>
  </si>
  <si>
    <t>1/24/2024</t>
  </si>
  <si>
    <t xml:space="preserve"> $8.24 </t>
  </si>
  <si>
    <t>ORD5150</t>
  </si>
  <si>
    <t>CUST1150</t>
  </si>
  <si>
    <t>PROD350</t>
  </si>
  <si>
    <t>9/22/2021</t>
  </si>
  <si>
    <t xml:space="preserve"> $634.46 </t>
  </si>
  <si>
    <t>ORD5151</t>
  </si>
  <si>
    <t>CUST1151</t>
  </si>
  <si>
    <t>PROD351</t>
  </si>
  <si>
    <t>12/26/2020</t>
  </si>
  <si>
    <t>5/16/2021</t>
  </si>
  <si>
    <t xml:space="preserve"> $156.77 </t>
  </si>
  <si>
    <t>ORD5152</t>
  </si>
  <si>
    <t>CUST1152</t>
  </si>
  <si>
    <t>PROD352</t>
  </si>
  <si>
    <t>1/18/2023</t>
  </si>
  <si>
    <t>1/25/2024</t>
  </si>
  <si>
    <t xml:space="preserve"> $172.17 </t>
  </si>
  <si>
    <t>ORD5153</t>
  </si>
  <si>
    <t>CUST1153</t>
  </si>
  <si>
    <t>PROD353</t>
  </si>
  <si>
    <t xml:space="preserve"> $1,308.29 </t>
  </si>
  <si>
    <t>ORD5154</t>
  </si>
  <si>
    <t>CUST1154</t>
  </si>
  <si>
    <t>PROD354</t>
  </si>
  <si>
    <t>10/13/2020</t>
  </si>
  <si>
    <t>12/20/2024</t>
  </si>
  <si>
    <t xml:space="preserve"> $773.00 </t>
  </si>
  <si>
    <t>ORD5155</t>
  </si>
  <si>
    <t>CUST1155</t>
  </si>
  <si>
    <t>PROD355</t>
  </si>
  <si>
    <t>8/28/2022</t>
  </si>
  <si>
    <t>1/30/2025</t>
  </si>
  <si>
    <t>7/28/2023</t>
  </si>
  <si>
    <t xml:space="preserve"> $37.35 </t>
  </si>
  <si>
    <t>ORD5156</t>
  </si>
  <si>
    <t>CUST1156</t>
  </si>
  <si>
    <t>PROD356</t>
  </si>
  <si>
    <t>9/18/2022</t>
  </si>
  <si>
    <t xml:space="preserve"> $210.51 </t>
  </si>
  <si>
    <t>ORD5157</t>
  </si>
  <si>
    <t>CUST1157</t>
  </si>
  <si>
    <t>PROD357</t>
  </si>
  <si>
    <t>7/17/2022</t>
  </si>
  <si>
    <t>7/29/2022</t>
  </si>
  <si>
    <t xml:space="preserve"> $184.94 </t>
  </si>
  <si>
    <t>ORD5158</t>
  </si>
  <si>
    <t>CUST1158</t>
  </si>
  <si>
    <t>PROD358</t>
  </si>
  <si>
    <t>11/22/2020</t>
  </si>
  <si>
    <t>10/14/2021</t>
  </si>
  <si>
    <t xml:space="preserve"> $34.88 </t>
  </si>
  <si>
    <t>ORD5159</t>
  </si>
  <si>
    <t>CUST1159</t>
  </si>
  <si>
    <t>PROD359</t>
  </si>
  <si>
    <t xml:space="preserve"> $23.82 </t>
  </si>
  <si>
    <t>ORD5160</t>
  </si>
  <si>
    <t>CUST1160</t>
  </si>
  <si>
    <t>PROD360</t>
  </si>
  <si>
    <t xml:space="preserve"> $241.30 </t>
  </si>
  <si>
    <t>ORD5161</t>
  </si>
  <si>
    <t>CUST1161</t>
  </si>
  <si>
    <t>PROD361</t>
  </si>
  <si>
    <t>7/30/2022</t>
  </si>
  <si>
    <t>8/13/2022</t>
  </si>
  <si>
    <t>7/27/2025</t>
  </si>
  <si>
    <t xml:space="preserve"> $292.25 </t>
  </si>
  <si>
    <t>ORD5162</t>
  </si>
  <si>
    <t>CUST1162</t>
  </si>
  <si>
    <t>PROD362</t>
  </si>
  <si>
    <t>9/30/2020</t>
  </si>
  <si>
    <t xml:space="preserve"> $139.58 </t>
  </si>
  <si>
    <t>ORD5163</t>
  </si>
  <si>
    <t>CUST1163</t>
  </si>
  <si>
    <t>PROD363</t>
  </si>
  <si>
    <t>12/21/2024</t>
  </si>
  <si>
    <t>10/16/2023</t>
  </si>
  <si>
    <t xml:space="preserve"> $400.08 </t>
  </si>
  <si>
    <t>ORD5164</t>
  </si>
  <si>
    <t>CUST1164</t>
  </si>
  <si>
    <t>PROD364</t>
  </si>
  <si>
    <t>11/19/2022</t>
  </si>
  <si>
    <t xml:space="preserve"> $901.20 </t>
  </si>
  <si>
    <t>ORD5165</t>
  </si>
  <si>
    <t>CUST1165</t>
  </si>
  <si>
    <t>PROD365</t>
  </si>
  <si>
    <t xml:space="preserve"> $597.67 </t>
  </si>
  <si>
    <t>ORD5166</t>
  </si>
  <si>
    <t>CUST1166</t>
  </si>
  <si>
    <t>PROD366</t>
  </si>
  <si>
    <t>11/23/2024</t>
  </si>
  <si>
    <t xml:space="preserve"> $77.76 </t>
  </si>
  <si>
    <t>ORD5167</t>
  </si>
  <si>
    <t>CUST1167</t>
  </si>
  <si>
    <t>PROD367</t>
  </si>
  <si>
    <t>11/23/2021</t>
  </si>
  <si>
    <t>6/13/2023</t>
  </si>
  <si>
    <t xml:space="preserve"> $15.80 </t>
  </si>
  <si>
    <t>ORD5168</t>
  </si>
  <si>
    <t>CUST1168</t>
  </si>
  <si>
    <t>PROD368</t>
  </si>
  <si>
    <t>1/23/2021</t>
  </si>
  <si>
    <t xml:space="preserve"> $151.98 </t>
  </si>
  <si>
    <t>ORD5169</t>
  </si>
  <si>
    <t>CUST1169</t>
  </si>
  <si>
    <t>PROD369</t>
  </si>
  <si>
    <t>10/28/2022</t>
  </si>
  <si>
    <t xml:space="preserve"> $35.32 </t>
  </si>
  <si>
    <t>ORD5170</t>
  </si>
  <si>
    <t>CUST1170</t>
  </si>
  <si>
    <t>PROD370</t>
  </si>
  <si>
    <t>2/27/2025</t>
  </si>
  <si>
    <t xml:space="preserve"> $161.03 </t>
  </si>
  <si>
    <t>ORD5171</t>
  </si>
  <si>
    <t>CUST1171</t>
  </si>
  <si>
    <t>PROD371</t>
  </si>
  <si>
    <t>4/17/2021</t>
  </si>
  <si>
    <t>9/17/2022</t>
  </si>
  <si>
    <t xml:space="preserve"> $621.17 </t>
  </si>
  <si>
    <t>ORD5172</t>
  </si>
  <si>
    <t>CUST1172</t>
  </si>
  <si>
    <t>PROD372</t>
  </si>
  <si>
    <t>2/19/2022</t>
  </si>
  <si>
    <t>4/15/2023</t>
  </si>
  <si>
    <t>2/28/2024</t>
  </si>
  <si>
    <t xml:space="preserve"> $261.65 </t>
  </si>
  <si>
    <t>ORD5173</t>
  </si>
  <si>
    <t>CUST1173</t>
  </si>
  <si>
    <t>PROD373</t>
  </si>
  <si>
    <t xml:space="preserve"> $332.86 </t>
  </si>
  <si>
    <t>ORD5174</t>
  </si>
  <si>
    <t>CUST1174</t>
  </si>
  <si>
    <t>PROD374</t>
  </si>
  <si>
    <t>2/15/2023</t>
  </si>
  <si>
    <t>11/15/2024</t>
  </si>
  <si>
    <t xml:space="preserve"> $68.45 </t>
  </si>
  <si>
    <t>ORD5175</t>
  </si>
  <si>
    <t>CUST1175</t>
  </si>
  <si>
    <t>PROD375</t>
  </si>
  <si>
    <t>2/19/2024</t>
  </si>
  <si>
    <t xml:space="preserve"> $274.96 </t>
  </si>
  <si>
    <t>ORD5176</t>
  </si>
  <si>
    <t>CUST1176</t>
  </si>
  <si>
    <t>PROD376</t>
  </si>
  <si>
    <t>7/13/2024</t>
  </si>
  <si>
    <t>9/29/2024</t>
  </si>
  <si>
    <t xml:space="preserve"> $859.40 </t>
  </si>
  <si>
    <t>ORD5177</t>
  </si>
  <si>
    <t>CUST1177</t>
  </si>
  <si>
    <t>PROD377</t>
  </si>
  <si>
    <t>11/19/2020</t>
  </si>
  <si>
    <t xml:space="preserve"> $103.64 </t>
  </si>
  <si>
    <t>ORD5178</t>
  </si>
  <si>
    <t>CUST1178</t>
  </si>
  <si>
    <t>PROD378</t>
  </si>
  <si>
    <t>11/14/2021</t>
  </si>
  <si>
    <t xml:space="preserve"> $993.48 </t>
  </si>
  <si>
    <t>ORD5179</t>
  </si>
  <si>
    <t>CUST1179</t>
  </si>
  <si>
    <t>PROD379</t>
  </si>
  <si>
    <t>7/24/2021</t>
  </si>
  <si>
    <t xml:space="preserve"> $348.34 </t>
  </si>
  <si>
    <t>ORD5180</t>
  </si>
  <si>
    <t>CUST1180</t>
  </si>
  <si>
    <t>PROD380</t>
  </si>
  <si>
    <t>7/18/2025</t>
  </si>
  <si>
    <t xml:space="preserve"> $18.70 </t>
  </si>
  <si>
    <t>ORD5181</t>
  </si>
  <si>
    <t>CUST1181</t>
  </si>
  <si>
    <t>PROD381</t>
  </si>
  <si>
    <t>4/17/2024</t>
  </si>
  <si>
    <t xml:space="preserve"> $1,543.22 </t>
  </si>
  <si>
    <t>ORD5182</t>
  </si>
  <si>
    <t>CUST1182</t>
  </si>
  <si>
    <t>PROD382</t>
  </si>
  <si>
    <t>7/28/2025</t>
  </si>
  <si>
    <t>4/21/2024</t>
  </si>
  <si>
    <t xml:space="preserve"> $183.20 </t>
  </si>
  <si>
    <t>ORD5183</t>
  </si>
  <si>
    <t>CUST1183</t>
  </si>
  <si>
    <t>PROD383</t>
  </si>
  <si>
    <t>10/14/2022</t>
  </si>
  <si>
    <t>8/17/2024</t>
  </si>
  <si>
    <t xml:space="preserve"> $215.88 </t>
  </si>
  <si>
    <t>ORD5184</t>
  </si>
  <si>
    <t>CUST1184</t>
  </si>
  <si>
    <t>PROD384</t>
  </si>
  <si>
    <t>10/31/2024</t>
  </si>
  <si>
    <t xml:space="preserve"> $1,071.13 </t>
  </si>
  <si>
    <t>ORD5185</t>
  </si>
  <si>
    <t>CUST1185</t>
  </si>
  <si>
    <t>PROD385</t>
  </si>
  <si>
    <t>6/22/2022</t>
  </si>
  <si>
    <t>2/17/2025</t>
  </si>
  <si>
    <t xml:space="preserve"> $22.07 </t>
  </si>
  <si>
    <t>ORD5186</t>
  </si>
  <si>
    <t>CUST1186</t>
  </si>
  <si>
    <t>PROD386</t>
  </si>
  <si>
    <t xml:space="preserve"> $200.21 </t>
  </si>
  <si>
    <t>ORD5187</t>
  </si>
  <si>
    <t>CUST1187</t>
  </si>
  <si>
    <t>PROD387</t>
  </si>
  <si>
    <t>3/24/2025</t>
  </si>
  <si>
    <t xml:space="preserve"> $678.67 </t>
  </si>
  <si>
    <t>ORD5188</t>
  </si>
  <si>
    <t>CUST1188</t>
  </si>
  <si>
    <t>PROD388</t>
  </si>
  <si>
    <t>5/25/2021</t>
  </si>
  <si>
    <t xml:space="preserve"> $689.37 </t>
  </si>
  <si>
    <t>ORD5189</t>
  </si>
  <si>
    <t>CUST1189</t>
  </si>
  <si>
    <t>PROD389</t>
  </si>
  <si>
    <t>10/22/2022</t>
  </si>
  <si>
    <t>2/26/2023</t>
  </si>
  <si>
    <t xml:space="preserve"> $180.98 </t>
  </si>
  <si>
    <t>ORD5190</t>
  </si>
  <si>
    <t>CUST1190</t>
  </si>
  <si>
    <t>PROD390</t>
  </si>
  <si>
    <t>7/19/2021</t>
  </si>
  <si>
    <t xml:space="preserve"> $148.34 </t>
  </si>
  <si>
    <t>ORD5191</t>
  </si>
  <si>
    <t>CUST1191</t>
  </si>
  <si>
    <t>PROD391</t>
  </si>
  <si>
    <t>2/15/2022</t>
  </si>
  <si>
    <t>10/25/2022</t>
  </si>
  <si>
    <t xml:space="preserve"> $127.83 </t>
  </si>
  <si>
    <t>ORD5192</t>
  </si>
  <si>
    <t>CUST1192</t>
  </si>
  <si>
    <t>PROD392</t>
  </si>
  <si>
    <t>2/14/2024</t>
  </si>
  <si>
    <t xml:space="preserve"> $187.02 </t>
  </si>
  <si>
    <t>ORD5193</t>
  </si>
  <si>
    <t>CUST1193</t>
  </si>
  <si>
    <t>PROD393</t>
  </si>
  <si>
    <t>8/14/2021</t>
  </si>
  <si>
    <t xml:space="preserve"> $175.71 </t>
  </si>
  <si>
    <t>ORD5194</t>
  </si>
  <si>
    <t>CUST1194</t>
  </si>
  <si>
    <t>PROD394</t>
  </si>
  <si>
    <t>2/18/2022</t>
  </si>
  <si>
    <t xml:space="preserve"> $39.74 </t>
  </si>
  <si>
    <t>ORD5195</t>
  </si>
  <si>
    <t>CUST1195</t>
  </si>
  <si>
    <t>PROD395</t>
  </si>
  <si>
    <t>8/21/2024</t>
  </si>
  <si>
    <t xml:space="preserve"> $199.73 </t>
  </si>
  <si>
    <t>ORD5196</t>
  </si>
  <si>
    <t>CUST1196</t>
  </si>
  <si>
    <t>PROD396</t>
  </si>
  <si>
    <t>12/19/2022</t>
  </si>
  <si>
    <t xml:space="preserve"> $30.76 </t>
  </si>
  <si>
    <t>ORD5197</t>
  </si>
  <si>
    <t>CUST1197</t>
  </si>
  <si>
    <t>PROD397</t>
  </si>
  <si>
    <t>3/20/2023</t>
  </si>
  <si>
    <t xml:space="preserve"> $429.25 </t>
  </si>
  <si>
    <t>ORD5198</t>
  </si>
  <si>
    <t>CUST1198</t>
  </si>
  <si>
    <t>PROD398</t>
  </si>
  <si>
    <t>4/25/2022</t>
  </si>
  <si>
    <t>11/20/2022</t>
  </si>
  <si>
    <t xml:space="preserve"> $122.72 </t>
  </si>
  <si>
    <t>ORD5199</t>
  </si>
  <si>
    <t>CUST1199</t>
  </si>
  <si>
    <t>PROD399</t>
  </si>
  <si>
    <t>3/29/2023</t>
  </si>
  <si>
    <t xml:space="preserve"> $504.16 </t>
  </si>
  <si>
    <t>ORD5200</t>
  </si>
  <si>
    <t>CUST1200</t>
  </si>
  <si>
    <t>PROD400</t>
  </si>
  <si>
    <t>9/19/2023</t>
  </si>
  <si>
    <t xml:space="preserve"> $483.12 </t>
  </si>
  <si>
    <t>ORD5201</t>
  </si>
  <si>
    <t>CUST1201</t>
  </si>
  <si>
    <t>PROD401</t>
  </si>
  <si>
    <t>4/21/2023</t>
  </si>
  <si>
    <t xml:space="preserve"> $138.92 </t>
  </si>
  <si>
    <t>ORD5202</t>
  </si>
  <si>
    <t>CUST1202</t>
  </si>
  <si>
    <t>PROD402</t>
  </si>
  <si>
    <t>12/27/2022</t>
  </si>
  <si>
    <t xml:space="preserve"> $299.78 </t>
  </si>
  <si>
    <t>ORD5203</t>
  </si>
  <si>
    <t>CUST1203</t>
  </si>
  <si>
    <t>PROD403</t>
  </si>
  <si>
    <t>7/22/2021</t>
  </si>
  <si>
    <t>3/15/2023</t>
  </si>
  <si>
    <t xml:space="preserve"> $296.68 </t>
  </si>
  <si>
    <t>ORD5204</t>
  </si>
  <si>
    <t>CUST1204</t>
  </si>
  <si>
    <t>PROD404</t>
  </si>
  <si>
    <t>10/25/2023</t>
  </si>
  <si>
    <t xml:space="preserve"> $63.16 </t>
  </si>
  <si>
    <t>ORD5205</t>
  </si>
  <si>
    <t>CUST1205</t>
  </si>
  <si>
    <t>PROD405</t>
  </si>
  <si>
    <t>8/20/2021</t>
  </si>
  <si>
    <t>1/30/2024</t>
  </si>
  <si>
    <t xml:space="preserve"> $1,484.80 </t>
  </si>
  <si>
    <t>ORD5206</t>
  </si>
  <si>
    <t>CUST1206</t>
  </si>
  <si>
    <t>PROD406</t>
  </si>
  <si>
    <t>11/24/2021</t>
  </si>
  <si>
    <t xml:space="preserve"> $263.02 </t>
  </si>
  <si>
    <t>ORD5207</t>
  </si>
  <si>
    <t>CUST1207</t>
  </si>
  <si>
    <t>PROD407</t>
  </si>
  <si>
    <t>7/16/2023</t>
  </si>
  <si>
    <t>8/18/2024</t>
  </si>
  <si>
    <t xml:space="preserve"> $1,212.26 </t>
  </si>
  <si>
    <t>ORD5208</t>
  </si>
  <si>
    <t>CUST1208</t>
  </si>
  <si>
    <t>PROD408</t>
  </si>
  <si>
    <t>8/17/2023</t>
  </si>
  <si>
    <t xml:space="preserve"> $1,790.40 </t>
  </si>
  <si>
    <t>ORD5209</t>
  </si>
  <si>
    <t>CUST1209</t>
  </si>
  <si>
    <t>PROD409</t>
  </si>
  <si>
    <t xml:space="preserve"> $582.62 </t>
  </si>
  <si>
    <t>ORD5210</t>
  </si>
  <si>
    <t>CUST1210</t>
  </si>
  <si>
    <t>PROD410</t>
  </si>
  <si>
    <t>3/14/2022</t>
  </si>
  <si>
    <t>2/14/2023</t>
  </si>
  <si>
    <t xml:space="preserve"> $181.32 </t>
  </si>
  <si>
    <t>ORD5211</t>
  </si>
  <si>
    <t>CUST1211</t>
  </si>
  <si>
    <t>PROD411</t>
  </si>
  <si>
    <t>5/15/2025</t>
  </si>
  <si>
    <t xml:space="preserve"> $174.87 </t>
  </si>
  <si>
    <t>ORD5212</t>
  </si>
  <si>
    <t>CUST1212</t>
  </si>
  <si>
    <t>PROD412</t>
  </si>
  <si>
    <t>4/26/2022</t>
  </si>
  <si>
    <t xml:space="preserve"> $462.90 </t>
  </si>
  <si>
    <t>ORD5213</t>
  </si>
  <si>
    <t>CUST1213</t>
  </si>
  <si>
    <t>PROD413</t>
  </si>
  <si>
    <t>7/26/2024</t>
  </si>
  <si>
    <t xml:space="preserve"> $490.01 </t>
  </si>
  <si>
    <t>ORD5214</t>
  </si>
  <si>
    <t>CUST1214</t>
  </si>
  <si>
    <t>PROD414</t>
  </si>
  <si>
    <t>10/26/2022</t>
  </si>
  <si>
    <t xml:space="preserve"> $1,068.34 </t>
  </si>
  <si>
    <t>ORD5215</t>
  </si>
  <si>
    <t>CUST1215</t>
  </si>
  <si>
    <t>PROD415</t>
  </si>
  <si>
    <t>5/19/2023</t>
  </si>
  <si>
    <t xml:space="preserve"> $151.03 </t>
  </si>
  <si>
    <t>ORD5216</t>
  </si>
  <si>
    <t>CUST1216</t>
  </si>
  <si>
    <t>PROD416</t>
  </si>
  <si>
    <t>12/24/2022</t>
  </si>
  <si>
    <t xml:space="preserve"> $152.35 </t>
  </si>
  <si>
    <t>ORD5217</t>
  </si>
  <si>
    <t>CUST1217</t>
  </si>
  <si>
    <t>PROD417</t>
  </si>
  <si>
    <t>4/27/2023</t>
  </si>
  <si>
    <t xml:space="preserve"> $277.17 </t>
  </si>
  <si>
    <t>ORD5218</t>
  </si>
  <si>
    <t>CUST1218</t>
  </si>
  <si>
    <t>PROD418</t>
  </si>
  <si>
    <t>8/26/2023</t>
  </si>
  <si>
    <t xml:space="preserve"> $90.95 </t>
  </si>
  <si>
    <t>ORD5219</t>
  </si>
  <si>
    <t>CUST1219</t>
  </si>
  <si>
    <t>PROD419</t>
  </si>
  <si>
    <t>8/20/2023</t>
  </si>
  <si>
    <t xml:space="preserve"> $813.90 </t>
  </si>
  <si>
    <t>ORD5220</t>
  </si>
  <si>
    <t>CUST1220</t>
  </si>
  <si>
    <t>PROD420</t>
  </si>
  <si>
    <t xml:space="preserve"> $262.87 </t>
  </si>
  <si>
    <t>ORD5221</t>
  </si>
  <si>
    <t>CUST1221</t>
  </si>
  <si>
    <t>PROD421</t>
  </si>
  <si>
    <t>5/16/2025</t>
  </si>
  <si>
    <t xml:space="preserve"> $173.20 </t>
  </si>
  <si>
    <t>ORD5222</t>
  </si>
  <si>
    <t>CUST1222</t>
  </si>
  <si>
    <t>PROD422</t>
  </si>
  <si>
    <t>5/31/2024</t>
  </si>
  <si>
    <t>5/19/2024</t>
  </si>
  <si>
    <t xml:space="preserve"> $398.18 </t>
  </si>
  <si>
    <t>ORD5223</t>
  </si>
  <si>
    <t>CUST1223</t>
  </si>
  <si>
    <t>PROD423</t>
  </si>
  <si>
    <t>10/20/2024</t>
  </si>
  <si>
    <t xml:space="preserve"> $211.82 </t>
  </si>
  <si>
    <t>ORD5224</t>
  </si>
  <si>
    <t>CUST1224</t>
  </si>
  <si>
    <t>PROD424</t>
  </si>
  <si>
    <t>10/27/2021</t>
  </si>
  <si>
    <t>10/17/2024</t>
  </si>
  <si>
    <t xml:space="preserve"> $255.77 </t>
  </si>
  <si>
    <t>ORD5225</t>
  </si>
  <si>
    <t>CUST1225</t>
  </si>
  <si>
    <t>PROD425</t>
  </si>
  <si>
    <t xml:space="preserve"> $63.52 </t>
  </si>
  <si>
    <t>ORD5226</t>
  </si>
  <si>
    <t>CUST1226</t>
  </si>
  <si>
    <t>PROD426</t>
  </si>
  <si>
    <t>3/19/2021</t>
  </si>
  <si>
    <t xml:space="preserve"> $317.31 </t>
  </si>
  <si>
    <t>ORD5227</t>
  </si>
  <si>
    <t>CUST1227</t>
  </si>
  <si>
    <t>PROD427</t>
  </si>
  <si>
    <t>5/26/2025</t>
  </si>
  <si>
    <t>9/23/2023</t>
  </si>
  <si>
    <t xml:space="preserve"> $436.16 </t>
  </si>
  <si>
    <t>ORD5228</t>
  </si>
  <si>
    <t>CUST1228</t>
  </si>
  <si>
    <t>PROD428</t>
  </si>
  <si>
    <t>3/16/2022</t>
  </si>
  <si>
    <t xml:space="preserve"> $366.64 </t>
  </si>
  <si>
    <t>ORD5229</t>
  </si>
  <si>
    <t>CUST1229</t>
  </si>
  <si>
    <t>PROD429</t>
  </si>
  <si>
    <t>1/15/2025</t>
  </si>
  <si>
    <t xml:space="preserve"> $347.76 </t>
  </si>
  <si>
    <t>ORD5230</t>
  </si>
  <si>
    <t>CUST1230</t>
  </si>
  <si>
    <t>PROD430</t>
  </si>
  <si>
    <t>6/21/2022</t>
  </si>
  <si>
    <t>5/26/2023</t>
  </si>
  <si>
    <t>11/29/2023</t>
  </si>
  <si>
    <t xml:space="preserve"> $220.93 </t>
  </si>
  <si>
    <t>ORD5231</t>
  </si>
  <si>
    <t>CUST1231</t>
  </si>
  <si>
    <t>PROD431</t>
  </si>
  <si>
    <t xml:space="preserve"> $1,331.03 </t>
  </si>
  <si>
    <t>ORD5232</t>
  </si>
  <si>
    <t>CUST1232</t>
  </si>
  <si>
    <t>PROD432</t>
  </si>
  <si>
    <t xml:space="preserve"> $134.40 </t>
  </si>
  <si>
    <t>ORD5233</t>
  </si>
  <si>
    <t>CUST1233</t>
  </si>
  <si>
    <t>PROD433</t>
  </si>
  <si>
    <t>11/24/2023</t>
  </si>
  <si>
    <t xml:space="preserve"> $133.25 </t>
  </si>
  <si>
    <t>ORD5234</t>
  </si>
  <si>
    <t>CUST1234</t>
  </si>
  <si>
    <t>PROD434</t>
  </si>
  <si>
    <t>11/16/2021</t>
  </si>
  <si>
    <t>5/15/2022</t>
  </si>
  <si>
    <t xml:space="preserve"> $210.26 </t>
  </si>
  <si>
    <t>ORD5235</t>
  </si>
  <si>
    <t>CUST1235</t>
  </si>
  <si>
    <t>PROD435</t>
  </si>
  <si>
    <t>9/22/2020</t>
  </si>
  <si>
    <t>1/21/2022</t>
  </si>
  <si>
    <t xml:space="preserve"> $80.21 </t>
  </si>
  <si>
    <t>ORD5236</t>
  </si>
  <si>
    <t>CUST1236</t>
  </si>
  <si>
    <t>PROD436</t>
  </si>
  <si>
    <t>7/16/2022</t>
  </si>
  <si>
    <t xml:space="preserve"> $133.84 </t>
  </si>
  <si>
    <t>ORD5237</t>
  </si>
  <si>
    <t>CUST1237</t>
  </si>
  <si>
    <t>PROD437</t>
  </si>
  <si>
    <t>7/26/2023</t>
  </si>
  <si>
    <t xml:space="preserve"> $286.69 </t>
  </si>
  <si>
    <t>ORD5238</t>
  </si>
  <si>
    <t>CUST1238</t>
  </si>
  <si>
    <t>PROD438</t>
  </si>
  <si>
    <t>11/29/2021</t>
  </si>
  <si>
    <t>1/26/2023</t>
  </si>
  <si>
    <t xml:space="preserve"> $55.18 </t>
  </si>
  <si>
    <t>ORD5239</t>
  </si>
  <si>
    <t>CUST1239</t>
  </si>
  <si>
    <t>PROD439</t>
  </si>
  <si>
    <t>2/26/2025</t>
  </si>
  <si>
    <t xml:space="preserve"> $25.75 </t>
  </si>
  <si>
    <t>ORD5240</t>
  </si>
  <si>
    <t>CUST1240</t>
  </si>
  <si>
    <t>PROD440</t>
  </si>
  <si>
    <t>5/21/2022</t>
  </si>
  <si>
    <t>5/30/2022</t>
  </si>
  <si>
    <t xml:space="preserve"> $7.42 </t>
  </si>
  <si>
    <t>ORD5241</t>
  </si>
  <si>
    <t>CUST1241</t>
  </si>
  <si>
    <t>PROD441</t>
  </si>
  <si>
    <t>9/16/2020</t>
  </si>
  <si>
    <t>1/23/2022</t>
  </si>
  <si>
    <t>10/19/2024</t>
  </si>
  <si>
    <t xml:space="preserve"> $430.28 </t>
  </si>
  <si>
    <t>ORD5242</t>
  </si>
  <si>
    <t>CUST1242</t>
  </si>
  <si>
    <t>PROD442</t>
  </si>
  <si>
    <t>4/24/2023</t>
  </si>
  <si>
    <t xml:space="preserve"> $307.95 </t>
  </si>
  <si>
    <t>ORD5243</t>
  </si>
  <si>
    <t>CUST1243</t>
  </si>
  <si>
    <t>PROD443</t>
  </si>
  <si>
    <t>12/18/2021</t>
  </si>
  <si>
    <t xml:space="preserve"> $235.70 </t>
  </si>
  <si>
    <t>ORD5244</t>
  </si>
  <si>
    <t>CUST1244</t>
  </si>
  <si>
    <t>PROD444</t>
  </si>
  <si>
    <t>10/17/2022</t>
  </si>
  <si>
    <t>3/28/2024</t>
  </si>
  <si>
    <t xml:space="preserve"> $174.95 </t>
  </si>
  <si>
    <t>ORD5245</t>
  </si>
  <si>
    <t>CUST1245</t>
  </si>
  <si>
    <t>PROD445</t>
  </si>
  <si>
    <t>10/31/2020</t>
  </si>
  <si>
    <t xml:space="preserve"> $232.39 </t>
  </si>
  <si>
    <t>ORD5246</t>
  </si>
  <si>
    <t>CUST1246</t>
  </si>
  <si>
    <t>PROD446</t>
  </si>
  <si>
    <t>1/13/2021</t>
  </si>
  <si>
    <t>3/16/2024</t>
  </si>
  <si>
    <t xml:space="preserve"> $266.75 </t>
  </si>
  <si>
    <t>ORD5247</t>
  </si>
  <si>
    <t>CUST1247</t>
  </si>
  <si>
    <t>PROD447</t>
  </si>
  <si>
    <t>11/18/2022</t>
  </si>
  <si>
    <t xml:space="preserve"> $32.82 </t>
  </si>
  <si>
    <t>ORD5248</t>
  </si>
  <si>
    <t>CUST1248</t>
  </si>
  <si>
    <t>PROD448</t>
  </si>
  <si>
    <t>8/29/2021</t>
  </si>
  <si>
    <t>11/21/2021</t>
  </si>
  <si>
    <t>4/30/2022</t>
  </si>
  <si>
    <t xml:space="preserve"> $597.36 </t>
  </si>
  <si>
    <t>ORD5249</t>
  </si>
  <si>
    <t>CUST1249</t>
  </si>
  <si>
    <t>PROD449</t>
  </si>
  <si>
    <t>12/18/2022</t>
  </si>
  <si>
    <t xml:space="preserve"> $147.45 </t>
  </si>
  <si>
    <t>ORD5250</t>
  </si>
  <si>
    <t>CUST1250</t>
  </si>
  <si>
    <t>PROD450</t>
  </si>
  <si>
    <t>2/21/2021</t>
  </si>
  <si>
    <t>11/16/2024</t>
  </si>
  <si>
    <t xml:space="preserve"> $91.92 </t>
  </si>
  <si>
    <t>ORD5251</t>
  </si>
  <si>
    <t>CUST1251</t>
  </si>
  <si>
    <t>PROD451</t>
  </si>
  <si>
    <t xml:space="preserve"> $89.68 </t>
  </si>
  <si>
    <t>ORD5252</t>
  </si>
  <si>
    <t>CUST1252</t>
  </si>
  <si>
    <t>PROD452</t>
  </si>
  <si>
    <t>5/13/2021</t>
  </si>
  <si>
    <t xml:space="preserve"> $269.62 </t>
  </si>
  <si>
    <t>ORD5253</t>
  </si>
  <si>
    <t>CUST1253</t>
  </si>
  <si>
    <t>PROD453</t>
  </si>
  <si>
    <t xml:space="preserve"> $214.01 </t>
  </si>
  <si>
    <t>ORD5254</t>
  </si>
  <si>
    <t>CUST1254</t>
  </si>
  <si>
    <t>PROD454</t>
  </si>
  <si>
    <t xml:space="preserve"> $368.20 </t>
  </si>
  <si>
    <t>ORD5255</t>
  </si>
  <si>
    <t>CUST1255</t>
  </si>
  <si>
    <t>PROD455</t>
  </si>
  <si>
    <t xml:space="preserve"> $560.24 </t>
  </si>
  <si>
    <t>ORD5256</t>
  </si>
  <si>
    <t>CUST1256</t>
  </si>
  <si>
    <t>PROD456</t>
  </si>
  <si>
    <t>5/28/2021</t>
  </si>
  <si>
    <t>2/20/2023</t>
  </si>
  <si>
    <t xml:space="preserve"> $262.89 </t>
  </si>
  <si>
    <t>ORD5257</t>
  </si>
  <si>
    <t>CUST1257</t>
  </si>
  <si>
    <t>PROD457</t>
  </si>
  <si>
    <t>1/24/2025</t>
  </si>
  <si>
    <t>8/31/2023</t>
  </si>
  <si>
    <t xml:space="preserve"> $113.52 </t>
  </si>
  <si>
    <t>ORD5258</t>
  </si>
  <si>
    <t>CUST1258</t>
  </si>
  <si>
    <t>PROD458</t>
  </si>
  <si>
    <t>4/20/2025</t>
  </si>
  <si>
    <t xml:space="preserve"> $78.71 </t>
  </si>
  <si>
    <t>ORD5259</t>
  </si>
  <si>
    <t>CUST1259</t>
  </si>
  <si>
    <t>PROD459</t>
  </si>
  <si>
    <t>2/18/2021</t>
  </si>
  <si>
    <t xml:space="preserve"> $283.52 </t>
  </si>
  <si>
    <t>ORD5260</t>
  </si>
  <si>
    <t>CUST1260</t>
  </si>
  <si>
    <t>PROD460</t>
  </si>
  <si>
    <t>12/14/2022</t>
  </si>
  <si>
    <t>2/23/2023</t>
  </si>
  <si>
    <t xml:space="preserve"> $174.45 </t>
  </si>
  <si>
    <t>ORD5261</t>
  </si>
  <si>
    <t>CUST1261</t>
  </si>
  <si>
    <t>PROD461</t>
  </si>
  <si>
    <t>5/28/2023</t>
  </si>
  <si>
    <t xml:space="preserve"> $165.34 </t>
  </si>
  <si>
    <t>ORD5262</t>
  </si>
  <si>
    <t>CUST1262</t>
  </si>
  <si>
    <t>PROD462</t>
  </si>
  <si>
    <t>9/29/2023</t>
  </si>
  <si>
    <t xml:space="preserve"> $274.67 </t>
  </si>
  <si>
    <t>ORD5263</t>
  </si>
  <si>
    <t>CUST1263</t>
  </si>
  <si>
    <t>PROD463</t>
  </si>
  <si>
    <t>10/26/2020</t>
  </si>
  <si>
    <t xml:space="preserve"> $73.91 </t>
  </si>
  <si>
    <t>ORD5264</t>
  </si>
  <si>
    <t>CUST1264</t>
  </si>
  <si>
    <t>PROD464</t>
  </si>
  <si>
    <t>7/22/2022</t>
  </si>
  <si>
    <t>5/30/2024</t>
  </si>
  <si>
    <t>7/20/2024</t>
  </si>
  <si>
    <t xml:space="preserve"> $330.52 </t>
  </si>
  <si>
    <t>ORD5265</t>
  </si>
  <si>
    <t>CUST1265</t>
  </si>
  <si>
    <t>PROD465</t>
  </si>
  <si>
    <t>12/25/2023</t>
  </si>
  <si>
    <t xml:space="preserve"> $1,865.18 </t>
  </si>
  <si>
    <t>ORD5266</t>
  </si>
  <si>
    <t>CUST1266</t>
  </si>
  <si>
    <t>PROD466</t>
  </si>
  <si>
    <t>9/15/2024</t>
  </si>
  <si>
    <t xml:space="preserve"> $1,624.53 </t>
  </si>
  <si>
    <t>ORD5267</t>
  </si>
  <si>
    <t>CUST1267</t>
  </si>
  <si>
    <t>PROD467</t>
  </si>
  <si>
    <t>7/28/2022</t>
  </si>
  <si>
    <t>1/19/2024</t>
  </si>
  <si>
    <t>10/26/2024</t>
  </si>
  <si>
    <t xml:space="preserve"> $222.38 </t>
  </si>
  <si>
    <t>ORD5268</t>
  </si>
  <si>
    <t>CUST1268</t>
  </si>
  <si>
    <t>PROD468</t>
  </si>
  <si>
    <t xml:space="preserve"> $190.60 </t>
  </si>
  <si>
    <t>ORD5269</t>
  </si>
  <si>
    <t>CUST1269</t>
  </si>
  <si>
    <t>PROD469</t>
  </si>
  <si>
    <t>11/30/2021</t>
  </si>
  <si>
    <t>9/19/2022</t>
  </si>
  <si>
    <t xml:space="preserve"> $157.40 </t>
  </si>
  <si>
    <t>ORD5270</t>
  </si>
  <si>
    <t>CUST1270</t>
  </si>
  <si>
    <t>PROD470</t>
  </si>
  <si>
    <t xml:space="preserve"> $97.56 </t>
  </si>
  <si>
    <t>ORD5271</t>
  </si>
  <si>
    <t>CUST1271</t>
  </si>
  <si>
    <t>PROD471</t>
  </si>
  <si>
    <t>9/30/2022</t>
  </si>
  <si>
    <t xml:space="preserve"> $43.76 </t>
  </si>
  <si>
    <t>ORD5272</t>
  </si>
  <si>
    <t>CUST1272</t>
  </si>
  <si>
    <t>PROD472</t>
  </si>
  <si>
    <t>3/27/2023</t>
  </si>
  <si>
    <t xml:space="preserve"> $238.30 </t>
  </si>
  <si>
    <t>ORD5273</t>
  </si>
  <si>
    <t>CUST1273</t>
  </si>
  <si>
    <t>PROD473</t>
  </si>
  <si>
    <t>3/28/2021</t>
  </si>
  <si>
    <t>8/18/2023</t>
  </si>
  <si>
    <t xml:space="preserve"> $247.28 </t>
  </si>
  <si>
    <t>ORD5274</t>
  </si>
  <si>
    <t>CUST1274</t>
  </si>
  <si>
    <t>PROD474</t>
  </si>
  <si>
    <t>8/31/2021</t>
  </si>
  <si>
    <t>12/29/2022</t>
  </si>
  <si>
    <t xml:space="preserve"> $341.04 </t>
  </si>
  <si>
    <t>ORD5275</t>
  </si>
  <si>
    <t>CUST1275</t>
  </si>
  <si>
    <t>PROD475</t>
  </si>
  <si>
    <t>4/21/2022</t>
  </si>
  <si>
    <t xml:space="preserve"> $730.44 </t>
  </si>
  <si>
    <t>ORD5276</t>
  </si>
  <si>
    <t>CUST1276</t>
  </si>
  <si>
    <t>PROD476</t>
  </si>
  <si>
    <t>5/29/2022</t>
  </si>
  <si>
    <t>8/22/2024</t>
  </si>
  <si>
    <t>2/13/2023</t>
  </si>
  <si>
    <t xml:space="preserve"> $14.55 </t>
  </si>
  <si>
    <t>ORD5277</t>
  </si>
  <si>
    <t>CUST1277</t>
  </si>
  <si>
    <t>PROD477</t>
  </si>
  <si>
    <t>5/18/2024</t>
  </si>
  <si>
    <t>1/23/2025</t>
  </si>
  <si>
    <t xml:space="preserve"> $224.89 </t>
  </si>
  <si>
    <t>ORD5278</t>
  </si>
  <si>
    <t>CUST1278</t>
  </si>
  <si>
    <t>PROD478</t>
  </si>
  <si>
    <t xml:space="preserve"> $244.49 </t>
  </si>
  <si>
    <t>ORD5279</t>
  </si>
  <si>
    <t>CUST1279</t>
  </si>
  <si>
    <t>PROD479</t>
  </si>
  <si>
    <t>10/14/2020</t>
  </si>
  <si>
    <t>12/22/2023</t>
  </si>
  <si>
    <t xml:space="preserve"> $284.09 </t>
  </si>
  <si>
    <t>ORD5280</t>
  </si>
  <si>
    <t>CUST1280</t>
  </si>
  <si>
    <t>PROD480</t>
  </si>
  <si>
    <t>7/15/2023</t>
  </si>
  <si>
    <t xml:space="preserve"> $239.57 </t>
  </si>
  <si>
    <t>ORD5281</t>
  </si>
  <si>
    <t>CUST1281</t>
  </si>
  <si>
    <t>PROD481</t>
  </si>
  <si>
    <t xml:space="preserve"> $102.62 </t>
  </si>
  <si>
    <t>ORD5282</t>
  </si>
  <si>
    <t>CUST1282</t>
  </si>
  <si>
    <t>PROD482</t>
  </si>
  <si>
    <t xml:space="preserve"> $26.61 </t>
  </si>
  <si>
    <t>ORD5283</t>
  </si>
  <si>
    <t>CUST1283</t>
  </si>
  <si>
    <t>PROD483</t>
  </si>
  <si>
    <t>10/23/2021</t>
  </si>
  <si>
    <t xml:space="preserve"> $281.71 </t>
  </si>
  <si>
    <t>ORD5284</t>
  </si>
  <si>
    <t>CUST1284</t>
  </si>
  <si>
    <t>PROD484</t>
  </si>
  <si>
    <t xml:space="preserve"> $498.41 </t>
  </si>
  <si>
    <t>ORD5285</t>
  </si>
  <si>
    <t>CUST1285</t>
  </si>
  <si>
    <t>PROD485</t>
  </si>
  <si>
    <t>5/22/2021</t>
  </si>
  <si>
    <t xml:space="preserve"> $150.77 </t>
  </si>
  <si>
    <t>ORD5286</t>
  </si>
  <si>
    <t>CUST1286</t>
  </si>
  <si>
    <t>PROD486</t>
  </si>
  <si>
    <t>11/27/2021</t>
  </si>
  <si>
    <t>7/13/2025</t>
  </si>
  <si>
    <t xml:space="preserve"> $112.52 </t>
  </si>
  <si>
    <t>ORD5287</t>
  </si>
  <si>
    <t>CUST1287</t>
  </si>
  <si>
    <t>PROD487</t>
  </si>
  <si>
    <t xml:space="preserve"> $194.81 </t>
  </si>
  <si>
    <t>ORD5288</t>
  </si>
  <si>
    <t>CUST1288</t>
  </si>
  <si>
    <t>PROD488</t>
  </si>
  <si>
    <t xml:space="preserve"> $209.41 </t>
  </si>
  <si>
    <t>ORD5289</t>
  </si>
  <si>
    <t>CUST1289</t>
  </si>
  <si>
    <t>PROD489</t>
  </si>
  <si>
    <t>12/23/2021</t>
  </si>
  <si>
    <t>12/15/2021</t>
  </si>
  <si>
    <t xml:space="preserve"> $494.41 </t>
  </si>
  <si>
    <t>ORD5290</t>
  </si>
  <si>
    <t>CUST1290</t>
  </si>
  <si>
    <t>PROD490</t>
  </si>
  <si>
    <t>2/25/2023</t>
  </si>
  <si>
    <t xml:space="preserve"> $187.03 </t>
  </si>
  <si>
    <t>ORD5291</t>
  </si>
  <si>
    <t>CUST1291</t>
  </si>
  <si>
    <t>PROD491</t>
  </si>
  <si>
    <t>3/28/2023</t>
  </si>
  <si>
    <t>10/29/2024</t>
  </si>
  <si>
    <t xml:space="preserve"> $314.88 </t>
  </si>
  <si>
    <t>ORD5292</t>
  </si>
  <si>
    <t>CUST1292</t>
  </si>
  <si>
    <t>PROD492</t>
  </si>
  <si>
    <t>12/13/2021</t>
  </si>
  <si>
    <t xml:space="preserve"> $233.87 </t>
  </si>
  <si>
    <t>ORD5293</t>
  </si>
  <si>
    <t>CUST1293</t>
  </si>
  <si>
    <t>PROD493</t>
  </si>
  <si>
    <t>4/23/2023</t>
  </si>
  <si>
    <t xml:space="preserve"> $171.07 </t>
  </si>
  <si>
    <t>ORD5294</t>
  </si>
  <si>
    <t>CUST1294</t>
  </si>
  <si>
    <t>PROD494</t>
  </si>
  <si>
    <t>6/20/2025</t>
  </si>
  <si>
    <t xml:space="preserve"> $155.44 </t>
  </si>
  <si>
    <t>ORD5295</t>
  </si>
  <si>
    <t>CUST1295</t>
  </si>
  <si>
    <t>PROD495</t>
  </si>
  <si>
    <t>1/15/2023</t>
  </si>
  <si>
    <t>7/23/2023</t>
  </si>
  <si>
    <t xml:space="preserve"> $789.50 </t>
  </si>
  <si>
    <t>ORD5296</t>
  </si>
  <si>
    <t>CUST1296</t>
  </si>
  <si>
    <t>PROD496</t>
  </si>
  <si>
    <t xml:space="preserve"> $232.75 </t>
  </si>
  <si>
    <t>ORD5297</t>
  </si>
  <si>
    <t>CUST1297</t>
  </si>
  <si>
    <t>PROD497</t>
  </si>
  <si>
    <t>11/16/2022</t>
  </si>
  <si>
    <t xml:space="preserve"> $1,786.22 </t>
  </si>
  <si>
    <t>ORD5298</t>
  </si>
  <si>
    <t>CUST1298</t>
  </si>
  <si>
    <t>PROD498</t>
  </si>
  <si>
    <t xml:space="preserve"> $216.99 </t>
  </si>
  <si>
    <t>ORD5299</t>
  </si>
  <si>
    <t>CUST1299</t>
  </si>
  <si>
    <t>PROD499</t>
  </si>
  <si>
    <t>2/28/2021</t>
  </si>
  <si>
    <t>12/31/2023</t>
  </si>
  <si>
    <t>4/16/2025</t>
  </si>
  <si>
    <t xml:space="preserve"> $10.88 </t>
  </si>
  <si>
    <t>ORD5300</t>
  </si>
  <si>
    <t>CUST1300</t>
  </si>
  <si>
    <t>PROD500</t>
  </si>
  <si>
    <t xml:space="preserve"> $1,226.18 </t>
  </si>
  <si>
    <t>ORD5301</t>
  </si>
  <si>
    <t>CUST1301</t>
  </si>
  <si>
    <t>PROD501</t>
  </si>
  <si>
    <t>3/26/2024</t>
  </si>
  <si>
    <t>12/15/2024</t>
  </si>
  <si>
    <t xml:space="preserve"> $460.02 </t>
  </si>
  <si>
    <t>ORD5302</t>
  </si>
  <si>
    <t>CUST1302</t>
  </si>
  <si>
    <t>PROD502</t>
  </si>
  <si>
    <t>8/28/2023</t>
  </si>
  <si>
    <t>3/22/2025</t>
  </si>
  <si>
    <t xml:space="preserve"> $217.30 </t>
  </si>
  <si>
    <t>ORD5303</t>
  </si>
  <si>
    <t>CUST1303</t>
  </si>
  <si>
    <t>PROD503</t>
  </si>
  <si>
    <t>8/19/2024</t>
  </si>
  <si>
    <t xml:space="preserve"> $120.62 </t>
  </si>
  <si>
    <t>ORD5304</t>
  </si>
  <si>
    <t>CUST1304</t>
  </si>
  <si>
    <t>PROD504</t>
  </si>
  <si>
    <t>7/15/2022</t>
  </si>
  <si>
    <t xml:space="preserve"> $90.23 </t>
  </si>
  <si>
    <t>ORD5305</t>
  </si>
  <si>
    <t>CUST1305</t>
  </si>
  <si>
    <t>PROD505</t>
  </si>
  <si>
    <t>7/28/2021</t>
  </si>
  <si>
    <t>9/21/2024</t>
  </si>
  <si>
    <t xml:space="preserve"> $737.62 </t>
  </si>
  <si>
    <t>ORD5306</t>
  </si>
  <si>
    <t>CUST1306</t>
  </si>
  <si>
    <t>PROD506</t>
  </si>
  <si>
    <t>11/13/2022</t>
  </si>
  <si>
    <t>4/29/2023</t>
  </si>
  <si>
    <t>8/22/2023</t>
  </si>
  <si>
    <t xml:space="preserve"> $658.94 </t>
  </si>
  <si>
    <t>ORD5307</t>
  </si>
  <si>
    <t>CUST1307</t>
  </si>
  <si>
    <t>PROD507</t>
  </si>
  <si>
    <t xml:space="preserve"> $121.19 </t>
  </si>
  <si>
    <t>ORD5308</t>
  </si>
  <si>
    <t>CUST1308</t>
  </si>
  <si>
    <t>PROD508</t>
  </si>
  <si>
    <t>12/14/2021</t>
  </si>
  <si>
    <t xml:space="preserve"> $583.41 </t>
  </si>
  <si>
    <t>ORD5309</t>
  </si>
  <si>
    <t>CUST1309</t>
  </si>
  <si>
    <t>PROD509</t>
  </si>
  <si>
    <t>9/29/2020</t>
  </si>
  <si>
    <t xml:space="preserve"> $242.39 </t>
  </si>
  <si>
    <t>ORD5310</t>
  </si>
  <si>
    <t>CUST1310</t>
  </si>
  <si>
    <t>PROD510</t>
  </si>
  <si>
    <t>3/16/2021</t>
  </si>
  <si>
    <t>1/22/2023</t>
  </si>
  <si>
    <t xml:space="preserve"> $84.73 </t>
  </si>
  <si>
    <t>ORD5311</t>
  </si>
  <si>
    <t>CUST1311</t>
  </si>
  <si>
    <t>PROD511</t>
  </si>
  <si>
    <t>9/19/2020</t>
  </si>
  <si>
    <t xml:space="preserve"> $399.32 </t>
  </si>
  <si>
    <t>ORD5312</t>
  </si>
  <si>
    <t>CUST1312</t>
  </si>
  <si>
    <t>PROD512</t>
  </si>
  <si>
    <t xml:space="preserve"> $96.56 </t>
  </si>
  <si>
    <t>ORD5313</t>
  </si>
  <si>
    <t>CUST1313</t>
  </si>
  <si>
    <t>PROD513</t>
  </si>
  <si>
    <t>10/21/2021</t>
  </si>
  <si>
    <t>10/29/2023</t>
  </si>
  <si>
    <t>11/25/2023</t>
  </si>
  <si>
    <t xml:space="preserve"> $211.81 </t>
  </si>
  <si>
    <t>ORD5314</t>
  </si>
  <si>
    <t>CUST1314</t>
  </si>
  <si>
    <t>PROD514</t>
  </si>
  <si>
    <t>8/25/2024</t>
  </si>
  <si>
    <t xml:space="preserve"> $227.67 </t>
  </si>
  <si>
    <t>ORD5315</t>
  </si>
  <si>
    <t>CUST1315</t>
  </si>
  <si>
    <t>PROD515</t>
  </si>
  <si>
    <t>8/28/2024</t>
  </si>
  <si>
    <t xml:space="preserve"> $65.36 </t>
  </si>
  <si>
    <t>ORD5316</t>
  </si>
  <si>
    <t>CUST1316</t>
  </si>
  <si>
    <t>PROD516</t>
  </si>
  <si>
    <t>10/23/2023</t>
  </si>
  <si>
    <t xml:space="preserve"> $51.02 </t>
  </si>
  <si>
    <t>ORD5317</t>
  </si>
  <si>
    <t>CUST1317</t>
  </si>
  <si>
    <t>PROD517</t>
  </si>
  <si>
    <t>9/16/2023</t>
  </si>
  <si>
    <t>8/27/2024</t>
  </si>
  <si>
    <t xml:space="preserve"> $462.30 </t>
  </si>
  <si>
    <t>ORD5318</t>
  </si>
  <si>
    <t>CUST1318</t>
  </si>
  <si>
    <t>PROD518</t>
  </si>
  <si>
    <t xml:space="preserve"> $126.46 </t>
  </si>
  <si>
    <t>ORD5319</t>
  </si>
  <si>
    <t>CUST1319</t>
  </si>
  <si>
    <t>PROD519</t>
  </si>
  <si>
    <t>7/22/2024</t>
  </si>
  <si>
    <t xml:space="preserve"> $65.20 </t>
  </si>
  <si>
    <t>ORD5320</t>
  </si>
  <si>
    <t>CUST1320</t>
  </si>
  <si>
    <t>PROD520</t>
  </si>
  <si>
    <t>9/24/2023</t>
  </si>
  <si>
    <t>12/27/2024</t>
  </si>
  <si>
    <t xml:space="preserve"> $116.64 </t>
  </si>
  <si>
    <t>ORD5321</t>
  </si>
  <si>
    <t>CUST1321</t>
  </si>
  <si>
    <t>PROD521</t>
  </si>
  <si>
    <t xml:space="preserve"> $140.63 </t>
  </si>
  <si>
    <t>ORD5322</t>
  </si>
  <si>
    <t>CUST1322</t>
  </si>
  <si>
    <t>PROD522</t>
  </si>
  <si>
    <t>8/27/2022</t>
  </si>
  <si>
    <t xml:space="preserve"> $152.53 </t>
  </si>
  <si>
    <t>ORD5323</t>
  </si>
  <si>
    <t>CUST1323</t>
  </si>
  <si>
    <t>PROD523</t>
  </si>
  <si>
    <t>7/23/2022</t>
  </si>
  <si>
    <t>3/30/2024</t>
  </si>
  <si>
    <t xml:space="preserve"> $285.44 </t>
  </si>
  <si>
    <t>ORD5324</t>
  </si>
  <si>
    <t>CUST1324</t>
  </si>
  <si>
    <t>PROD524</t>
  </si>
  <si>
    <t>7/27/2023</t>
  </si>
  <si>
    <t xml:space="preserve"> $136.30 </t>
  </si>
  <si>
    <t>ORD5325</t>
  </si>
  <si>
    <t>CUST1325</t>
  </si>
  <si>
    <t>PROD525</t>
  </si>
  <si>
    <t>4/28/2025</t>
  </si>
  <si>
    <t xml:space="preserve"> $556.70 </t>
  </si>
  <si>
    <t>ORD5326</t>
  </si>
  <si>
    <t>CUST1326</t>
  </si>
  <si>
    <t>PROD526</t>
  </si>
  <si>
    <t xml:space="preserve"> $231.25 </t>
  </si>
  <si>
    <t>ORD5327</t>
  </si>
  <si>
    <t>CUST1327</t>
  </si>
  <si>
    <t>PROD527</t>
  </si>
  <si>
    <t>7/18/2022</t>
  </si>
  <si>
    <t>4/15/2025</t>
  </si>
  <si>
    <t xml:space="preserve"> $105.05 </t>
  </si>
  <si>
    <t>ORD5328</t>
  </si>
  <si>
    <t>CUST1328</t>
  </si>
  <si>
    <t>PROD528</t>
  </si>
  <si>
    <t>4/22/2022</t>
  </si>
  <si>
    <t>8/30/2022</t>
  </si>
  <si>
    <t xml:space="preserve"> $11.73 </t>
  </si>
  <si>
    <t>ORD5329</t>
  </si>
  <si>
    <t>CUST1329</t>
  </si>
  <si>
    <t>PROD529</t>
  </si>
  <si>
    <t>5/19/2022</t>
  </si>
  <si>
    <t>9/25/2021</t>
  </si>
  <si>
    <t xml:space="preserve"> $230.61 </t>
  </si>
  <si>
    <t>ORD5330</t>
  </si>
  <si>
    <t>CUST1330</t>
  </si>
  <si>
    <t>PROD530</t>
  </si>
  <si>
    <t>7/17/2023</t>
  </si>
  <si>
    <t xml:space="preserve"> $188.23 </t>
  </si>
  <si>
    <t>ORD5331</t>
  </si>
  <si>
    <t>CUST1331</t>
  </si>
  <si>
    <t>PROD531</t>
  </si>
  <si>
    <t>11/16/2023</t>
  </si>
  <si>
    <t xml:space="preserve"> $28.65 </t>
  </si>
  <si>
    <t>ORD5332</t>
  </si>
  <si>
    <t>CUST1332</t>
  </si>
  <si>
    <t>PROD532</t>
  </si>
  <si>
    <t>1/22/2024</t>
  </si>
  <si>
    <t xml:space="preserve"> $175.42 </t>
  </si>
  <si>
    <t>ORD5333</t>
  </si>
  <si>
    <t>CUST1333</t>
  </si>
  <si>
    <t>PROD533</t>
  </si>
  <si>
    <t>2/19/2025</t>
  </si>
  <si>
    <t xml:space="preserve"> $180.09 </t>
  </si>
  <si>
    <t>ORD5334</t>
  </si>
  <si>
    <t>CUST1334</t>
  </si>
  <si>
    <t>PROD534</t>
  </si>
  <si>
    <t>11/20/2024</t>
  </si>
  <si>
    <t xml:space="preserve"> $284.73 </t>
  </si>
  <si>
    <t>ORD5335</t>
  </si>
  <si>
    <t>CUST1335</t>
  </si>
  <si>
    <t>PROD535</t>
  </si>
  <si>
    <t xml:space="preserve"> $231.43 </t>
  </si>
  <si>
    <t>ORD5336</t>
  </si>
  <si>
    <t>CUST1336</t>
  </si>
  <si>
    <t>PROD536</t>
  </si>
  <si>
    <t>8/24/2021</t>
  </si>
  <si>
    <t xml:space="preserve"> $137.29 </t>
  </si>
  <si>
    <t>ORD5337</t>
  </si>
  <si>
    <t>CUST1337</t>
  </si>
  <si>
    <t>PROD537</t>
  </si>
  <si>
    <t xml:space="preserve"> $210.01 </t>
  </si>
  <si>
    <t>ORD5338</t>
  </si>
  <si>
    <t>CUST1338</t>
  </si>
  <si>
    <t>PROD538</t>
  </si>
  <si>
    <t>6/14/2022</t>
  </si>
  <si>
    <t>5/15/2024</t>
  </si>
  <si>
    <t xml:space="preserve"> $348.76 </t>
  </si>
  <si>
    <t>ORD5339</t>
  </si>
  <si>
    <t>CUST1339</t>
  </si>
  <si>
    <t>PROD539</t>
  </si>
  <si>
    <t>9/13/2022</t>
  </si>
  <si>
    <t>3/26/2023</t>
  </si>
  <si>
    <t xml:space="preserve"> $219.21 </t>
  </si>
  <si>
    <t>ORD5340</t>
  </si>
  <si>
    <t>CUST1340</t>
  </si>
  <si>
    <t>PROD540</t>
  </si>
  <si>
    <t>3/27/2025</t>
  </si>
  <si>
    <t xml:space="preserve"> $104.03 </t>
  </si>
  <si>
    <t>ORD5341</t>
  </si>
  <si>
    <t>CUST1341</t>
  </si>
  <si>
    <t>PROD541</t>
  </si>
  <si>
    <t>6/14/2024</t>
  </si>
  <si>
    <t xml:space="preserve"> $360.74 </t>
  </si>
  <si>
    <t>ORD5342</t>
  </si>
  <si>
    <t>CUST1342</t>
  </si>
  <si>
    <t>PROD542</t>
  </si>
  <si>
    <t>2/16/2022</t>
  </si>
  <si>
    <t xml:space="preserve"> $208.01 </t>
  </si>
  <si>
    <t>ORD5343</t>
  </si>
  <si>
    <t>CUST1343</t>
  </si>
  <si>
    <t>PROD543</t>
  </si>
  <si>
    <t>2/16/2023</t>
  </si>
  <si>
    <t xml:space="preserve"> $235.36 </t>
  </si>
  <si>
    <t>ORD5344</t>
  </si>
  <si>
    <t>CUST1344</t>
  </si>
  <si>
    <t>PROD544</t>
  </si>
  <si>
    <t>4/14/2021</t>
  </si>
  <si>
    <t>6/23/2025</t>
  </si>
  <si>
    <t xml:space="preserve"> $6.45 </t>
  </si>
  <si>
    <t>ORD5345</t>
  </si>
  <si>
    <t>CUST1345</t>
  </si>
  <si>
    <t>PROD545</t>
  </si>
  <si>
    <t>12/26/2021</t>
  </si>
  <si>
    <t xml:space="preserve"> $205.55 </t>
  </si>
  <si>
    <t>ORD5346</t>
  </si>
  <si>
    <t>CUST1346</t>
  </si>
  <si>
    <t>PROD546</t>
  </si>
  <si>
    <t>12/23/2024</t>
  </si>
  <si>
    <t xml:space="preserve"> $224.15 </t>
  </si>
  <si>
    <t>ORD5347</t>
  </si>
  <si>
    <t>CUST1347</t>
  </si>
  <si>
    <t>PROD547</t>
  </si>
  <si>
    <t xml:space="preserve"> $115.98 </t>
  </si>
  <si>
    <t>ORD5348</t>
  </si>
  <si>
    <t>CUST1348</t>
  </si>
  <si>
    <t>PROD548</t>
  </si>
  <si>
    <t>9/27/2021</t>
  </si>
  <si>
    <t>8/19/2023</t>
  </si>
  <si>
    <t>9/21/2023</t>
  </si>
  <si>
    <t xml:space="preserve"> $26.33 </t>
  </si>
  <si>
    <t>ORD5349</t>
  </si>
  <si>
    <t>CUST1349</t>
  </si>
  <si>
    <t>PROD549</t>
  </si>
  <si>
    <t>11/25/2024</t>
  </si>
  <si>
    <t>9/14/2023</t>
  </si>
  <si>
    <t xml:space="preserve"> $172.30 </t>
  </si>
  <si>
    <t>ORD5350</t>
  </si>
  <si>
    <t>CUST1350</t>
  </si>
  <si>
    <t>PROD550</t>
  </si>
  <si>
    <t>6/18/2021</t>
  </si>
  <si>
    <t>3/16/2025</t>
  </si>
  <si>
    <t xml:space="preserve"> $374.37 </t>
  </si>
  <si>
    <t>ORD5351</t>
  </si>
  <si>
    <t>CUST1351</t>
  </si>
  <si>
    <t>PROD551</t>
  </si>
  <si>
    <t>10/28/2021</t>
  </si>
  <si>
    <t>8/14/2025</t>
  </si>
  <si>
    <t xml:space="preserve"> $296.71 </t>
  </si>
  <si>
    <t>ORD5352</t>
  </si>
  <si>
    <t>CUST1352</t>
  </si>
  <si>
    <t>PROD552</t>
  </si>
  <si>
    <t>11/18/2021</t>
  </si>
  <si>
    <t xml:space="preserve"> $575.92 </t>
  </si>
  <si>
    <t>ORD5353</t>
  </si>
  <si>
    <t>CUST1353</t>
  </si>
  <si>
    <t>PROD553</t>
  </si>
  <si>
    <t>3/20/2021</t>
  </si>
  <si>
    <t>4/28/2021</t>
  </si>
  <si>
    <t xml:space="preserve"> $214.73 </t>
  </si>
  <si>
    <t>ORD5354</t>
  </si>
  <si>
    <t>CUST1354</t>
  </si>
  <si>
    <t>PROD554</t>
  </si>
  <si>
    <t>8/24/2024</t>
  </si>
  <si>
    <t xml:space="preserve"> $416.03 </t>
  </si>
  <si>
    <t>ORD5355</t>
  </si>
  <si>
    <t>CUST1355</t>
  </si>
  <si>
    <t>PROD555</t>
  </si>
  <si>
    <t>6/24/2024</t>
  </si>
  <si>
    <t xml:space="preserve"> $219.47 </t>
  </si>
  <si>
    <t>ORD5356</t>
  </si>
  <si>
    <t>CUST1356</t>
  </si>
  <si>
    <t>PROD556</t>
  </si>
  <si>
    <t xml:space="preserve"> $34.42 </t>
  </si>
  <si>
    <t>ORD5357</t>
  </si>
  <si>
    <t>CUST1357</t>
  </si>
  <si>
    <t>PROD557</t>
  </si>
  <si>
    <t>8/21/2021</t>
  </si>
  <si>
    <t>2/26/2022</t>
  </si>
  <si>
    <t xml:space="preserve"> $128.99 </t>
  </si>
  <si>
    <t>ORD5358</t>
  </si>
  <si>
    <t>CUST1358</t>
  </si>
  <si>
    <t>PROD558</t>
  </si>
  <si>
    <t xml:space="preserve"> $148.19 </t>
  </si>
  <si>
    <t>ORD5359</t>
  </si>
  <si>
    <t>CUST1359</t>
  </si>
  <si>
    <t>PROD559</t>
  </si>
  <si>
    <t>12/21/2021</t>
  </si>
  <si>
    <t xml:space="preserve"> $343.33 </t>
  </si>
  <si>
    <t>ORD5360</t>
  </si>
  <si>
    <t>CUST1360</t>
  </si>
  <si>
    <t>PROD560</t>
  </si>
  <si>
    <t>7/31/2024</t>
  </si>
  <si>
    <t>6/29/2024</t>
  </si>
  <si>
    <t xml:space="preserve"> $146.28 </t>
  </si>
  <si>
    <t>ORD5361</t>
  </si>
  <si>
    <t>CUST1361</t>
  </si>
  <si>
    <t>PROD561</t>
  </si>
  <si>
    <t xml:space="preserve"> $165.06 </t>
  </si>
  <si>
    <t>ORD5362</t>
  </si>
  <si>
    <t>CUST1362</t>
  </si>
  <si>
    <t>PROD562</t>
  </si>
  <si>
    <t>10/24/2021</t>
  </si>
  <si>
    <t xml:space="preserve"> $222.30 </t>
  </si>
  <si>
    <t>ORD5363</t>
  </si>
  <si>
    <t>CUST1363</t>
  </si>
  <si>
    <t>PROD563</t>
  </si>
  <si>
    <t>10/21/2023</t>
  </si>
  <si>
    <t xml:space="preserve"> $662.89 </t>
  </si>
  <si>
    <t>ORD5364</t>
  </si>
  <si>
    <t>CUST1364</t>
  </si>
  <si>
    <t>PROD564</t>
  </si>
  <si>
    <t>10/23/2020</t>
  </si>
  <si>
    <t>1/29/2021</t>
  </si>
  <si>
    <t xml:space="preserve"> $134.18 </t>
  </si>
  <si>
    <t>ORD5365</t>
  </si>
  <si>
    <t>CUST1365</t>
  </si>
  <si>
    <t>PROD565</t>
  </si>
  <si>
    <t>10/15/2022</t>
  </si>
  <si>
    <t>1/29/2024</t>
  </si>
  <si>
    <t xml:space="preserve"> $57.06 </t>
  </si>
  <si>
    <t>ORD5366</t>
  </si>
  <si>
    <t>CUST1366</t>
  </si>
  <si>
    <t>PROD566</t>
  </si>
  <si>
    <t>2/22/2022</t>
  </si>
  <si>
    <t>10/20/2023</t>
  </si>
  <si>
    <t xml:space="preserve"> $668.04 </t>
  </si>
  <si>
    <t>ORD5367</t>
  </si>
  <si>
    <t>CUST1367</t>
  </si>
  <si>
    <t>PROD567</t>
  </si>
  <si>
    <t>4/28/2024</t>
  </si>
  <si>
    <t xml:space="preserve"> $348.12 </t>
  </si>
  <si>
    <t>ORD5368</t>
  </si>
  <si>
    <t>CUST1368</t>
  </si>
  <si>
    <t>PROD568</t>
  </si>
  <si>
    <t>6/27/2025</t>
  </si>
  <si>
    <t xml:space="preserve"> $76.13 </t>
  </si>
  <si>
    <t>ORD5369</t>
  </si>
  <si>
    <t>CUST1369</t>
  </si>
  <si>
    <t>PROD569</t>
  </si>
  <si>
    <t>4/18/2023</t>
  </si>
  <si>
    <t xml:space="preserve"> $89.75 </t>
  </si>
  <si>
    <t>ORD5370</t>
  </si>
  <si>
    <t>CUST1370</t>
  </si>
  <si>
    <t>PROD570</t>
  </si>
  <si>
    <t>9/30/2021</t>
  </si>
  <si>
    <t>9/23/2024</t>
  </si>
  <si>
    <t xml:space="preserve"> $390.53 </t>
  </si>
  <si>
    <t>ORD5371</t>
  </si>
  <si>
    <t>CUST1371</t>
  </si>
  <si>
    <t>PROD571</t>
  </si>
  <si>
    <t>1/19/2023</t>
  </si>
  <si>
    <t xml:space="preserve"> $725.84 </t>
  </si>
  <si>
    <t>ORD5372</t>
  </si>
  <si>
    <t>CUST1372</t>
  </si>
  <si>
    <t>PROD572</t>
  </si>
  <si>
    <t>10/18/2022</t>
  </si>
  <si>
    <t xml:space="preserve"> $604.52 </t>
  </si>
  <si>
    <t>ORD5373</t>
  </si>
  <si>
    <t>CUST1373</t>
  </si>
  <si>
    <t>PROD573</t>
  </si>
  <si>
    <t>4/23/2024</t>
  </si>
  <si>
    <t>1/28/2025</t>
  </si>
  <si>
    <t xml:space="preserve"> $316.46 </t>
  </si>
  <si>
    <t>ORD5374</t>
  </si>
  <si>
    <t>CUST1374</t>
  </si>
  <si>
    <t>PROD574</t>
  </si>
  <si>
    <t xml:space="preserve"> $75.21 </t>
  </si>
  <si>
    <t>ORD5375</t>
  </si>
  <si>
    <t>CUST1375</t>
  </si>
  <si>
    <t>PROD575</t>
  </si>
  <si>
    <t>3/23/2024</t>
  </si>
  <si>
    <t xml:space="preserve"> $399.54 </t>
  </si>
  <si>
    <t>ORD5376</t>
  </si>
  <si>
    <t>CUST1376</t>
  </si>
  <si>
    <t>PROD576</t>
  </si>
  <si>
    <t>4/13/2022</t>
  </si>
  <si>
    <t xml:space="preserve"> $12.03 </t>
  </si>
  <si>
    <t>ORD5377</t>
  </si>
  <si>
    <t>CUST1377</t>
  </si>
  <si>
    <t>PROD577</t>
  </si>
  <si>
    <t xml:space="preserve"> $54.72 </t>
  </si>
  <si>
    <t>ORD5378</t>
  </si>
  <si>
    <t>CUST1378</t>
  </si>
  <si>
    <t>PROD578</t>
  </si>
  <si>
    <t xml:space="preserve"> $122.74 </t>
  </si>
  <si>
    <t>ORD5379</t>
  </si>
  <si>
    <t>CUST1379</t>
  </si>
  <si>
    <t>PROD579</t>
  </si>
  <si>
    <t xml:space="preserve"> $23.70 </t>
  </si>
  <si>
    <t>ORD5380</t>
  </si>
  <si>
    <t>CUST1380</t>
  </si>
  <si>
    <t>PROD580</t>
  </si>
  <si>
    <t>1/19/2025</t>
  </si>
  <si>
    <t xml:space="preserve"> $181.50 </t>
  </si>
  <si>
    <t>ORD5381</t>
  </si>
  <si>
    <t>CUST1381</t>
  </si>
  <si>
    <t>PROD581</t>
  </si>
  <si>
    <t xml:space="preserve"> $195.60 </t>
  </si>
  <si>
    <t>ORD5382</t>
  </si>
  <si>
    <t>CUST1382</t>
  </si>
  <si>
    <t>PROD582</t>
  </si>
  <si>
    <t xml:space="preserve"> $107.92 </t>
  </si>
  <si>
    <t>ORD5383</t>
  </si>
  <si>
    <t>CUST1383</t>
  </si>
  <si>
    <t>PROD583</t>
  </si>
  <si>
    <t xml:space="preserve"> $577.66 </t>
  </si>
  <si>
    <t>ORD5384</t>
  </si>
  <si>
    <t>CUST1384</t>
  </si>
  <si>
    <t>PROD584</t>
  </si>
  <si>
    <t>5/18/2022</t>
  </si>
  <si>
    <t xml:space="preserve"> $81.15 </t>
  </si>
  <si>
    <t>ORD5385</t>
  </si>
  <si>
    <t>CUST1385</t>
  </si>
  <si>
    <t>PROD585</t>
  </si>
  <si>
    <t xml:space="preserve"> $68.54 </t>
  </si>
  <si>
    <t>ORD5386</t>
  </si>
  <si>
    <t>CUST1386</t>
  </si>
  <si>
    <t>PROD586</t>
  </si>
  <si>
    <t>10/27/2022</t>
  </si>
  <si>
    <t>2/13/2024</t>
  </si>
  <si>
    <t xml:space="preserve"> $193.43 </t>
  </si>
  <si>
    <t>ORD5387</t>
  </si>
  <si>
    <t>CUST1387</t>
  </si>
  <si>
    <t>PROD587</t>
  </si>
  <si>
    <t>1/18/2022</t>
  </si>
  <si>
    <t>1/22/2022</t>
  </si>
  <si>
    <t xml:space="preserve"> $276.70 </t>
  </si>
  <si>
    <t>ORD5388</t>
  </si>
  <si>
    <t>CUST1388</t>
  </si>
  <si>
    <t>PROD588</t>
  </si>
  <si>
    <t>3/30/2022</t>
  </si>
  <si>
    <t>6/13/2025</t>
  </si>
  <si>
    <t xml:space="preserve"> $51.83 </t>
  </si>
  <si>
    <t>ORD5389</t>
  </si>
  <si>
    <t>CUST1389</t>
  </si>
  <si>
    <t>PROD589</t>
  </si>
  <si>
    <t>12/16/2020</t>
  </si>
  <si>
    <t xml:space="preserve"> $133.73 </t>
  </si>
  <si>
    <t>ORD5390</t>
  </si>
  <si>
    <t>CUST1390</t>
  </si>
  <si>
    <t>PROD590</t>
  </si>
  <si>
    <t xml:space="preserve"> $52.44 </t>
  </si>
  <si>
    <t>ORD5391</t>
  </si>
  <si>
    <t>CUST1391</t>
  </si>
  <si>
    <t>PROD591</t>
  </si>
  <si>
    <t>7/30/2021</t>
  </si>
  <si>
    <t xml:space="preserve"> $1,499.71 </t>
  </si>
  <si>
    <t>ORD5392</t>
  </si>
  <si>
    <t>CUST1392</t>
  </si>
  <si>
    <t>PROD592</t>
  </si>
  <si>
    <t xml:space="preserve"> $562.84 </t>
  </si>
  <si>
    <t>ORD5393</t>
  </si>
  <si>
    <t>CUST1393</t>
  </si>
  <si>
    <t>PROD593</t>
  </si>
  <si>
    <t xml:space="preserve"> $1,366.86 </t>
  </si>
  <si>
    <t>ORD5394</t>
  </si>
  <si>
    <t>CUST1394</t>
  </si>
  <si>
    <t>PROD594</t>
  </si>
  <si>
    <t>5/14/2022</t>
  </si>
  <si>
    <t>5/27/2025</t>
  </si>
  <si>
    <t xml:space="preserve"> $290.28 </t>
  </si>
  <si>
    <t>ORD5395</t>
  </si>
  <si>
    <t>CUST1395</t>
  </si>
  <si>
    <t>PROD595</t>
  </si>
  <si>
    <t>9/29/2022</t>
  </si>
  <si>
    <t>7/31/2023</t>
  </si>
  <si>
    <t xml:space="preserve"> $134.53 </t>
  </si>
  <si>
    <t>ORD5396</t>
  </si>
  <si>
    <t>CUST1396</t>
  </si>
  <si>
    <t>PROD596</t>
  </si>
  <si>
    <t>1/25/2021</t>
  </si>
  <si>
    <t xml:space="preserve"> $434.16 </t>
  </si>
  <si>
    <t>ORD5397</t>
  </si>
  <si>
    <t>CUST1397</t>
  </si>
  <si>
    <t>PROD597</t>
  </si>
  <si>
    <t>9/24/2022</t>
  </si>
  <si>
    <t>2/24/2024</t>
  </si>
  <si>
    <t xml:space="preserve"> $44.89 </t>
  </si>
  <si>
    <t>ORD5398</t>
  </si>
  <si>
    <t>CUST1398</t>
  </si>
  <si>
    <t>PROD598</t>
  </si>
  <si>
    <t>7/14/2021</t>
  </si>
  <si>
    <t>3/25/2025</t>
  </si>
  <si>
    <t>3/27/2022</t>
  </si>
  <si>
    <t xml:space="preserve"> $158.19 </t>
  </si>
  <si>
    <t>ORD5399</t>
  </si>
  <si>
    <t>CUST1399</t>
  </si>
  <si>
    <t>PROD599</t>
  </si>
  <si>
    <t>12/16/2023</t>
  </si>
  <si>
    <t xml:space="preserve"> $130.46 </t>
  </si>
  <si>
    <t>ORD5400</t>
  </si>
  <si>
    <t>CUST1400</t>
  </si>
  <si>
    <t>PROD600</t>
  </si>
  <si>
    <t>8/14/2024</t>
  </si>
  <si>
    <t xml:space="preserve"> $90.50 </t>
  </si>
  <si>
    <t>ORD5401</t>
  </si>
  <si>
    <t>CUST1401</t>
  </si>
  <si>
    <t>PROD601</t>
  </si>
  <si>
    <t>2/22/2024</t>
  </si>
  <si>
    <t xml:space="preserve"> $132.55 </t>
  </si>
  <si>
    <t>ORD5402</t>
  </si>
  <si>
    <t>CUST1402</t>
  </si>
  <si>
    <t>PROD602</t>
  </si>
  <si>
    <t xml:space="preserve"> $315.00 </t>
  </si>
  <si>
    <t>ORD5403</t>
  </si>
  <si>
    <t>CUST1403</t>
  </si>
  <si>
    <t>PROD603</t>
  </si>
  <si>
    <t>3/15/2022</t>
  </si>
  <si>
    <t xml:space="preserve"> $19.50 </t>
  </si>
  <si>
    <t>ORD5404</t>
  </si>
  <si>
    <t>CUST1404</t>
  </si>
  <si>
    <t>PROD604</t>
  </si>
  <si>
    <t xml:space="preserve"> $74.49 </t>
  </si>
  <si>
    <t>ORD5405</t>
  </si>
  <si>
    <t>CUST1405</t>
  </si>
  <si>
    <t>PROD605</t>
  </si>
  <si>
    <t xml:space="preserve"> $539.41 </t>
  </si>
  <si>
    <t>ORD5406</t>
  </si>
  <si>
    <t>CUST1406</t>
  </si>
  <si>
    <t>PROD606</t>
  </si>
  <si>
    <t xml:space="preserve"> $101.02 </t>
  </si>
  <si>
    <t>ORD5407</t>
  </si>
  <si>
    <t>CUST1407</t>
  </si>
  <si>
    <t>PROD607</t>
  </si>
  <si>
    <t>8/23/2023</t>
  </si>
  <si>
    <t xml:space="preserve"> $1,263.80 </t>
  </si>
  <si>
    <t>ORD5408</t>
  </si>
  <si>
    <t>CUST1408</t>
  </si>
  <si>
    <t>PROD608</t>
  </si>
  <si>
    <t xml:space="preserve"> $643.24 </t>
  </si>
  <si>
    <t>ORD5409</t>
  </si>
  <si>
    <t>CUST1409</t>
  </si>
  <si>
    <t>PROD609</t>
  </si>
  <si>
    <t>5/31/2023</t>
  </si>
  <si>
    <t xml:space="preserve"> $217.29 </t>
  </si>
  <si>
    <t>ORD5410</t>
  </si>
  <si>
    <t>CUST1410</t>
  </si>
  <si>
    <t>PROD610</t>
  </si>
  <si>
    <t>6/27/2022</t>
  </si>
  <si>
    <t xml:space="preserve"> $94.79 </t>
  </si>
  <si>
    <t>ORD5411</t>
  </si>
  <si>
    <t>CUST1411</t>
  </si>
  <si>
    <t>PROD611</t>
  </si>
  <si>
    <t xml:space="preserve"> $305.80 </t>
  </si>
  <si>
    <t>ORD5412</t>
  </si>
  <si>
    <t>CUST1412</t>
  </si>
  <si>
    <t>PROD612</t>
  </si>
  <si>
    <t xml:space="preserve"> $41.08 </t>
  </si>
  <si>
    <t>ORD5413</t>
  </si>
  <si>
    <t>CUST1413</t>
  </si>
  <si>
    <t>PROD613</t>
  </si>
  <si>
    <t>3/23/2023</t>
  </si>
  <si>
    <t xml:space="preserve"> $155.84 </t>
  </si>
  <si>
    <t>ORD5414</t>
  </si>
  <si>
    <t>CUST1414</t>
  </si>
  <si>
    <t>PROD614</t>
  </si>
  <si>
    <t>10/25/2024</t>
  </si>
  <si>
    <t>3/17/2025</t>
  </si>
  <si>
    <t xml:space="preserve"> $410.16 </t>
  </si>
  <si>
    <t>ORD5415</t>
  </si>
  <si>
    <t>CUST1415</t>
  </si>
  <si>
    <t>PROD615</t>
  </si>
  <si>
    <t xml:space="preserve"> $350.48 </t>
  </si>
  <si>
    <t>ORD5416</t>
  </si>
  <si>
    <t>CUST1416</t>
  </si>
  <si>
    <t>PROD616</t>
  </si>
  <si>
    <t xml:space="preserve"> $216.64 </t>
  </si>
  <si>
    <t>ORD5417</t>
  </si>
  <si>
    <t>CUST1417</t>
  </si>
  <si>
    <t>PROD617</t>
  </si>
  <si>
    <t>6/15/2021</t>
  </si>
  <si>
    <t>3/13/2024</t>
  </si>
  <si>
    <t xml:space="preserve"> $75.20 </t>
  </si>
  <si>
    <t>ORD5418</t>
  </si>
  <si>
    <t>CUST1418</t>
  </si>
  <si>
    <t>PROD618</t>
  </si>
  <si>
    <t xml:space="preserve"> $17.09 </t>
  </si>
  <si>
    <t>ORD5419</t>
  </si>
  <si>
    <t>CUST1419</t>
  </si>
  <si>
    <t>PROD619</t>
  </si>
  <si>
    <t>12/17/2023</t>
  </si>
  <si>
    <t xml:space="preserve"> $4.22 </t>
  </si>
  <si>
    <t>ORD5420</t>
  </si>
  <si>
    <t>CUST1420</t>
  </si>
  <si>
    <t>PROD620</t>
  </si>
  <si>
    <t xml:space="preserve"> $89.67 </t>
  </si>
  <si>
    <t>ORD5421</t>
  </si>
  <si>
    <t>CUST1421</t>
  </si>
  <si>
    <t>PROD621</t>
  </si>
  <si>
    <t>1/16/2025</t>
  </si>
  <si>
    <t xml:space="preserve"> $57.72 </t>
  </si>
  <si>
    <t>ORD5422</t>
  </si>
  <si>
    <t>CUST1422</t>
  </si>
  <si>
    <t>PROD622</t>
  </si>
  <si>
    <t>9/26/2024</t>
  </si>
  <si>
    <t xml:space="preserve"> $288.26 </t>
  </si>
  <si>
    <t>ORD5423</t>
  </si>
  <si>
    <t>CUST1423</t>
  </si>
  <si>
    <t>PROD623</t>
  </si>
  <si>
    <t>2/20/2025</t>
  </si>
  <si>
    <t xml:space="preserve"> $37.13 </t>
  </si>
  <si>
    <t>ORD5424</t>
  </si>
  <si>
    <t>CUST1424</t>
  </si>
  <si>
    <t>PROD624</t>
  </si>
  <si>
    <t>11/30/2022</t>
  </si>
  <si>
    <t xml:space="preserve"> $1,799.69 </t>
  </si>
  <si>
    <t>ORD5425</t>
  </si>
  <si>
    <t>CUST1425</t>
  </si>
  <si>
    <t>PROD625</t>
  </si>
  <si>
    <t>6/27/2023</t>
  </si>
  <si>
    <t>12/19/2023</t>
  </si>
  <si>
    <t>7/17/2024</t>
  </si>
  <si>
    <t xml:space="preserve"> $367.19 </t>
  </si>
  <si>
    <t>ORD5426</t>
  </si>
  <si>
    <t>CUST1426</t>
  </si>
  <si>
    <t>PROD626</t>
  </si>
  <si>
    <t xml:space="preserve"> $174.10 </t>
  </si>
  <si>
    <t>ORD5427</t>
  </si>
  <si>
    <t>CUST1427</t>
  </si>
  <si>
    <t>PROD627</t>
  </si>
  <si>
    <t>12/22/2024</t>
  </si>
  <si>
    <t xml:space="preserve"> $208.23 </t>
  </si>
  <si>
    <t>ORD5428</t>
  </si>
  <si>
    <t>CUST1428</t>
  </si>
  <si>
    <t>PROD628</t>
  </si>
  <si>
    <t>1/17/2025</t>
  </si>
  <si>
    <t>5/22/2023</t>
  </si>
  <si>
    <t xml:space="preserve"> $106.21 </t>
  </si>
  <si>
    <t>ORD5429</t>
  </si>
  <si>
    <t>CUST1429</t>
  </si>
  <si>
    <t>PROD629</t>
  </si>
  <si>
    <t>11/13/2023</t>
  </si>
  <si>
    <t xml:space="preserve"> $93.51 </t>
  </si>
  <si>
    <t>ORD5430</t>
  </si>
  <si>
    <t>CUST1430</t>
  </si>
  <si>
    <t>PROD630</t>
  </si>
  <si>
    <t>1/16/2021</t>
  </si>
  <si>
    <t xml:space="preserve"> $409.61 </t>
  </si>
  <si>
    <t>ORD5431</t>
  </si>
  <si>
    <t>CUST1431</t>
  </si>
  <si>
    <t>PROD631</t>
  </si>
  <si>
    <t xml:space="preserve"> $397.50 </t>
  </si>
  <si>
    <t>ORD5432</t>
  </si>
  <si>
    <t>CUST1432</t>
  </si>
  <si>
    <t>PROD632</t>
  </si>
  <si>
    <t>12/21/2022</t>
  </si>
  <si>
    <t xml:space="preserve"> $65.33 </t>
  </si>
  <si>
    <t>ORD5433</t>
  </si>
  <si>
    <t>CUST1433</t>
  </si>
  <si>
    <t>PROD633</t>
  </si>
  <si>
    <t xml:space="preserve"> $83.72 </t>
  </si>
  <si>
    <t>ORD5434</t>
  </si>
  <si>
    <t>CUST1434</t>
  </si>
  <si>
    <t>PROD634</t>
  </si>
  <si>
    <t>4/28/2023</t>
  </si>
  <si>
    <t xml:space="preserve"> $368.73 </t>
  </si>
  <si>
    <t>ORD5435</t>
  </si>
  <si>
    <t>CUST1435</t>
  </si>
  <si>
    <t>PROD635</t>
  </si>
  <si>
    <t>7/26/2021</t>
  </si>
  <si>
    <t>11/26/2023</t>
  </si>
  <si>
    <t xml:space="preserve"> $148.77 </t>
  </si>
  <si>
    <t>ORD5436</t>
  </si>
  <si>
    <t>CUST1436</t>
  </si>
  <si>
    <t>PROD636</t>
  </si>
  <si>
    <t>7/24/2022</t>
  </si>
  <si>
    <t xml:space="preserve"> $302.58 </t>
  </si>
  <si>
    <t>ORD5437</t>
  </si>
  <si>
    <t>CUST1437</t>
  </si>
  <si>
    <t>PROD637</t>
  </si>
  <si>
    <t xml:space="preserve"> $34.76 </t>
  </si>
  <si>
    <t>ORD5438</t>
  </si>
  <si>
    <t>CUST1438</t>
  </si>
  <si>
    <t>PROD638</t>
  </si>
  <si>
    <t xml:space="preserve"> $347.58 </t>
  </si>
  <si>
    <t>ORD5439</t>
  </si>
  <si>
    <t>CUST1439</t>
  </si>
  <si>
    <t>PROD639</t>
  </si>
  <si>
    <t>7/25/2025</t>
  </si>
  <si>
    <t xml:space="preserve"> $43.74 </t>
  </si>
  <si>
    <t>ORD5440</t>
  </si>
  <si>
    <t>CUST1440</t>
  </si>
  <si>
    <t>PROD640</t>
  </si>
  <si>
    <t xml:space="preserve"> $123.64 </t>
  </si>
  <si>
    <t>ORD5441</t>
  </si>
  <si>
    <t>CUST1441</t>
  </si>
  <si>
    <t>PROD641</t>
  </si>
  <si>
    <t>2/13/2022</t>
  </si>
  <si>
    <t>11/17/2023</t>
  </si>
  <si>
    <t xml:space="preserve"> $96.80 </t>
  </si>
  <si>
    <t>ORD5442</t>
  </si>
  <si>
    <t>CUST1442</t>
  </si>
  <si>
    <t>PROD642</t>
  </si>
  <si>
    <t>10/30/2020</t>
  </si>
  <si>
    <t xml:space="preserve"> $64.18 </t>
  </si>
  <si>
    <t>ORD5443</t>
  </si>
  <si>
    <t>CUST1443</t>
  </si>
  <si>
    <t>PROD643</t>
  </si>
  <si>
    <t>12/27/2023</t>
  </si>
  <si>
    <t xml:space="preserve"> $1,409.68 </t>
  </si>
  <si>
    <t>ORD5444</t>
  </si>
  <si>
    <t>CUST1444</t>
  </si>
  <si>
    <t>PROD644</t>
  </si>
  <si>
    <t>9/18/2024</t>
  </si>
  <si>
    <t xml:space="preserve"> $276.06 </t>
  </si>
  <si>
    <t>ORD5445</t>
  </si>
  <si>
    <t>CUST1445</t>
  </si>
  <si>
    <t>PROD645</t>
  </si>
  <si>
    <t xml:space="preserve"> $104.88 </t>
  </si>
  <si>
    <t>ORD5446</t>
  </si>
  <si>
    <t>CUST1446</t>
  </si>
  <si>
    <t>PROD646</t>
  </si>
  <si>
    <t>6/20/2024</t>
  </si>
  <si>
    <t xml:space="preserve"> $552.26 </t>
  </si>
  <si>
    <t>ORD5447</t>
  </si>
  <si>
    <t>CUST1447</t>
  </si>
  <si>
    <t>PROD647</t>
  </si>
  <si>
    <t xml:space="preserve"> $1,510.04 </t>
  </si>
  <si>
    <t>ORD5448</t>
  </si>
  <si>
    <t>CUST1448</t>
  </si>
  <si>
    <t>PROD648</t>
  </si>
  <si>
    <t>12/13/2020</t>
  </si>
  <si>
    <t xml:space="preserve"> $300.19 </t>
  </si>
  <si>
    <t>ORD5449</t>
  </si>
  <si>
    <t>CUST1449</t>
  </si>
  <si>
    <t>PROD649</t>
  </si>
  <si>
    <t>4/30/2021</t>
  </si>
  <si>
    <t>10/26/2021</t>
  </si>
  <si>
    <t xml:space="preserve"> $90.89 </t>
  </si>
  <si>
    <t>ORD5450</t>
  </si>
  <si>
    <t>CUST1450</t>
  </si>
  <si>
    <t>PROD650</t>
  </si>
  <si>
    <t xml:space="preserve"> $260.15 </t>
  </si>
  <si>
    <t>ORD5451</t>
  </si>
  <si>
    <t>CUST1451</t>
  </si>
  <si>
    <t>PROD651</t>
  </si>
  <si>
    <t>10/21/2024</t>
  </si>
  <si>
    <t xml:space="preserve"> $38.72 </t>
  </si>
  <si>
    <t>ORD5452</t>
  </si>
  <si>
    <t>CUST1452</t>
  </si>
  <si>
    <t>PROD652</t>
  </si>
  <si>
    <t>2/20/2021</t>
  </si>
  <si>
    <t>8/25/2022</t>
  </si>
  <si>
    <t>9/25/2023</t>
  </si>
  <si>
    <t xml:space="preserve"> $178.02 </t>
  </si>
  <si>
    <t>ORD5453</t>
  </si>
  <si>
    <t>CUST1453</t>
  </si>
  <si>
    <t>PROD653</t>
  </si>
  <si>
    <t xml:space="preserve"> $388.51 </t>
  </si>
  <si>
    <t>ORD5454</t>
  </si>
  <si>
    <t>CUST1454</t>
  </si>
  <si>
    <t>PROD654</t>
  </si>
  <si>
    <t xml:space="preserve"> $191.94 </t>
  </si>
  <si>
    <t>ORD5455</t>
  </si>
  <si>
    <t>CUST1455</t>
  </si>
  <si>
    <t>PROD655</t>
  </si>
  <si>
    <t>8/31/2024</t>
  </si>
  <si>
    <t xml:space="preserve"> $48.20 </t>
  </si>
  <si>
    <t>ORD5456</t>
  </si>
  <si>
    <t>CUST1456</t>
  </si>
  <si>
    <t>PROD656</t>
  </si>
  <si>
    <t xml:space="preserve"> $25.98 </t>
  </si>
  <si>
    <t>ORD5457</t>
  </si>
  <si>
    <t>CUST1457</t>
  </si>
  <si>
    <t>PROD657</t>
  </si>
  <si>
    <t xml:space="preserve"> $391.53 </t>
  </si>
  <si>
    <t>ORD5458</t>
  </si>
  <si>
    <t>CUST1458</t>
  </si>
  <si>
    <t>PROD658</t>
  </si>
  <si>
    <t>4/29/2025</t>
  </si>
  <si>
    <t xml:space="preserve"> $455.29 </t>
  </si>
  <si>
    <t>ORD5459</t>
  </si>
  <si>
    <t>CUST1459</t>
  </si>
  <si>
    <t>PROD659</t>
  </si>
  <si>
    <t>8/21/2022</t>
  </si>
  <si>
    <t xml:space="preserve"> $1,137.99 </t>
  </si>
  <si>
    <t>ORD5460</t>
  </si>
  <si>
    <t>CUST1460</t>
  </si>
  <si>
    <t>PROD660</t>
  </si>
  <si>
    <t>11/26/2022</t>
  </si>
  <si>
    <t>1/31/2024</t>
  </si>
  <si>
    <t xml:space="preserve"> $207.28 </t>
  </si>
  <si>
    <t>ORD5461</t>
  </si>
  <si>
    <t>CUST1461</t>
  </si>
  <si>
    <t>PROD661</t>
  </si>
  <si>
    <t xml:space="preserve"> $324.54 </t>
  </si>
  <si>
    <t>ORD5462</t>
  </si>
  <si>
    <t>CUST1462</t>
  </si>
  <si>
    <t>PROD662</t>
  </si>
  <si>
    <t>11/24/2020</t>
  </si>
  <si>
    <t>2/22/2021</t>
  </si>
  <si>
    <t xml:space="preserve"> $206.15 </t>
  </si>
  <si>
    <t>ORD5463</t>
  </si>
  <si>
    <t>CUST1463</t>
  </si>
  <si>
    <t>PROD663</t>
  </si>
  <si>
    <t>3/14/2021</t>
  </si>
  <si>
    <t xml:space="preserve"> $1,493.98 </t>
  </si>
  <si>
    <t>ORD5464</t>
  </si>
  <si>
    <t>CUST1464</t>
  </si>
  <si>
    <t>PROD664</t>
  </si>
  <si>
    <t>1/16/2022</t>
  </si>
  <si>
    <t>4/16/2022</t>
  </si>
  <si>
    <t xml:space="preserve"> $553.36 </t>
  </si>
  <si>
    <t>ORD5465</t>
  </si>
  <si>
    <t>CUST1465</t>
  </si>
  <si>
    <t>PROD665</t>
  </si>
  <si>
    <t>10/13/2021</t>
  </si>
  <si>
    <t>3/20/2025</t>
  </si>
  <si>
    <t xml:space="preserve"> $178.28 </t>
  </si>
  <si>
    <t>ORD5466</t>
  </si>
  <si>
    <t>CUST1466</t>
  </si>
  <si>
    <t>PROD666</t>
  </si>
  <si>
    <t xml:space="preserve"> $638.11 </t>
  </si>
  <si>
    <t>ORD5467</t>
  </si>
  <si>
    <t>CUST1467</t>
  </si>
  <si>
    <t>PROD667</t>
  </si>
  <si>
    <t>8/18/2021</t>
  </si>
  <si>
    <t>6/25/2022</t>
  </si>
  <si>
    <t xml:space="preserve"> $225.32 </t>
  </si>
  <si>
    <t>ORD5468</t>
  </si>
  <si>
    <t>CUST1468</t>
  </si>
  <si>
    <t>PROD668</t>
  </si>
  <si>
    <t xml:space="preserve"> $133.50 </t>
  </si>
  <si>
    <t>ORD5469</t>
  </si>
  <si>
    <t>CUST1469</t>
  </si>
  <si>
    <t>PROD669</t>
  </si>
  <si>
    <t>8/29/2023</t>
  </si>
  <si>
    <t xml:space="preserve"> $213.51 </t>
  </si>
  <si>
    <t>ORD5470</t>
  </si>
  <si>
    <t>CUST1470</t>
  </si>
  <si>
    <t>PROD670</t>
  </si>
  <si>
    <t xml:space="preserve"> $185.37 </t>
  </si>
  <si>
    <t>ORD5471</t>
  </si>
  <si>
    <t>CUST1471</t>
  </si>
  <si>
    <t>PROD671</t>
  </si>
  <si>
    <t>4/20/2023</t>
  </si>
  <si>
    <t>6/22/2025</t>
  </si>
  <si>
    <t xml:space="preserve"> $87.80 </t>
  </si>
  <si>
    <t>ORD5472</t>
  </si>
  <si>
    <t>CUST1472</t>
  </si>
  <si>
    <t>PROD672</t>
  </si>
  <si>
    <t xml:space="preserve"> $97.78 </t>
  </si>
  <si>
    <t>ORD5473</t>
  </si>
  <si>
    <t>CUST1473</t>
  </si>
  <si>
    <t>PROD673</t>
  </si>
  <si>
    <t>7/18/2023</t>
  </si>
  <si>
    <t xml:space="preserve"> $197.60 </t>
  </si>
  <si>
    <t>ORD5474</t>
  </si>
  <si>
    <t>CUST1474</t>
  </si>
  <si>
    <t>PROD674</t>
  </si>
  <si>
    <t>1/31/2023</t>
  </si>
  <si>
    <t xml:space="preserve"> $532.09 </t>
  </si>
  <si>
    <t>ORD5475</t>
  </si>
  <si>
    <t>CUST1475</t>
  </si>
  <si>
    <t>PROD675</t>
  </si>
  <si>
    <t>3/30/2023</t>
  </si>
  <si>
    <t xml:space="preserve"> $196.12 </t>
  </si>
  <si>
    <t>ORD5476</t>
  </si>
  <si>
    <t>CUST1476</t>
  </si>
  <si>
    <t>PROD676</t>
  </si>
  <si>
    <t>5/20/2022</t>
  </si>
  <si>
    <t>9/20/2022</t>
  </si>
  <si>
    <t xml:space="preserve"> $313.86 </t>
  </si>
  <si>
    <t>ORD5477</t>
  </si>
  <si>
    <t>CUST1477</t>
  </si>
  <si>
    <t>PROD677</t>
  </si>
  <si>
    <t>9/17/2023</t>
  </si>
  <si>
    <t xml:space="preserve"> $417.52 </t>
  </si>
  <si>
    <t>ORD5478</t>
  </si>
  <si>
    <t>CUST1478</t>
  </si>
  <si>
    <t>PROD678</t>
  </si>
  <si>
    <t>11/29/2020</t>
  </si>
  <si>
    <t>1/22/2025</t>
  </si>
  <si>
    <t xml:space="preserve"> $124.76 </t>
  </si>
  <si>
    <t>ORD5479</t>
  </si>
  <si>
    <t>CUST1479</t>
  </si>
  <si>
    <t>PROD679</t>
  </si>
  <si>
    <t>10/16/2022</t>
  </si>
  <si>
    <t xml:space="preserve"> $90.21 </t>
  </si>
  <si>
    <t>ORD5480</t>
  </si>
  <si>
    <t>CUST1480</t>
  </si>
  <si>
    <t>PROD680</t>
  </si>
  <si>
    <t>7/23/2025</t>
  </si>
  <si>
    <t>1/14/2023</t>
  </si>
  <si>
    <t xml:space="preserve"> $277.47 </t>
  </si>
  <si>
    <t>ORD5481</t>
  </si>
  <si>
    <t>CUST1481</t>
  </si>
  <si>
    <t>PROD681</t>
  </si>
  <si>
    <t xml:space="preserve"> $132.87 </t>
  </si>
  <si>
    <t>ORD5482</t>
  </si>
  <si>
    <t>CUST1482</t>
  </si>
  <si>
    <t>PROD682</t>
  </si>
  <si>
    <t xml:space="preserve"> $132.82 </t>
  </si>
  <si>
    <t>ORD5483</t>
  </si>
  <si>
    <t>CUST1483</t>
  </si>
  <si>
    <t>PROD683</t>
  </si>
  <si>
    <t xml:space="preserve"> $554.08 </t>
  </si>
  <si>
    <t>ORD5484</t>
  </si>
  <si>
    <t>CUST1484</t>
  </si>
  <si>
    <t>PROD684</t>
  </si>
  <si>
    <t>3/24/2024</t>
  </si>
  <si>
    <t xml:space="preserve"> $190.43 </t>
  </si>
  <si>
    <t>ORD5485</t>
  </si>
  <si>
    <t>CUST1485</t>
  </si>
  <si>
    <t>PROD685</t>
  </si>
  <si>
    <t>4/19/2022</t>
  </si>
  <si>
    <t>5/21/2023</t>
  </si>
  <si>
    <t xml:space="preserve"> $228.34 </t>
  </si>
  <si>
    <t>ORD5486</t>
  </si>
  <si>
    <t>CUST1486</t>
  </si>
  <si>
    <t>PROD686</t>
  </si>
  <si>
    <t xml:space="preserve"> $975.01 </t>
  </si>
  <si>
    <t>ORD5487</t>
  </si>
  <si>
    <t>CUST1487</t>
  </si>
  <si>
    <t>PROD687</t>
  </si>
  <si>
    <t>6/26/2025</t>
  </si>
  <si>
    <t>3/15/2024</t>
  </si>
  <si>
    <t xml:space="preserve"> $62.15 </t>
  </si>
  <si>
    <t>ORD5488</t>
  </si>
  <si>
    <t>CUST1488</t>
  </si>
  <si>
    <t>PROD688</t>
  </si>
  <si>
    <t>11/27/2022</t>
  </si>
  <si>
    <t xml:space="preserve"> $537.56 </t>
  </si>
  <si>
    <t>ORD5489</t>
  </si>
  <si>
    <t>CUST1489</t>
  </si>
  <si>
    <t>PROD689</t>
  </si>
  <si>
    <t xml:space="preserve"> $472.65 </t>
  </si>
  <si>
    <t>ORD5490</t>
  </si>
  <si>
    <t>CUST1490</t>
  </si>
  <si>
    <t>PROD690</t>
  </si>
  <si>
    <t>1/28/2024</t>
  </si>
  <si>
    <t xml:space="preserve"> $109.16 </t>
  </si>
  <si>
    <t>ORD5491</t>
  </si>
  <si>
    <t>CUST1491</t>
  </si>
  <si>
    <t>PROD691</t>
  </si>
  <si>
    <t>1/14/2022</t>
  </si>
  <si>
    <t>12/23/2022</t>
  </si>
  <si>
    <t>1/23/2023</t>
  </si>
  <si>
    <t xml:space="preserve"> $261.49 </t>
  </si>
  <si>
    <t>ORD5492</t>
  </si>
  <si>
    <t>CUST1492</t>
  </si>
  <si>
    <t>PROD692</t>
  </si>
  <si>
    <t>3/25/2024</t>
  </si>
  <si>
    <t xml:space="preserve"> $69.48 </t>
  </si>
  <si>
    <t>ORD5493</t>
  </si>
  <si>
    <t>CUST1493</t>
  </si>
  <si>
    <t>PROD693</t>
  </si>
  <si>
    <t>7/22/2025</t>
  </si>
  <si>
    <t>2/22/2025</t>
  </si>
  <si>
    <t xml:space="preserve"> $1,481.71 </t>
  </si>
  <si>
    <t>ORD5494</t>
  </si>
  <si>
    <t>CUST1494</t>
  </si>
  <si>
    <t>PROD694</t>
  </si>
  <si>
    <t>10/13/2023</t>
  </si>
  <si>
    <t>3/29/2024</t>
  </si>
  <si>
    <t xml:space="preserve"> $189.21 </t>
  </si>
  <si>
    <t>ORD5495</t>
  </si>
  <si>
    <t>CUST1495</t>
  </si>
  <si>
    <t>PROD695</t>
  </si>
  <si>
    <t xml:space="preserve"> $271.14 </t>
  </si>
  <si>
    <t>ORD5496</t>
  </si>
  <si>
    <t>CUST1496</t>
  </si>
  <si>
    <t>PROD696</t>
  </si>
  <si>
    <t xml:space="preserve"> $396.81 </t>
  </si>
  <si>
    <t>ORD5497</t>
  </si>
  <si>
    <t>CUST1497</t>
  </si>
  <si>
    <t>PROD697</t>
  </si>
  <si>
    <t xml:space="preserve"> $836.76 </t>
  </si>
  <si>
    <t>ORD5498</t>
  </si>
  <si>
    <t>CUST1498</t>
  </si>
  <si>
    <t>PROD698</t>
  </si>
  <si>
    <t xml:space="preserve"> $71.96 </t>
  </si>
  <si>
    <t>ORD5499</t>
  </si>
  <si>
    <t>CUST1499</t>
  </si>
  <si>
    <t>PROD699</t>
  </si>
  <si>
    <t xml:space="preserve"> $1,601.28 </t>
  </si>
  <si>
    <t>ORD5500</t>
  </si>
  <si>
    <t>CUST1500</t>
  </si>
  <si>
    <t>PROD700</t>
  </si>
  <si>
    <t>2/24/2022</t>
  </si>
  <si>
    <t xml:space="preserve"> $582.99 </t>
  </si>
  <si>
    <t>ORD5501</t>
  </si>
  <si>
    <t>CUST1501</t>
  </si>
  <si>
    <t>PROD701</t>
  </si>
  <si>
    <t>5/22/2024</t>
  </si>
  <si>
    <t xml:space="preserve"> $307.14 </t>
  </si>
  <si>
    <t>ORD5502</t>
  </si>
  <si>
    <t>CUST1502</t>
  </si>
  <si>
    <t>PROD702</t>
  </si>
  <si>
    <t>3/24/2022</t>
  </si>
  <si>
    <t xml:space="preserve"> $193.22 </t>
  </si>
  <si>
    <t>ORD5503</t>
  </si>
  <si>
    <t>CUST1503</t>
  </si>
  <si>
    <t>PROD703</t>
  </si>
  <si>
    <t>5/25/2024</t>
  </si>
  <si>
    <t>4/27/2025</t>
  </si>
  <si>
    <t xml:space="preserve"> $996.56 </t>
  </si>
  <si>
    <t>ORD5504</t>
  </si>
  <si>
    <t>CUST1504</t>
  </si>
  <si>
    <t>PROD704</t>
  </si>
  <si>
    <t>3/29/2025</t>
  </si>
  <si>
    <t>6/16/2024</t>
  </si>
  <si>
    <t xml:space="preserve"> $965.67 </t>
  </si>
  <si>
    <t>ORD5505</t>
  </si>
  <si>
    <t>CUST1505</t>
  </si>
  <si>
    <t>PROD705</t>
  </si>
  <si>
    <t xml:space="preserve"> $134.86 </t>
  </si>
  <si>
    <t>ORD5506</t>
  </si>
  <si>
    <t>CUST1506</t>
  </si>
  <si>
    <t>PROD706</t>
  </si>
  <si>
    <t xml:space="preserve"> $59.06 </t>
  </si>
  <si>
    <t>ORD5507</t>
  </si>
  <si>
    <t>CUST1507</t>
  </si>
  <si>
    <t>PROD707</t>
  </si>
  <si>
    <t>3/30/2021</t>
  </si>
  <si>
    <t>7/26/2025</t>
  </si>
  <si>
    <t xml:space="preserve"> $163.78 </t>
  </si>
  <si>
    <t>ORD5508</t>
  </si>
  <si>
    <t>CUST1508</t>
  </si>
  <si>
    <t>PROD708</t>
  </si>
  <si>
    <t>4/24/2024</t>
  </si>
  <si>
    <t xml:space="preserve"> $204.26 </t>
  </si>
  <si>
    <t>ORD5509</t>
  </si>
  <si>
    <t>CUST1509</t>
  </si>
  <si>
    <t>PROD709</t>
  </si>
  <si>
    <t>6/17/2023</t>
  </si>
  <si>
    <t xml:space="preserve"> $162.05 </t>
  </si>
  <si>
    <t>ORD5510</t>
  </si>
  <si>
    <t>CUST1510</t>
  </si>
  <si>
    <t>PROD710</t>
  </si>
  <si>
    <t xml:space="preserve"> $124.82 </t>
  </si>
  <si>
    <t>ORD5511</t>
  </si>
  <si>
    <t>CUST1511</t>
  </si>
  <si>
    <t>PROD711</t>
  </si>
  <si>
    <t xml:space="preserve"> $81.49 </t>
  </si>
  <si>
    <t>ORD5512</t>
  </si>
  <si>
    <t>CUST1512</t>
  </si>
  <si>
    <t>PROD712</t>
  </si>
  <si>
    <t>5/22/2025</t>
  </si>
  <si>
    <t xml:space="preserve"> $36.04 </t>
  </si>
  <si>
    <t>ORD5513</t>
  </si>
  <si>
    <t>CUST1513</t>
  </si>
  <si>
    <t>PROD713</t>
  </si>
  <si>
    <t xml:space="preserve"> $243.55 </t>
  </si>
  <si>
    <t>ORD5514</t>
  </si>
  <si>
    <t>CUST1514</t>
  </si>
  <si>
    <t>PROD714</t>
  </si>
  <si>
    <t>3/18/2023</t>
  </si>
  <si>
    <t xml:space="preserve"> $428.54 </t>
  </si>
  <si>
    <t>ORD5515</t>
  </si>
  <si>
    <t>CUST1515</t>
  </si>
  <si>
    <t>PROD715</t>
  </si>
  <si>
    <t>5/25/2022</t>
  </si>
  <si>
    <t xml:space="preserve"> $234.67 </t>
  </si>
  <si>
    <t>ORD5516</t>
  </si>
  <si>
    <t>CUST1516</t>
  </si>
  <si>
    <t>PROD716</t>
  </si>
  <si>
    <t>7/18/2024</t>
  </si>
  <si>
    <t xml:space="preserve"> $142.25 </t>
  </si>
  <si>
    <t>ORD5517</t>
  </si>
  <si>
    <t>CUST1517</t>
  </si>
  <si>
    <t>PROD717</t>
  </si>
  <si>
    <t xml:space="preserve"> $116.18 </t>
  </si>
  <si>
    <t>ORD5518</t>
  </si>
  <si>
    <t>CUST1518</t>
  </si>
  <si>
    <t>PROD718</t>
  </si>
  <si>
    <t>7/16/2021</t>
  </si>
  <si>
    <t>8/17/2022</t>
  </si>
  <si>
    <t xml:space="preserve"> $321.74 </t>
  </si>
  <si>
    <t>ORD5519</t>
  </si>
  <si>
    <t>CUST1519</t>
  </si>
  <si>
    <t>PROD719</t>
  </si>
  <si>
    <t xml:space="preserve"> $266.97 </t>
  </si>
  <si>
    <t>ORD5520</t>
  </si>
  <si>
    <t>CUST1520</t>
  </si>
  <si>
    <t>PROD720</t>
  </si>
  <si>
    <t>9/30/2024</t>
  </si>
  <si>
    <t xml:space="preserve"> $283.96 </t>
  </si>
  <si>
    <t>ORD5521</t>
  </si>
  <si>
    <t>CUST1521</t>
  </si>
  <si>
    <t>PROD721</t>
  </si>
  <si>
    <t xml:space="preserve"> $382.28 </t>
  </si>
  <si>
    <t>ORD5522</t>
  </si>
  <si>
    <t>CUST1522</t>
  </si>
  <si>
    <t>PROD722</t>
  </si>
  <si>
    <t>6/30/2022</t>
  </si>
  <si>
    <t>5/27/2024</t>
  </si>
  <si>
    <t xml:space="preserve"> $217.42 </t>
  </si>
  <si>
    <t>ORD5523</t>
  </si>
  <si>
    <t>CUST1523</t>
  </si>
  <si>
    <t>PROD723</t>
  </si>
  <si>
    <t>11/18/2023</t>
  </si>
  <si>
    <t xml:space="preserve"> $57.75 </t>
  </si>
  <si>
    <t>ORD5524</t>
  </si>
  <si>
    <t>CUST1524</t>
  </si>
  <si>
    <t>PROD724</t>
  </si>
  <si>
    <t xml:space="preserve"> $256.45 </t>
  </si>
  <si>
    <t>ORD5525</t>
  </si>
  <si>
    <t>CUST1525</t>
  </si>
  <si>
    <t>PROD725</t>
  </si>
  <si>
    <t>9/18/2023</t>
  </si>
  <si>
    <t xml:space="preserve"> $300.55 </t>
  </si>
  <si>
    <t>ORD5526</t>
  </si>
  <si>
    <t>CUST1526</t>
  </si>
  <si>
    <t>PROD726</t>
  </si>
  <si>
    <t>12/17/2021</t>
  </si>
  <si>
    <t>7/14/2023</t>
  </si>
  <si>
    <t xml:space="preserve"> $75.60 </t>
  </si>
  <si>
    <t>ORD5527</t>
  </si>
  <si>
    <t>CUST1527</t>
  </si>
  <si>
    <t>PROD727</t>
  </si>
  <si>
    <t xml:space="preserve"> $1,582.47 </t>
  </si>
  <si>
    <t>ORD5528</t>
  </si>
  <si>
    <t>CUST1528</t>
  </si>
  <si>
    <t>PROD728</t>
  </si>
  <si>
    <t>8/29/2022</t>
  </si>
  <si>
    <t xml:space="preserve"> $199.61 </t>
  </si>
  <si>
    <t>ORD5529</t>
  </si>
  <si>
    <t>CUST1529</t>
  </si>
  <si>
    <t>PROD729</t>
  </si>
  <si>
    <t xml:space="preserve"> $75.76 </t>
  </si>
  <si>
    <t>ORD5530</t>
  </si>
  <si>
    <t>CUST1530</t>
  </si>
  <si>
    <t>PROD730</t>
  </si>
  <si>
    <t xml:space="preserve"> $169.33 </t>
  </si>
  <si>
    <t>ORD5531</t>
  </si>
  <si>
    <t>CUST1531</t>
  </si>
  <si>
    <t>PROD731</t>
  </si>
  <si>
    <t>8/14/2022</t>
  </si>
  <si>
    <t xml:space="preserve"> $279.79 </t>
  </si>
  <si>
    <t>ORD5532</t>
  </si>
  <si>
    <t>CUST1532</t>
  </si>
  <si>
    <t>PROD732</t>
  </si>
  <si>
    <t>8/18/2022</t>
  </si>
  <si>
    <t xml:space="preserve"> $18.93 </t>
  </si>
  <si>
    <t>ORD5533</t>
  </si>
  <si>
    <t>CUST1533</t>
  </si>
  <si>
    <t>PROD733</t>
  </si>
  <si>
    <t xml:space="preserve"> $147.55 </t>
  </si>
  <si>
    <t>ORD5534</t>
  </si>
  <si>
    <t>CUST1534</t>
  </si>
  <si>
    <t>PROD734</t>
  </si>
  <si>
    <t>1/21/2023</t>
  </si>
  <si>
    <t xml:space="preserve"> $82.68 </t>
  </si>
  <si>
    <t>ORD5535</t>
  </si>
  <si>
    <t>CUST1535</t>
  </si>
  <si>
    <t>PROD735</t>
  </si>
  <si>
    <t xml:space="preserve"> $178.63 </t>
  </si>
  <si>
    <t>ORD5536</t>
  </si>
  <si>
    <t>CUST1536</t>
  </si>
  <si>
    <t>PROD736</t>
  </si>
  <si>
    <t xml:space="preserve"> $22.44 </t>
  </si>
  <si>
    <t>ORD5537</t>
  </si>
  <si>
    <t>CUST1537</t>
  </si>
  <si>
    <t>PROD737</t>
  </si>
  <si>
    <t xml:space="preserve"> $443.38 </t>
  </si>
  <si>
    <t>ORD5538</t>
  </si>
  <si>
    <t>CUST1538</t>
  </si>
  <si>
    <t>PROD738</t>
  </si>
  <si>
    <t>6/30/2024</t>
  </si>
  <si>
    <t>ORD5539</t>
  </si>
  <si>
    <t>CUST1539</t>
  </si>
  <si>
    <t>PROD739</t>
  </si>
  <si>
    <t>2/13/2025</t>
  </si>
  <si>
    <t>6/27/2024</t>
  </si>
  <si>
    <t xml:space="preserve"> $440.91 </t>
  </si>
  <si>
    <t>ORD5540</t>
  </si>
  <si>
    <t>CUST1540</t>
  </si>
  <si>
    <t>PROD740</t>
  </si>
  <si>
    <t xml:space="preserve"> $944.82 </t>
  </si>
  <si>
    <t>ORD5541</t>
  </si>
  <si>
    <t>CUST1541</t>
  </si>
  <si>
    <t>PROD741</t>
  </si>
  <si>
    <t xml:space="preserve"> $892.74 </t>
  </si>
  <si>
    <t>ORD5542</t>
  </si>
  <si>
    <t>CUST1542</t>
  </si>
  <si>
    <t>PROD742</t>
  </si>
  <si>
    <t xml:space="preserve"> $589.28 </t>
  </si>
  <si>
    <t>ORD5543</t>
  </si>
  <si>
    <t>CUST1543</t>
  </si>
  <si>
    <t>PROD743</t>
  </si>
  <si>
    <t xml:space="preserve"> $233.33 </t>
  </si>
  <si>
    <t>ORD5544</t>
  </si>
  <si>
    <t>CUST1544</t>
  </si>
  <si>
    <t>PROD744</t>
  </si>
  <si>
    <t>6/25/2025</t>
  </si>
  <si>
    <t xml:space="preserve"> $168.05 </t>
  </si>
  <si>
    <t>ORD5545</t>
  </si>
  <si>
    <t>CUST1545</t>
  </si>
  <si>
    <t>PROD745</t>
  </si>
  <si>
    <t>2/24/2023</t>
  </si>
  <si>
    <t xml:space="preserve"> $227.34 </t>
  </si>
  <si>
    <t>ORD5546</t>
  </si>
  <si>
    <t>CUST1546</t>
  </si>
  <si>
    <t>PROD746</t>
  </si>
  <si>
    <t>12/26/2022</t>
  </si>
  <si>
    <t xml:space="preserve"> $164.42 </t>
  </si>
  <si>
    <t>ORD5547</t>
  </si>
  <si>
    <t>CUST1547</t>
  </si>
  <si>
    <t>PROD747</t>
  </si>
  <si>
    <t xml:space="preserve"> $577.99 </t>
  </si>
  <si>
    <t>ORD5548</t>
  </si>
  <si>
    <t>CUST1548</t>
  </si>
  <si>
    <t>PROD748</t>
  </si>
  <si>
    <t xml:space="preserve"> $293.23 </t>
  </si>
  <si>
    <t>ORD5549</t>
  </si>
  <si>
    <t>CUST1549</t>
  </si>
  <si>
    <t>PROD749</t>
  </si>
  <si>
    <t>1/24/2023</t>
  </si>
  <si>
    <t xml:space="preserve"> $188.99 </t>
  </si>
  <si>
    <t>ORD5550</t>
  </si>
  <si>
    <t>CUST1550</t>
  </si>
  <si>
    <t>PROD750</t>
  </si>
  <si>
    <t>4/13/2025</t>
  </si>
  <si>
    <t>6/21/2025</t>
  </si>
  <si>
    <t xml:space="preserve"> $904.56 </t>
  </si>
  <si>
    <t>ORD5551</t>
  </si>
  <si>
    <t>CUST1551</t>
  </si>
  <si>
    <t>PROD751</t>
  </si>
  <si>
    <t xml:space="preserve"> $1,220.25 </t>
  </si>
  <si>
    <t>ORD5552</t>
  </si>
  <si>
    <t>CUST1552</t>
  </si>
  <si>
    <t>PROD752</t>
  </si>
  <si>
    <t>12/16/2022</t>
  </si>
  <si>
    <t xml:space="preserve"> $34.17 </t>
  </si>
  <si>
    <t>ORD5553</t>
  </si>
  <si>
    <t>CUST1553</t>
  </si>
  <si>
    <t>PROD753</t>
  </si>
  <si>
    <t>8/30/2021</t>
  </si>
  <si>
    <t>6/19/2025</t>
  </si>
  <si>
    <t>10/24/2024</t>
  </si>
  <si>
    <t xml:space="preserve"> $152.91 </t>
  </si>
  <si>
    <t>ORD5554</t>
  </si>
  <si>
    <t>CUST1554</t>
  </si>
  <si>
    <t>PROD754</t>
  </si>
  <si>
    <t xml:space="preserve"> $28.96 </t>
  </si>
  <si>
    <t>ORD5555</t>
  </si>
  <si>
    <t>CUST1555</t>
  </si>
  <si>
    <t>PROD755</t>
  </si>
  <si>
    <t>12/28/2021</t>
  </si>
  <si>
    <t>2/23/2024</t>
  </si>
  <si>
    <t xml:space="preserve"> $167.97 </t>
  </si>
  <si>
    <t>ORD5556</t>
  </si>
  <si>
    <t>CUST1556</t>
  </si>
  <si>
    <t>PROD756</t>
  </si>
  <si>
    <t>10/20/2020</t>
  </si>
  <si>
    <t xml:space="preserve"> $329.43 </t>
  </si>
  <si>
    <t>ORD5557</t>
  </si>
  <si>
    <t>CUST1557</t>
  </si>
  <si>
    <t>PROD757</t>
  </si>
  <si>
    <t xml:space="preserve"> $1,543.19 </t>
  </si>
  <si>
    <t>ORD5558</t>
  </si>
  <si>
    <t>CUST1558</t>
  </si>
  <si>
    <t>PROD758</t>
  </si>
  <si>
    <t xml:space="preserve"> $524.51 </t>
  </si>
  <si>
    <t>ORD5559</t>
  </si>
  <si>
    <t>CUST1559</t>
  </si>
  <si>
    <t>PROD759</t>
  </si>
  <si>
    <t>5/20/2021</t>
  </si>
  <si>
    <t>7/31/2021</t>
  </si>
  <si>
    <t xml:space="preserve"> $342.38 </t>
  </si>
  <si>
    <t>ORD5560</t>
  </si>
  <si>
    <t>CUST1560</t>
  </si>
  <si>
    <t>PROD760</t>
  </si>
  <si>
    <t xml:space="preserve"> $164.78 </t>
  </si>
  <si>
    <t>ORD5561</t>
  </si>
  <si>
    <t>CUST1561</t>
  </si>
  <si>
    <t>PROD761</t>
  </si>
  <si>
    <t xml:space="preserve"> $159.26 </t>
  </si>
  <si>
    <t>ORD5562</t>
  </si>
  <si>
    <t>CUST1562</t>
  </si>
  <si>
    <t>PROD762</t>
  </si>
  <si>
    <t xml:space="preserve"> $33.22 </t>
  </si>
  <si>
    <t>ORD5563</t>
  </si>
  <si>
    <t>CUST1563</t>
  </si>
  <si>
    <t>PROD763</t>
  </si>
  <si>
    <t>12/22/2021</t>
  </si>
  <si>
    <t xml:space="preserve"> $1,815.34 </t>
  </si>
  <si>
    <t>ORD5564</t>
  </si>
  <si>
    <t>CUST1564</t>
  </si>
  <si>
    <t>PROD764</t>
  </si>
  <si>
    <t>8/22/2021</t>
  </si>
  <si>
    <t xml:space="preserve"> $17.00 </t>
  </si>
  <si>
    <t>ORD5565</t>
  </si>
  <si>
    <t>CUST1565</t>
  </si>
  <si>
    <t>PROD765</t>
  </si>
  <si>
    <t>5/13/2022</t>
  </si>
  <si>
    <t xml:space="preserve"> $108.08 </t>
  </si>
  <si>
    <t>ORD5566</t>
  </si>
  <si>
    <t>CUST1566</t>
  </si>
  <si>
    <t>PROD766</t>
  </si>
  <si>
    <t>2/23/2021</t>
  </si>
  <si>
    <t>6/15/2022</t>
  </si>
  <si>
    <t xml:space="preserve"> $18.44 </t>
  </si>
  <si>
    <t>ORD5567</t>
  </si>
  <si>
    <t>CUST1567</t>
  </si>
  <si>
    <t>PROD767</t>
  </si>
  <si>
    <t>10/25/2021</t>
  </si>
  <si>
    <t xml:space="preserve"> $330.36 </t>
  </si>
  <si>
    <t>ORD5568</t>
  </si>
  <si>
    <t>CUST1568</t>
  </si>
  <si>
    <t>PROD768</t>
  </si>
  <si>
    <t xml:space="preserve"> $138.99 </t>
  </si>
  <si>
    <t>ORD5569</t>
  </si>
  <si>
    <t>CUST1569</t>
  </si>
  <si>
    <t>PROD769</t>
  </si>
  <si>
    <t xml:space="preserve"> $45.15 </t>
  </si>
  <si>
    <t>ORD5570</t>
  </si>
  <si>
    <t>CUST1570</t>
  </si>
  <si>
    <t>PROD770</t>
  </si>
  <si>
    <t xml:space="preserve"> $266.24 </t>
  </si>
  <si>
    <t>ORD5571</t>
  </si>
  <si>
    <t>CUST1571</t>
  </si>
  <si>
    <t>PROD771</t>
  </si>
  <si>
    <t xml:space="preserve"> $127.91 </t>
  </si>
  <si>
    <t>ORD5572</t>
  </si>
  <si>
    <t>CUST1572</t>
  </si>
  <si>
    <t>PROD772</t>
  </si>
  <si>
    <t xml:space="preserve"> $49.35 </t>
  </si>
  <si>
    <t>ORD5573</t>
  </si>
  <si>
    <t>CUST1573</t>
  </si>
  <si>
    <t>PROD773</t>
  </si>
  <si>
    <t xml:space="preserve"> $12.69 </t>
  </si>
  <si>
    <t>ORD5574</t>
  </si>
  <si>
    <t>CUST1574</t>
  </si>
  <si>
    <t>PROD774</t>
  </si>
  <si>
    <t>12/16/2024</t>
  </si>
  <si>
    <t xml:space="preserve"> $55.16 </t>
  </si>
  <si>
    <t>ORD5575</t>
  </si>
  <si>
    <t>CUST1575</t>
  </si>
  <si>
    <t>PROD775</t>
  </si>
  <si>
    <t xml:space="preserve"> $228.64 </t>
  </si>
  <si>
    <t>ORD5576</t>
  </si>
  <si>
    <t>CUST1576</t>
  </si>
  <si>
    <t>PROD776</t>
  </si>
  <si>
    <t>4/16/2023</t>
  </si>
  <si>
    <t xml:space="preserve"> $554.17 </t>
  </si>
  <si>
    <t>ORD5577</t>
  </si>
  <si>
    <t>CUST1577</t>
  </si>
  <si>
    <t>PROD777</t>
  </si>
  <si>
    <t xml:space="preserve"> $559.72 </t>
  </si>
  <si>
    <t>ORD5578</t>
  </si>
  <si>
    <t>CUST1578</t>
  </si>
  <si>
    <t>PROD778</t>
  </si>
  <si>
    <t>8/13/2023</t>
  </si>
  <si>
    <t>7/16/2024</t>
  </si>
  <si>
    <t xml:space="preserve"> $319.61 </t>
  </si>
  <si>
    <t>ORD5579</t>
  </si>
  <si>
    <t>CUST1579</t>
  </si>
  <si>
    <t>PROD779</t>
  </si>
  <si>
    <t xml:space="preserve"> $71.54 </t>
  </si>
  <si>
    <t>ORD5580</t>
  </si>
  <si>
    <t>CUST1580</t>
  </si>
  <si>
    <t>PROD780</t>
  </si>
  <si>
    <t>4/17/2023</t>
  </si>
  <si>
    <t xml:space="preserve"> $36.79 </t>
  </si>
  <si>
    <t>ORD5581</t>
  </si>
  <si>
    <t>CUST1581</t>
  </si>
  <si>
    <t>PROD781</t>
  </si>
  <si>
    <t>5/23/2022</t>
  </si>
  <si>
    <t xml:space="preserve"> $1,276.55 </t>
  </si>
  <si>
    <t>ORD5582</t>
  </si>
  <si>
    <t>CUST1582</t>
  </si>
  <si>
    <t>PROD782</t>
  </si>
  <si>
    <t>3/26/2021</t>
  </si>
  <si>
    <t xml:space="preserve"> $683.35 </t>
  </si>
  <si>
    <t>ORD5583</t>
  </si>
  <si>
    <t>CUST1583</t>
  </si>
  <si>
    <t>PROD783</t>
  </si>
  <si>
    <t>2/21/2024</t>
  </si>
  <si>
    <t xml:space="preserve"> $137.79 </t>
  </si>
  <si>
    <t>ORD5584</t>
  </si>
  <si>
    <t>CUST1584</t>
  </si>
  <si>
    <t>PROD784</t>
  </si>
  <si>
    <t xml:space="preserve"> $309.26 </t>
  </si>
  <si>
    <t>ORD5585</t>
  </si>
  <si>
    <t>CUST1585</t>
  </si>
  <si>
    <t>PROD785</t>
  </si>
  <si>
    <t xml:space="preserve"> $43.08 </t>
  </si>
  <si>
    <t>ORD5586</t>
  </si>
  <si>
    <t>CUST1586</t>
  </si>
  <si>
    <t>PROD786</t>
  </si>
  <si>
    <t xml:space="preserve"> $659.12 </t>
  </si>
  <si>
    <t>ORD5587</t>
  </si>
  <si>
    <t>CUST1587</t>
  </si>
  <si>
    <t>PROD787</t>
  </si>
  <si>
    <t>6/13/2022</t>
  </si>
  <si>
    <t>11/20/2023</t>
  </si>
  <si>
    <t xml:space="preserve"> $177.67 </t>
  </si>
  <si>
    <t>ORD5588</t>
  </si>
  <si>
    <t>CUST1588</t>
  </si>
  <si>
    <t>PROD788</t>
  </si>
  <si>
    <t xml:space="preserve"> $215.02 </t>
  </si>
  <si>
    <t>ORD5589</t>
  </si>
  <si>
    <t>CUST1589</t>
  </si>
  <si>
    <t>PROD789</t>
  </si>
  <si>
    <t xml:space="preserve"> $978.50 </t>
  </si>
  <si>
    <t>ORD5590</t>
  </si>
  <si>
    <t>CUST1590</t>
  </si>
  <si>
    <t>PROD790</t>
  </si>
  <si>
    <t>4/27/2022</t>
  </si>
  <si>
    <t xml:space="preserve"> $180.39 </t>
  </si>
  <si>
    <t>ORD5591</t>
  </si>
  <si>
    <t>CUST1591</t>
  </si>
  <si>
    <t>PROD791</t>
  </si>
  <si>
    <t xml:space="preserve"> $275.98 </t>
  </si>
  <si>
    <t>ORD5592</t>
  </si>
  <si>
    <t>CUST1592</t>
  </si>
  <si>
    <t>PROD792</t>
  </si>
  <si>
    <t xml:space="preserve"> $105.63 </t>
  </si>
  <si>
    <t>ORD5593</t>
  </si>
  <si>
    <t>CUST1593</t>
  </si>
  <si>
    <t>PROD793</t>
  </si>
  <si>
    <t xml:space="preserve"> $427.02 </t>
  </si>
  <si>
    <t>ORD5594</t>
  </si>
  <si>
    <t>CUST1594</t>
  </si>
  <si>
    <t>PROD794</t>
  </si>
  <si>
    <t xml:space="preserve"> $93.14 </t>
  </si>
  <si>
    <t>ORD5595</t>
  </si>
  <si>
    <t>CUST1595</t>
  </si>
  <si>
    <t>PROD795</t>
  </si>
  <si>
    <t>9/20/2023</t>
  </si>
  <si>
    <t xml:space="preserve"> $58.61 </t>
  </si>
  <si>
    <t>ORD5596</t>
  </si>
  <si>
    <t>CUST1596</t>
  </si>
  <si>
    <t>PROD796</t>
  </si>
  <si>
    <t xml:space="preserve"> $261.37 </t>
  </si>
  <si>
    <t>ORD5597</t>
  </si>
  <si>
    <t>CUST1597</t>
  </si>
  <si>
    <t>PROD797</t>
  </si>
  <si>
    <t>1/26/2021</t>
  </si>
  <si>
    <t>1/28/2021</t>
  </si>
  <si>
    <t xml:space="preserve"> $697.60 </t>
  </si>
  <si>
    <t>ORD5598</t>
  </si>
  <si>
    <t>CUST1598</t>
  </si>
  <si>
    <t>PROD798</t>
  </si>
  <si>
    <t xml:space="preserve"> $612.55 </t>
  </si>
  <si>
    <t>ORD5599</t>
  </si>
  <si>
    <t>CUST1599</t>
  </si>
  <si>
    <t>PROD799</t>
  </si>
  <si>
    <t>6/23/2024</t>
  </si>
  <si>
    <t xml:space="preserve"> $150.44 </t>
  </si>
  <si>
    <t>ORD5600</t>
  </si>
  <si>
    <t>CUST1600</t>
  </si>
  <si>
    <t>PROD800</t>
  </si>
  <si>
    <t xml:space="preserve"> $118.23 </t>
  </si>
  <si>
    <t>ORD5601</t>
  </si>
  <si>
    <t>CUST1601</t>
  </si>
  <si>
    <t>PROD801</t>
  </si>
  <si>
    <t xml:space="preserve"> $1,043.23 </t>
  </si>
  <si>
    <t>ORD5602</t>
  </si>
  <si>
    <t>CUST1602</t>
  </si>
  <si>
    <t>PROD802</t>
  </si>
  <si>
    <t xml:space="preserve"> $619.73 </t>
  </si>
  <si>
    <t>ORD5603</t>
  </si>
  <si>
    <t>CUST1603</t>
  </si>
  <si>
    <t>PROD803</t>
  </si>
  <si>
    <t>12/30/2022</t>
  </si>
  <si>
    <t xml:space="preserve"> $449.28 </t>
  </si>
  <si>
    <t>ORD5604</t>
  </si>
  <si>
    <t>CUST1604</t>
  </si>
  <si>
    <t>PROD804</t>
  </si>
  <si>
    <t>4/28/2022</t>
  </si>
  <si>
    <t xml:space="preserve"> $1,181.37 </t>
  </si>
  <si>
    <t>ORD5605</t>
  </si>
  <si>
    <t>CUST1605</t>
  </si>
  <si>
    <t>PROD805</t>
  </si>
  <si>
    <t>3/19/2024</t>
  </si>
  <si>
    <t xml:space="preserve"> $56.24 </t>
  </si>
  <si>
    <t>ORD5606</t>
  </si>
  <si>
    <t>CUST1606</t>
  </si>
  <si>
    <t>PROD806</t>
  </si>
  <si>
    <t xml:space="preserve"> $458.76 </t>
  </si>
  <si>
    <t>ORD5607</t>
  </si>
  <si>
    <t>CUST1607</t>
  </si>
  <si>
    <t>PROD807</t>
  </si>
  <si>
    <t xml:space="preserve"> $4.92 </t>
  </si>
  <si>
    <t>ORD5608</t>
  </si>
  <si>
    <t>CUST1608</t>
  </si>
  <si>
    <t>PROD808</t>
  </si>
  <si>
    <t>1/17/2024</t>
  </si>
  <si>
    <t xml:space="preserve"> $314.80 </t>
  </si>
  <si>
    <t>ORD5609</t>
  </si>
  <si>
    <t>CUST1609</t>
  </si>
  <si>
    <t>PROD809</t>
  </si>
  <si>
    <t xml:space="preserve"> $475.45 </t>
  </si>
  <si>
    <t>ORD5610</t>
  </si>
  <si>
    <t>CUST1610</t>
  </si>
  <si>
    <t>PROD810</t>
  </si>
  <si>
    <t>9/17/2020</t>
  </si>
  <si>
    <t>5/30/2023</t>
  </si>
  <si>
    <t xml:space="preserve"> $224.82 </t>
  </si>
  <si>
    <t>ORD5611</t>
  </si>
  <si>
    <t>CUST1611</t>
  </si>
  <si>
    <t>PROD811</t>
  </si>
  <si>
    <t>12/25/2021</t>
  </si>
  <si>
    <t xml:space="preserve"> $187.96 </t>
  </si>
  <si>
    <t>ORD5612</t>
  </si>
  <si>
    <t>CUST1612</t>
  </si>
  <si>
    <t>PROD812</t>
  </si>
  <si>
    <t xml:space="preserve"> $123.54 </t>
  </si>
  <si>
    <t>ORD5613</t>
  </si>
  <si>
    <t>CUST1613</t>
  </si>
  <si>
    <t>PROD813</t>
  </si>
  <si>
    <t xml:space="preserve"> $384.32 </t>
  </si>
  <si>
    <t>ORD5614</t>
  </si>
  <si>
    <t>CUST1614</t>
  </si>
  <si>
    <t>PROD814</t>
  </si>
  <si>
    <t>4/23/2021</t>
  </si>
  <si>
    <t xml:space="preserve"> $158.27 </t>
  </si>
  <si>
    <t>ORD5615</t>
  </si>
  <si>
    <t>CUST1615</t>
  </si>
  <si>
    <t>PROD815</t>
  </si>
  <si>
    <t xml:space="preserve"> $252.11 </t>
  </si>
  <si>
    <t>ORD5616</t>
  </si>
  <si>
    <t>CUST1616</t>
  </si>
  <si>
    <t>PROD816</t>
  </si>
  <si>
    <t xml:space="preserve"> $174.23 </t>
  </si>
  <si>
    <t>ORD5617</t>
  </si>
  <si>
    <t>CUST1617</t>
  </si>
  <si>
    <t>PROD817</t>
  </si>
  <si>
    <t xml:space="preserve"> $150.89 </t>
  </si>
  <si>
    <t>ORD5618</t>
  </si>
  <si>
    <t>CUST1618</t>
  </si>
  <si>
    <t>PROD818</t>
  </si>
  <si>
    <t xml:space="preserve"> $169.91 </t>
  </si>
  <si>
    <t>ORD5619</t>
  </si>
  <si>
    <t>CUST1619</t>
  </si>
  <si>
    <t>PROD819</t>
  </si>
  <si>
    <t>6/16/2021</t>
  </si>
  <si>
    <t>8/27/2021</t>
  </si>
  <si>
    <t xml:space="preserve"> $94.81 </t>
  </si>
  <si>
    <t>ORD5620</t>
  </si>
  <si>
    <t>CUST1620</t>
  </si>
  <si>
    <t>PROD820</t>
  </si>
  <si>
    <t>3/29/2022</t>
  </si>
  <si>
    <t xml:space="preserve"> $168.81 </t>
  </si>
  <si>
    <t>ORD5621</t>
  </si>
  <si>
    <t>CUST1621</t>
  </si>
  <si>
    <t>PROD821</t>
  </si>
  <si>
    <t>1/20/2025</t>
  </si>
  <si>
    <t xml:space="preserve"> $415.64 </t>
  </si>
  <si>
    <t>ORD5622</t>
  </si>
  <si>
    <t>CUST1622</t>
  </si>
  <si>
    <t>PROD822</t>
  </si>
  <si>
    <t xml:space="preserve"> $24.21 </t>
  </si>
  <si>
    <t>ORD5623</t>
  </si>
  <si>
    <t>CUST1623</t>
  </si>
  <si>
    <t>PROD823</t>
  </si>
  <si>
    <t xml:space="preserve"> $132.42 </t>
  </si>
  <si>
    <t>ORD5624</t>
  </si>
  <si>
    <t>CUST1624</t>
  </si>
  <si>
    <t>PROD824</t>
  </si>
  <si>
    <t xml:space="preserve"> $177.10 </t>
  </si>
  <si>
    <t>ORD5625</t>
  </si>
  <si>
    <t>CUST1625</t>
  </si>
  <si>
    <t>PROD825</t>
  </si>
  <si>
    <t>10/17/2020</t>
  </si>
  <si>
    <t xml:space="preserve"> $239.59 </t>
  </si>
  <si>
    <t>ORD5626</t>
  </si>
  <si>
    <t>CUST1626</t>
  </si>
  <si>
    <t>PROD826</t>
  </si>
  <si>
    <t xml:space="preserve"> $165.39 </t>
  </si>
  <si>
    <t>ORD5627</t>
  </si>
  <si>
    <t>CUST1627</t>
  </si>
  <si>
    <t>PROD827</t>
  </si>
  <si>
    <t>8/23/2021</t>
  </si>
  <si>
    <t xml:space="preserve"> $445.44 </t>
  </si>
  <si>
    <t>ORD5628</t>
  </si>
  <si>
    <t>CUST1628</t>
  </si>
  <si>
    <t>PROD828</t>
  </si>
  <si>
    <t xml:space="preserve"> $562.29 </t>
  </si>
  <si>
    <t>ORD5629</t>
  </si>
  <si>
    <t>CUST1629</t>
  </si>
  <si>
    <t>PROD829</t>
  </si>
  <si>
    <t xml:space="preserve"> $108.56 </t>
  </si>
  <si>
    <t>ORD5630</t>
  </si>
  <si>
    <t>CUST1630</t>
  </si>
  <si>
    <t>PROD830</t>
  </si>
  <si>
    <t xml:space="preserve"> $908.40 </t>
  </si>
  <si>
    <t>ORD5631</t>
  </si>
  <si>
    <t>CUST1631</t>
  </si>
  <si>
    <t>PROD831</t>
  </si>
  <si>
    <t xml:space="preserve"> $1,904.04 </t>
  </si>
  <si>
    <t>ORD5632</t>
  </si>
  <si>
    <t>CUST1632</t>
  </si>
  <si>
    <t>PROD832</t>
  </si>
  <si>
    <t>6/22/2023</t>
  </si>
  <si>
    <t xml:space="preserve"> $313.25 </t>
  </si>
  <si>
    <t>ORD5633</t>
  </si>
  <si>
    <t>CUST1633</t>
  </si>
  <si>
    <t>PROD833</t>
  </si>
  <si>
    <t>1/13/2024</t>
  </si>
  <si>
    <t xml:space="preserve"> $174.86 </t>
  </si>
  <si>
    <t>ORD5634</t>
  </si>
  <si>
    <t>CUST1634</t>
  </si>
  <si>
    <t>PROD834</t>
  </si>
  <si>
    <t>11/13/2021</t>
  </si>
  <si>
    <t>8/31/2022</t>
  </si>
  <si>
    <t xml:space="preserve"> $207.22 </t>
  </si>
  <si>
    <t>ORD5635</t>
  </si>
  <si>
    <t>CUST1635</t>
  </si>
  <si>
    <t>PROD835</t>
  </si>
  <si>
    <t xml:space="preserve"> $232.51 </t>
  </si>
  <si>
    <t>ORD5636</t>
  </si>
  <si>
    <t>CUST1636</t>
  </si>
  <si>
    <t>PROD836</t>
  </si>
  <si>
    <t xml:space="preserve"> $67.19 </t>
  </si>
  <si>
    <t>ORD5637</t>
  </si>
  <si>
    <t>CUST1637</t>
  </si>
  <si>
    <t>PROD837</t>
  </si>
  <si>
    <t>6/19/2021</t>
  </si>
  <si>
    <t xml:space="preserve"> $111.88 </t>
  </si>
  <si>
    <t>ORD5638</t>
  </si>
  <si>
    <t>CUST1638</t>
  </si>
  <si>
    <t>PROD838</t>
  </si>
  <si>
    <t xml:space="preserve"> $924.05 </t>
  </si>
  <si>
    <t>ORD5639</t>
  </si>
  <si>
    <t>CUST1639</t>
  </si>
  <si>
    <t>PROD839</t>
  </si>
  <si>
    <t xml:space="preserve"> $85.08 </t>
  </si>
  <si>
    <t>ORD5640</t>
  </si>
  <si>
    <t>CUST1640</t>
  </si>
  <si>
    <t>PROD840</t>
  </si>
  <si>
    <t>1/21/2021</t>
  </si>
  <si>
    <t xml:space="preserve"> $179.50 </t>
  </si>
  <si>
    <t>ORD5641</t>
  </si>
  <si>
    <t>CUST1641</t>
  </si>
  <si>
    <t>PROD841</t>
  </si>
  <si>
    <t>9/23/2022</t>
  </si>
  <si>
    <t xml:space="preserve"> $73.15 </t>
  </si>
  <si>
    <t>ORD5642</t>
  </si>
  <si>
    <t>CUST1642</t>
  </si>
  <si>
    <t>PROD842</t>
  </si>
  <si>
    <t xml:space="preserve"> $180.64 </t>
  </si>
  <si>
    <t>ORD5643</t>
  </si>
  <si>
    <t>CUST1643</t>
  </si>
  <si>
    <t>PROD843</t>
  </si>
  <si>
    <t xml:space="preserve"> $160.41 </t>
  </si>
  <si>
    <t>ORD5644</t>
  </si>
  <si>
    <t>CUST1644</t>
  </si>
  <si>
    <t>PROD844</t>
  </si>
  <si>
    <t xml:space="preserve"> $110.39 </t>
  </si>
  <si>
    <t>ORD5645</t>
  </si>
  <si>
    <t>CUST1645</t>
  </si>
  <si>
    <t>PROD845</t>
  </si>
  <si>
    <t xml:space="preserve"> $202.22 </t>
  </si>
  <si>
    <t>ORD5646</t>
  </si>
  <si>
    <t>CUST1646</t>
  </si>
  <si>
    <t>PROD846</t>
  </si>
  <si>
    <t>11/21/2023</t>
  </si>
  <si>
    <t xml:space="preserve"> $147.21 </t>
  </si>
  <si>
    <t>ORD5647</t>
  </si>
  <si>
    <t>CUST1647</t>
  </si>
  <si>
    <t>PROD847</t>
  </si>
  <si>
    <t>6/24/2021</t>
  </si>
  <si>
    <t xml:space="preserve"> $211.08 </t>
  </si>
  <si>
    <t>ORD5648</t>
  </si>
  <si>
    <t>CUST1648</t>
  </si>
  <si>
    <t>PROD848</t>
  </si>
  <si>
    <t xml:space="preserve"> $57.73 </t>
  </si>
  <si>
    <t>ORD5649</t>
  </si>
  <si>
    <t>CUST1649</t>
  </si>
  <si>
    <t>PROD849</t>
  </si>
  <si>
    <t>12/27/2020</t>
  </si>
  <si>
    <t xml:space="preserve"> $786.08 </t>
  </si>
  <si>
    <t>ORD5650</t>
  </si>
  <si>
    <t>CUST1650</t>
  </si>
  <si>
    <t>PROD850</t>
  </si>
  <si>
    <t>6/26/2021</t>
  </si>
  <si>
    <t xml:space="preserve"> $77.67 </t>
  </si>
  <si>
    <t>ORD5651</t>
  </si>
  <si>
    <t>CUST1651</t>
  </si>
  <si>
    <t>PROD851</t>
  </si>
  <si>
    <t xml:space="preserve"> $85.40 </t>
  </si>
  <si>
    <t>ORD5652</t>
  </si>
  <si>
    <t>CUST1652</t>
  </si>
  <si>
    <t>PROD852</t>
  </si>
  <si>
    <t xml:space="preserve"> $1,165.65 </t>
  </si>
  <si>
    <t>ORD5653</t>
  </si>
  <si>
    <t>CUST1653</t>
  </si>
  <si>
    <t>PROD853</t>
  </si>
  <si>
    <t>11/26/2021</t>
  </si>
  <si>
    <t xml:space="preserve"> $49.06 </t>
  </si>
  <si>
    <t>ORD5654</t>
  </si>
  <si>
    <t>CUST1654</t>
  </si>
  <si>
    <t>PROD854</t>
  </si>
  <si>
    <t>7/14/2024</t>
  </si>
  <si>
    <t xml:space="preserve"> $164.98 </t>
  </si>
  <si>
    <t>ORD5655</t>
  </si>
  <si>
    <t>CUST1655</t>
  </si>
  <si>
    <t>PROD855</t>
  </si>
  <si>
    <t xml:space="preserve"> $286.43 </t>
  </si>
  <si>
    <t>ORD5656</t>
  </si>
  <si>
    <t>CUST1656</t>
  </si>
  <si>
    <t>PROD856</t>
  </si>
  <si>
    <t>10/29/2020</t>
  </si>
  <si>
    <t xml:space="preserve"> $83.74 </t>
  </si>
  <si>
    <t>ORD5657</t>
  </si>
  <si>
    <t>CUST1657</t>
  </si>
  <si>
    <t>PROD857</t>
  </si>
  <si>
    <t xml:space="preserve"> $196.16 </t>
  </si>
  <si>
    <t>ORD5658</t>
  </si>
  <si>
    <t>CUST1658</t>
  </si>
  <si>
    <t>PROD858</t>
  </si>
  <si>
    <t xml:space="preserve"> $694.93 </t>
  </si>
  <si>
    <t>ORD5659</t>
  </si>
  <si>
    <t>CUST1659</t>
  </si>
  <si>
    <t>PROD859</t>
  </si>
  <si>
    <t xml:space="preserve"> $467.28 </t>
  </si>
  <si>
    <t>ORD5660</t>
  </si>
  <si>
    <t>CUST1660</t>
  </si>
  <si>
    <t>PROD860</t>
  </si>
  <si>
    <t xml:space="preserve"> $146.17 </t>
  </si>
  <si>
    <t>ORD5661</t>
  </si>
  <si>
    <t>CUST1661</t>
  </si>
  <si>
    <t>PROD861</t>
  </si>
  <si>
    <t>5/27/2021</t>
  </si>
  <si>
    <t>6/18/2024</t>
  </si>
  <si>
    <t xml:space="preserve"> $41.76 </t>
  </si>
  <si>
    <t>ORD5662</t>
  </si>
  <si>
    <t>CUST1662</t>
  </si>
  <si>
    <t>PROD862</t>
  </si>
  <si>
    <t xml:space="preserve"> $111.45 </t>
  </si>
  <si>
    <t>ORD5663</t>
  </si>
  <si>
    <t>CUST1663</t>
  </si>
  <si>
    <t>PROD863</t>
  </si>
  <si>
    <t>8/23/2020</t>
  </si>
  <si>
    <t xml:space="preserve"> $835.56 </t>
  </si>
  <si>
    <t>ORD5664</t>
  </si>
  <si>
    <t>CUST1664</t>
  </si>
  <si>
    <t>PROD864</t>
  </si>
  <si>
    <t xml:space="preserve"> $660.78 </t>
  </si>
  <si>
    <t>ORD5665</t>
  </si>
  <si>
    <t>CUST1665</t>
  </si>
  <si>
    <t>PROD865</t>
  </si>
  <si>
    <t xml:space="preserve"> $150.11 </t>
  </si>
  <si>
    <t>ORD5666</t>
  </si>
  <si>
    <t>CUST1666</t>
  </si>
  <si>
    <t>PROD866</t>
  </si>
  <si>
    <t>11/24/2024</t>
  </si>
  <si>
    <t xml:space="preserve"> $283.26 </t>
  </si>
  <si>
    <t>ORD5667</t>
  </si>
  <si>
    <t>CUST1667</t>
  </si>
  <si>
    <t>PROD867</t>
  </si>
  <si>
    <t>6/24/2023</t>
  </si>
  <si>
    <t xml:space="preserve"> $986.68 </t>
  </si>
  <si>
    <t>ORD5668</t>
  </si>
  <si>
    <t>CUST1668</t>
  </si>
  <si>
    <t>PROD868</t>
  </si>
  <si>
    <t>4/18/2022</t>
  </si>
  <si>
    <t>5/24/2024</t>
  </si>
  <si>
    <t>7/27/2024</t>
  </si>
  <si>
    <t xml:space="preserve"> $169.24 </t>
  </si>
  <si>
    <t>ORD5669</t>
  </si>
  <si>
    <t>CUST1669</t>
  </si>
  <si>
    <t>PROD869</t>
  </si>
  <si>
    <t>12/15/2020</t>
  </si>
  <si>
    <t>11/20/2021</t>
  </si>
  <si>
    <t xml:space="preserve"> $192.21 </t>
  </si>
  <si>
    <t>ORD5670</t>
  </si>
  <si>
    <t>CUST1670</t>
  </si>
  <si>
    <t>PROD870</t>
  </si>
  <si>
    <t>11/19/2024</t>
  </si>
  <si>
    <t xml:space="preserve"> $27.97 </t>
  </si>
  <si>
    <t>ORD5671</t>
  </si>
  <si>
    <t>CUST1671</t>
  </si>
  <si>
    <t>PROD871</t>
  </si>
  <si>
    <t xml:space="preserve"> $170.74 </t>
  </si>
  <si>
    <t>ORD5672</t>
  </si>
  <si>
    <t>CUST1672</t>
  </si>
  <si>
    <t>PROD872</t>
  </si>
  <si>
    <t>8/19/2022</t>
  </si>
  <si>
    <t>12/20/2023</t>
  </si>
  <si>
    <t xml:space="preserve"> $124.97 </t>
  </si>
  <si>
    <t>ORD5673</t>
  </si>
  <si>
    <t>CUST1673</t>
  </si>
  <si>
    <t>PROD873</t>
  </si>
  <si>
    <t xml:space="preserve"> $78.19 </t>
  </si>
  <si>
    <t>ORD5674</t>
  </si>
  <si>
    <t>CUST1674</t>
  </si>
  <si>
    <t>PROD874</t>
  </si>
  <si>
    <t>1/31/2025</t>
  </si>
  <si>
    <t>6/25/2023</t>
  </si>
  <si>
    <t xml:space="preserve"> $301.07 </t>
  </si>
  <si>
    <t>ORD5675</t>
  </si>
  <si>
    <t>CUST1675</t>
  </si>
  <si>
    <t>PROD875</t>
  </si>
  <si>
    <t>8/29/2024</t>
  </si>
  <si>
    <t xml:space="preserve"> $51.81 </t>
  </si>
  <si>
    <t>ORD5676</t>
  </si>
  <si>
    <t>CUST1676</t>
  </si>
  <si>
    <t>PROD876</t>
  </si>
  <si>
    <t xml:space="preserve"> $817.55 </t>
  </si>
  <si>
    <t>ORD5677</t>
  </si>
  <si>
    <t>CUST1677</t>
  </si>
  <si>
    <t>PROD877</t>
  </si>
  <si>
    <t xml:space="preserve"> $470.40 </t>
  </si>
  <si>
    <t>ORD5678</t>
  </si>
  <si>
    <t>CUST1678</t>
  </si>
  <si>
    <t>PROD878</t>
  </si>
  <si>
    <t xml:space="preserve"> $244.14 </t>
  </si>
  <si>
    <t>ORD5679</t>
  </si>
  <si>
    <t>CUST1679</t>
  </si>
  <si>
    <t>PROD879</t>
  </si>
  <si>
    <t>9/17/2021</t>
  </si>
  <si>
    <t xml:space="preserve"> $95.20 </t>
  </si>
  <si>
    <t>ORD5680</t>
  </si>
  <si>
    <t>CUST1680</t>
  </si>
  <si>
    <t>PROD880</t>
  </si>
  <si>
    <t>2/18/2025</t>
  </si>
  <si>
    <t xml:space="preserve"> $670.66 </t>
  </si>
  <si>
    <t>ORD5681</t>
  </si>
  <si>
    <t>CUST1681</t>
  </si>
  <si>
    <t>PROD881</t>
  </si>
  <si>
    <t>6/28/2022</t>
  </si>
  <si>
    <t>3/31/2023</t>
  </si>
  <si>
    <t xml:space="preserve"> $213.06 </t>
  </si>
  <si>
    <t>ORD5682</t>
  </si>
  <si>
    <t>CUST1682</t>
  </si>
  <si>
    <t>PROD882</t>
  </si>
  <si>
    <t xml:space="preserve"> $36.45 </t>
  </si>
  <si>
    <t>ORD5683</t>
  </si>
  <si>
    <t>CUST1683</t>
  </si>
  <si>
    <t>PROD883</t>
  </si>
  <si>
    <t>7/15/2024</t>
  </si>
  <si>
    <t xml:space="preserve"> $3.53 </t>
  </si>
  <si>
    <t>ORD5684</t>
  </si>
  <si>
    <t>CUST1684</t>
  </si>
  <si>
    <t>PROD884</t>
  </si>
  <si>
    <t xml:space="preserve"> $1,951.85 </t>
  </si>
  <si>
    <t>ORD5685</t>
  </si>
  <si>
    <t>CUST1685</t>
  </si>
  <si>
    <t>PROD885</t>
  </si>
  <si>
    <t>4/25/2025</t>
  </si>
  <si>
    <t xml:space="preserve"> $12.39 </t>
  </si>
  <si>
    <t>ORD5686</t>
  </si>
  <si>
    <t>CUST1686</t>
  </si>
  <si>
    <t>PROD886</t>
  </si>
  <si>
    <t xml:space="preserve"> $28.48 </t>
  </si>
  <si>
    <t>ORD5687</t>
  </si>
  <si>
    <t>CUST1687</t>
  </si>
  <si>
    <t>PROD887</t>
  </si>
  <si>
    <t xml:space="preserve"> $853.97 </t>
  </si>
  <si>
    <t>ORD5688</t>
  </si>
  <si>
    <t>CUST1688</t>
  </si>
  <si>
    <t>PROD888</t>
  </si>
  <si>
    <t>10/24/2020</t>
  </si>
  <si>
    <t xml:space="preserve"> $149.49 </t>
  </si>
  <si>
    <t>ORD5689</t>
  </si>
  <si>
    <t>CUST1689</t>
  </si>
  <si>
    <t>PROD889</t>
  </si>
  <si>
    <t>12/30/2021</t>
  </si>
  <si>
    <t xml:space="preserve"> $46.66 </t>
  </si>
  <si>
    <t>ORD5690</t>
  </si>
  <si>
    <t>CUST1690</t>
  </si>
  <si>
    <t>PROD890</t>
  </si>
  <si>
    <t xml:space="preserve"> $130.19 </t>
  </si>
  <si>
    <t>ORD5691</t>
  </si>
  <si>
    <t>CUST1691</t>
  </si>
  <si>
    <t>PROD891</t>
  </si>
  <si>
    <t>4/16/2021</t>
  </si>
  <si>
    <t xml:space="preserve"> $528.20 </t>
  </si>
  <si>
    <t>ORD5692</t>
  </si>
  <si>
    <t>CUST1692</t>
  </si>
  <si>
    <t>PROD892</t>
  </si>
  <si>
    <t xml:space="preserve"> $189.18 </t>
  </si>
  <si>
    <t>ORD5693</t>
  </si>
  <si>
    <t>CUST1693</t>
  </si>
  <si>
    <t>PROD893</t>
  </si>
  <si>
    <t xml:space="preserve"> $45.62 </t>
  </si>
  <si>
    <t>ORD5694</t>
  </si>
  <si>
    <t>CUST1694</t>
  </si>
  <si>
    <t>PROD894</t>
  </si>
  <si>
    <t>4/19/2024</t>
  </si>
  <si>
    <t xml:space="preserve"> $86.53 </t>
  </si>
  <si>
    <t>ORD5695</t>
  </si>
  <si>
    <t>CUST1695</t>
  </si>
  <si>
    <t>PROD895</t>
  </si>
  <si>
    <t xml:space="preserve"> $19.37 </t>
  </si>
  <si>
    <t>ORD5696</t>
  </si>
  <si>
    <t>CUST1696</t>
  </si>
  <si>
    <t>PROD896</t>
  </si>
  <si>
    <t>9/29/2021</t>
  </si>
  <si>
    <t xml:space="preserve"> $356.89 </t>
  </si>
  <si>
    <t>ORD5697</t>
  </si>
  <si>
    <t>CUST1697</t>
  </si>
  <si>
    <t>PROD897</t>
  </si>
  <si>
    <t xml:space="preserve"> $219.58 </t>
  </si>
  <si>
    <t>ORD5698</t>
  </si>
  <si>
    <t>CUST1698</t>
  </si>
  <si>
    <t>PROD898</t>
  </si>
  <si>
    <t xml:space="preserve"> $1,371.02 </t>
  </si>
  <si>
    <t>ORD5699</t>
  </si>
  <si>
    <t>CUST1699</t>
  </si>
  <si>
    <t>PROD899</t>
  </si>
  <si>
    <t xml:space="preserve"> $29.54 </t>
  </si>
  <si>
    <t>ORD5700</t>
  </si>
  <si>
    <t>CUST1700</t>
  </si>
  <si>
    <t>PROD900</t>
  </si>
  <si>
    <t>6/30/2023</t>
  </si>
  <si>
    <t xml:space="preserve"> $155.45 </t>
  </si>
  <si>
    <t>ORD5701</t>
  </si>
  <si>
    <t>CUST1701</t>
  </si>
  <si>
    <t>PROD901</t>
  </si>
  <si>
    <t xml:space="preserve"> $25.49 </t>
  </si>
  <si>
    <t>ORD5702</t>
  </si>
  <si>
    <t>CUST1702</t>
  </si>
  <si>
    <t>PROD902</t>
  </si>
  <si>
    <t>7/20/2023</t>
  </si>
  <si>
    <t xml:space="preserve"> $18.68 </t>
  </si>
  <si>
    <t>ORD5703</t>
  </si>
  <si>
    <t>CUST1703</t>
  </si>
  <si>
    <t>PROD903</t>
  </si>
  <si>
    <t xml:space="preserve"> $1,143.02 </t>
  </si>
  <si>
    <t>ORD5704</t>
  </si>
  <si>
    <t>CUST1704</t>
  </si>
  <si>
    <t>PROD904</t>
  </si>
  <si>
    <t xml:space="preserve"> $17.62 </t>
  </si>
  <si>
    <t>ORD5705</t>
  </si>
  <si>
    <t>CUST1705</t>
  </si>
  <si>
    <t>PROD905</t>
  </si>
  <si>
    <t xml:space="preserve"> $167.43 </t>
  </si>
  <si>
    <t>ORD5706</t>
  </si>
  <si>
    <t>CUST1706</t>
  </si>
  <si>
    <t>PROD906</t>
  </si>
  <si>
    <t>7/31/2025</t>
  </si>
  <si>
    <t xml:space="preserve"> $244.85 </t>
  </si>
  <si>
    <t>ORD5707</t>
  </si>
  <si>
    <t>CUST1707</t>
  </si>
  <si>
    <t>PROD907</t>
  </si>
  <si>
    <t>4/20/2024</t>
  </si>
  <si>
    <t xml:space="preserve"> $73.97 </t>
  </si>
  <si>
    <t>ORD5708</t>
  </si>
  <si>
    <t>CUST1708</t>
  </si>
  <si>
    <t>PROD908</t>
  </si>
  <si>
    <t>6/15/2024</t>
  </si>
  <si>
    <t xml:space="preserve"> $898.76 </t>
  </si>
  <si>
    <t>ORD5709</t>
  </si>
  <si>
    <t>CUST1709</t>
  </si>
  <si>
    <t>PROD909</t>
  </si>
  <si>
    <t>8/26/2022</t>
  </si>
  <si>
    <t>5/13/2023</t>
  </si>
  <si>
    <t xml:space="preserve"> $209.36 </t>
  </si>
  <si>
    <t>ORD5710</t>
  </si>
  <si>
    <t>CUST1710</t>
  </si>
  <si>
    <t>PROD910</t>
  </si>
  <si>
    <t>3/20/2022</t>
  </si>
  <si>
    <t xml:space="preserve"> $143.04 </t>
  </si>
  <si>
    <t>ORD5711</t>
  </si>
  <si>
    <t>CUST1711</t>
  </si>
  <si>
    <t>PROD911</t>
  </si>
  <si>
    <t xml:space="preserve"> $164.34 </t>
  </si>
  <si>
    <t>ORD5712</t>
  </si>
  <si>
    <t>CUST1712</t>
  </si>
  <si>
    <t>PROD912</t>
  </si>
  <si>
    <t>1/29/2022</t>
  </si>
  <si>
    <t>1/30/2023</t>
  </si>
  <si>
    <t xml:space="preserve"> $188.11 </t>
  </si>
  <si>
    <t>ORD5713</t>
  </si>
  <si>
    <t>CUST1713</t>
  </si>
  <si>
    <t>PROD913</t>
  </si>
  <si>
    <t>1/13/2025</t>
  </si>
  <si>
    <t xml:space="preserve"> $343.89 </t>
  </si>
  <si>
    <t>ORD5714</t>
  </si>
  <si>
    <t>CUST1714</t>
  </si>
  <si>
    <t>PROD914</t>
  </si>
  <si>
    <t xml:space="preserve"> $291.77 </t>
  </si>
  <si>
    <t>ORD5715</t>
  </si>
  <si>
    <t>CUST1715</t>
  </si>
  <si>
    <t>PROD915</t>
  </si>
  <si>
    <t>6/14/2025</t>
  </si>
  <si>
    <t xml:space="preserve"> $289.38 </t>
  </si>
  <si>
    <t>ORD5716</t>
  </si>
  <si>
    <t>CUST1716</t>
  </si>
  <si>
    <t>PROD916</t>
  </si>
  <si>
    <t xml:space="preserve"> $184.92 </t>
  </si>
  <si>
    <t>ORD5717</t>
  </si>
  <si>
    <t>CUST1717</t>
  </si>
  <si>
    <t>PROD917</t>
  </si>
  <si>
    <t xml:space="preserve"> $95.60 </t>
  </si>
  <si>
    <t>ORD5718</t>
  </si>
  <si>
    <t>CUST1718</t>
  </si>
  <si>
    <t>PROD918</t>
  </si>
  <si>
    <t xml:space="preserve"> $12.05 </t>
  </si>
  <si>
    <t>ORD5719</t>
  </si>
  <si>
    <t>CUST1719</t>
  </si>
  <si>
    <t>PROD919</t>
  </si>
  <si>
    <t>3/14/2024</t>
  </si>
  <si>
    <t xml:space="preserve"> $877.48 </t>
  </si>
  <si>
    <t>ORD5720</t>
  </si>
  <si>
    <t>CUST1720</t>
  </si>
  <si>
    <t>PROD920</t>
  </si>
  <si>
    <t xml:space="preserve"> $129.11 </t>
  </si>
  <si>
    <t>ORD5721</t>
  </si>
  <si>
    <t>CUST1721</t>
  </si>
  <si>
    <t>PROD921</t>
  </si>
  <si>
    <t xml:space="preserve"> $699.10 </t>
  </si>
  <si>
    <t>ORD5722</t>
  </si>
  <si>
    <t>CUST1722</t>
  </si>
  <si>
    <t>PROD922</t>
  </si>
  <si>
    <t>1/17/2021</t>
  </si>
  <si>
    <t xml:space="preserve"> $10.32 </t>
  </si>
  <si>
    <t>ORD5723</t>
  </si>
  <si>
    <t>CUST1723</t>
  </si>
  <si>
    <t>PROD923</t>
  </si>
  <si>
    <t>9/16/2022</t>
  </si>
  <si>
    <t xml:space="preserve"> $196.10 </t>
  </si>
  <si>
    <t>ORD5724</t>
  </si>
  <si>
    <t>CUST1724</t>
  </si>
  <si>
    <t>PROD924</t>
  </si>
  <si>
    <t xml:space="preserve"> $173.64 </t>
  </si>
  <si>
    <t>ORD5725</t>
  </si>
  <si>
    <t>CUST1725</t>
  </si>
  <si>
    <t>PROD925</t>
  </si>
  <si>
    <t xml:space="preserve"> $206.65 </t>
  </si>
  <si>
    <t>ORD5726</t>
  </si>
  <si>
    <t>CUST1726</t>
  </si>
  <si>
    <t>PROD926</t>
  </si>
  <si>
    <t xml:space="preserve"> $477.57 </t>
  </si>
  <si>
    <t>ORD5727</t>
  </si>
  <si>
    <t>CUST1727</t>
  </si>
  <si>
    <t>PROD927</t>
  </si>
  <si>
    <t>11/22/2022</t>
  </si>
  <si>
    <t xml:space="preserve"> $68.90 </t>
  </si>
  <si>
    <t>ORD5728</t>
  </si>
  <si>
    <t>CUST1728</t>
  </si>
  <si>
    <t>PROD928</t>
  </si>
  <si>
    <t xml:space="preserve"> $238.83 </t>
  </si>
  <si>
    <t>ORD5729</t>
  </si>
  <si>
    <t>CUST1729</t>
  </si>
  <si>
    <t>PROD929</t>
  </si>
  <si>
    <t>9/28/2021</t>
  </si>
  <si>
    <t>5/23/2025</t>
  </si>
  <si>
    <t xml:space="preserve"> $120.28 </t>
  </si>
  <si>
    <t>ORD5730</t>
  </si>
  <si>
    <t>CUST1730</t>
  </si>
  <si>
    <t>PROD930</t>
  </si>
  <si>
    <t xml:space="preserve"> $880.32 </t>
  </si>
  <si>
    <t>ORD5731</t>
  </si>
  <si>
    <t>CUST1731</t>
  </si>
  <si>
    <t>PROD931</t>
  </si>
  <si>
    <t>7/30/2024</t>
  </si>
  <si>
    <t xml:space="preserve"> $425.19 </t>
  </si>
  <si>
    <t>ORD5732</t>
  </si>
  <si>
    <t>CUST1732</t>
  </si>
  <si>
    <t>PROD932</t>
  </si>
  <si>
    <t xml:space="preserve"> $436.81 </t>
  </si>
  <si>
    <t>ORD5733</t>
  </si>
  <si>
    <t>CUST1733</t>
  </si>
  <si>
    <t>PROD933</t>
  </si>
  <si>
    <t xml:space="preserve"> $54.65 </t>
  </si>
  <si>
    <t>ORD5734</t>
  </si>
  <si>
    <t>CUST1734</t>
  </si>
  <si>
    <t>PROD934</t>
  </si>
  <si>
    <t xml:space="preserve"> $178.57 </t>
  </si>
  <si>
    <t>ORD5735</t>
  </si>
  <si>
    <t>CUST1735</t>
  </si>
  <si>
    <t>PROD935</t>
  </si>
  <si>
    <t>6/30/2021</t>
  </si>
  <si>
    <t xml:space="preserve"> $18.43 </t>
  </si>
  <si>
    <t>ORD5736</t>
  </si>
  <si>
    <t>CUST1736</t>
  </si>
  <si>
    <t>PROD936</t>
  </si>
  <si>
    <t>9/27/2020</t>
  </si>
  <si>
    <t>7/25/2021</t>
  </si>
  <si>
    <t xml:space="preserve"> $162.13 </t>
  </si>
  <si>
    <t>ORD5737</t>
  </si>
  <si>
    <t>CUST1737</t>
  </si>
  <si>
    <t>PROD937</t>
  </si>
  <si>
    <t>9/15/2023</t>
  </si>
  <si>
    <t xml:space="preserve"> $215.86 </t>
  </si>
  <si>
    <t>ORD5738</t>
  </si>
  <si>
    <t>CUST1738</t>
  </si>
  <si>
    <t>PROD938</t>
  </si>
  <si>
    <t>7/19/2024</t>
  </si>
  <si>
    <t xml:space="preserve"> $448.02 </t>
  </si>
  <si>
    <t>ORD5739</t>
  </si>
  <si>
    <t>CUST1739</t>
  </si>
  <si>
    <t>PROD939</t>
  </si>
  <si>
    <t xml:space="preserve"> $202.23 </t>
  </si>
  <si>
    <t>ORD5740</t>
  </si>
  <si>
    <t>CUST1740</t>
  </si>
  <si>
    <t>PROD940</t>
  </si>
  <si>
    <t xml:space="preserve"> $412.98 </t>
  </si>
  <si>
    <t>ORD5741</t>
  </si>
  <si>
    <t>CUST1741</t>
  </si>
  <si>
    <t>PROD941</t>
  </si>
  <si>
    <t>2/16/2021</t>
  </si>
  <si>
    <t>3/27/2021</t>
  </si>
  <si>
    <t xml:space="preserve"> $187.53 </t>
  </si>
  <si>
    <t>ORD5742</t>
  </si>
  <si>
    <t>CUST1742</t>
  </si>
  <si>
    <t>PROD942</t>
  </si>
  <si>
    <t xml:space="preserve"> $140.81 </t>
  </si>
  <si>
    <t>ORD5743</t>
  </si>
  <si>
    <t>CUST1743</t>
  </si>
  <si>
    <t>PROD943</t>
  </si>
  <si>
    <t>3/31/2025</t>
  </si>
  <si>
    <t xml:space="preserve"> $66.97 </t>
  </si>
  <si>
    <t>ORD5744</t>
  </si>
  <si>
    <t>CUST1744</t>
  </si>
  <si>
    <t>PROD944</t>
  </si>
  <si>
    <t>10/15/2021</t>
  </si>
  <si>
    <t xml:space="preserve"> $73.09 </t>
  </si>
  <si>
    <t>ORD5745</t>
  </si>
  <si>
    <t>CUST1745</t>
  </si>
  <si>
    <t>PROD945</t>
  </si>
  <si>
    <t>11/25/2021</t>
  </si>
  <si>
    <t xml:space="preserve"> $1,326.91 </t>
  </si>
  <si>
    <t>ORD5746</t>
  </si>
  <si>
    <t>CUST1746</t>
  </si>
  <si>
    <t>PROD946</t>
  </si>
  <si>
    <t>4/21/2021</t>
  </si>
  <si>
    <t xml:space="preserve"> $187.35 </t>
  </si>
  <si>
    <t>ORD5747</t>
  </si>
  <si>
    <t>CUST1747</t>
  </si>
  <si>
    <t>PROD947</t>
  </si>
  <si>
    <t>6/13/2021</t>
  </si>
  <si>
    <t xml:space="preserve"> $421.14 </t>
  </si>
  <si>
    <t>ORD5748</t>
  </si>
  <si>
    <t>CUST1748</t>
  </si>
  <si>
    <t>PROD948</t>
  </si>
  <si>
    <t xml:space="preserve"> $107.87 </t>
  </si>
  <si>
    <t>ORD5749</t>
  </si>
  <si>
    <t>CUST1749</t>
  </si>
  <si>
    <t>PROD949</t>
  </si>
  <si>
    <t xml:space="preserve"> $185.96 </t>
  </si>
  <si>
    <t>ORD5750</t>
  </si>
  <si>
    <t>CUST1750</t>
  </si>
  <si>
    <t>PROD950</t>
  </si>
  <si>
    <t xml:space="preserve"> $180.94 </t>
  </si>
  <si>
    <t>ORD5751</t>
  </si>
  <si>
    <t>CUST1751</t>
  </si>
  <si>
    <t>PROD951</t>
  </si>
  <si>
    <t xml:space="preserve"> $138.80 </t>
  </si>
  <si>
    <t>ORD5752</t>
  </si>
  <si>
    <t>CUST1752</t>
  </si>
  <si>
    <t>PROD952</t>
  </si>
  <si>
    <t xml:space="preserve"> $856.16 </t>
  </si>
  <si>
    <t>ORD5753</t>
  </si>
  <si>
    <t>CUST1753</t>
  </si>
  <si>
    <t>PROD953</t>
  </si>
  <si>
    <t xml:space="preserve"> $206.67 </t>
  </si>
  <si>
    <t>ORD5754</t>
  </si>
  <si>
    <t>CUST1754</t>
  </si>
  <si>
    <t>PROD954</t>
  </si>
  <si>
    <t>2/14/2025</t>
  </si>
  <si>
    <t xml:space="preserve"> $175.10 </t>
  </si>
  <si>
    <t>ORD5755</t>
  </si>
  <si>
    <t>CUST1755</t>
  </si>
  <si>
    <t>PROD955</t>
  </si>
  <si>
    <t xml:space="preserve"> $174.92 </t>
  </si>
  <si>
    <t>ORD5756</t>
  </si>
  <si>
    <t>CUST1756</t>
  </si>
  <si>
    <t>PROD956</t>
  </si>
  <si>
    <t>11/30/2023</t>
  </si>
  <si>
    <t xml:space="preserve"> $406.39 </t>
  </si>
  <si>
    <t>ORD5757</t>
  </si>
  <si>
    <t>CUST1757</t>
  </si>
  <si>
    <t>PROD957</t>
  </si>
  <si>
    <t xml:space="preserve"> $190.94 </t>
  </si>
  <si>
    <t>ORD5758</t>
  </si>
  <si>
    <t>CUST1758</t>
  </si>
  <si>
    <t>PROD958</t>
  </si>
  <si>
    <t xml:space="preserve"> $453.96 </t>
  </si>
  <si>
    <t>ORD5759</t>
  </si>
  <si>
    <t>CUST1759</t>
  </si>
  <si>
    <t>PROD959</t>
  </si>
  <si>
    <t>6/27/2021</t>
  </si>
  <si>
    <t xml:space="preserve"> $186.85 </t>
  </si>
  <si>
    <t>ORD5760</t>
  </si>
  <si>
    <t>CUST1760</t>
  </si>
  <si>
    <t>PROD960</t>
  </si>
  <si>
    <t xml:space="preserve"> $136.28 </t>
  </si>
  <si>
    <t>ORD5761</t>
  </si>
  <si>
    <t>CUST1761</t>
  </si>
  <si>
    <t>PROD961</t>
  </si>
  <si>
    <t>5/15/2021</t>
  </si>
  <si>
    <t xml:space="preserve"> $187.92 </t>
  </si>
  <si>
    <t>ORD5762</t>
  </si>
  <si>
    <t>CUST1762</t>
  </si>
  <si>
    <t>PROD962</t>
  </si>
  <si>
    <t xml:space="preserve"> $1,779.70 </t>
  </si>
  <si>
    <t>ORD5763</t>
  </si>
  <si>
    <t>CUST1763</t>
  </si>
  <si>
    <t>PROD963</t>
  </si>
  <si>
    <t>8/16/2024</t>
  </si>
  <si>
    <t xml:space="preserve"> $107.63 </t>
  </si>
  <si>
    <t>ORD5764</t>
  </si>
  <si>
    <t>CUST1764</t>
  </si>
  <si>
    <t>PROD964</t>
  </si>
  <si>
    <t>7/28/2024</t>
  </si>
  <si>
    <t xml:space="preserve"> $312.62 </t>
  </si>
  <si>
    <t>ORD5765</t>
  </si>
  <si>
    <t>CUST1765</t>
  </si>
  <si>
    <t>PROD965</t>
  </si>
  <si>
    <t xml:space="preserve"> $296.94 </t>
  </si>
  <si>
    <t>ORD5766</t>
  </si>
  <si>
    <t>CUST1766</t>
  </si>
  <si>
    <t>PROD966</t>
  </si>
  <si>
    <t xml:space="preserve"> $604.99 </t>
  </si>
  <si>
    <t>ORD5767</t>
  </si>
  <si>
    <t>CUST1767</t>
  </si>
  <si>
    <t>PROD967</t>
  </si>
  <si>
    <t>4/13/2023</t>
  </si>
  <si>
    <t xml:space="preserve"> $267.93 </t>
  </si>
  <si>
    <t>ORD5768</t>
  </si>
  <si>
    <t>CUST1768</t>
  </si>
  <si>
    <t>PROD968</t>
  </si>
  <si>
    <t>2/15/2025</t>
  </si>
  <si>
    <t xml:space="preserve"> $452.36 </t>
  </si>
  <si>
    <t>ORD5769</t>
  </si>
  <si>
    <t>CUST1769</t>
  </si>
  <si>
    <t>PROD969</t>
  </si>
  <si>
    <t>5/17/2022</t>
  </si>
  <si>
    <t xml:space="preserve"> $890.55 </t>
  </si>
  <si>
    <t>ORD5770</t>
  </si>
  <si>
    <t>CUST1770</t>
  </si>
  <si>
    <t>PROD970</t>
  </si>
  <si>
    <t xml:space="preserve"> $345.88 </t>
  </si>
  <si>
    <t>ORD5771</t>
  </si>
  <si>
    <t>CUST1771</t>
  </si>
  <si>
    <t>PROD971</t>
  </si>
  <si>
    <t>1/30/2021</t>
  </si>
  <si>
    <t xml:space="preserve"> $104.90 </t>
  </si>
  <si>
    <t>ORD5772</t>
  </si>
  <si>
    <t>CUST1772</t>
  </si>
  <si>
    <t>PROD972</t>
  </si>
  <si>
    <t>7/24/2025</t>
  </si>
  <si>
    <t xml:space="preserve"> $469.38 </t>
  </si>
  <si>
    <t>ORD5773</t>
  </si>
  <si>
    <t>CUST1773</t>
  </si>
  <si>
    <t>PROD973</t>
  </si>
  <si>
    <t>3/31/2022</t>
  </si>
  <si>
    <t xml:space="preserve"> $1,603.98 </t>
  </si>
  <si>
    <t>ORD5774</t>
  </si>
  <si>
    <t>CUST1774</t>
  </si>
  <si>
    <t>PROD974</t>
  </si>
  <si>
    <t xml:space="preserve"> $94.71 </t>
  </si>
  <si>
    <t>ORD5775</t>
  </si>
  <si>
    <t>CUST1775</t>
  </si>
  <si>
    <t>PROD975</t>
  </si>
  <si>
    <t xml:space="preserve"> $356.64 </t>
  </si>
  <si>
    <t>ORD5776</t>
  </si>
  <si>
    <t>CUST1776</t>
  </si>
  <si>
    <t>PROD976</t>
  </si>
  <si>
    <t xml:space="preserve"> $1,866.70 </t>
  </si>
  <si>
    <t>ORD5777</t>
  </si>
  <si>
    <t>CUST1777</t>
  </si>
  <si>
    <t>PROD977</t>
  </si>
  <si>
    <t>6/19/2023</t>
  </si>
  <si>
    <t xml:space="preserve"> $163.70 </t>
  </si>
  <si>
    <t>ORD5778</t>
  </si>
  <si>
    <t>CUST1778</t>
  </si>
  <si>
    <t>PROD978</t>
  </si>
  <si>
    <t xml:space="preserve"> $155.82 </t>
  </si>
  <si>
    <t>ORD5779</t>
  </si>
  <si>
    <t>CUST1779</t>
  </si>
  <si>
    <t>PROD979</t>
  </si>
  <si>
    <t xml:space="preserve"> $106.10 </t>
  </si>
  <si>
    <t>ORD5780</t>
  </si>
  <si>
    <t>CUST1780</t>
  </si>
  <si>
    <t>PROD980</t>
  </si>
  <si>
    <t xml:space="preserve"> $1,612.53 </t>
  </si>
  <si>
    <t>ORD5781</t>
  </si>
  <si>
    <t>CUST1781</t>
  </si>
  <si>
    <t>PROD981</t>
  </si>
  <si>
    <t xml:space="preserve"> $62.63 </t>
  </si>
  <si>
    <t>ORD5782</t>
  </si>
  <si>
    <t>CUST1782</t>
  </si>
  <si>
    <t>PROD982</t>
  </si>
  <si>
    <t>9/13/2023</t>
  </si>
  <si>
    <t xml:space="preserve"> $119.67 </t>
  </si>
  <si>
    <t>ORD5783</t>
  </si>
  <si>
    <t>CUST1783</t>
  </si>
  <si>
    <t>PROD983</t>
  </si>
  <si>
    <t xml:space="preserve"> $521.39 </t>
  </si>
  <si>
    <t>ORD5784</t>
  </si>
  <si>
    <t>CUST1784</t>
  </si>
  <si>
    <t>PROD984</t>
  </si>
  <si>
    <t xml:space="preserve"> $206.37 </t>
  </si>
  <si>
    <t>ORD5785</t>
  </si>
  <si>
    <t>CUST1785</t>
  </si>
  <si>
    <t>PROD985</t>
  </si>
  <si>
    <t>10/31/2023</t>
  </si>
  <si>
    <t xml:space="preserve"> $415.32 </t>
  </si>
  <si>
    <t>ORD5786</t>
  </si>
  <si>
    <t>CUST1786</t>
  </si>
  <si>
    <t>PROD986</t>
  </si>
  <si>
    <t>4/14/2024</t>
  </si>
  <si>
    <t xml:space="preserve"> $591.74 </t>
  </si>
  <si>
    <t>ORD5787</t>
  </si>
  <si>
    <t>CUST1787</t>
  </si>
  <si>
    <t>PROD987</t>
  </si>
  <si>
    <t xml:space="preserve"> $80.74 </t>
  </si>
  <si>
    <t>ORD5788</t>
  </si>
  <si>
    <t>CUST1788</t>
  </si>
  <si>
    <t>PROD988</t>
  </si>
  <si>
    <t>1/20/2021</t>
  </si>
  <si>
    <t>1/28/2023</t>
  </si>
  <si>
    <t xml:space="preserve"> $306.56 </t>
  </si>
  <si>
    <t>ORD5789</t>
  </si>
  <si>
    <t>CUST1789</t>
  </si>
  <si>
    <t>PROD989</t>
  </si>
  <si>
    <t>10/19/2022</t>
  </si>
  <si>
    <t xml:space="preserve"> $355.84 </t>
  </si>
  <si>
    <t>ORD5790</t>
  </si>
  <si>
    <t>CUST1790</t>
  </si>
  <si>
    <t>PROD990</t>
  </si>
  <si>
    <t xml:space="preserve"> $1,830.76 </t>
  </si>
  <si>
    <t>ORD5791</t>
  </si>
  <si>
    <t>CUST1791</t>
  </si>
  <si>
    <t>PROD991</t>
  </si>
  <si>
    <t>3/29/2021</t>
  </si>
  <si>
    <t xml:space="preserve"> $160.18 </t>
  </si>
  <si>
    <t>ORD5792</t>
  </si>
  <si>
    <t>CUST1792</t>
  </si>
  <si>
    <t>PROD992</t>
  </si>
  <si>
    <t>3/16/2023</t>
  </si>
  <si>
    <t>2/16/2024</t>
  </si>
  <si>
    <t xml:space="preserve"> $617.63 </t>
  </si>
  <si>
    <t>ORD5793</t>
  </si>
  <si>
    <t>CUST1793</t>
  </si>
  <si>
    <t>PROD993</t>
  </si>
  <si>
    <t>3/19/2023</t>
  </si>
  <si>
    <t xml:space="preserve"> $535.52 </t>
  </si>
  <si>
    <t>ORD5794</t>
  </si>
  <si>
    <t>CUST1794</t>
  </si>
  <si>
    <t>PROD994</t>
  </si>
  <si>
    <t>10/15/2020</t>
  </si>
  <si>
    <t>5/29/2021</t>
  </si>
  <si>
    <t xml:space="preserve"> $182.19 </t>
  </si>
  <si>
    <t>ORD5795</t>
  </si>
  <si>
    <t>CUST1795</t>
  </si>
  <si>
    <t>PROD995</t>
  </si>
  <si>
    <t>11/14/2024</t>
  </si>
  <si>
    <t xml:space="preserve"> $93.02 </t>
  </si>
  <si>
    <t>ORD5796</t>
  </si>
  <si>
    <t>CUST1796</t>
  </si>
  <si>
    <t>PROD996</t>
  </si>
  <si>
    <t xml:space="preserve"> $166.00 </t>
  </si>
  <si>
    <t>ORD5797</t>
  </si>
  <si>
    <t>CUST1797</t>
  </si>
  <si>
    <t>PROD997</t>
  </si>
  <si>
    <t>12/31/2022</t>
  </si>
  <si>
    <t xml:space="preserve"> $70.69 </t>
  </si>
  <si>
    <t>ORD5798</t>
  </si>
  <si>
    <t>CUST1798</t>
  </si>
  <si>
    <t>PROD998</t>
  </si>
  <si>
    <t xml:space="preserve"> $389.13 </t>
  </si>
  <si>
    <t>ORD5799</t>
  </si>
  <si>
    <t>CUST1799</t>
  </si>
  <si>
    <t>PROD999</t>
  </si>
  <si>
    <t xml:space="preserve"> $775.47 </t>
  </si>
  <si>
    <t>ORD5800</t>
  </si>
  <si>
    <t>CUST1800</t>
  </si>
  <si>
    <t>PROD1000</t>
  </si>
  <si>
    <t>1/13/2023</t>
  </si>
  <si>
    <t xml:space="preserve"> $275.37 </t>
  </si>
  <si>
    <t>ORD5801</t>
  </si>
  <si>
    <t>CUST1801</t>
  </si>
  <si>
    <t>PROD1001</t>
  </si>
  <si>
    <t>4/20/2021</t>
  </si>
  <si>
    <t>10/15/2024</t>
  </si>
  <si>
    <t xml:space="preserve"> $70.36 </t>
  </si>
  <si>
    <t>ORD5802</t>
  </si>
  <si>
    <t>CUST1802</t>
  </si>
  <si>
    <t>PROD1002</t>
  </si>
  <si>
    <t>11/15/2022</t>
  </si>
  <si>
    <t>5/24/2023</t>
  </si>
  <si>
    <t xml:space="preserve"> $584.12 </t>
  </si>
  <si>
    <t>ORD5803</t>
  </si>
  <si>
    <t>CUST1803</t>
  </si>
  <si>
    <t>PROD1003</t>
  </si>
  <si>
    <t>1/30/2022</t>
  </si>
  <si>
    <t xml:space="preserve"> $275.07 </t>
  </si>
  <si>
    <t>ORD5804</t>
  </si>
  <si>
    <t>CUST1804</t>
  </si>
  <si>
    <t>PROD1004</t>
  </si>
  <si>
    <t xml:space="preserve"> $228.54 </t>
  </si>
  <si>
    <t>ORD5805</t>
  </si>
  <si>
    <t>CUST1805</t>
  </si>
  <si>
    <t>PROD1005</t>
  </si>
  <si>
    <t xml:space="preserve"> $206.83 </t>
  </si>
  <si>
    <t>ORD5806</t>
  </si>
  <si>
    <t>CUST1806</t>
  </si>
  <si>
    <t>PROD1006</t>
  </si>
  <si>
    <t xml:space="preserve"> $164.25 </t>
  </si>
  <si>
    <t>ORD5807</t>
  </si>
  <si>
    <t>CUST1807</t>
  </si>
  <si>
    <t>PROD1007</t>
  </si>
  <si>
    <t xml:space="preserve"> $59.56 </t>
  </si>
  <si>
    <t>ORD5808</t>
  </si>
  <si>
    <t>CUST1808</t>
  </si>
  <si>
    <t>PROD1008</t>
  </si>
  <si>
    <t xml:space="preserve"> $321.07 </t>
  </si>
  <si>
    <t>ORD5809</t>
  </si>
  <si>
    <t>CUST1809</t>
  </si>
  <si>
    <t>PROD1009</t>
  </si>
  <si>
    <t xml:space="preserve"> $1,727.60 </t>
  </si>
  <si>
    <t>ORD5810</t>
  </si>
  <si>
    <t>CUST1810</t>
  </si>
  <si>
    <t>PROD1010</t>
  </si>
  <si>
    <t>9/22/2022</t>
  </si>
  <si>
    <t xml:space="preserve"> $636.40 </t>
  </si>
  <si>
    <t>ORD5811</t>
  </si>
  <si>
    <t>CUST1811</t>
  </si>
  <si>
    <t>PROD1011</t>
  </si>
  <si>
    <t xml:space="preserve"> $3.22 </t>
  </si>
  <si>
    <t>ORD5812</t>
  </si>
  <si>
    <t>CUST1812</t>
  </si>
  <si>
    <t>PROD1012</t>
  </si>
  <si>
    <t xml:space="preserve"> $412.53 </t>
  </si>
  <si>
    <t>ORD5813</t>
  </si>
  <si>
    <t>CUST1813</t>
  </si>
  <si>
    <t>PROD1013</t>
  </si>
  <si>
    <t xml:space="preserve"> $6.28 </t>
  </si>
  <si>
    <t>ORD5814</t>
  </si>
  <si>
    <t>CUST1814</t>
  </si>
  <si>
    <t>PROD1014</t>
  </si>
  <si>
    <t>9/13/2020</t>
  </si>
  <si>
    <t xml:space="preserve"> $220.15 </t>
  </si>
  <si>
    <t>ORD5815</t>
  </si>
  <si>
    <t>CUST1815</t>
  </si>
  <si>
    <t>PROD1015</t>
  </si>
  <si>
    <t>4/20/2022</t>
  </si>
  <si>
    <t xml:space="preserve"> $386.61 </t>
  </si>
  <si>
    <t>ORD5816</t>
  </si>
  <si>
    <t>CUST1816</t>
  </si>
  <si>
    <t>PROD1016</t>
  </si>
  <si>
    <t xml:space="preserve"> $133.37 </t>
  </si>
  <si>
    <t>ORD5817</t>
  </si>
  <si>
    <t>CUST1817</t>
  </si>
  <si>
    <t>PROD1017</t>
  </si>
  <si>
    <t xml:space="preserve"> $159.66 </t>
  </si>
  <si>
    <t>ORD5818</t>
  </si>
  <si>
    <t>CUST1818</t>
  </si>
  <si>
    <t>PROD1018</t>
  </si>
  <si>
    <t xml:space="preserve"> $777.63 </t>
  </si>
  <si>
    <t>ORD5819</t>
  </si>
  <si>
    <t>CUST1819</t>
  </si>
  <si>
    <t>PROD1019</t>
  </si>
  <si>
    <t>5/14/2025</t>
  </si>
  <si>
    <t xml:space="preserve"> $160.33 </t>
  </si>
  <si>
    <t>ORD5820</t>
  </si>
  <si>
    <t>CUST1820</t>
  </si>
  <si>
    <t>PROD1020</t>
  </si>
  <si>
    <t>7/29/2021</t>
  </si>
  <si>
    <t xml:space="preserve"> $281.82 </t>
  </si>
  <si>
    <t>ORD5821</t>
  </si>
  <si>
    <t>CUST1821</t>
  </si>
  <si>
    <t>PROD1021</t>
  </si>
  <si>
    <t xml:space="preserve"> $32.79 </t>
  </si>
  <si>
    <t>ORD5822</t>
  </si>
  <si>
    <t>CUST1822</t>
  </si>
  <si>
    <t>PROD1022</t>
  </si>
  <si>
    <t>12/17/2022</t>
  </si>
  <si>
    <t>ORD5823</t>
  </si>
  <si>
    <t>CUST1823</t>
  </si>
  <si>
    <t>PROD1023</t>
  </si>
  <si>
    <t xml:space="preserve"> $219.25 </t>
  </si>
  <si>
    <t>ORD5824</t>
  </si>
  <si>
    <t>CUST1824</t>
  </si>
  <si>
    <t>PROD1024</t>
  </si>
  <si>
    <t xml:space="preserve"> $240.97 </t>
  </si>
  <si>
    <t>ORD5825</t>
  </si>
  <si>
    <t>CUST1825</t>
  </si>
  <si>
    <t>PROD1025</t>
  </si>
  <si>
    <t>11/17/2022</t>
  </si>
  <si>
    <t xml:space="preserve"> $109.65 </t>
  </si>
  <si>
    <t>ORD5826</t>
  </si>
  <si>
    <t>CUST1826</t>
  </si>
  <si>
    <t>PROD1026</t>
  </si>
  <si>
    <t xml:space="preserve"> $147.48 </t>
  </si>
  <si>
    <t>ORD5827</t>
  </si>
  <si>
    <t>CUST1827</t>
  </si>
  <si>
    <t>PROD1027</t>
  </si>
  <si>
    <t>5/26/2022</t>
  </si>
  <si>
    <t>5/19/2025</t>
  </si>
  <si>
    <t xml:space="preserve"> $285.81 </t>
  </si>
  <si>
    <t>ORD5828</t>
  </si>
  <si>
    <t>CUST1828</t>
  </si>
  <si>
    <t>PROD1028</t>
  </si>
  <si>
    <t xml:space="preserve"> $247.44 </t>
  </si>
  <si>
    <t>ORD5829</t>
  </si>
  <si>
    <t>CUST1829</t>
  </si>
  <si>
    <t>PROD1029</t>
  </si>
  <si>
    <t xml:space="preserve"> $392.68 </t>
  </si>
  <si>
    <t>ORD5830</t>
  </si>
  <si>
    <t>CUST1830</t>
  </si>
  <si>
    <t>PROD1030</t>
  </si>
  <si>
    <t xml:space="preserve"> $571.02 </t>
  </si>
  <si>
    <t>ORD5831</t>
  </si>
  <si>
    <t>CUST1831</t>
  </si>
  <si>
    <t>PROD1031</t>
  </si>
  <si>
    <t xml:space="preserve"> $193.46 </t>
  </si>
  <si>
    <t>ORD5832</t>
  </si>
  <si>
    <t>CUST1832</t>
  </si>
  <si>
    <t>PROD1032</t>
  </si>
  <si>
    <t>1/26/2022</t>
  </si>
  <si>
    <t>10/18/2023</t>
  </si>
  <si>
    <t xml:space="preserve"> $212.68 </t>
  </si>
  <si>
    <t>ORD5833</t>
  </si>
  <si>
    <t>CUST1833</t>
  </si>
  <si>
    <t>PROD1033</t>
  </si>
  <si>
    <t xml:space="preserve"> $630.94 </t>
  </si>
  <si>
    <t>ORD5834</t>
  </si>
  <si>
    <t>CUST1834</t>
  </si>
  <si>
    <t>PROD1034</t>
  </si>
  <si>
    <t>9/16/2021</t>
  </si>
  <si>
    <t xml:space="preserve"> $1,649.05 </t>
  </si>
  <si>
    <t>ORD5835</t>
  </si>
  <si>
    <t>CUST1835</t>
  </si>
  <si>
    <t>PROD1035</t>
  </si>
  <si>
    <t xml:space="preserve"> $235.74 </t>
  </si>
  <si>
    <t>ORD5836</t>
  </si>
  <si>
    <t>CUST1836</t>
  </si>
  <si>
    <t>PROD1036</t>
  </si>
  <si>
    <t xml:space="preserve"> $280.06 </t>
  </si>
  <si>
    <t>ORD5837</t>
  </si>
  <si>
    <t>CUST1837</t>
  </si>
  <si>
    <t>PROD1037</t>
  </si>
  <si>
    <t xml:space="preserve"> $407.36 </t>
  </si>
  <si>
    <t>ORD5838</t>
  </si>
  <si>
    <t>CUST1838</t>
  </si>
  <si>
    <t>PROD1038</t>
  </si>
  <si>
    <t xml:space="preserve"> $15.74 </t>
  </si>
  <si>
    <t>ORD5839</t>
  </si>
  <si>
    <t>CUST1839</t>
  </si>
  <si>
    <t>PROD1039</t>
  </si>
  <si>
    <t>5/16/2022</t>
  </si>
  <si>
    <t xml:space="preserve"> $192.70 </t>
  </si>
  <si>
    <t>ORD5840</t>
  </si>
  <si>
    <t>CUST1840</t>
  </si>
  <si>
    <t>PROD1040</t>
  </si>
  <si>
    <t xml:space="preserve"> $69.18 </t>
  </si>
  <si>
    <t>ORD5841</t>
  </si>
  <si>
    <t>CUST1841</t>
  </si>
  <si>
    <t>PROD1041</t>
  </si>
  <si>
    <t>1/17/2023</t>
  </si>
  <si>
    <t xml:space="preserve"> $579.37 </t>
  </si>
  <si>
    <t>ORD5842</t>
  </si>
  <si>
    <t>CUST1842</t>
  </si>
  <si>
    <t>PROD1042</t>
  </si>
  <si>
    <t xml:space="preserve"> $394.58 </t>
  </si>
  <si>
    <t>ORD5843</t>
  </si>
  <si>
    <t>CUST1843</t>
  </si>
  <si>
    <t>PROD1043</t>
  </si>
  <si>
    <t>8/31/2020</t>
  </si>
  <si>
    <t>9/18/2020</t>
  </si>
  <si>
    <t xml:space="preserve"> $225.37 </t>
  </si>
  <si>
    <t>ORD5844</t>
  </si>
  <si>
    <t>CUST1844</t>
  </si>
  <si>
    <t>PROD1044</t>
  </si>
  <si>
    <t xml:space="preserve"> $134.10 </t>
  </si>
  <si>
    <t>ORD5845</t>
  </si>
  <si>
    <t>CUST1845</t>
  </si>
  <si>
    <t>PROD1045</t>
  </si>
  <si>
    <t>4/18/2024</t>
  </si>
  <si>
    <t xml:space="preserve"> $271.53 </t>
  </si>
  <si>
    <t>ORD5846</t>
  </si>
  <si>
    <t>CUST1846</t>
  </si>
  <si>
    <t>PROD1046</t>
  </si>
  <si>
    <t xml:space="preserve"> $185.23 </t>
  </si>
  <si>
    <t>ORD5847</t>
  </si>
  <si>
    <t>CUST1847</t>
  </si>
  <si>
    <t>PROD1047</t>
  </si>
  <si>
    <t xml:space="preserve"> $659.34 </t>
  </si>
  <si>
    <t>ORD5848</t>
  </si>
  <si>
    <t>CUST1848</t>
  </si>
  <si>
    <t>PROD1048</t>
  </si>
  <si>
    <t xml:space="preserve"> $115.48 </t>
  </si>
  <si>
    <t>ORD5849</t>
  </si>
  <si>
    <t>CUST1849</t>
  </si>
  <si>
    <t>PROD1049</t>
  </si>
  <si>
    <t>6/17/2025</t>
  </si>
  <si>
    <t xml:space="preserve"> $216.91 </t>
  </si>
  <si>
    <t>ORD5850</t>
  </si>
  <si>
    <t>CUST1850</t>
  </si>
  <si>
    <t>PROD1050</t>
  </si>
  <si>
    <t xml:space="preserve"> $565.54 </t>
  </si>
  <si>
    <t>ORD5851</t>
  </si>
  <si>
    <t>CUST1851</t>
  </si>
  <si>
    <t>PROD1051</t>
  </si>
  <si>
    <t xml:space="preserve"> $1,146.75 </t>
  </si>
  <si>
    <t>ORD5852</t>
  </si>
  <si>
    <t>CUST1852</t>
  </si>
  <si>
    <t>PROD1052</t>
  </si>
  <si>
    <t xml:space="preserve"> $308.27 </t>
  </si>
  <si>
    <t>ORD5853</t>
  </si>
  <si>
    <t>CUST1853</t>
  </si>
  <si>
    <t>PROD1053</t>
  </si>
  <si>
    <t>4/30/2024</t>
  </si>
  <si>
    <t xml:space="preserve"> $35.94 </t>
  </si>
  <si>
    <t>ORD5854</t>
  </si>
  <si>
    <t>CUST1854</t>
  </si>
  <si>
    <t>PROD1054</t>
  </si>
  <si>
    <t>5/29/2024</t>
  </si>
  <si>
    <t xml:space="preserve"> $59.83 </t>
  </si>
  <si>
    <t>ORD5855</t>
  </si>
  <si>
    <t>CUST1855</t>
  </si>
  <si>
    <t>PROD1055</t>
  </si>
  <si>
    <t xml:space="preserve"> $71.23 </t>
  </si>
  <si>
    <t>ORD5856</t>
  </si>
  <si>
    <t>CUST1856</t>
  </si>
  <si>
    <t>PROD1056</t>
  </si>
  <si>
    <t xml:space="preserve"> $57.80 </t>
  </si>
  <si>
    <t>ORD5857</t>
  </si>
  <si>
    <t>CUST1857</t>
  </si>
  <si>
    <t>PROD1057</t>
  </si>
  <si>
    <t>12/23/2023</t>
  </si>
  <si>
    <t xml:space="preserve"> $168.42 </t>
  </si>
  <si>
    <t>ORD5858</t>
  </si>
  <si>
    <t>CUST1858</t>
  </si>
  <si>
    <t>PROD1058</t>
  </si>
  <si>
    <t>1/18/2024</t>
  </si>
  <si>
    <t xml:space="preserve"> $459.91 </t>
  </si>
  <si>
    <t>ORD5859</t>
  </si>
  <si>
    <t>CUST1859</t>
  </si>
  <si>
    <t>PROD1059</t>
  </si>
  <si>
    <t xml:space="preserve"> $553.70 </t>
  </si>
  <si>
    <t>ORD5860</t>
  </si>
  <si>
    <t>CUST1860</t>
  </si>
  <si>
    <t>PROD1060</t>
  </si>
  <si>
    <t xml:space="preserve"> $109.72 </t>
  </si>
  <si>
    <t>ORD5861</t>
  </si>
  <si>
    <t>CUST1861</t>
  </si>
  <si>
    <t>PROD1061</t>
  </si>
  <si>
    <t xml:space="preserve"> $185.49 </t>
  </si>
  <si>
    <t>ORD5862</t>
  </si>
  <si>
    <t>CUST1862</t>
  </si>
  <si>
    <t>PROD1062</t>
  </si>
  <si>
    <t>ORD5863</t>
  </si>
  <si>
    <t>CUST1863</t>
  </si>
  <si>
    <t>PROD1063</t>
  </si>
  <si>
    <t xml:space="preserve"> $12.13 </t>
  </si>
  <si>
    <t>ORD5864</t>
  </si>
  <si>
    <t>CUST1864</t>
  </si>
  <si>
    <t>PROD1064</t>
  </si>
  <si>
    <t>6/16/2022</t>
  </si>
  <si>
    <t xml:space="preserve"> $125.67 </t>
  </si>
  <si>
    <t>ORD5865</t>
  </si>
  <si>
    <t>CUST1865</t>
  </si>
  <si>
    <t>PROD1065</t>
  </si>
  <si>
    <t xml:space="preserve"> $257.64 </t>
  </si>
  <si>
    <t>ORD5866</t>
  </si>
  <si>
    <t>CUST1866</t>
  </si>
  <si>
    <t>PROD1066</t>
  </si>
  <si>
    <t>4/25/2024</t>
  </si>
  <si>
    <t xml:space="preserve"> $271.11 </t>
  </si>
  <si>
    <t>ORD5867</t>
  </si>
  <si>
    <t>CUST1867</t>
  </si>
  <si>
    <t>PROD1067</t>
  </si>
  <si>
    <t>6/17/2021</t>
  </si>
  <si>
    <t xml:space="preserve"> $163.32 </t>
  </si>
  <si>
    <t>ORD5868</t>
  </si>
  <si>
    <t>CUST1868</t>
  </si>
  <si>
    <t>PROD1068</t>
  </si>
  <si>
    <t>9/28/2023</t>
  </si>
  <si>
    <t>2/25/2025</t>
  </si>
  <si>
    <t xml:space="preserve"> $392.26 </t>
  </si>
  <si>
    <t>ORD5869</t>
  </si>
  <si>
    <t>CUST1869</t>
  </si>
  <si>
    <t>PROD1069</t>
  </si>
  <si>
    <t xml:space="preserve"> $13.61 </t>
  </si>
  <si>
    <t>ORD5870</t>
  </si>
  <si>
    <t>CUST1870</t>
  </si>
  <si>
    <t>PROD1070</t>
  </si>
  <si>
    <t xml:space="preserve"> $216.65 </t>
  </si>
  <si>
    <t>ORD5871</t>
  </si>
  <si>
    <t>CUST1871</t>
  </si>
  <si>
    <t>PROD1071</t>
  </si>
  <si>
    <t>1/24/2021</t>
  </si>
  <si>
    <t>10/27/2023</t>
  </si>
  <si>
    <t xml:space="preserve"> $16.71 </t>
  </si>
  <si>
    <t>ORD5872</t>
  </si>
  <si>
    <t>CUST1872</t>
  </si>
  <si>
    <t>PROD1072</t>
  </si>
  <si>
    <t xml:space="preserve"> $175.08 </t>
  </si>
  <si>
    <t>ORD5873</t>
  </si>
  <si>
    <t>CUST1873</t>
  </si>
  <si>
    <t>PROD1073</t>
  </si>
  <si>
    <t>3/30/2025</t>
  </si>
  <si>
    <t xml:space="preserve"> $14.48 </t>
  </si>
  <si>
    <t>ORD5874</t>
  </si>
  <si>
    <t>CUST1874</t>
  </si>
  <si>
    <t>PROD1074</t>
  </si>
  <si>
    <t xml:space="preserve"> $278.55 </t>
  </si>
  <si>
    <t>ORD5875</t>
  </si>
  <si>
    <t>CUST1875</t>
  </si>
  <si>
    <t>PROD1075</t>
  </si>
  <si>
    <t xml:space="preserve"> $214.18 </t>
  </si>
  <si>
    <t>ORD5876</t>
  </si>
  <si>
    <t>CUST1876</t>
  </si>
  <si>
    <t>PROD1076</t>
  </si>
  <si>
    <t xml:space="preserve"> $230.54 </t>
  </si>
  <si>
    <t>ORD5877</t>
  </si>
  <si>
    <t>CUST1877</t>
  </si>
  <si>
    <t>PROD1077</t>
  </si>
  <si>
    <t xml:space="preserve"> $389.52 </t>
  </si>
  <si>
    <t>ORD5878</t>
  </si>
  <si>
    <t>CUST1878</t>
  </si>
  <si>
    <t>PROD1078</t>
  </si>
  <si>
    <t>4/29/2022</t>
  </si>
  <si>
    <t xml:space="preserve"> $51.37 </t>
  </si>
  <si>
    <t>ORD5879</t>
  </si>
  <si>
    <t>CUST1879</t>
  </si>
  <si>
    <t>PROD1079</t>
  </si>
  <si>
    <t xml:space="preserve"> $122.69 </t>
  </si>
  <si>
    <t>ORD5880</t>
  </si>
  <si>
    <t>CUST1880</t>
  </si>
  <si>
    <t>PROD1080</t>
  </si>
  <si>
    <t>5/24/2025</t>
  </si>
  <si>
    <t>6/15/2025</t>
  </si>
  <si>
    <t xml:space="preserve"> $330.62 </t>
  </si>
  <si>
    <t>ORD5881</t>
  </si>
  <si>
    <t>CUST1881</t>
  </si>
  <si>
    <t>PROD1081</t>
  </si>
  <si>
    <t xml:space="preserve"> $158.04 </t>
  </si>
  <si>
    <t>ORD5882</t>
  </si>
  <si>
    <t>CUST1882</t>
  </si>
  <si>
    <t>PROD1082</t>
  </si>
  <si>
    <t>12/17/2024</t>
  </si>
  <si>
    <t xml:space="preserve"> $206.38 </t>
  </si>
  <si>
    <t>ORD5883</t>
  </si>
  <si>
    <t>CUST1883</t>
  </si>
  <si>
    <t>PROD1083</t>
  </si>
  <si>
    <t>12/31/2020</t>
  </si>
  <si>
    <t xml:space="preserve"> $79.18 </t>
  </si>
  <si>
    <t>ORD5884</t>
  </si>
  <si>
    <t>CUST1884</t>
  </si>
  <si>
    <t>PROD1084</t>
  </si>
  <si>
    <t xml:space="preserve"> $255.14 </t>
  </si>
  <si>
    <t>ORD5885</t>
  </si>
  <si>
    <t>CUST1885</t>
  </si>
  <si>
    <t>PROD1085</t>
  </si>
  <si>
    <t xml:space="preserve"> $37.30 </t>
  </si>
  <si>
    <t>ORD5886</t>
  </si>
  <si>
    <t>CUST1886</t>
  </si>
  <si>
    <t>PROD1086</t>
  </si>
  <si>
    <t>6/16/2023</t>
  </si>
  <si>
    <t xml:space="preserve"> $204.47 </t>
  </si>
  <si>
    <t>ORD5887</t>
  </si>
  <si>
    <t>CUST1887</t>
  </si>
  <si>
    <t>PROD1087</t>
  </si>
  <si>
    <t xml:space="preserve"> $67.58 </t>
  </si>
  <si>
    <t>ORD5888</t>
  </si>
  <si>
    <t>CUST1888</t>
  </si>
  <si>
    <t>PROD1088</t>
  </si>
  <si>
    <t xml:space="preserve"> $120.78 </t>
  </si>
  <si>
    <t>ORD5889</t>
  </si>
  <si>
    <t>CUST1889</t>
  </si>
  <si>
    <t>PROD1089</t>
  </si>
  <si>
    <t xml:space="preserve"> $11.14 </t>
  </si>
  <si>
    <t>ORD5890</t>
  </si>
  <si>
    <t>CUST1890</t>
  </si>
  <si>
    <t>PROD1090</t>
  </si>
  <si>
    <t xml:space="preserve"> $1,928.31 </t>
  </si>
  <si>
    <t>ORD5891</t>
  </si>
  <si>
    <t>CUST1891</t>
  </si>
  <si>
    <t>PROD1091</t>
  </si>
  <si>
    <t>5/25/2025</t>
  </si>
  <si>
    <t xml:space="preserve"> $90.22 </t>
  </si>
  <si>
    <t>ORD5892</t>
  </si>
  <si>
    <t>CUST1892</t>
  </si>
  <si>
    <t>PROD1092</t>
  </si>
  <si>
    <t xml:space="preserve"> $571.94 </t>
  </si>
  <si>
    <t>ORD5893</t>
  </si>
  <si>
    <t>CUST1893</t>
  </si>
  <si>
    <t>PROD1093</t>
  </si>
  <si>
    <t xml:space="preserve"> $294.41 </t>
  </si>
  <si>
    <t>ORD5894</t>
  </si>
  <si>
    <t>CUST1894</t>
  </si>
  <si>
    <t>PROD1094</t>
  </si>
  <si>
    <t>ORD5895</t>
  </si>
  <si>
    <t>CUST1895</t>
  </si>
  <si>
    <t>PROD1095</t>
  </si>
  <si>
    <t xml:space="preserve"> $134.68 </t>
  </si>
  <si>
    <t>ORD5896</t>
  </si>
  <si>
    <t>CUST1896</t>
  </si>
  <si>
    <t>PROD1096</t>
  </si>
  <si>
    <t xml:space="preserve"> $295.07 </t>
  </si>
  <si>
    <t>ORD5897</t>
  </si>
  <si>
    <t>CUST1897</t>
  </si>
  <si>
    <t>PROD1097</t>
  </si>
  <si>
    <t xml:space="preserve"> $168.30 </t>
  </si>
  <si>
    <t>ORD5898</t>
  </si>
  <si>
    <t>CUST1898</t>
  </si>
  <si>
    <t>PROD1098</t>
  </si>
  <si>
    <t>8/28/2020</t>
  </si>
  <si>
    <t xml:space="preserve"> $134.51 </t>
  </si>
  <si>
    <t>ORD5899</t>
  </si>
  <si>
    <t>CUST1899</t>
  </si>
  <si>
    <t>PROD1099</t>
  </si>
  <si>
    <t>11/27/2020</t>
  </si>
  <si>
    <t>10/28/2023</t>
  </si>
  <si>
    <t>ORD5900</t>
  </si>
  <si>
    <t>CUST1900</t>
  </si>
  <si>
    <t>PROD1100</t>
  </si>
  <si>
    <t xml:space="preserve"> $645.38 </t>
  </si>
  <si>
    <t>ORD5901</t>
  </si>
  <si>
    <t>CUST1901</t>
  </si>
  <si>
    <t>PROD1101</t>
  </si>
  <si>
    <t>12/14/2024</t>
  </si>
  <si>
    <t xml:space="preserve"> $395.81 </t>
  </si>
  <si>
    <t>ORD5902</t>
  </si>
  <si>
    <t>CUST1902</t>
  </si>
  <si>
    <t>PROD1102</t>
  </si>
  <si>
    <t xml:space="preserve"> $326.37 </t>
  </si>
  <si>
    <t>ORD5903</t>
  </si>
  <si>
    <t>CUST1903</t>
  </si>
  <si>
    <t>PROD1103</t>
  </si>
  <si>
    <t xml:space="preserve"> $1,200.43 </t>
  </si>
  <si>
    <t>ORD5904</t>
  </si>
  <si>
    <t>CUST1904</t>
  </si>
  <si>
    <t>PROD1104</t>
  </si>
  <si>
    <t xml:space="preserve"> $772.71 </t>
  </si>
  <si>
    <t>ORD5905</t>
  </si>
  <si>
    <t>CUST1905</t>
  </si>
  <si>
    <t>PROD1105</t>
  </si>
  <si>
    <t xml:space="preserve"> $23.66 </t>
  </si>
  <si>
    <t>ORD5906</t>
  </si>
  <si>
    <t>CUST1906</t>
  </si>
  <si>
    <t>PROD1106</t>
  </si>
  <si>
    <t xml:space="preserve"> $285.94 </t>
  </si>
  <si>
    <t>ORD5907</t>
  </si>
  <si>
    <t>CUST1907</t>
  </si>
  <si>
    <t>PROD1107</t>
  </si>
  <si>
    <t>1/21/2025</t>
  </si>
  <si>
    <t xml:space="preserve"> $412.26 </t>
  </si>
  <si>
    <t>ORD5908</t>
  </si>
  <si>
    <t>CUST1908</t>
  </si>
  <si>
    <t>PROD1108</t>
  </si>
  <si>
    <t xml:space="preserve"> $111.59 </t>
  </si>
  <si>
    <t>ORD5909</t>
  </si>
  <si>
    <t>CUST1909</t>
  </si>
  <si>
    <t>PROD1109</t>
  </si>
  <si>
    <t>6/18/2022</t>
  </si>
  <si>
    <t>6/13/2024</t>
  </si>
  <si>
    <t xml:space="preserve"> $135.86 </t>
  </si>
  <si>
    <t>ORD5910</t>
  </si>
  <si>
    <t>CUST1910</t>
  </si>
  <si>
    <t>PROD1110</t>
  </si>
  <si>
    <t xml:space="preserve"> $652.41 </t>
  </si>
  <si>
    <t>ORD5911</t>
  </si>
  <si>
    <t>CUST1911</t>
  </si>
  <si>
    <t>PROD1111</t>
  </si>
  <si>
    <t xml:space="preserve"> $27.29 </t>
  </si>
  <si>
    <t>ORD5912</t>
  </si>
  <si>
    <t>CUST1912</t>
  </si>
  <si>
    <t>PROD1112</t>
  </si>
  <si>
    <t>12/13/2023</t>
  </si>
  <si>
    <t>ORD5913</t>
  </si>
  <si>
    <t>CUST1913</t>
  </si>
  <si>
    <t>PROD1113</t>
  </si>
  <si>
    <t xml:space="preserve"> $162.82 </t>
  </si>
  <si>
    <t>ORD5914</t>
  </si>
  <si>
    <t>CUST1914</t>
  </si>
  <si>
    <t>PROD1114</t>
  </si>
  <si>
    <t>3/17/2022</t>
  </si>
  <si>
    <t xml:space="preserve"> $12.45 </t>
  </si>
  <si>
    <t>ORD5915</t>
  </si>
  <si>
    <t>CUST1915</t>
  </si>
  <si>
    <t>PROD1115</t>
  </si>
  <si>
    <t>10/14/2023</t>
  </si>
  <si>
    <t xml:space="preserve"> $105.53 </t>
  </si>
  <si>
    <t>ORD5916</t>
  </si>
  <si>
    <t>CUST1916</t>
  </si>
  <si>
    <t>PROD1116</t>
  </si>
  <si>
    <t>8/23/2022</t>
  </si>
  <si>
    <t xml:space="preserve"> $177.37 </t>
  </si>
  <si>
    <t>ORD5917</t>
  </si>
  <si>
    <t>CUST1917</t>
  </si>
  <si>
    <t>PROD1117</t>
  </si>
  <si>
    <t>6/26/2022</t>
  </si>
  <si>
    <t xml:space="preserve"> $236.75 </t>
  </si>
  <si>
    <t>ORD5918</t>
  </si>
  <si>
    <t>CUST1918</t>
  </si>
  <si>
    <t>PROD1118</t>
  </si>
  <si>
    <t xml:space="preserve"> $89.84 </t>
  </si>
  <si>
    <t>ORD5919</t>
  </si>
  <si>
    <t>CUST1919</t>
  </si>
  <si>
    <t>PROD1119</t>
  </si>
  <si>
    <t>9/28/2020</t>
  </si>
  <si>
    <t xml:space="preserve"> $236.87 </t>
  </si>
  <si>
    <t>ORD5920</t>
  </si>
  <si>
    <t>CUST1920</t>
  </si>
  <si>
    <t>PROD1120</t>
  </si>
  <si>
    <t xml:space="preserve"> $485.77 </t>
  </si>
  <si>
    <t>ORD5921</t>
  </si>
  <si>
    <t>CUST1921</t>
  </si>
  <si>
    <t>PROD1121</t>
  </si>
  <si>
    <t xml:space="preserve"> $223.30 </t>
  </si>
  <si>
    <t>ORD5922</t>
  </si>
  <si>
    <t>CUST1922</t>
  </si>
  <si>
    <t>PROD1122</t>
  </si>
  <si>
    <t xml:space="preserve"> $141.79 </t>
  </si>
  <si>
    <t>ORD5923</t>
  </si>
  <si>
    <t>CUST1923</t>
  </si>
  <si>
    <t>PROD1123</t>
  </si>
  <si>
    <t xml:space="preserve"> $316.21 </t>
  </si>
  <si>
    <t>ORD5924</t>
  </si>
  <si>
    <t>CUST1924</t>
  </si>
  <si>
    <t>PROD1124</t>
  </si>
  <si>
    <t xml:space="preserve"> $253.96 </t>
  </si>
  <si>
    <t>ORD5925</t>
  </si>
  <si>
    <t>CUST1925</t>
  </si>
  <si>
    <t>PROD1125</t>
  </si>
  <si>
    <t xml:space="preserve"> $314.54 </t>
  </si>
  <si>
    <t>ORD5926</t>
  </si>
  <si>
    <t>CUST1926</t>
  </si>
  <si>
    <t>PROD1126</t>
  </si>
  <si>
    <t xml:space="preserve"> $183.60 </t>
  </si>
  <si>
    <t>ORD5927</t>
  </si>
  <si>
    <t>CUST1927</t>
  </si>
  <si>
    <t>PROD1127</t>
  </si>
  <si>
    <t xml:space="preserve"> $326.20 </t>
  </si>
  <si>
    <t>ORD5928</t>
  </si>
  <si>
    <t>CUST1928</t>
  </si>
  <si>
    <t>PROD1128</t>
  </si>
  <si>
    <t>4/19/2023</t>
  </si>
  <si>
    <t xml:space="preserve"> $203.29 </t>
  </si>
  <si>
    <t>ORD5929</t>
  </si>
  <si>
    <t>CUST1929</t>
  </si>
  <si>
    <t>PROD1129</t>
  </si>
  <si>
    <t xml:space="preserve"> $287.98 </t>
  </si>
  <si>
    <t>ORD5930</t>
  </si>
  <si>
    <t>CUST1930</t>
  </si>
  <si>
    <t>PROD1130</t>
  </si>
  <si>
    <t xml:space="preserve"> $1,187.15 </t>
  </si>
  <si>
    <t>ORD5931</t>
  </si>
  <si>
    <t>CUST1931</t>
  </si>
  <si>
    <t>PROD1131</t>
  </si>
  <si>
    <t xml:space="preserve"> $41.26 </t>
  </si>
  <si>
    <t>ORD5932</t>
  </si>
  <si>
    <t>CUST1932</t>
  </si>
  <si>
    <t>PROD1132</t>
  </si>
  <si>
    <t xml:space="preserve"> $442.11 </t>
  </si>
  <si>
    <t>ORD5933</t>
  </si>
  <si>
    <t>CUST1933</t>
  </si>
  <si>
    <t>PROD1133</t>
  </si>
  <si>
    <t>1/27/2025</t>
  </si>
  <si>
    <t>ORD5934</t>
  </si>
  <si>
    <t>CUST1934</t>
  </si>
  <si>
    <t>PROD1134</t>
  </si>
  <si>
    <t xml:space="preserve"> $840.86 </t>
  </si>
  <si>
    <t>ORD5935</t>
  </si>
  <si>
    <t>CUST1935</t>
  </si>
  <si>
    <t>PROD1135</t>
  </si>
  <si>
    <t>10/23/2022</t>
  </si>
  <si>
    <t xml:space="preserve"> $267.94 </t>
  </si>
  <si>
    <t>ORD5936</t>
  </si>
  <si>
    <t>CUST1936</t>
  </si>
  <si>
    <t>PROD1136</t>
  </si>
  <si>
    <t>1/24/2022</t>
  </si>
  <si>
    <t xml:space="preserve"> $221.07 </t>
  </si>
  <si>
    <t>ORD5937</t>
  </si>
  <si>
    <t>CUST1937</t>
  </si>
  <si>
    <t>PROD1137</t>
  </si>
  <si>
    <t>4/15/2021</t>
  </si>
  <si>
    <t xml:space="preserve"> $198.60 </t>
  </si>
  <si>
    <t>ORD5938</t>
  </si>
  <si>
    <t>CUST1938</t>
  </si>
  <si>
    <t>PROD1138</t>
  </si>
  <si>
    <t xml:space="preserve"> $1,782.82 </t>
  </si>
  <si>
    <t>ORD5939</t>
  </si>
  <si>
    <t>CUST1939</t>
  </si>
  <si>
    <t>PROD1139</t>
  </si>
  <si>
    <t>3/18/2022</t>
  </si>
  <si>
    <t>7/21/2022</t>
  </si>
  <si>
    <t xml:space="preserve"> $246.91 </t>
  </si>
  <si>
    <t>ORD5940</t>
  </si>
  <si>
    <t>CUST1940</t>
  </si>
  <si>
    <t>PROD1140</t>
  </si>
  <si>
    <t xml:space="preserve"> $41.50 </t>
  </si>
  <si>
    <t>ORD5941</t>
  </si>
  <si>
    <t>CUST1941</t>
  </si>
  <si>
    <t>PROD1141</t>
  </si>
  <si>
    <t xml:space="preserve"> $49.54 </t>
  </si>
  <si>
    <t>ORD5942</t>
  </si>
  <si>
    <t>CUST1942</t>
  </si>
  <si>
    <t>PROD1142</t>
  </si>
  <si>
    <t>1/21/2024</t>
  </si>
  <si>
    <t xml:space="preserve"> $394.99 </t>
  </si>
  <si>
    <t>ORD5943</t>
  </si>
  <si>
    <t>CUST1943</t>
  </si>
  <si>
    <t>PROD1143</t>
  </si>
  <si>
    <t>3/13/2023</t>
  </si>
  <si>
    <t xml:space="preserve"> $117.48 </t>
  </si>
  <si>
    <t>ORD5944</t>
  </si>
  <si>
    <t>CUST1944</t>
  </si>
  <si>
    <t>PROD1144</t>
  </si>
  <si>
    <t>ORD5945</t>
  </si>
  <si>
    <t>CUST1945</t>
  </si>
  <si>
    <t>PROD1145</t>
  </si>
  <si>
    <t xml:space="preserve"> $113.64 </t>
  </si>
  <si>
    <t>ORD5946</t>
  </si>
  <si>
    <t>CUST1946</t>
  </si>
  <si>
    <t>PROD1146</t>
  </si>
  <si>
    <t>5/17/2025</t>
  </si>
  <si>
    <t xml:space="preserve"> $871.85 </t>
  </si>
  <si>
    <t>ORD5947</t>
  </si>
  <si>
    <t>CUST1947</t>
  </si>
  <si>
    <t>PROD1147</t>
  </si>
  <si>
    <t xml:space="preserve"> $470.37 </t>
  </si>
  <si>
    <t>ORD5948</t>
  </si>
  <si>
    <t>CUST1948</t>
  </si>
  <si>
    <t>PROD1148</t>
  </si>
  <si>
    <t xml:space="preserve"> $349.45 </t>
  </si>
  <si>
    <t>ORD5949</t>
  </si>
  <si>
    <t>CUST1949</t>
  </si>
  <si>
    <t>PROD1149</t>
  </si>
  <si>
    <t xml:space="preserve"> $246.71 </t>
  </si>
  <si>
    <t>ORD5950</t>
  </si>
  <si>
    <t>CUST1950</t>
  </si>
  <si>
    <t>PROD1150</t>
  </si>
  <si>
    <t>4/22/2024</t>
  </si>
  <si>
    <t xml:space="preserve"> $219.88 </t>
  </si>
  <si>
    <t>ORD5951</t>
  </si>
  <si>
    <t>CUST1951</t>
  </si>
  <si>
    <t>PROD1151</t>
  </si>
  <si>
    <t xml:space="preserve"> $38.90 </t>
  </si>
  <si>
    <t>ORD5952</t>
  </si>
  <si>
    <t>CUST1952</t>
  </si>
  <si>
    <t>PROD1152</t>
  </si>
  <si>
    <t xml:space="preserve"> $235.66 </t>
  </si>
  <si>
    <t>ORD5953</t>
  </si>
  <si>
    <t>CUST1953</t>
  </si>
  <si>
    <t>PROD1153</t>
  </si>
  <si>
    <t>4/13/2021</t>
  </si>
  <si>
    <t xml:space="preserve"> $1,880.02 </t>
  </si>
  <si>
    <t>ORD5954</t>
  </si>
  <si>
    <t>CUST1954</t>
  </si>
  <si>
    <t>PROD1154</t>
  </si>
  <si>
    <t xml:space="preserve"> $55.52 </t>
  </si>
  <si>
    <t>ORD5955</t>
  </si>
  <si>
    <t>CUST1955</t>
  </si>
  <si>
    <t>PROD1155</t>
  </si>
  <si>
    <t xml:space="preserve"> $73.02 </t>
  </si>
  <si>
    <t>ORD5956</t>
  </si>
  <si>
    <t>CUST1956</t>
  </si>
  <si>
    <t>PROD1156</t>
  </si>
  <si>
    <t>11/28/2021</t>
  </si>
  <si>
    <t xml:space="preserve"> $1,802.85 </t>
  </si>
  <si>
    <t>ORD5957</t>
  </si>
  <si>
    <t>CUST1957</t>
  </si>
  <si>
    <t>PROD1157</t>
  </si>
  <si>
    <t xml:space="preserve"> $778.38 </t>
  </si>
  <si>
    <t>ORD5958</t>
  </si>
  <si>
    <t>CUST1958</t>
  </si>
  <si>
    <t>PROD1158</t>
  </si>
  <si>
    <t>1/27/2022</t>
  </si>
  <si>
    <t xml:space="preserve"> $128.14 </t>
  </si>
  <si>
    <t>ORD5959</t>
  </si>
  <si>
    <t>CUST1959</t>
  </si>
  <si>
    <t>PROD1159</t>
  </si>
  <si>
    <t xml:space="preserve"> $175.21 </t>
  </si>
  <si>
    <t>ORD5960</t>
  </si>
  <si>
    <t>CUST1960</t>
  </si>
  <si>
    <t>PROD1160</t>
  </si>
  <si>
    <t xml:space="preserve"> $178.84 </t>
  </si>
  <si>
    <t>ORD5961</t>
  </si>
  <si>
    <t>CUST1961</t>
  </si>
  <si>
    <t>PROD1161</t>
  </si>
  <si>
    <t xml:space="preserve"> $100.80 </t>
  </si>
  <si>
    <t>ORD5962</t>
  </si>
  <si>
    <t>CUST1962</t>
  </si>
  <si>
    <t>PROD1162</t>
  </si>
  <si>
    <t>10/31/2021</t>
  </si>
  <si>
    <t xml:space="preserve"> $469.18 </t>
  </si>
  <si>
    <t>ORD5963</t>
  </si>
  <si>
    <t>CUST1963</t>
  </si>
  <si>
    <t>PROD1163</t>
  </si>
  <si>
    <t>7/25/2023</t>
  </si>
  <si>
    <t xml:space="preserve"> $395.18 </t>
  </si>
  <si>
    <t>ORD5964</t>
  </si>
  <si>
    <t>CUST1964</t>
  </si>
  <si>
    <t>PROD1164</t>
  </si>
  <si>
    <t xml:space="preserve"> $66.90 </t>
  </si>
  <si>
    <t>ORD5965</t>
  </si>
  <si>
    <t>CUST1965</t>
  </si>
  <si>
    <t>PROD1165</t>
  </si>
  <si>
    <t>12/21/2023</t>
  </si>
  <si>
    <t xml:space="preserve"> $228.96 </t>
  </si>
  <si>
    <t>ORD5966</t>
  </si>
  <si>
    <t>CUST1966</t>
  </si>
  <si>
    <t>PROD1166</t>
  </si>
  <si>
    <t xml:space="preserve"> $150.30 </t>
  </si>
  <si>
    <t>ORD5967</t>
  </si>
  <si>
    <t>CUST1967</t>
  </si>
  <si>
    <t>PROD1167</t>
  </si>
  <si>
    <t xml:space="preserve"> $77.12 </t>
  </si>
  <si>
    <t>ORD5968</t>
  </si>
  <si>
    <t>CUST1968</t>
  </si>
  <si>
    <t>PROD1168</t>
  </si>
  <si>
    <t>7/21/2021</t>
  </si>
  <si>
    <t xml:space="preserve"> $72.21 </t>
  </si>
  <si>
    <t>ORD5969</t>
  </si>
  <si>
    <t>CUST1969</t>
  </si>
  <si>
    <t>PROD1169</t>
  </si>
  <si>
    <t xml:space="preserve"> $196.33 </t>
  </si>
  <si>
    <t>ORD5970</t>
  </si>
  <si>
    <t>CUST1970</t>
  </si>
  <si>
    <t>PROD1170</t>
  </si>
  <si>
    <t>3/19/2025</t>
  </si>
  <si>
    <t xml:space="preserve"> $3.79 </t>
  </si>
  <si>
    <t>ORD5971</t>
  </si>
  <si>
    <t>CUST1971</t>
  </si>
  <si>
    <t>PROD1171</t>
  </si>
  <si>
    <t xml:space="preserve"> $106.22 </t>
  </si>
  <si>
    <t>ORD5972</t>
  </si>
  <si>
    <t>CUST1972</t>
  </si>
  <si>
    <t>PROD1172</t>
  </si>
  <si>
    <t xml:space="preserve"> $180.75 </t>
  </si>
  <si>
    <t>ORD5973</t>
  </si>
  <si>
    <t>CUST1973</t>
  </si>
  <si>
    <t>PROD1173</t>
  </si>
  <si>
    <t>1/18/2025</t>
  </si>
  <si>
    <t xml:space="preserve"> $296.92 </t>
  </si>
  <si>
    <t>ORD5974</t>
  </si>
  <si>
    <t>CUST1974</t>
  </si>
  <si>
    <t>PROD1174</t>
  </si>
  <si>
    <t xml:space="preserve"> $29.50 </t>
  </si>
  <si>
    <t>ORD5975</t>
  </si>
  <si>
    <t>CUST1975</t>
  </si>
  <si>
    <t>PROD1175</t>
  </si>
  <si>
    <t xml:space="preserve"> $31.86 </t>
  </si>
  <si>
    <t>ORD5976</t>
  </si>
  <si>
    <t>CUST1976</t>
  </si>
  <si>
    <t>PROD1176</t>
  </si>
  <si>
    <t xml:space="preserve"> $145.88 </t>
  </si>
  <si>
    <t>ORD5977</t>
  </si>
  <si>
    <t>CUST1977</t>
  </si>
  <si>
    <t>PROD1177</t>
  </si>
  <si>
    <t>5/26/2021</t>
  </si>
  <si>
    <t xml:space="preserve"> $296.35 </t>
  </si>
  <si>
    <t>ORD5978</t>
  </si>
  <si>
    <t>CUST1978</t>
  </si>
  <si>
    <t>PROD1178</t>
  </si>
  <si>
    <t>6/21/2023</t>
  </si>
  <si>
    <t xml:space="preserve"> $488.66 </t>
  </si>
  <si>
    <t>ORD5979</t>
  </si>
  <si>
    <t>CUST1979</t>
  </si>
  <si>
    <t>PROD1179</t>
  </si>
  <si>
    <t>11/28/2023</t>
  </si>
  <si>
    <t xml:space="preserve"> $132.21 </t>
  </si>
  <si>
    <t>ORD5980</t>
  </si>
  <si>
    <t>CUST1980</t>
  </si>
  <si>
    <t>PROD1180</t>
  </si>
  <si>
    <t xml:space="preserve"> $213.50 </t>
  </si>
  <si>
    <t>ORD5981</t>
  </si>
  <si>
    <t>CUST1981</t>
  </si>
  <si>
    <t>PROD1181</t>
  </si>
  <si>
    <t xml:space="preserve"> $160.90 </t>
  </si>
  <si>
    <t>ORD5982</t>
  </si>
  <si>
    <t>CUST1982</t>
  </si>
  <si>
    <t>PROD1182</t>
  </si>
  <si>
    <t xml:space="preserve"> $58.81 </t>
  </si>
  <si>
    <t>ORD5983</t>
  </si>
  <si>
    <t>CUST1983</t>
  </si>
  <si>
    <t>PROD1183</t>
  </si>
  <si>
    <t xml:space="preserve"> $211.84 </t>
  </si>
  <si>
    <t>ORD5984</t>
  </si>
  <si>
    <t>CUST1984</t>
  </si>
  <si>
    <t>PROD1184</t>
  </si>
  <si>
    <t>6/18/2025</t>
  </si>
  <si>
    <t xml:space="preserve"> $1,982.82 </t>
  </si>
  <si>
    <t>ORD5985</t>
  </si>
  <si>
    <t>CUST1985</t>
  </si>
  <si>
    <t>PROD1185</t>
  </si>
  <si>
    <t xml:space="preserve"> $9.93 </t>
  </si>
  <si>
    <t>ORD5986</t>
  </si>
  <si>
    <t>CUST1986</t>
  </si>
  <si>
    <t>PROD1186</t>
  </si>
  <si>
    <t>8/23/2024</t>
  </si>
  <si>
    <t xml:space="preserve"> $7.25 </t>
  </si>
  <si>
    <t>ORD5987</t>
  </si>
  <si>
    <t>CUST1987</t>
  </si>
  <si>
    <t>PROD1187</t>
  </si>
  <si>
    <t xml:space="preserve"> $21.48 </t>
  </si>
  <si>
    <t>ORD5988</t>
  </si>
  <si>
    <t>CUST1988</t>
  </si>
  <si>
    <t>PROD1188</t>
  </si>
  <si>
    <t xml:space="preserve"> $211.96 </t>
  </si>
  <si>
    <t>ORD5989</t>
  </si>
  <si>
    <t>CUST1989</t>
  </si>
  <si>
    <t>PROD1189</t>
  </si>
  <si>
    <t xml:space="preserve"> $231.71 </t>
  </si>
  <si>
    <t>ORD5990</t>
  </si>
  <si>
    <t>CUST1990</t>
  </si>
  <si>
    <t>PROD1190</t>
  </si>
  <si>
    <t xml:space="preserve"> $186.02 </t>
  </si>
  <si>
    <t>ORD5991</t>
  </si>
  <si>
    <t>CUST1991</t>
  </si>
  <si>
    <t>PROD1191</t>
  </si>
  <si>
    <t xml:space="preserve"> $437.26 </t>
  </si>
  <si>
    <t>ORD5992</t>
  </si>
  <si>
    <t>CUST1992</t>
  </si>
  <si>
    <t>PROD1192</t>
  </si>
  <si>
    <t>2/15/2024</t>
  </si>
  <si>
    <t>8/16/2025</t>
  </si>
  <si>
    <t xml:space="preserve"> $139.94 </t>
  </si>
  <si>
    <t>ORD5993</t>
  </si>
  <si>
    <t>CUST1993</t>
  </si>
  <si>
    <t>PROD1193</t>
  </si>
  <si>
    <t>12/20/2022</t>
  </si>
  <si>
    <t xml:space="preserve"> $125.24 </t>
  </si>
  <si>
    <t>ORD5994</t>
  </si>
  <si>
    <t>CUST1994</t>
  </si>
  <si>
    <t>PROD1194</t>
  </si>
  <si>
    <t>3/22/2021</t>
  </si>
  <si>
    <t xml:space="preserve"> $404.70 </t>
  </si>
  <si>
    <t>ORD5995</t>
  </si>
  <si>
    <t>CUST1995</t>
  </si>
  <si>
    <t>PROD1195</t>
  </si>
  <si>
    <t xml:space="preserve"> $141.68 </t>
  </si>
  <si>
    <t>ORD5996</t>
  </si>
  <si>
    <t>CUST1996</t>
  </si>
  <si>
    <t>PROD1196</t>
  </si>
  <si>
    <t xml:space="preserve"> $297.66 </t>
  </si>
  <si>
    <t>ORD5997</t>
  </si>
  <si>
    <t>CUST1997</t>
  </si>
  <si>
    <t>PROD1197</t>
  </si>
  <si>
    <t>10/13/2022</t>
  </si>
  <si>
    <t>10/15/2023</t>
  </si>
  <si>
    <t xml:space="preserve"> $36.92 </t>
  </si>
  <si>
    <t>ORD5998</t>
  </si>
  <si>
    <t>CUST1998</t>
  </si>
  <si>
    <t>PROD1198</t>
  </si>
  <si>
    <t xml:space="preserve"> $11.28 </t>
  </si>
  <si>
    <t>ORD5999</t>
  </si>
  <si>
    <t>CUST1999</t>
  </si>
  <si>
    <t>PROD1199</t>
  </si>
  <si>
    <t xml:space="preserve"> $62.25 </t>
  </si>
  <si>
    <t>ORD6000</t>
  </si>
  <si>
    <t>CUST2000</t>
  </si>
  <si>
    <t>PROD1200</t>
  </si>
  <si>
    <t>10/19/2023</t>
  </si>
  <si>
    <t xml:space="preserve"> $317.92 </t>
  </si>
  <si>
    <t>ORD6001</t>
  </si>
  <si>
    <t>CUST2001</t>
  </si>
  <si>
    <t>PROD1201</t>
  </si>
  <si>
    <t xml:space="preserve"> $273.87 </t>
  </si>
  <si>
    <t>ORD6002</t>
  </si>
  <si>
    <t>CUST2002</t>
  </si>
  <si>
    <t>PROD1202</t>
  </si>
  <si>
    <t xml:space="preserve"> $408.29 </t>
  </si>
  <si>
    <t>ORD6003</t>
  </si>
  <si>
    <t>CUST2003</t>
  </si>
  <si>
    <t>PROD1203</t>
  </si>
  <si>
    <t xml:space="preserve"> $168.28 </t>
  </si>
  <si>
    <t>ORD6004</t>
  </si>
  <si>
    <t>CUST2004</t>
  </si>
  <si>
    <t>PROD1204</t>
  </si>
  <si>
    <t>7/20/2021</t>
  </si>
  <si>
    <t xml:space="preserve"> $365.91 </t>
  </si>
  <si>
    <t>ORD6005</t>
  </si>
  <si>
    <t>CUST2005</t>
  </si>
  <si>
    <t>PROD1205</t>
  </si>
  <si>
    <t xml:space="preserve"> $54.74 </t>
  </si>
  <si>
    <t>ORD6006</t>
  </si>
  <si>
    <t>CUST2006</t>
  </si>
  <si>
    <t>PROD1206</t>
  </si>
  <si>
    <t xml:space="preserve"> $343.61 </t>
  </si>
  <si>
    <t>ORD6007</t>
  </si>
  <si>
    <t>CUST2007</t>
  </si>
  <si>
    <t>PROD1207</t>
  </si>
  <si>
    <t xml:space="preserve"> $144.61 </t>
  </si>
  <si>
    <t>ORD6008</t>
  </si>
  <si>
    <t>CUST2008</t>
  </si>
  <si>
    <t>PROD1208</t>
  </si>
  <si>
    <t xml:space="preserve"> $232.44 </t>
  </si>
  <si>
    <t>ORD6009</t>
  </si>
  <si>
    <t>CUST2009</t>
  </si>
  <si>
    <t>PROD1209</t>
  </si>
  <si>
    <t xml:space="preserve"> $379.58 </t>
  </si>
  <si>
    <t>ORD6010</t>
  </si>
  <si>
    <t>CUST2010</t>
  </si>
  <si>
    <t>PROD1210</t>
  </si>
  <si>
    <t>2/25/2021</t>
  </si>
  <si>
    <t xml:space="preserve"> $95.69 </t>
  </si>
  <si>
    <t>ORD6011</t>
  </si>
  <si>
    <t>CUST2011</t>
  </si>
  <si>
    <t>PROD1211</t>
  </si>
  <si>
    <t xml:space="preserve"> $349.76 </t>
  </si>
  <si>
    <t>ORD6012</t>
  </si>
  <si>
    <t>CUST2012</t>
  </si>
  <si>
    <t>PROD1212</t>
  </si>
  <si>
    <t xml:space="preserve"> $9.35 </t>
  </si>
  <si>
    <t>ORD6013</t>
  </si>
  <si>
    <t>CUST2013</t>
  </si>
  <si>
    <t>PROD1213</t>
  </si>
  <si>
    <t>7/18/2021</t>
  </si>
  <si>
    <t xml:space="preserve"> $869.42 </t>
  </si>
  <si>
    <t>ORD6014</t>
  </si>
  <si>
    <t>CUST2014</t>
  </si>
  <si>
    <t>PROD1214</t>
  </si>
  <si>
    <t xml:space="preserve"> $328.95 </t>
  </si>
  <si>
    <t>ORD6015</t>
  </si>
  <si>
    <t>CUST2015</t>
  </si>
  <si>
    <t>PROD1215</t>
  </si>
  <si>
    <t>3/17/2024</t>
  </si>
  <si>
    <t xml:space="preserve"> $204.01 </t>
  </si>
  <si>
    <t>ORD6016</t>
  </si>
  <si>
    <t>CUST2016</t>
  </si>
  <si>
    <t>PROD1216</t>
  </si>
  <si>
    <t xml:space="preserve"> $246.98 </t>
  </si>
  <si>
    <t>ORD6017</t>
  </si>
  <si>
    <t>CUST2017</t>
  </si>
  <si>
    <t>PROD1217</t>
  </si>
  <si>
    <t xml:space="preserve"> $324.78 </t>
  </si>
  <si>
    <t>ORD6018</t>
  </si>
  <si>
    <t>CUST2018</t>
  </si>
  <si>
    <t>PROD1218</t>
  </si>
  <si>
    <t xml:space="preserve"> $288.74 </t>
  </si>
  <si>
    <t>ORD6019</t>
  </si>
  <si>
    <t>CUST2019</t>
  </si>
  <si>
    <t>PROD1219</t>
  </si>
  <si>
    <t xml:space="preserve"> $259.66 </t>
  </si>
  <si>
    <t>ORD6020</t>
  </si>
  <si>
    <t>CUST2020</t>
  </si>
  <si>
    <t>PROD1220</t>
  </si>
  <si>
    <t xml:space="preserve"> $93.98 </t>
  </si>
  <si>
    <t>ORD6021</t>
  </si>
  <si>
    <t>CUST2021</t>
  </si>
  <si>
    <t>PROD1221</t>
  </si>
  <si>
    <t xml:space="preserve"> $617.67 </t>
  </si>
  <si>
    <t>ORD6022</t>
  </si>
  <si>
    <t>CUST2022</t>
  </si>
  <si>
    <t>PROD1222</t>
  </si>
  <si>
    <t xml:space="preserve"> $208.08 </t>
  </si>
  <si>
    <t>ORD6023</t>
  </si>
  <si>
    <t>CUST2023</t>
  </si>
  <si>
    <t>PROD1223</t>
  </si>
  <si>
    <t>3/21/2024</t>
  </si>
  <si>
    <t xml:space="preserve"> $352.30 </t>
  </si>
  <si>
    <t>ORD6024</t>
  </si>
  <si>
    <t>CUST2024</t>
  </si>
  <si>
    <t>PROD1224</t>
  </si>
  <si>
    <t xml:space="preserve"> $1,129.55 </t>
  </si>
  <si>
    <t>ORD6025</t>
  </si>
  <si>
    <t>CUST2025</t>
  </si>
  <si>
    <t>PROD1225</t>
  </si>
  <si>
    <t>3/18/2024</t>
  </si>
  <si>
    <t xml:space="preserve"> $578.42 </t>
  </si>
  <si>
    <t>ORD6026</t>
  </si>
  <si>
    <t>CUST2026</t>
  </si>
  <si>
    <t>PROD1226</t>
  </si>
  <si>
    <t xml:space="preserve"> $179.48 </t>
  </si>
  <si>
    <t>ORD6027</t>
  </si>
  <si>
    <t>CUST2027</t>
  </si>
  <si>
    <t>PROD1227</t>
  </si>
  <si>
    <t>5/17/2023</t>
  </si>
  <si>
    <t xml:space="preserve"> $157.13 </t>
  </si>
  <si>
    <t>ORD6028</t>
  </si>
  <si>
    <t>CUST2028</t>
  </si>
  <si>
    <t>PROD1228</t>
  </si>
  <si>
    <t>7/24/2024</t>
  </si>
  <si>
    <t xml:space="preserve"> $21.02 </t>
  </si>
  <si>
    <t>ORD6029</t>
  </si>
  <si>
    <t>CUST2029</t>
  </si>
  <si>
    <t>PROD1229</t>
  </si>
  <si>
    <t xml:space="preserve"> $251.82 </t>
  </si>
  <si>
    <t>ORD6030</t>
  </si>
  <si>
    <t>CUST2030</t>
  </si>
  <si>
    <t>PROD1230</t>
  </si>
  <si>
    <t>10/21/2022</t>
  </si>
  <si>
    <t>9/26/2023</t>
  </si>
  <si>
    <t xml:space="preserve"> $158.76 </t>
  </si>
  <si>
    <t>ORD6031</t>
  </si>
  <si>
    <t>CUST2031</t>
  </si>
  <si>
    <t>PROD1231</t>
  </si>
  <si>
    <t xml:space="preserve"> $384.21 </t>
  </si>
  <si>
    <t>ORD6032</t>
  </si>
  <si>
    <t>CUST2032</t>
  </si>
  <si>
    <t>PROD1232</t>
  </si>
  <si>
    <t xml:space="preserve"> $456.94 </t>
  </si>
  <si>
    <t>ORD6033</t>
  </si>
  <si>
    <t>CUST2033</t>
  </si>
  <si>
    <t>PROD1233</t>
  </si>
  <si>
    <t xml:space="preserve"> $60.37 </t>
  </si>
  <si>
    <t>ORD6034</t>
  </si>
  <si>
    <t>CUST2034</t>
  </si>
  <si>
    <t>PROD1234</t>
  </si>
  <si>
    <t xml:space="preserve"> $88.97 </t>
  </si>
  <si>
    <t>ORD6035</t>
  </si>
  <si>
    <t>CUST2035</t>
  </si>
  <si>
    <t>PROD1235</t>
  </si>
  <si>
    <t xml:space="preserve"> $110.67 </t>
  </si>
  <si>
    <t>ORD6036</t>
  </si>
  <si>
    <t>CUST2036</t>
  </si>
  <si>
    <t>PROD1236</t>
  </si>
  <si>
    <t>2/18/2024</t>
  </si>
  <si>
    <t xml:space="preserve"> $791.70 </t>
  </si>
  <si>
    <t>ORD6037</t>
  </si>
  <si>
    <t>CUST2037</t>
  </si>
  <si>
    <t>PROD1237</t>
  </si>
  <si>
    <t>2/24/2025</t>
  </si>
  <si>
    <t xml:space="preserve"> $811.80 </t>
  </si>
  <si>
    <t>ORD6038</t>
  </si>
  <si>
    <t>CUST2038</t>
  </si>
  <si>
    <t>PROD1238</t>
  </si>
  <si>
    <t xml:space="preserve"> $71.40 </t>
  </si>
  <si>
    <t>ORD6039</t>
  </si>
  <si>
    <t>CUST2039</t>
  </si>
  <si>
    <t>PROD1239</t>
  </si>
  <si>
    <t xml:space="preserve"> $164.17 </t>
  </si>
  <si>
    <t>ORD6040</t>
  </si>
  <si>
    <t>CUST2040</t>
  </si>
  <si>
    <t>PROD1240</t>
  </si>
  <si>
    <t xml:space="preserve"> $439.94 </t>
  </si>
  <si>
    <t>ORD6041</t>
  </si>
  <si>
    <t>CUST2041</t>
  </si>
  <si>
    <t>PROD1241</t>
  </si>
  <si>
    <t xml:space="preserve"> $156.82 </t>
  </si>
  <si>
    <t>ORD6042</t>
  </si>
  <si>
    <t>CUST2042</t>
  </si>
  <si>
    <t>PROD1242</t>
  </si>
  <si>
    <t xml:space="preserve"> $62.14 </t>
  </si>
  <si>
    <t>ORD6043</t>
  </si>
  <si>
    <t>CUST2043</t>
  </si>
  <si>
    <t>PROD1243</t>
  </si>
  <si>
    <t>2/27/2024</t>
  </si>
  <si>
    <t xml:space="preserve"> $34.67 </t>
  </si>
  <si>
    <t>ORD6044</t>
  </si>
  <si>
    <t>CUST2044</t>
  </si>
  <si>
    <t>PROD1244</t>
  </si>
  <si>
    <t>5/13/2024</t>
  </si>
  <si>
    <t xml:space="preserve"> $1,707.78 </t>
  </si>
  <si>
    <t>ORD6045</t>
  </si>
  <si>
    <t>CUST2045</t>
  </si>
  <si>
    <t>PROD1245</t>
  </si>
  <si>
    <t xml:space="preserve"> $264.01 </t>
  </si>
  <si>
    <t>ORD6046</t>
  </si>
  <si>
    <t>CUST2046</t>
  </si>
  <si>
    <t>PROD1246</t>
  </si>
  <si>
    <t xml:space="preserve"> $87.51 </t>
  </si>
  <si>
    <t>ORD6047</t>
  </si>
  <si>
    <t>CUST2047</t>
  </si>
  <si>
    <t>PROD1247</t>
  </si>
  <si>
    <t xml:space="preserve"> $243.13 </t>
  </si>
  <si>
    <t>ORD6048</t>
  </si>
  <si>
    <t>CUST2048</t>
  </si>
  <si>
    <t>PROD1248</t>
  </si>
  <si>
    <t xml:space="preserve"> $880.36 </t>
  </si>
  <si>
    <t>ORD6049</t>
  </si>
  <si>
    <t>CUST2049</t>
  </si>
  <si>
    <t>PROD1249</t>
  </si>
  <si>
    <t xml:space="preserve"> $793.56 </t>
  </si>
  <si>
    <t>ORD6050</t>
  </si>
  <si>
    <t>CUST2050</t>
  </si>
  <si>
    <t>PROD1250</t>
  </si>
  <si>
    <t xml:space="preserve"> $100.04 </t>
  </si>
  <si>
    <t>ORD6051</t>
  </si>
  <si>
    <t>CUST2051</t>
  </si>
  <si>
    <t>PROD1251</t>
  </si>
  <si>
    <t xml:space="preserve"> $207.64 </t>
  </si>
  <si>
    <t>ORD6052</t>
  </si>
  <si>
    <t>CUST2052</t>
  </si>
  <si>
    <t>PROD1252</t>
  </si>
  <si>
    <t xml:space="preserve"> $96.98 </t>
  </si>
  <si>
    <t>ORD6053</t>
  </si>
  <si>
    <t>CUST2053</t>
  </si>
  <si>
    <t>PROD1253</t>
  </si>
  <si>
    <t xml:space="preserve"> $149.00 </t>
  </si>
  <si>
    <t>ORD6054</t>
  </si>
  <si>
    <t>CUST2054</t>
  </si>
  <si>
    <t>PROD1254</t>
  </si>
  <si>
    <t xml:space="preserve"> $451.57 </t>
  </si>
  <si>
    <t>ORD6055</t>
  </si>
  <si>
    <t>CUST2055</t>
  </si>
  <si>
    <t>PROD1255</t>
  </si>
  <si>
    <t xml:space="preserve"> $292.96 </t>
  </si>
  <si>
    <t>ORD6056</t>
  </si>
  <si>
    <t>CUST2056</t>
  </si>
  <si>
    <t>PROD1256</t>
  </si>
  <si>
    <t xml:space="preserve"> $1,825.62 </t>
  </si>
  <si>
    <t>ORD6057</t>
  </si>
  <si>
    <t>CUST2057</t>
  </si>
  <si>
    <t>PROD1257</t>
  </si>
  <si>
    <t xml:space="preserve"> $152.66 </t>
  </si>
  <si>
    <t>ORD6058</t>
  </si>
  <si>
    <t>CUST2058</t>
  </si>
  <si>
    <t>PROD1258</t>
  </si>
  <si>
    <t xml:space="preserve"> $190.72 </t>
  </si>
  <si>
    <t>ORD6059</t>
  </si>
  <si>
    <t>CUST2059</t>
  </si>
  <si>
    <t>PROD1259</t>
  </si>
  <si>
    <t xml:space="preserve"> $632.95 </t>
  </si>
  <si>
    <t>ORD6060</t>
  </si>
  <si>
    <t>CUST2060</t>
  </si>
  <si>
    <t>PROD1260</t>
  </si>
  <si>
    <t xml:space="preserve"> $181.65 </t>
  </si>
  <si>
    <t>ORD6061</t>
  </si>
  <si>
    <t>CUST2061</t>
  </si>
  <si>
    <t>PROD1261</t>
  </si>
  <si>
    <t xml:space="preserve"> $109.38 </t>
  </si>
  <si>
    <t>ORD6062</t>
  </si>
  <si>
    <t>CUST2062</t>
  </si>
  <si>
    <t>PROD1262</t>
  </si>
  <si>
    <t xml:space="preserve"> $159.55 </t>
  </si>
  <si>
    <t>ORD6063</t>
  </si>
  <si>
    <t>CUST2063</t>
  </si>
  <si>
    <t>PROD1263</t>
  </si>
  <si>
    <t xml:space="preserve"> $688.60 </t>
  </si>
  <si>
    <t>ORD6064</t>
  </si>
  <si>
    <t>CUST2064</t>
  </si>
  <si>
    <t>PROD1264</t>
  </si>
  <si>
    <t xml:space="preserve"> $232.71 </t>
  </si>
  <si>
    <t>ORD6065</t>
  </si>
  <si>
    <t>CUST2065</t>
  </si>
  <si>
    <t>PROD1265</t>
  </si>
  <si>
    <t>3/20/2024</t>
  </si>
  <si>
    <t>ORD6066</t>
  </si>
  <si>
    <t>CUST2066</t>
  </si>
  <si>
    <t>PROD1266</t>
  </si>
  <si>
    <t xml:space="preserve"> $21.76 </t>
  </si>
  <si>
    <t>ORD6067</t>
  </si>
  <si>
    <t>CUST2067</t>
  </si>
  <si>
    <t>PROD1267</t>
  </si>
  <si>
    <t xml:space="preserve"> $845.10 </t>
  </si>
  <si>
    <t>ORD6068</t>
  </si>
  <si>
    <t>CUST2068</t>
  </si>
  <si>
    <t>PROD1268</t>
  </si>
  <si>
    <t xml:space="preserve"> $162.40 </t>
  </si>
  <si>
    <t>ORD6069</t>
  </si>
  <si>
    <t>CUST2069</t>
  </si>
  <si>
    <t>PROD1269</t>
  </si>
  <si>
    <t>2/23/2022</t>
  </si>
  <si>
    <t xml:space="preserve"> $168.82 </t>
  </si>
  <si>
    <t>ORD6070</t>
  </si>
  <si>
    <t>CUST2070</t>
  </si>
  <si>
    <t>PROD1270</t>
  </si>
  <si>
    <t xml:space="preserve"> $51.61 </t>
  </si>
  <si>
    <t>ORD6071</t>
  </si>
  <si>
    <t>CUST2071</t>
  </si>
  <si>
    <t>PROD1271</t>
  </si>
  <si>
    <t>10/29/2021</t>
  </si>
  <si>
    <t xml:space="preserve"> $257.69 </t>
  </si>
  <si>
    <t>ORD6072</t>
  </si>
  <si>
    <t>CUST2072</t>
  </si>
  <si>
    <t>PROD1272</t>
  </si>
  <si>
    <t xml:space="preserve"> $90.01 </t>
  </si>
  <si>
    <t>ORD6073</t>
  </si>
  <si>
    <t>CUST2073</t>
  </si>
  <si>
    <t>PROD1273</t>
  </si>
  <si>
    <t xml:space="preserve"> $8.45 </t>
  </si>
  <si>
    <t>ORD6074</t>
  </si>
  <si>
    <t>CUST2074</t>
  </si>
  <si>
    <t>PROD1274</t>
  </si>
  <si>
    <t xml:space="preserve"> $135.26 </t>
  </si>
  <si>
    <t>ORD6075</t>
  </si>
  <si>
    <t>CUST2075</t>
  </si>
  <si>
    <t>PROD1275</t>
  </si>
  <si>
    <t xml:space="preserve"> $435.92 </t>
  </si>
  <si>
    <t>ORD6076</t>
  </si>
  <si>
    <t>CUST2076</t>
  </si>
  <si>
    <t>PROD1276</t>
  </si>
  <si>
    <t xml:space="preserve"> $186.66 </t>
  </si>
  <si>
    <t>ORD6077</t>
  </si>
  <si>
    <t>CUST2077</t>
  </si>
  <si>
    <t>PROD1277</t>
  </si>
  <si>
    <t xml:space="preserve"> $60.80 </t>
  </si>
  <si>
    <t>ORD6078</t>
  </si>
  <si>
    <t>CUST2078</t>
  </si>
  <si>
    <t>PROD1278</t>
  </si>
  <si>
    <t xml:space="preserve"> $52.29 </t>
  </si>
  <si>
    <t>ORD6079</t>
  </si>
  <si>
    <t>CUST2079</t>
  </si>
  <si>
    <t>PROD1279</t>
  </si>
  <si>
    <t xml:space="preserve"> $325.42 </t>
  </si>
  <si>
    <t>ORD6080</t>
  </si>
  <si>
    <t>CUST2080</t>
  </si>
  <si>
    <t>PROD1280</t>
  </si>
  <si>
    <t>12/30/2024</t>
  </si>
  <si>
    <t xml:space="preserve"> $204.08 </t>
  </si>
  <si>
    <t>ORD6081</t>
  </si>
  <si>
    <t>CUST2081</t>
  </si>
  <si>
    <t>PROD1281</t>
  </si>
  <si>
    <t xml:space="preserve"> $236.78 </t>
  </si>
  <si>
    <t>ORD6082</t>
  </si>
  <si>
    <t>CUST2082</t>
  </si>
  <si>
    <t>PROD1282</t>
  </si>
  <si>
    <t>8/16/2022</t>
  </si>
  <si>
    <t xml:space="preserve"> $920.25 </t>
  </si>
  <si>
    <t>ORD6083</t>
  </si>
  <si>
    <t>CUST2083</t>
  </si>
  <si>
    <t>PROD1283</t>
  </si>
  <si>
    <t>5/13/2025</t>
  </si>
  <si>
    <t xml:space="preserve"> $248.76 </t>
  </si>
  <si>
    <t>ORD6084</t>
  </si>
  <si>
    <t>CUST2084</t>
  </si>
  <si>
    <t>PROD1284</t>
  </si>
  <si>
    <t>2/22/2023</t>
  </si>
  <si>
    <t xml:space="preserve"> $44.12 </t>
  </si>
  <si>
    <t>ORD6085</t>
  </si>
  <si>
    <t>CUST2085</t>
  </si>
  <si>
    <t>PROD1285</t>
  </si>
  <si>
    <t>7/21/2023</t>
  </si>
  <si>
    <t xml:space="preserve"> $1,330.98 </t>
  </si>
  <si>
    <t>ORD6086</t>
  </si>
  <si>
    <t>CUST2086</t>
  </si>
  <si>
    <t>PROD1286</t>
  </si>
  <si>
    <t xml:space="preserve"> $65.75 </t>
  </si>
  <si>
    <t>ORD6087</t>
  </si>
  <si>
    <t>CUST2087</t>
  </si>
  <si>
    <t>PROD1287</t>
  </si>
  <si>
    <t>9/27/2023</t>
  </si>
  <si>
    <t xml:space="preserve"> $573.06 </t>
  </si>
  <si>
    <t>ORD6088</t>
  </si>
  <si>
    <t>CUST2088</t>
  </si>
  <si>
    <t>PROD1288</t>
  </si>
  <si>
    <t xml:space="preserve"> $384.45 </t>
  </si>
  <si>
    <t>ORD6089</t>
  </si>
  <si>
    <t>CUST2089</t>
  </si>
  <si>
    <t>PROD1289</t>
  </si>
  <si>
    <t xml:space="preserve"> $61.45 </t>
  </si>
  <si>
    <t>ORD6090</t>
  </si>
  <si>
    <t>CUST2090</t>
  </si>
  <si>
    <t>PROD1290</t>
  </si>
  <si>
    <t xml:space="preserve"> $476.48 </t>
  </si>
  <si>
    <t>ORD6091</t>
  </si>
  <si>
    <t>CUST2091</t>
  </si>
  <si>
    <t>PROD1291</t>
  </si>
  <si>
    <t xml:space="preserve"> $542.87 </t>
  </si>
  <si>
    <t>ORD6092</t>
  </si>
  <si>
    <t>CUST2092</t>
  </si>
  <si>
    <t>PROD1292</t>
  </si>
  <si>
    <t>9/26/2021</t>
  </si>
  <si>
    <t xml:space="preserve"> $491.48 </t>
  </si>
  <si>
    <t>ORD6093</t>
  </si>
  <si>
    <t>CUST2093</t>
  </si>
  <si>
    <t>PROD1293</t>
  </si>
  <si>
    <t xml:space="preserve"> $309.37 </t>
  </si>
  <si>
    <t>ORD6094</t>
  </si>
  <si>
    <t>CUST2094</t>
  </si>
  <si>
    <t>PROD1294</t>
  </si>
  <si>
    <t xml:space="preserve"> $4.80 </t>
  </si>
  <si>
    <t>ORD6095</t>
  </si>
  <si>
    <t>CUST2095</t>
  </si>
  <si>
    <t>PROD1295</t>
  </si>
  <si>
    <t xml:space="preserve"> $247.22 </t>
  </si>
  <si>
    <t>ORD6096</t>
  </si>
  <si>
    <t>CUST2096</t>
  </si>
  <si>
    <t>PROD1296</t>
  </si>
  <si>
    <t xml:space="preserve"> $121.04 </t>
  </si>
  <si>
    <t>ORD6097</t>
  </si>
  <si>
    <t>CUST2097</t>
  </si>
  <si>
    <t>PROD1297</t>
  </si>
  <si>
    <t>6/24/2022</t>
  </si>
  <si>
    <t xml:space="preserve"> $146.91 </t>
  </si>
  <si>
    <t>ORD6098</t>
  </si>
  <si>
    <t>CUST2098</t>
  </si>
  <si>
    <t>PROD1298</t>
  </si>
  <si>
    <t xml:space="preserve"> $1,319.96 </t>
  </si>
  <si>
    <t>ORD6099</t>
  </si>
  <si>
    <t>CUST2099</t>
  </si>
  <si>
    <t>PROD1299</t>
  </si>
  <si>
    <t xml:space="preserve"> $84.26 </t>
  </si>
  <si>
    <t>ORD6100</t>
  </si>
  <si>
    <t>CUST2100</t>
  </si>
  <si>
    <t>PROD1300</t>
  </si>
  <si>
    <t xml:space="preserve"> $313.24 </t>
  </si>
  <si>
    <t>ORD6101</t>
  </si>
  <si>
    <t>CUST2101</t>
  </si>
  <si>
    <t>PROD1301</t>
  </si>
  <si>
    <t xml:space="preserve"> $261.80 </t>
  </si>
  <si>
    <t>ORD6102</t>
  </si>
  <si>
    <t>CUST2102</t>
  </si>
  <si>
    <t>PROD1302</t>
  </si>
  <si>
    <t xml:space="preserve"> $366.08 </t>
  </si>
  <si>
    <t>ORD6103</t>
  </si>
  <si>
    <t>CUST2103</t>
  </si>
  <si>
    <t>PROD1303</t>
  </si>
  <si>
    <t xml:space="preserve"> $302.55 </t>
  </si>
  <si>
    <t>ORD6104</t>
  </si>
  <si>
    <t>CUST2104</t>
  </si>
  <si>
    <t>PROD1304</t>
  </si>
  <si>
    <t xml:space="preserve"> $72.50 </t>
  </si>
  <si>
    <t>ORD6105</t>
  </si>
  <si>
    <t>CUST2105</t>
  </si>
  <si>
    <t>PROD1305</t>
  </si>
  <si>
    <t>6/14/2021</t>
  </si>
  <si>
    <t>12/27/2021</t>
  </si>
  <si>
    <t xml:space="preserve"> $1,194.42 </t>
  </si>
  <si>
    <t>ORD6106</t>
  </si>
  <si>
    <t>CUST2106</t>
  </si>
  <si>
    <t>PROD1306</t>
  </si>
  <si>
    <t xml:space="preserve"> $136.82 </t>
  </si>
  <si>
    <t>ORD6107</t>
  </si>
  <si>
    <t>CUST2107</t>
  </si>
  <si>
    <t>PROD1307</t>
  </si>
  <si>
    <t>12/28/2022</t>
  </si>
  <si>
    <t xml:space="preserve"> $1,491.08 </t>
  </si>
  <si>
    <t>ORD6108</t>
  </si>
  <si>
    <t>CUST2108</t>
  </si>
  <si>
    <t>PROD1308</t>
  </si>
  <si>
    <t>ORD6109</t>
  </si>
  <si>
    <t>CUST2109</t>
  </si>
  <si>
    <t>PROD1309</t>
  </si>
  <si>
    <t xml:space="preserve"> $446.47 </t>
  </si>
  <si>
    <t>ORD6110</t>
  </si>
  <si>
    <t>CUST2110</t>
  </si>
  <si>
    <t>PROD1310</t>
  </si>
  <si>
    <t>3/14/2025</t>
  </si>
  <si>
    <t xml:space="preserve"> $204.18 </t>
  </si>
  <si>
    <t>ORD6111</t>
  </si>
  <si>
    <t>CUST2111</t>
  </si>
  <si>
    <t>PROD1311</t>
  </si>
  <si>
    <t xml:space="preserve"> $964.50 </t>
  </si>
  <si>
    <t>ORD6112</t>
  </si>
  <si>
    <t>CUST2112</t>
  </si>
  <si>
    <t>PROD1312</t>
  </si>
  <si>
    <t xml:space="preserve"> $134.30 </t>
  </si>
  <si>
    <t>ORD6113</t>
  </si>
  <si>
    <t>CUST2113</t>
  </si>
  <si>
    <t>PROD1313</t>
  </si>
  <si>
    <t>8/13/2021</t>
  </si>
  <si>
    <t xml:space="preserve"> $228.67 </t>
  </si>
  <si>
    <t>ORD6114</t>
  </si>
  <si>
    <t>CUST2114</t>
  </si>
  <si>
    <t>PROD1314</t>
  </si>
  <si>
    <t xml:space="preserve"> $360.22 </t>
  </si>
  <si>
    <t>ORD6115</t>
  </si>
  <si>
    <t>CUST2115</t>
  </si>
  <si>
    <t>PROD1315</t>
  </si>
  <si>
    <t xml:space="preserve"> $99.05 </t>
  </si>
  <si>
    <t>ORD6116</t>
  </si>
  <si>
    <t>CUST2116</t>
  </si>
  <si>
    <t>PROD1316</t>
  </si>
  <si>
    <t>5/24/2021</t>
  </si>
  <si>
    <t xml:space="preserve"> $212.47 </t>
  </si>
  <si>
    <t>ORD6117</t>
  </si>
  <si>
    <t>CUST2117</t>
  </si>
  <si>
    <t>PROD1317</t>
  </si>
  <si>
    <t>5/24/2022</t>
  </si>
  <si>
    <t>8/30/2023</t>
  </si>
  <si>
    <t xml:space="preserve"> $14.12 </t>
  </si>
  <si>
    <t>ORD6118</t>
  </si>
  <si>
    <t>CUST2118</t>
  </si>
  <si>
    <t>PROD1318</t>
  </si>
  <si>
    <t>9/15/2020</t>
  </si>
  <si>
    <t>9/20/2020</t>
  </si>
  <si>
    <t xml:space="preserve"> $258.37 </t>
  </si>
  <si>
    <t>ORD6119</t>
  </si>
  <si>
    <t>CUST2119</t>
  </si>
  <si>
    <t>PROD1319</t>
  </si>
  <si>
    <t xml:space="preserve"> $141.45 </t>
  </si>
  <si>
    <t>ORD6120</t>
  </si>
  <si>
    <t>CUST2120</t>
  </si>
  <si>
    <t>PROD1320</t>
  </si>
  <si>
    <t xml:space="preserve"> $52.81 </t>
  </si>
  <si>
    <t>ORD6121</t>
  </si>
  <si>
    <t>CUST2121</t>
  </si>
  <si>
    <t>PROD1321</t>
  </si>
  <si>
    <t>2/28/2023</t>
  </si>
  <si>
    <t xml:space="preserve"> $169.81 </t>
  </si>
  <si>
    <t>ORD6122</t>
  </si>
  <si>
    <t>CUST2122</t>
  </si>
  <si>
    <t>PROD1322</t>
  </si>
  <si>
    <t xml:space="preserve"> $111.99 </t>
  </si>
  <si>
    <t>ORD6123</t>
  </si>
  <si>
    <t>CUST2123</t>
  </si>
  <si>
    <t>PROD1323</t>
  </si>
  <si>
    <t>12/19/2020</t>
  </si>
  <si>
    <t xml:space="preserve"> $564.30 </t>
  </si>
  <si>
    <t>ORD6124</t>
  </si>
  <si>
    <t>CUST2124</t>
  </si>
  <si>
    <t>PROD1324</t>
  </si>
  <si>
    <t>12/28/2020</t>
  </si>
  <si>
    <t xml:space="preserve"> $244.71 </t>
  </si>
  <si>
    <t>ORD6125</t>
  </si>
  <si>
    <t>CUST2125</t>
  </si>
  <si>
    <t>PROD1325</t>
  </si>
  <si>
    <t>10/21/2020</t>
  </si>
  <si>
    <t xml:space="preserve"> $603.87 </t>
  </si>
  <si>
    <t>ORD6126</t>
  </si>
  <si>
    <t>CUST2126</t>
  </si>
  <si>
    <t>PROD1326</t>
  </si>
  <si>
    <t xml:space="preserve"> $232.11 </t>
  </si>
  <si>
    <t>ORD6127</t>
  </si>
  <si>
    <t>CUST2127</t>
  </si>
  <si>
    <t>PROD1327</t>
  </si>
  <si>
    <t xml:space="preserve"> $50.52 </t>
  </si>
  <si>
    <t>ORD6128</t>
  </si>
  <si>
    <t>CUST2128</t>
  </si>
  <si>
    <t>PROD1328</t>
  </si>
  <si>
    <t>9/25/2024</t>
  </si>
  <si>
    <t xml:space="preserve"> $407.04 </t>
  </si>
  <si>
    <t>ORD6129</t>
  </si>
  <si>
    <t>CUST2129</t>
  </si>
  <si>
    <t>PROD1329</t>
  </si>
  <si>
    <t xml:space="preserve"> $212.92 </t>
  </si>
  <si>
    <t>ORD6130</t>
  </si>
  <si>
    <t>CUST2130</t>
  </si>
  <si>
    <t>PROD1330</t>
  </si>
  <si>
    <t xml:space="preserve"> $119.35 </t>
  </si>
  <si>
    <t>ORD6131</t>
  </si>
  <si>
    <t>CUST2131</t>
  </si>
  <si>
    <t>PROD1331</t>
  </si>
  <si>
    <t xml:space="preserve"> $36.75 </t>
  </si>
  <si>
    <t>ORD6132</t>
  </si>
  <si>
    <t>CUST2132</t>
  </si>
  <si>
    <t>PROD1332</t>
  </si>
  <si>
    <t xml:space="preserve"> $113.88 </t>
  </si>
  <si>
    <t>ORD6133</t>
  </si>
  <si>
    <t>CUST2133</t>
  </si>
  <si>
    <t>PROD1333</t>
  </si>
  <si>
    <t xml:space="preserve"> $168.95 </t>
  </si>
  <si>
    <t>ORD6134</t>
  </si>
  <si>
    <t>CUST2134</t>
  </si>
  <si>
    <t>PROD1334</t>
  </si>
  <si>
    <t xml:space="preserve"> $9.90 </t>
  </si>
  <si>
    <t>ORD6135</t>
  </si>
  <si>
    <t>CUST2135</t>
  </si>
  <si>
    <t>PROD1335</t>
  </si>
  <si>
    <t xml:space="preserve"> $200.24 </t>
  </si>
  <si>
    <t>ORD6136</t>
  </si>
  <si>
    <t>CUST2136</t>
  </si>
  <si>
    <t>PROD1336</t>
  </si>
  <si>
    <t xml:space="preserve"> $45.59 </t>
  </si>
  <si>
    <t>ORD6137</t>
  </si>
  <si>
    <t>CUST2137</t>
  </si>
  <si>
    <t>PROD1337</t>
  </si>
  <si>
    <t xml:space="preserve"> $42.19 </t>
  </si>
  <si>
    <t>ORD6138</t>
  </si>
  <si>
    <t>CUST2138</t>
  </si>
  <si>
    <t>PROD1338</t>
  </si>
  <si>
    <t xml:space="preserve"> $198.73 </t>
  </si>
  <si>
    <t>ORD6139</t>
  </si>
  <si>
    <t>CUST2139</t>
  </si>
  <si>
    <t>PROD1339</t>
  </si>
  <si>
    <t>2/23/2025</t>
  </si>
  <si>
    <t xml:space="preserve"> $339.60 </t>
  </si>
  <si>
    <t>ORD6140</t>
  </si>
  <si>
    <t>CUST2140</t>
  </si>
  <si>
    <t>PROD1340</t>
  </si>
  <si>
    <t xml:space="preserve"> $72.73 </t>
  </si>
  <si>
    <t>ORD6141</t>
  </si>
  <si>
    <t>CUST2141</t>
  </si>
  <si>
    <t>PROD1341</t>
  </si>
  <si>
    <t xml:space="preserve"> $215.41 </t>
  </si>
  <si>
    <t>ORD6142</t>
  </si>
  <si>
    <t>CUST2142</t>
  </si>
  <si>
    <t>PROD1342</t>
  </si>
  <si>
    <t>12/22/2022</t>
  </si>
  <si>
    <t xml:space="preserve"> $91.74 </t>
  </si>
  <si>
    <t>ORD6143</t>
  </si>
  <si>
    <t>CUST2143</t>
  </si>
  <si>
    <t>PROD1343</t>
  </si>
  <si>
    <t xml:space="preserve"> $57.28 </t>
  </si>
  <si>
    <t>ORD6144</t>
  </si>
  <si>
    <t>CUST2144</t>
  </si>
  <si>
    <t>PROD1344</t>
  </si>
  <si>
    <t xml:space="preserve"> $155.31 </t>
  </si>
  <si>
    <t>ORD6145</t>
  </si>
  <si>
    <t>CUST2145</t>
  </si>
  <si>
    <t>PROD1345</t>
  </si>
  <si>
    <t>10/18/2020</t>
  </si>
  <si>
    <t>4/29/2021</t>
  </si>
  <si>
    <t xml:space="preserve"> $776.04 </t>
  </si>
  <si>
    <t>ORD6146</t>
  </si>
  <si>
    <t>CUST2146</t>
  </si>
  <si>
    <t>PROD1346</t>
  </si>
  <si>
    <t xml:space="preserve"> $269.90 </t>
  </si>
  <si>
    <t>ORD6147</t>
  </si>
  <si>
    <t>CUST2147</t>
  </si>
  <si>
    <t>PROD1347</t>
  </si>
  <si>
    <t>6/19/2022</t>
  </si>
  <si>
    <t xml:space="preserve"> $224.54 </t>
  </si>
  <si>
    <t>ORD6148</t>
  </si>
  <si>
    <t>CUST2148</t>
  </si>
  <si>
    <t>PROD1348</t>
  </si>
  <si>
    <t xml:space="preserve"> $211.38 </t>
  </si>
  <si>
    <t>ORD6149</t>
  </si>
  <si>
    <t>CUST2149</t>
  </si>
  <si>
    <t>PROD1349</t>
  </si>
  <si>
    <t xml:space="preserve"> $64.80 </t>
  </si>
  <si>
    <t>ORD6150</t>
  </si>
  <si>
    <t>CUST2150</t>
  </si>
  <si>
    <t>PROD1350</t>
  </si>
  <si>
    <t xml:space="preserve"> $189.04 </t>
  </si>
  <si>
    <t>ORD6151</t>
  </si>
  <si>
    <t>CUST2151</t>
  </si>
  <si>
    <t>PROD1351</t>
  </si>
  <si>
    <t xml:space="preserve"> $309.54 </t>
  </si>
  <si>
    <t>ORD6152</t>
  </si>
  <si>
    <t>CUST2152</t>
  </si>
  <si>
    <t>PROD1352</t>
  </si>
  <si>
    <t xml:space="preserve"> $221.26 </t>
  </si>
  <si>
    <t>ORD6153</t>
  </si>
  <si>
    <t>CUST2153</t>
  </si>
  <si>
    <t>PROD1353</t>
  </si>
  <si>
    <t xml:space="preserve"> $235.28 </t>
  </si>
  <si>
    <t>ORD6154</t>
  </si>
  <si>
    <t>CUST2154</t>
  </si>
  <si>
    <t>PROD1354</t>
  </si>
  <si>
    <t xml:space="preserve"> $1,010.74 </t>
  </si>
  <si>
    <t>ORD6155</t>
  </si>
  <si>
    <t>CUST2155</t>
  </si>
  <si>
    <t>PROD1355</t>
  </si>
  <si>
    <t>6/23/2023</t>
  </si>
  <si>
    <t xml:space="preserve"> $38.46 </t>
  </si>
  <si>
    <t>ORD6156</t>
  </si>
  <si>
    <t>CUST2156</t>
  </si>
  <si>
    <t>PROD1356</t>
  </si>
  <si>
    <t xml:space="preserve"> $38.54 </t>
  </si>
  <si>
    <t>ORD6157</t>
  </si>
  <si>
    <t>CUST2157</t>
  </si>
  <si>
    <t>PROD1357</t>
  </si>
  <si>
    <t xml:space="preserve"> $373.10 </t>
  </si>
  <si>
    <t>ORD6158</t>
  </si>
  <si>
    <t>CUST2158</t>
  </si>
  <si>
    <t>PROD1358</t>
  </si>
  <si>
    <t xml:space="preserve"> $150.26 </t>
  </si>
  <si>
    <t>ORD6159</t>
  </si>
  <si>
    <t>CUST2159</t>
  </si>
  <si>
    <t>PROD1359</t>
  </si>
  <si>
    <t xml:space="preserve"> $183.51 </t>
  </si>
  <si>
    <t>ORD6160</t>
  </si>
  <si>
    <t>CUST2160</t>
  </si>
  <si>
    <t>PROD1360</t>
  </si>
  <si>
    <t xml:space="preserve"> $348.89 </t>
  </si>
  <si>
    <t>ORD6161</t>
  </si>
  <si>
    <t>CUST2161</t>
  </si>
  <si>
    <t>PROD1361</t>
  </si>
  <si>
    <t>2/27/2022</t>
  </si>
  <si>
    <t xml:space="preserve"> $113.81 </t>
  </si>
  <si>
    <t>ORD6162</t>
  </si>
  <si>
    <t>CUST2162</t>
  </si>
  <si>
    <t>PROD1362</t>
  </si>
  <si>
    <t xml:space="preserve"> $25.64 </t>
  </si>
  <si>
    <t>ORD6163</t>
  </si>
  <si>
    <t>CUST2163</t>
  </si>
  <si>
    <t>PROD1363</t>
  </si>
  <si>
    <t xml:space="preserve"> $66.08 </t>
  </si>
  <si>
    <t>ORD6164</t>
  </si>
  <si>
    <t>CUST2164</t>
  </si>
  <si>
    <t>PROD1364</t>
  </si>
  <si>
    <t xml:space="preserve"> $177.60 </t>
  </si>
  <si>
    <t>ORD6165</t>
  </si>
  <si>
    <t>CUST2165</t>
  </si>
  <si>
    <t>PROD1365</t>
  </si>
  <si>
    <t>11/28/2024</t>
  </si>
  <si>
    <t xml:space="preserve"> $408.87 </t>
  </si>
  <si>
    <t>ORD6166</t>
  </si>
  <si>
    <t>CUST2166</t>
  </si>
  <si>
    <t>PROD1366</t>
  </si>
  <si>
    <t>6/29/2022</t>
  </si>
  <si>
    <t xml:space="preserve"> $86.47 </t>
  </si>
  <si>
    <t>ORD6167</t>
  </si>
  <si>
    <t>CUST2167</t>
  </si>
  <si>
    <t>PROD1367</t>
  </si>
  <si>
    <t>8/18/2025</t>
  </si>
  <si>
    <t xml:space="preserve"> $615.92 </t>
  </si>
  <si>
    <t>ORD6168</t>
  </si>
  <si>
    <t>CUST2168</t>
  </si>
  <si>
    <t>PROD1368</t>
  </si>
  <si>
    <t xml:space="preserve"> $662.46 </t>
  </si>
  <si>
    <t>ORD6169</t>
  </si>
  <si>
    <t>CUST2169</t>
  </si>
  <si>
    <t>PROD1369</t>
  </si>
  <si>
    <t>12/15/2023</t>
  </si>
  <si>
    <t xml:space="preserve"> $490.33 </t>
  </si>
  <si>
    <t>ORD6170</t>
  </si>
  <si>
    <t>CUST2170</t>
  </si>
  <si>
    <t>PROD1370</t>
  </si>
  <si>
    <t xml:space="preserve"> $379.99 </t>
  </si>
  <si>
    <t>ORD6171</t>
  </si>
  <si>
    <t>CUST2171</t>
  </si>
  <si>
    <t>PROD1371</t>
  </si>
  <si>
    <t xml:space="preserve"> $260.34 </t>
  </si>
  <si>
    <t>ORD6172</t>
  </si>
  <si>
    <t>CUST2172</t>
  </si>
  <si>
    <t>PROD1372</t>
  </si>
  <si>
    <t xml:space="preserve"> $223.82 </t>
  </si>
  <si>
    <t>ORD6173</t>
  </si>
  <si>
    <t>CUST2173</t>
  </si>
  <si>
    <t>PROD1373</t>
  </si>
  <si>
    <t>12/29/2020</t>
  </si>
  <si>
    <t xml:space="preserve"> $268.72 </t>
  </si>
  <si>
    <t>ORD6174</t>
  </si>
  <si>
    <t>CUST2174</t>
  </si>
  <si>
    <t>PROD1374</t>
  </si>
  <si>
    <t xml:space="preserve"> $142.76 </t>
  </si>
  <si>
    <t>ORD6175</t>
  </si>
  <si>
    <t>CUST2175</t>
  </si>
  <si>
    <t>PROD1375</t>
  </si>
  <si>
    <t xml:space="preserve"> $118.26 </t>
  </si>
  <si>
    <t>ORD6176</t>
  </si>
  <si>
    <t>CUST2176</t>
  </si>
  <si>
    <t>PROD1376</t>
  </si>
  <si>
    <t xml:space="preserve"> $166.92 </t>
  </si>
  <si>
    <t>ORD6177</t>
  </si>
  <si>
    <t>CUST2177</t>
  </si>
  <si>
    <t>PROD1377</t>
  </si>
  <si>
    <t xml:space="preserve"> $1,356.12 </t>
  </si>
  <si>
    <t>ORD6178</t>
  </si>
  <si>
    <t>CUST2178</t>
  </si>
  <si>
    <t>PROD1378</t>
  </si>
  <si>
    <t xml:space="preserve"> $328.73 </t>
  </si>
  <si>
    <t>ORD6179</t>
  </si>
  <si>
    <t>CUST2179</t>
  </si>
  <si>
    <t>PROD1379</t>
  </si>
  <si>
    <t xml:space="preserve"> $38.73 </t>
  </si>
  <si>
    <t>ORD6180</t>
  </si>
  <si>
    <t>CUST2180</t>
  </si>
  <si>
    <t>PROD1380</t>
  </si>
  <si>
    <t>11/15/2020</t>
  </si>
  <si>
    <t>10/23/2024</t>
  </si>
  <si>
    <t xml:space="preserve"> $201.67 </t>
  </si>
  <si>
    <t>ORD6181</t>
  </si>
  <si>
    <t>CUST2181</t>
  </si>
  <si>
    <t>PROD1381</t>
  </si>
  <si>
    <t xml:space="preserve"> $8.30 </t>
  </si>
  <si>
    <t>ORD6182</t>
  </si>
  <si>
    <t>CUST2182</t>
  </si>
  <si>
    <t>PROD1382</t>
  </si>
  <si>
    <t xml:space="preserve"> $130.65 </t>
  </si>
  <si>
    <t>ORD6183</t>
  </si>
  <si>
    <t>CUST2183</t>
  </si>
  <si>
    <t>PROD1383</t>
  </si>
  <si>
    <t>10/22/2023</t>
  </si>
  <si>
    <t xml:space="preserve"> $299.80 </t>
  </si>
  <si>
    <t>ORD6184</t>
  </si>
  <si>
    <t>CUST2184</t>
  </si>
  <si>
    <t>PROD1384</t>
  </si>
  <si>
    <t xml:space="preserve"> $321.99 </t>
  </si>
  <si>
    <t>ORD6185</t>
  </si>
  <si>
    <t>CUST2185</t>
  </si>
  <si>
    <t>PROD1385</t>
  </si>
  <si>
    <t xml:space="preserve"> $409.80 </t>
  </si>
  <si>
    <t>ORD6186</t>
  </si>
  <si>
    <t>CUST2186</t>
  </si>
  <si>
    <t>PROD1386</t>
  </si>
  <si>
    <t xml:space="preserve"> $119.69 </t>
  </si>
  <si>
    <t>ORD6187</t>
  </si>
  <si>
    <t>CUST2187</t>
  </si>
  <si>
    <t>PROD1387</t>
  </si>
  <si>
    <t xml:space="preserve"> $632.36 </t>
  </si>
  <si>
    <t>ORD6188</t>
  </si>
  <si>
    <t>CUST2188</t>
  </si>
  <si>
    <t>PROD1388</t>
  </si>
  <si>
    <t>6/21/2021</t>
  </si>
  <si>
    <t xml:space="preserve"> $332.94 </t>
  </si>
  <si>
    <t>ORD6189</t>
  </si>
  <si>
    <t>CUST2189</t>
  </si>
  <si>
    <t>PROD1389</t>
  </si>
  <si>
    <t xml:space="preserve"> $378.98 </t>
  </si>
  <si>
    <t>ORD6190</t>
  </si>
  <si>
    <t>CUST2190</t>
  </si>
  <si>
    <t>PROD1390</t>
  </si>
  <si>
    <t xml:space="preserve"> $601.94 </t>
  </si>
  <si>
    <t>ORD6191</t>
  </si>
  <si>
    <t>CUST2191</t>
  </si>
  <si>
    <t>PROD1391</t>
  </si>
  <si>
    <t xml:space="preserve"> $76.39 </t>
  </si>
  <si>
    <t>ORD6192</t>
  </si>
  <si>
    <t>CUST2192</t>
  </si>
  <si>
    <t>PROD1392</t>
  </si>
  <si>
    <t xml:space="preserve"> $247.03 </t>
  </si>
  <si>
    <t>ORD6193</t>
  </si>
  <si>
    <t>CUST2193</t>
  </si>
  <si>
    <t>PROD1393</t>
  </si>
  <si>
    <t xml:space="preserve"> $215.70 </t>
  </si>
  <si>
    <t>ORD6194</t>
  </si>
  <si>
    <t>CUST2194</t>
  </si>
  <si>
    <t>PROD1394</t>
  </si>
  <si>
    <t xml:space="preserve"> $474.15 </t>
  </si>
  <si>
    <t>ORD6195</t>
  </si>
  <si>
    <t>CUST2195</t>
  </si>
  <si>
    <t>PROD1395</t>
  </si>
  <si>
    <t xml:space="preserve"> $6.64 </t>
  </si>
  <si>
    <t>ORD6196</t>
  </si>
  <si>
    <t>CUST2196</t>
  </si>
  <si>
    <t>PROD1396</t>
  </si>
  <si>
    <t xml:space="preserve"> $757.47 </t>
  </si>
  <si>
    <t>ORD6197</t>
  </si>
  <si>
    <t>CUST2197</t>
  </si>
  <si>
    <t>PROD1397</t>
  </si>
  <si>
    <t xml:space="preserve"> $384.35 </t>
  </si>
  <si>
    <t>ORD6198</t>
  </si>
  <si>
    <t>CUST2198</t>
  </si>
  <si>
    <t>PROD1398</t>
  </si>
  <si>
    <t xml:space="preserve"> $252.19 </t>
  </si>
  <si>
    <t>ORD6199</t>
  </si>
  <si>
    <t>CUST2199</t>
  </si>
  <si>
    <t>PROD1399</t>
  </si>
  <si>
    <t>4/30/2025</t>
  </si>
  <si>
    <t xml:space="preserve"> $561.99 </t>
  </si>
  <si>
    <t>ORD6200</t>
  </si>
  <si>
    <t>CUST2200</t>
  </si>
  <si>
    <t>PROD1400</t>
  </si>
  <si>
    <t xml:space="preserve"> $156.84 </t>
  </si>
  <si>
    <t>ORD6201</t>
  </si>
  <si>
    <t>CUST2201</t>
  </si>
  <si>
    <t>PROD1401</t>
  </si>
  <si>
    <t xml:space="preserve"> $948.96 </t>
  </si>
  <si>
    <t>ORD6202</t>
  </si>
  <si>
    <t>CUST2202</t>
  </si>
  <si>
    <t>PROD1402</t>
  </si>
  <si>
    <t xml:space="preserve"> $217.24 </t>
  </si>
  <si>
    <t>ORD6203</t>
  </si>
  <si>
    <t>CUST2203</t>
  </si>
  <si>
    <t>PROD1403</t>
  </si>
  <si>
    <t xml:space="preserve"> $197.39 </t>
  </si>
  <si>
    <t>ORD6204</t>
  </si>
  <si>
    <t>CUST2204</t>
  </si>
  <si>
    <t>PROD1404</t>
  </si>
  <si>
    <t xml:space="preserve"> $99.21 </t>
  </si>
  <si>
    <t>ORD6205</t>
  </si>
  <si>
    <t>CUST2205</t>
  </si>
  <si>
    <t>PROD1405</t>
  </si>
  <si>
    <t xml:space="preserve"> $176.86 </t>
  </si>
  <si>
    <t>ORD6206</t>
  </si>
  <si>
    <t>CUST2206</t>
  </si>
  <si>
    <t>PROD1406</t>
  </si>
  <si>
    <t xml:space="preserve"> $259.64 </t>
  </si>
  <si>
    <t>ORD6207</t>
  </si>
  <si>
    <t>CUST2207</t>
  </si>
  <si>
    <t>PROD1407</t>
  </si>
  <si>
    <t xml:space="preserve"> $581.93 </t>
  </si>
  <si>
    <t>ORD6208</t>
  </si>
  <si>
    <t>CUST2208</t>
  </si>
  <si>
    <t>PROD1408</t>
  </si>
  <si>
    <t xml:space="preserve"> $297.19 </t>
  </si>
  <si>
    <t>ORD6209</t>
  </si>
  <si>
    <t>CUST2209</t>
  </si>
  <si>
    <t>PROD1409</t>
  </si>
  <si>
    <t xml:space="preserve"> $349.74 </t>
  </si>
  <si>
    <t>ORD6210</t>
  </si>
  <si>
    <t>CUST2210</t>
  </si>
  <si>
    <t>PROD1410</t>
  </si>
  <si>
    <t xml:space="preserve"> $603.40 </t>
  </si>
  <si>
    <t>ORD6211</t>
  </si>
  <si>
    <t>CUST2211</t>
  </si>
  <si>
    <t>PROD1411</t>
  </si>
  <si>
    <t xml:space="preserve"> $88.50 </t>
  </si>
  <si>
    <t>ORD6212</t>
  </si>
  <si>
    <t>CUST2212</t>
  </si>
  <si>
    <t>PROD1412</t>
  </si>
  <si>
    <t xml:space="preserve"> $144.34 </t>
  </si>
  <si>
    <t>ORD6213</t>
  </si>
  <si>
    <t>CUST2213</t>
  </si>
  <si>
    <t>PROD1413</t>
  </si>
  <si>
    <t xml:space="preserve"> $927.70 </t>
  </si>
  <si>
    <t>ORD6214</t>
  </si>
  <si>
    <t>CUST2214</t>
  </si>
  <si>
    <t>PROD1414</t>
  </si>
  <si>
    <t xml:space="preserve"> $3.64 </t>
  </si>
  <si>
    <t>ORD6215</t>
  </si>
  <si>
    <t>CUST2215</t>
  </si>
  <si>
    <t>PROD1415</t>
  </si>
  <si>
    <t xml:space="preserve"> $98.84 </t>
  </si>
  <si>
    <t>ORD6216</t>
  </si>
  <si>
    <t>CUST2216</t>
  </si>
  <si>
    <t>PROD1416</t>
  </si>
  <si>
    <t xml:space="preserve"> $121.81 </t>
  </si>
  <si>
    <t>ORD6217</t>
  </si>
  <si>
    <t>CUST2217</t>
  </si>
  <si>
    <t>PROD1417</t>
  </si>
  <si>
    <t xml:space="preserve"> $204.64 </t>
  </si>
  <si>
    <t>ORD6218</t>
  </si>
  <si>
    <t>CUST2218</t>
  </si>
  <si>
    <t>PROD1418</t>
  </si>
  <si>
    <t xml:space="preserve"> $168.35 </t>
  </si>
  <si>
    <t>ORD6219</t>
  </si>
  <si>
    <t>CUST2219</t>
  </si>
  <si>
    <t>PROD1419</t>
  </si>
  <si>
    <t xml:space="preserve"> $240.51 </t>
  </si>
  <si>
    <t>ORD6220</t>
  </si>
  <si>
    <t>CUST2220</t>
  </si>
  <si>
    <t>PROD1420</t>
  </si>
  <si>
    <t xml:space="preserve"> $13.55 </t>
  </si>
  <si>
    <t>ORD6221</t>
  </si>
  <si>
    <t>CUST2221</t>
  </si>
  <si>
    <t>PROD1421</t>
  </si>
  <si>
    <t xml:space="preserve"> $352.52 </t>
  </si>
  <si>
    <t>ORD6222</t>
  </si>
  <si>
    <t>CUST2222</t>
  </si>
  <si>
    <t>PROD1422</t>
  </si>
  <si>
    <t xml:space="preserve"> $640.56 </t>
  </si>
  <si>
    <t>ORD6223</t>
  </si>
  <si>
    <t>CUST2223</t>
  </si>
  <si>
    <t>PROD1423</t>
  </si>
  <si>
    <t xml:space="preserve"> $212.95 </t>
  </si>
  <si>
    <t>ORD6224</t>
  </si>
  <si>
    <t>CUST2224</t>
  </si>
  <si>
    <t>PROD1424</t>
  </si>
  <si>
    <t xml:space="preserve"> $161.64 </t>
  </si>
  <si>
    <t>ORD6225</t>
  </si>
  <si>
    <t>CUST2225</t>
  </si>
  <si>
    <t>PROD1425</t>
  </si>
  <si>
    <t>4/16/2024</t>
  </si>
  <si>
    <t xml:space="preserve"> $144.78 </t>
  </si>
  <si>
    <t>ORD6226</t>
  </si>
  <si>
    <t>CUST2226</t>
  </si>
  <si>
    <t>PROD1426</t>
  </si>
  <si>
    <t xml:space="preserve"> $222.44 </t>
  </si>
  <si>
    <t>ORD6227</t>
  </si>
  <si>
    <t>CUST2227</t>
  </si>
  <si>
    <t>PROD1427</t>
  </si>
  <si>
    <t>9/27/2024</t>
  </si>
  <si>
    <t xml:space="preserve"> $29.69 </t>
  </si>
  <si>
    <t>ORD6228</t>
  </si>
  <si>
    <t>CUST2228</t>
  </si>
  <si>
    <t>PROD1428</t>
  </si>
  <si>
    <t xml:space="preserve"> $101.16 </t>
  </si>
  <si>
    <t>ORD6229</t>
  </si>
  <si>
    <t>CUST2229</t>
  </si>
  <si>
    <t>PROD1429</t>
  </si>
  <si>
    <t xml:space="preserve"> $167.51 </t>
  </si>
  <si>
    <t>ORD6230</t>
  </si>
  <si>
    <t>CUST2230</t>
  </si>
  <si>
    <t>PROD1430</t>
  </si>
  <si>
    <t xml:space="preserve"> $108.05 </t>
  </si>
  <si>
    <t>ORD6231</t>
  </si>
  <si>
    <t>CUST2231</t>
  </si>
  <si>
    <t>PROD1431</t>
  </si>
  <si>
    <t xml:space="preserve"> $332.43 </t>
  </si>
  <si>
    <t>ORD6232</t>
  </si>
  <si>
    <t>CUST2232</t>
  </si>
  <si>
    <t>PROD1432</t>
  </si>
  <si>
    <t>12/22/2020</t>
  </si>
  <si>
    <t xml:space="preserve"> $680.64 </t>
  </si>
  <si>
    <t>ORD6233</t>
  </si>
  <si>
    <t>CUST2233</t>
  </si>
  <si>
    <t>PROD1433</t>
  </si>
  <si>
    <t>1/29/2025</t>
  </si>
  <si>
    <t xml:space="preserve"> $255.08 </t>
  </si>
  <si>
    <t>ORD6234</t>
  </si>
  <si>
    <t>CUST2234</t>
  </si>
  <si>
    <t>PROD1434</t>
  </si>
  <si>
    <t>8/20/2020</t>
  </si>
  <si>
    <t xml:space="preserve"> $114.89 </t>
  </si>
  <si>
    <t>ORD6235</t>
  </si>
  <si>
    <t>CUST2235</t>
  </si>
  <si>
    <t>PROD1435</t>
  </si>
  <si>
    <t xml:space="preserve"> $192.60 </t>
  </si>
  <si>
    <t>ORD6236</t>
  </si>
  <si>
    <t>CUST2236</t>
  </si>
  <si>
    <t>PROD1436</t>
  </si>
  <si>
    <t xml:space="preserve"> $138.94 </t>
  </si>
  <si>
    <t>ORD6237</t>
  </si>
  <si>
    <t>CUST2237</t>
  </si>
  <si>
    <t>PROD1437</t>
  </si>
  <si>
    <t xml:space="preserve"> $1,427.64 </t>
  </si>
  <si>
    <t>ORD6238</t>
  </si>
  <si>
    <t>CUST2238</t>
  </si>
  <si>
    <t>PROD1438</t>
  </si>
  <si>
    <t xml:space="preserve"> $24.99 </t>
  </si>
  <si>
    <t>ORD6239</t>
  </si>
  <si>
    <t>CUST2239</t>
  </si>
  <si>
    <t>PROD1439</t>
  </si>
  <si>
    <t xml:space="preserve"> $61.64 </t>
  </si>
  <si>
    <t>ORD6240</t>
  </si>
  <si>
    <t>CUST2240</t>
  </si>
  <si>
    <t>PROD1440</t>
  </si>
  <si>
    <t xml:space="preserve"> $537.06 </t>
  </si>
  <si>
    <t>ORD6241</t>
  </si>
  <si>
    <t>CUST2241</t>
  </si>
  <si>
    <t>PROD1441</t>
  </si>
  <si>
    <t xml:space="preserve"> $212.08 </t>
  </si>
  <si>
    <t>ORD6242</t>
  </si>
  <si>
    <t>CUST2242</t>
  </si>
  <si>
    <t>PROD1442</t>
  </si>
  <si>
    <t xml:space="preserve"> $243.58 </t>
  </si>
  <si>
    <t>ORD6243</t>
  </si>
  <si>
    <t>CUST2243</t>
  </si>
  <si>
    <t>PROD1443</t>
  </si>
  <si>
    <t xml:space="preserve"> $992.40 </t>
  </si>
  <si>
    <t>ORD6244</t>
  </si>
  <si>
    <t>CUST2244</t>
  </si>
  <si>
    <t>PROD1444</t>
  </si>
  <si>
    <t xml:space="preserve"> $610.13 </t>
  </si>
  <si>
    <t>ORD6245</t>
  </si>
  <si>
    <t>CUST2245</t>
  </si>
  <si>
    <t>PROD1445</t>
  </si>
  <si>
    <t>11/13/2020</t>
  </si>
  <si>
    <t xml:space="preserve"> $61.51 </t>
  </si>
  <si>
    <t>ORD6246</t>
  </si>
  <si>
    <t>CUST2246</t>
  </si>
  <si>
    <t>PROD1446</t>
  </si>
  <si>
    <t xml:space="preserve"> $699.76 </t>
  </si>
  <si>
    <t>ORD6247</t>
  </si>
  <si>
    <t>CUST2247</t>
  </si>
  <si>
    <t>PROD1447</t>
  </si>
  <si>
    <t>1/18/2021</t>
  </si>
  <si>
    <t xml:space="preserve"> $1,111.66 </t>
  </si>
  <si>
    <t>ORD6248</t>
  </si>
  <si>
    <t>CUST2248</t>
  </si>
  <si>
    <t>PROD1448</t>
  </si>
  <si>
    <t xml:space="preserve"> $43.79 </t>
  </si>
  <si>
    <t>ORD6249</t>
  </si>
  <si>
    <t>CUST2249</t>
  </si>
  <si>
    <t>PROD1449</t>
  </si>
  <si>
    <t>8/30/2024</t>
  </si>
  <si>
    <t xml:space="preserve"> $27.02 </t>
  </si>
  <si>
    <t>ORD6250</t>
  </si>
  <si>
    <t>CUST2250</t>
  </si>
  <si>
    <t>PROD1450</t>
  </si>
  <si>
    <t xml:space="preserve"> $124.78 </t>
  </si>
  <si>
    <t>ORD6251</t>
  </si>
  <si>
    <t>CUST2251</t>
  </si>
  <si>
    <t>PROD1451</t>
  </si>
  <si>
    <t xml:space="preserve"> $169.03 </t>
  </si>
  <si>
    <t>ORD6252</t>
  </si>
  <si>
    <t>CUST2252</t>
  </si>
  <si>
    <t>PROD1452</t>
  </si>
  <si>
    <t xml:space="preserve"> $133.46 </t>
  </si>
  <si>
    <t>ORD6253</t>
  </si>
  <si>
    <t>CUST2253</t>
  </si>
  <si>
    <t>PROD1453</t>
  </si>
  <si>
    <t xml:space="preserve"> $4.87 </t>
  </si>
  <si>
    <t>ORD6254</t>
  </si>
  <si>
    <t>CUST2254</t>
  </si>
  <si>
    <t>PROD1454</t>
  </si>
  <si>
    <t xml:space="preserve"> $526.33 </t>
  </si>
  <si>
    <t>ORD6255</t>
  </si>
  <si>
    <t>CUST2255</t>
  </si>
  <si>
    <t>PROD1455</t>
  </si>
  <si>
    <t xml:space="preserve"> $654.83 </t>
  </si>
  <si>
    <t>ORD6256</t>
  </si>
  <si>
    <t>CUST2256</t>
  </si>
  <si>
    <t>PROD1456</t>
  </si>
  <si>
    <t xml:space="preserve"> $328.15 </t>
  </si>
  <si>
    <t>ORD6257</t>
  </si>
  <si>
    <t>CUST2257</t>
  </si>
  <si>
    <t>PROD1457</t>
  </si>
  <si>
    <t xml:space="preserve"> $106.11 </t>
  </si>
  <si>
    <t>ORD6258</t>
  </si>
  <si>
    <t>CUST2258</t>
  </si>
  <si>
    <t>PROD1458</t>
  </si>
  <si>
    <t>9/20/2021</t>
  </si>
  <si>
    <t xml:space="preserve"> $102.14 </t>
  </si>
  <si>
    <t>ORD6259</t>
  </si>
  <si>
    <t>CUST2259</t>
  </si>
  <si>
    <t>PROD1459</t>
  </si>
  <si>
    <t xml:space="preserve"> $194.13 </t>
  </si>
  <si>
    <t>ORD6260</t>
  </si>
  <si>
    <t>CUST2260</t>
  </si>
  <si>
    <t>PROD1460</t>
  </si>
  <si>
    <t>2/28/2022</t>
  </si>
  <si>
    <t xml:space="preserve"> $193.65 </t>
  </si>
  <si>
    <t>ORD6261</t>
  </si>
  <si>
    <t>CUST2261</t>
  </si>
  <si>
    <t>PROD1461</t>
  </si>
  <si>
    <t xml:space="preserve"> $35.03 </t>
  </si>
  <si>
    <t>ORD6262</t>
  </si>
  <si>
    <t>CUST2262</t>
  </si>
  <si>
    <t>PROD1462</t>
  </si>
  <si>
    <t>12/15/2022</t>
  </si>
  <si>
    <t xml:space="preserve"> $30.41 </t>
  </si>
  <si>
    <t>ORD6263</t>
  </si>
  <si>
    <t>CUST2263</t>
  </si>
  <si>
    <t>PROD1463</t>
  </si>
  <si>
    <t xml:space="preserve"> $375.98 </t>
  </si>
  <si>
    <t>ORD6264</t>
  </si>
  <si>
    <t>CUST2264</t>
  </si>
  <si>
    <t>PROD1464</t>
  </si>
  <si>
    <t xml:space="preserve"> $289.06 </t>
  </si>
  <si>
    <t>ORD6265</t>
  </si>
  <si>
    <t>CUST2265</t>
  </si>
  <si>
    <t>PROD1465</t>
  </si>
  <si>
    <t xml:space="preserve"> $124.07 </t>
  </si>
  <si>
    <t>ORD6266</t>
  </si>
  <si>
    <t>CUST2266</t>
  </si>
  <si>
    <t>PROD1466</t>
  </si>
  <si>
    <t xml:space="preserve"> $563.90 </t>
  </si>
  <si>
    <t>ORD6267</t>
  </si>
  <si>
    <t>CUST2267</t>
  </si>
  <si>
    <t>PROD1467</t>
  </si>
  <si>
    <t xml:space="preserve"> $198.64 </t>
  </si>
  <si>
    <t>ORD6268</t>
  </si>
  <si>
    <t>CUST2268</t>
  </si>
  <si>
    <t>PROD1468</t>
  </si>
  <si>
    <t xml:space="preserve"> $248.56 </t>
  </si>
  <si>
    <t>ORD6269</t>
  </si>
  <si>
    <t>CUST2269</t>
  </si>
  <si>
    <t>PROD1469</t>
  </si>
  <si>
    <t xml:space="preserve"> $218.97 </t>
  </si>
  <si>
    <t>ORD6270</t>
  </si>
  <si>
    <t>CUST2270</t>
  </si>
  <si>
    <t>PROD1470</t>
  </si>
  <si>
    <t xml:space="preserve"> $915.31 </t>
  </si>
  <si>
    <t>ORD6271</t>
  </si>
  <si>
    <t>CUST2271</t>
  </si>
  <si>
    <t>PROD1471</t>
  </si>
  <si>
    <t>1/15/2024</t>
  </si>
  <si>
    <t xml:space="preserve"> $323.13 </t>
  </si>
  <si>
    <t>ORD6272</t>
  </si>
  <si>
    <t>CUST2272</t>
  </si>
  <si>
    <t>PROD1472</t>
  </si>
  <si>
    <t xml:space="preserve"> $50.14 </t>
  </si>
  <si>
    <t>ORD6273</t>
  </si>
  <si>
    <t>CUST2273</t>
  </si>
  <si>
    <t>PROD1473</t>
  </si>
  <si>
    <t xml:space="preserve"> $1,991.63 </t>
  </si>
  <si>
    <t>ORD6274</t>
  </si>
  <si>
    <t>CUST2274</t>
  </si>
  <si>
    <t>PROD1474</t>
  </si>
  <si>
    <t xml:space="preserve"> $382.55 </t>
  </si>
  <si>
    <t>ORD6275</t>
  </si>
  <si>
    <t>CUST2275</t>
  </si>
  <si>
    <t>PROD1475</t>
  </si>
  <si>
    <t xml:space="preserve"> $29.84 </t>
  </si>
  <si>
    <t>ORD6276</t>
  </si>
  <si>
    <t>CUST2276</t>
  </si>
  <si>
    <t>PROD1476</t>
  </si>
  <si>
    <t xml:space="preserve"> $140.01 </t>
  </si>
  <si>
    <t>ORD6277</t>
  </si>
  <si>
    <t>CUST2277</t>
  </si>
  <si>
    <t>PROD1477</t>
  </si>
  <si>
    <t>2/26/2024</t>
  </si>
  <si>
    <t xml:space="preserve"> $32.62 </t>
  </si>
  <si>
    <t>ORD6278</t>
  </si>
  <si>
    <t>CUST2278</t>
  </si>
  <si>
    <t>PROD1478</t>
  </si>
  <si>
    <t xml:space="preserve"> $529.10 </t>
  </si>
  <si>
    <t>ORD6279</t>
  </si>
  <si>
    <t>CUST2279</t>
  </si>
  <si>
    <t>PROD1479</t>
  </si>
  <si>
    <t xml:space="preserve"> $10.29 </t>
  </si>
  <si>
    <t>ORD6280</t>
  </si>
  <si>
    <t>CUST2280</t>
  </si>
  <si>
    <t>PROD1480</t>
  </si>
  <si>
    <t xml:space="preserve"> $142.15 </t>
  </si>
  <si>
    <t>ORD6281</t>
  </si>
  <si>
    <t>CUST2281</t>
  </si>
  <si>
    <t>PROD1481</t>
  </si>
  <si>
    <t xml:space="preserve"> $145.91 </t>
  </si>
  <si>
    <t>ORD6282</t>
  </si>
  <si>
    <t>CUST2282</t>
  </si>
  <si>
    <t>PROD1482</t>
  </si>
  <si>
    <t xml:space="preserve"> $105.25 </t>
  </si>
  <si>
    <t>ORD6283</t>
  </si>
  <si>
    <t>CUST2283</t>
  </si>
  <si>
    <t>PROD1483</t>
  </si>
  <si>
    <t>1/13/2022</t>
  </si>
  <si>
    <t xml:space="preserve"> $97.62 </t>
  </si>
  <si>
    <t>ORD6284</t>
  </si>
  <si>
    <t>CUST2284</t>
  </si>
  <si>
    <t>PROD1484</t>
  </si>
  <si>
    <t>2/21/2022</t>
  </si>
  <si>
    <t xml:space="preserve"> $214.28 </t>
  </si>
  <si>
    <t>ORD6285</t>
  </si>
  <si>
    <t>CUST2285</t>
  </si>
  <si>
    <t>PROD1485</t>
  </si>
  <si>
    <t xml:space="preserve"> $203.87 </t>
  </si>
  <si>
    <t>ORD6286</t>
  </si>
  <si>
    <t>CUST2286</t>
  </si>
  <si>
    <t>PROD1486</t>
  </si>
  <si>
    <t xml:space="preserve"> $104.25 </t>
  </si>
  <si>
    <t>ORD6287</t>
  </si>
  <si>
    <t>CUST2287</t>
  </si>
  <si>
    <t>PROD1487</t>
  </si>
  <si>
    <t xml:space="preserve"> $42.20 </t>
  </si>
  <si>
    <t>ORD6288</t>
  </si>
  <si>
    <t>CUST2288</t>
  </si>
  <si>
    <t>PROD1488</t>
  </si>
  <si>
    <t xml:space="preserve"> $417.98 </t>
  </si>
  <si>
    <t>ORD6289</t>
  </si>
  <si>
    <t>CUST2289</t>
  </si>
  <si>
    <t>PROD1489</t>
  </si>
  <si>
    <t xml:space="preserve"> $115.36 </t>
  </si>
  <si>
    <t>ORD6290</t>
  </si>
  <si>
    <t>CUST2290</t>
  </si>
  <si>
    <t>PROD1490</t>
  </si>
  <si>
    <t xml:space="preserve"> $51.56 </t>
  </si>
  <si>
    <t>ORD6291</t>
  </si>
  <si>
    <t>CUST2291</t>
  </si>
  <si>
    <t>PROD1491</t>
  </si>
  <si>
    <t xml:space="preserve"> $201.74 </t>
  </si>
  <si>
    <t>ORD6292</t>
  </si>
  <si>
    <t>CUST2292</t>
  </si>
  <si>
    <t>PROD1492</t>
  </si>
  <si>
    <t>11/17/2021</t>
  </si>
  <si>
    <t>2/17/2023</t>
  </si>
  <si>
    <t xml:space="preserve"> $5.47 </t>
  </si>
  <si>
    <t>ORD6293</t>
  </si>
  <si>
    <t>CUST2293</t>
  </si>
  <si>
    <t>PROD1493</t>
  </si>
  <si>
    <t xml:space="preserve"> $90.05 </t>
  </si>
  <si>
    <t>ORD6294</t>
  </si>
  <si>
    <t>CUST2294</t>
  </si>
  <si>
    <t>PROD1494</t>
  </si>
  <si>
    <t>ORD6295</t>
  </si>
  <si>
    <t>CUST2295</t>
  </si>
  <si>
    <t>PROD1495</t>
  </si>
  <si>
    <t>5/20/2024</t>
  </si>
  <si>
    <t xml:space="preserve"> $242.91 </t>
  </si>
  <si>
    <t>ORD6296</t>
  </si>
  <si>
    <t>CUST2296</t>
  </si>
  <si>
    <t>PROD1496</t>
  </si>
  <si>
    <t>5/26/2024</t>
  </si>
  <si>
    <t xml:space="preserve"> $346.43 </t>
  </si>
  <si>
    <t>ORD6297</t>
  </si>
  <si>
    <t>CUST2297</t>
  </si>
  <si>
    <t>PROD1497</t>
  </si>
  <si>
    <t>9/13/2024</t>
  </si>
  <si>
    <t xml:space="preserve"> $272.76 </t>
  </si>
  <si>
    <t>ORD6298</t>
  </si>
  <si>
    <t>CUST2298</t>
  </si>
  <si>
    <t>PROD1498</t>
  </si>
  <si>
    <t xml:space="preserve"> $125.70 </t>
  </si>
  <si>
    <t>ORD6299</t>
  </si>
  <si>
    <t>CUST2299</t>
  </si>
  <si>
    <t>PROD1499</t>
  </si>
  <si>
    <t xml:space="preserve"> $71.60 </t>
  </si>
  <si>
    <t>ORD6300</t>
  </si>
  <si>
    <t>CUST2300</t>
  </si>
  <si>
    <t>PROD1500</t>
  </si>
  <si>
    <t xml:space="preserve"> $182.98 </t>
  </si>
  <si>
    <t>ORD6301</t>
  </si>
  <si>
    <t>CUST2301</t>
  </si>
  <si>
    <t>PROD1501</t>
  </si>
  <si>
    <t xml:space="preserve"> $45.81 </t>
  </si>
  <si>
    <t>ORD6302</t>
  </si>
  <si>
    <t>CUST2302</t>
  </si>
  <si>
    <t>PROD1502</t>
  </si>
  <si>
    <t xml:space="preserve"> $221.45 </t>
  </si>
  <si>
    <t>ORD6303</t>
  </si>
  <si>
    <t>CUST2303</t>
  </si>
  <si>
    <t>PROD1503</t>
  </si>
  <si>
    <t xml:space="preserve"> $185.94 </t>
  </si>
  <si>
    <t>ORD6304</t>
  </si>
  <si>
    <t>CUST2304</t>
  </si>
  <si>
    <t>PROD1504</t>
  </si>
  <si>
    <t xml:space="preserve"> $842.30 </t>
  </si>
  <si>
    <t>ORD6305</t>
  </si>
  <si>
    <t>CUST2305</t>
  </si>
  <si>
    <t>PROD1505</t>
  </si>
  <si>
    <t xml:space="preserve"> $1,871.19 </t>
  </si>
  <si>
    <t>ORD6306</t>
  </si>
  <si>
    <t>CUST2306</t>
  </si>
  <si>
    <t>PROD1506</t>
  </si>
  <si>
    <t xml:space="preserve"> $618.69 </t>
  </si>
  <si>
    <t>ORD6307</t>
  </si>
  <si>
    <t>CUST2307</t>
  </si>
  <si>
    <t>PROD1507</t>
  </si>
  <si>
    <t xml:space="preserve"> $165.97 </t>
  </si>
  <si>
    <t>ORD6308</t>
  </si>
  <si>
    <t>CUST2308</t>
  </si>
  <si>
    <t>PROD1508</t>
  </si>
  <si>
    <t xml:space="preserve"> $241.95 </t>
  </si>
  <si>
    <t>ORD6309</t>
  </si>
  <si>
    <t>CUST2309</t>
  </si>
  <si>
    <t>PROD1509</t>
  </si>
  <si>
    <t>7/31/2022</t>
  </si>
  <si>
    <t xml:space="preserve"> $207.24 </t>
  </si>
  <si>
    <t>ORD6310</t>
  </si>
  <si>
    <t>CUST2310</t>
  </si>
  <si>
    <t>PROD1510</t>
  </si>
  <si>
    <t xml:space="preserve"> $428.21 </t>
  </si>
  <si>
    <t>ORD6311</t>
  </si>
  <si>
    <t>CUST2311</t>
  </si>
  <si>
    <t>PROD1511</t>
  </si>
  <si>
    <t xml:space="preserve"> $224.13 </t>
  </si>
  <si>
    <t>ORD6312</t>
  </si>
  <si>
    <t>CUST2312</t>
  </si>
  <si>
    <t>PROD1512</t>
  </si>
  <si>
    <t xml:space="preserve"> $77.19 </t>
  </si>
  <si>
    <t>ORD6313</t>
  </si>
  <si>
    <t>CUST2313</t>
  </si>
  <si>
    <t>PROD1513</t>
  </si>
  <si>
    <t xml:space="preserve"> $64.16 </t>
  </si>
  <si>
    <t>ORD6314</t>
  </si>
  <si>
    <t>CUST2314</t>
  </si>
  <si>
    <t>PROD1514</t>
  </si>
  <si>
    <t xml:space="preserve"> $618.94 </t>
  </si>
  <si>
    <t>ORD6315</t>
  </si>
  <si>
    <t>CUST2315</t>
  </si>
  <si>
    <t>PROD1515</t>
  </si>
  <si>
    <t xml:space="preserve"> $86.78 </t>
  </si>
  <si>
    <t>ORD6316</t>
  </si>
  <si>
    <t>CUST2316</t>
  </si>
  <si>
    <t>PROD1516</t>
  </si>
  <si>
    <t xml:space="preserve"> $266.00 </t>
  </si>
  <si>
    <t>ORD6317</t>
  </si>
  <si>
    <t>CUST2317</t>
  </si>
  <si>
    <t>PROD1517</t>
  </si>
  <si>
    <t xml:space="preserve"> $195.92 </t>
  </si>
  <si>
    <t>ORD6318</t>
  </si>
  <si>
    <t>CUST2318</t>
  </si>
  <si>
    <t>PROD1518</t>
  </si>
  <si>
    <t xml:space="preserve"> $136.75 </t>
  </si>
  <si>
    <t>ORD6319</t>
  </si>
  <si>
    <t>CUST2319</t>
  </si>
  <si>
    <t>PROD1519</t>
  </si>
  <si>
    <t>5/20/2025</t>
  </si>
  <si>
    <t xml:space="preserve"> $7.43 </t>
  </si>
  <si>
    <t>ORD6320</t>
  </si>
  <si>
    <t>CUST2320</t>
  </si>
  <si>
    <t>PROD1520</t>
  </si>
  <si>
    <t>4/30/2023</t>
  </si>
  <si>
    <t xml:space="preserve"> $691.59 </t>
  </si>
  <si>
    <t>ORD6321</t>
  </si>
  <si>
    <t>CUST2321</t>
  </si>
  <si>
    <t>PROD1521</t>
  </si>
  <si>
    <t xml:space="preserve"> $500.26 </t>
  </si>
  <si>
    <t>ORD6322</t>
  </si>
  <si>
    <t>CUST2322</t>
  </si>
  <si>
    <t>PROD1522</t>
  </si>
  <si>
    <t>10/13/2024</t>
  </si>
  <si>
    <t xml:space="preserve"> $221.95 </t>
  </si>
  <si>
    <t>ORD6323</t>
  </si>
  <si>
    <t>CUST2323</t>
  </si>
  <si>
    <t>PROD1523</t>
  </si>
  <si>
    <t xml:space="preserve"> $381.19 </t>
  </si>
  <si>
    <t>ORD6324</t>
  </si>
  <si>
    <t>CUST2324</t>
  </si>
  <si>
    <t>PROD1524</t>
  </si>
  <si>
    <t>5/23/2021</t>
  </si>
  <si>
    <t xml:space="preserve"> $255.16 </t>
  </si>
  <si>
    <t>ORD6325</t>
  </si>
  <si>
    <t>CUST2325</t>
  </si>
  <si>
    <t>PROD1525</t>
  </si>
  <si>
    <t>12/20/2021</t>
  </si>
  <si>
    <t xml:space="preserve"> $197.79 </t>
  </si>
  <si>
    <t>ORD6326</t>
  </si>
  <si>
    <t>CUST2326</t>
  </si>
  <si>
    <t>PROD1526</t>
  </si>
  <si>
    <t>3/13/2021</t>
  </si>
  <si>
    <t xml:space="preserve"> $147.52 </t>
  </si>
  <si>
    <t>ORD6327</t>
  </si>
  <si>
    <t>CUST2327</t>
  </si>
  <si>
    <t>PROD1527</t>
  </si>
  <si>
    <t xml:space="preserve"> $65.92 </t>
  </si>
  <si>
    <t>ORD6328</t>
  </si>
  <si>
    <t>CUST2328</t>
  </si>
  <si>
    <t>PROD1528</t>
  </si>
  <si>
    <t xml:space="preserve"> $949.40 </t>
  </si>
  <si>
    <t>ORD6329</t>
  </si>
  <si>
    <t>CUST2329</t>
  </si>
  <si>
    <t>PROD1529</t>
  </si>
  <si>
    <t xml:space="preserve"> $1,629.13 </t>
  </si>
  <si>
    <t>ORD6330</t>
  </si>
  <si>
    <t>CUST2330</t>
  </si>
  <si>
    <t>PROD1530</t>
  </si>
  <si>
    <t xml:space="preserve"> $110.64 </t>
  </si>
  <si>
    <t>ORD6331</t>
  </si>
  <si>
    <t>CUST2331</t>
  </si>
  <si>
    <t>PROD1531</t>
  </si>
  <si>
    <t xml:space="preserve"> $119.46 </t>
  </si>
  <si>
    <t>ORD6332</t>
  </si>
  <si>
    <t>CUST2332</t>
  </si>
  <si>
    <t>PROD1532</t>
  </si>
  <si>
    <t xml:space="preserve"> $258.65 </t>
  </si>
  <si>
    <t>ORD6333</t>
  </si>
  <si>
    <t>CUST2333</t>
  </si>
  <si>
    <t>PROD1533</t>
  </si>
  <si>
    <t>6/20/2021</t>
  </si>
  <si>
    <t xml:space="preserve"> $690.54 </t>
  </si>
  <si>
    <t>ORD6334</t>
  </si>
  <si>
    <t>CUST2334</t>
  </si>
  <si>
    <t>PROD1534</t>
  </si>
  <si>
    <t xml:space="preserve"> $68.17 </t>
  </si>
  <si>
    <t>ORD6335</t>
  </si>
  <si>
    <t>CUST2335</t>
  </si>
  <si>
    <t>PROD1535</t>
  </si>
  <si>
    <t xml:space="preserve"> $172.68 </t>
  </si>
  <si>
    <t>ORD6336</t>
  </si>
  <si>
    <t>CUST2336</t>
  </si>
  <si>
    <t>PROD1536</t>
  </si>
  <si>
    <t xml:space="preserve"> $330.61 </t>
  </si>
  <si>
    <t>ORD6337</t>
  </si>
  <si>
    <t>CUST2337</t>
  </si>
  <si>
    <t>PROD1537</t>
  </si>
  <si>
    <t>7/16/2025</t>
  </si>
  <si>
    <t>9/27/2022</t>
  </si>
  <si>
    <t xml:space="preserve"> $71.44 </t>
  </si>
  <si>
    <t>ORD6338</t>
  </si>
  <si>
    <t>CUST2338</t>
  </si>
  <si>
    <t>PROD1538</t>
  </si>
  <si>
    <t xml:space="preserve"> $253.84 </t>
  </si>
  <si>
    <t>ORD6339</t>
  </si>
  <si>
    <t>CUST2339</t>
  </si>
  <si>
    <t>PROD1539</t>
  </si>
  <si>
    <t xml:space="preserve"> $309.98 </t>
  </si>
  <si>
    <t>ORD6340</t>
  </si>
  <si>
    <t>CUST2340</t>
  </si>
  <si>
    <t>PROD1540</t>
  </si>
  <si>
    <t xml:space="preserve"> $879.80 </t>
  </si>
  <si>
    <t>ORD6341</t>
  </si>
  <si>
    <t>CUST2341</t>
  </si>
  <si>
    <t>PROD1541</t>
  </si>
  <si>
    <t xml:space="preserve"> $50.77 </t>
  </si>
  <si>
    <t>ORD6342</t>
  </si>
  <si>
    <t>CUST2342</t>
  </si>
  <si>
    <t>PROD1542</t>
  </si>
  <si>
    <t xml:space="preserve"> $542.24 </t>
  </si>
  <si>
    <t>ORD6343</t>
  </si>
  <si>
    <t>CUST2343</t>
  </si>
  <si>
    <t>PROD1543</t>
  </si>
  <si>
    <t xml:space="preserve"> $54.93 </t>
  </si>
  <si>
    <t>ORD6344</t>
  </si>
  <si>
    <t>CUST2344</t>
  </si>
  <si>
    <t>PROD1544</t>
  </si>
  <si>
    <t xml:space="preserve"> $184.96 </t>
  </si>
  <si>
    <t>ORD6345</t>
  </si>
  <si>
    <t>CUST2345</t>
  </si>
  <si>
    <t>PROD1545</t>
  </si>
  <si>
    <t xml:space="preserve"> $144.70 </t>
  </si>
  <si>
    <t>ORD6346</t>
  </si>
  <si>
    <t>CUST2346</t>
  </si>
  <si>
    <t>PROD1546</t>
  </si>
  <si>
    <t>6/28/2021</t>
  </si>
  <si>
    <t>7/20/2022</t>
  </si>
  <si>
    <t xml:space="preserve"> $622.99 </t>
  </si>
  <si>
    <t>ORD6347</t>
  </si>
  <si>
    <t>CUST2347</t>
  </si>
  <si>
    <t>PROD1547</t>
  </si>
  <si>
    <t xml:space="preserve"> $175.45 </t>
  </si>
  <si>
    <t>ORD6348</t>
  </si>
  <si>
    <t>CUST2348</t>
  </si>
  <si>
    <t>PROD1548</t>
  </si>
  <si>
    <t xml:space="preserve"> $212.73 </t>
  </si>
  <si>
    <t>ORD6349</t>
  </si>
  <si>
    <t>CUST2349</t>
  </si>
  <si>
    <t>PROD1549</t>
  </si>
  <si>
    <t>ORD6350</t>
  </si>
  <si>
    <t>CUST2350</t>
  </si>
  <si>
    <t>PROD1550</t>
  </si>
  <si>
    <t xml:space="preserve"> $151.31 </t>
  </si>
  <si>
    <t>ORD6351</t>
  </si>
  <si>
    <t>CUST2351</t>
  </si>
  <si>
    <t>PROD1551</t>
  </si>
  <si>
    <t xml:space="preserve"> $445.52 </t>
  </si>
  <si>
    <t>ORD6352</t>
  </si>
  <si>
    <t>CUST2352</t>
  </si>
  <si>
    <t>PROD1552</t>
  </si>
  <si>
    <t xml:space="preserve"> $1,700.00 </t>
  </si>
  <si>
    <t>ORD6353</t>
  </si>
  <si>
    <t>CUST2353</t>
  </si>
  <si>
    <t>PROD1553</t>
  </si>
  <si>
    <t xml:space="preserve"> $22.68 </t>
  </si>
  <si>
    <t>ORD6354</t>
  </si>
  <si>
    <t>CUST2354</t>
  </si>
  <si>
    <t>PROD1554</t>
  </si>
  <si>
    <t xml:space="preserve"> $20.48 </t>
  </si>
  <si>
    <t>ORD6355</t>
  </si>
  <si>
    <t>CUST2355</t>
  </si>
  <si>
    <t>PROD1555</t>
  </si>
  <si>
    <t xml:space="preserve"> $169.20 </t>
  </si>
  <si>
    <t>ORD6356</t>
  </si>
  <si>
    <t>CUST2356</t>
  </si>
  <si>
    <t>PROD1556</t>
  </si>
  <si>
    <t xml:space="preserve"> $167.54 </t>
  </si>
  <si>
    <t>ORD6357</t>
  </si>
  <si>
    <t>CUST2357</t>
  </si>
  <si>
    <t>PROD1557</t>
  </si>
  <si>
    <t xml:space="preserve"> $111.39 </t>
  </si>
  <si>
    <t>ORD6358</t>
  </si>
  <si>
    <t>CUST2358</t>
  </si>
  <si>
    <t>PROD1558</t>
  </si>
  <si>
    <t xml:space="preserve"> $188.90 </t>
  </si>
  <si>
    <t>ORD6359</t>
  </si>
  <si>
    <t>CUST2359</t>
  </si>
  <si>
    <t>PROD1559</t>
  </si>
  <si>
    <t>ORD6360</t>
  </si>
  <si>
    <t>CUST2360</t>
  </si>
  <si>
    <t>PROD1560</t>
  </si>
  <si>
    <t>1/31/2021</t>
  </si>
  <si>
    <t xml:space="preserve"> $62.99 </t>
  </si>
  <si>
    <t>ORD6361</t>
  </si>
  <si>
    <t>CUST2361</t>
  </si>
  <si>
    <t>PROD1561</t>
  </si>
  <si>
    <t>7/24/2023</t>
  </si>
  <si>
    <t xml:space="preserve"> $471.05 </t>
  </si>
  <si>
    <t>ORD6362</t>
  </si>
  <si>
    <t>CUST2362</t>
  </si>
  <si>
    <t>PROD1562</t>
  </si>
  <si>
    <t xml:space="preserve"> $23.01 </t>
  </si>
  <si>
    <t>ORD6363</t>
  </si>
  <si>
    <t>CUST2363</t>
  </si>
  <si>
    <t>PROD1563</t>
  </si>
  <si>
    <t xml:space="preserve"> $115.09 </t>
  </si>
  <si>
    <t>ORD6364</t>
  </si>
  <si>
    <t>CUST2364</t>
  </si>
  <si>
    <t>PROD1564</t>
  </si>
  <si>
    <t>1/15/2022</t>
  </si>
  <si>
    <t xml:space="preserve"> $1,588.58 </t>
  </si>
  <si>
    <t>ORD6365</t>
  </si>
  <si>
    <t>CUST2365</t>
  </si>
  <si>
    <t>PROD1565</t>
  </si>
  <si>
    <t>5/14/2023</t>
  </si>
  <si>
    <t xml:space="preserve"> $130.33 </t>
  </si>
  <si>
    <t>ORD6366</t>
  </si>
  <si>
    <t>CUST2366</t>
  </si>
  <si>
    <t>PROD1566</t>
  </si>
  <si>
    <t xml:space="preserve"> $12.04 </t>
  </si>
  <si>
    <t>ORD6367</t>
  </si>
  <si>
    <t>CUST2367</t>
  </si>
  <si>
    <t>PROD1567</t>
  </si>
  <si>
    <t>3/15/2021</t>
  </si>
  <si>
    <t xml:space="preserve"> $246.03 </t>
  </si>
  <si>
    <t>ORD6368</t>
  </si>
  <si>
    <t>CUST2368</t>
  </si>
  <si>
    <t>PROD1568</t>
  </si>
  <si>
    <t>1/27/2021</t>
  </si>
  <si>
    <t xml:space="preserve"> $908.20 </t>
  </si>
  <si>
    <t>ORD6369</t>
  </si>
  <si>
    <t>CUST2369</t>
  </si>
  <si>
    <t>PROD1569</t>
  </si>
  <si>
    <t>2/24/2021</t>
  </si>
  <si>
    <t xml:space="preserve"> $150.00 </t>
  </si>
  <si>
    <t>ORD6370</t>
  </si>
  <si>
    <t>CUST2370</t>
  </si>
  <si>
    <t>PROD1570</t>
  </si>
  <si>
    <t xml:space="preserve"> $142.08 </t>
  </si>
  <si>
    <t>ORD6371</t>
  </si>
  <si>
    <t>CUST2371</t>
  </si>
  <si>
    <t>PROD1571</t>
  </si>
  <si>
    <t>4/27/2021</t>
  </si>
  <si>
    <t xml:space="preserve"> $379.56 </t>
  </si>
  <si>
    <t>ORD6372</t>
  </si>
  <si>
    <t>CUST2372</t>
  </si>
  <si>
    <t>PROD1572</t>
  </si>
  <si>
    <t xml:space="preserve"> $102.98 </t>
  </si>
  <si>
    <t>ORD6373</t>
  </si>
  <si>
    <t>CUST2373</t>
  </si>
  <si>
    <t>PROD1573</t>
  </si>
  <si>
    <t xml:space="preserve"> $253.18 </t>
  </si>
  <si>
    <t>ORD6374</t>
  </si>
  <si>
    <t>CUST2374</t>
  </si>
  <si>
    <t>PROD1574</t>
  </si>
  <si>
    <t xml:space="preserve"> $194.77 </t>
  </si>
  <si>
    <t>ORD6375</t>
  </si>
  <si>
    <t>CUST2375</t>
  </si>
  <si>
    <t>PROD1575</t>
  </si>
  <si>
    <t xml:space="preserve"> $684.85 </t>
  </si>
  <si>
    <t>ORD6376</t>
  </si>
  <si>
    <t>CUST2376</t>
  </si>
  <si>
    <t>PROD1576</t>
  </si>
  <si>
    <t xml:space="preserve"> $79.84 </t>
  </si>
  <si>
    <t>ORD6377</t>
  </si>
  <si>
    <t>CUST2377</t>
  </si>
  <si>
    <t>PROD1577</t>
  </si>
  <si>
    <t>11/20/2020</t>
  </si>
  <si>
    <t xml:space="preserve"> $59.01 </t>
  </si>
  <si>
    <t>ORD6378</t>
  </si>
  <si>
    <t>CUST2378</t>
  </si>
  <si>
    <t>PROD1578</t>
  </si>
  <si>
    <t xml:space="preserve"> $291.00 </t>
  </si>
  <si>
    <t>ORD6379</t>
  </si>
  <si>
    <t>CUST2379</t>
  </si>
  <si>
    <t>PROD1579</t>
  </si>
  <si>
    <t xml:space="preserve"> $159.40 </t>
  </si>
  <si>
    <t>ORD6380</t>
  </si>
  <si>
    <t>CUST2380</t>
  </si>
  <si>
    <t>PROD1580</t>
  </si>
  <si>
    <t xml:space="preserve"> $755.57 </t>
  </si>
  <si>
    <t>ORD6381</t>
  </si>
  <si>
    <t>CUST2381</t>
  </si>
  <si>
    <t>PROD1581</t>
  </si>
  <si>
    <t xml:space="preserve"> $191.24 </t>
  </si>
  <si>
    <t>ORD6382</t>
  </si>
  <si>
    <t>CUST2382</t>
  </si>
  <si>
    <t>PROD1582</t>
  </si>
  <si>
    <t xml:space="preserve"> $161.58 </t>
  </si>
  <si>
    <t>ORD6383</t>
  </si>
  <si>
    <t>CUST2383</t>
  </si>
  <si>
    <t>PROD1583</t>
  </si>
  <si>
    <t xml:space="preserve"> $15.82 </t>
  </si>
  <si>
    <t>ORD6384</t>
  </si>
  <si>
    <t>CUST2384</t>
  </si>
  <si>
    <t>PROD1584</t>
  </si>
  <si>
    <t xml:space="preserve"> $796.22 </t>
  </si>
  <si>
    <t>ORD6385</t>
  </si>
  <si>
    <t>CUST2385</t>
  </si>
  <si>
    <t>PROD1585</t>
  </si>
  <si>
    <t xml:space="preserve"> $205.61 </t>
  </si>
  <si>
    <t>ORD6386</t>
  </si>
  <si>
    <t>CUST2386</t>
  </si>
  <si>
    <t>PROD1586</t>
  </si>
  <si>
    <t xml:space="preserve"> $271.70 </t>
  </si>
  <si>
    <t>ORD6387</t>
  </si>
  <si>
    <t>CUST2387</t>
  </si>
  <si>
    <t>PROD1587</t>
  </si>
  <si>
    <t xml:space="preserve"> $46.96 </t>
  </si>
  <si>
    <t>ORD6388</t>
  </si>
  <si>
    <t>CUST2388</t>
  </si>
  <si>
    <t>PROD1588</t>
  </si>
  <si>
    <t xml:space="preserve"> $1,221.69 </t>
  </si>
  <si>
    <t>ORD6389</t>
  </si>
  <si>
    <t>CUST2389</t>
  </si>
  <si>
    <t>PROD1589</t>
  </si>
  <si>
    <t xml:space="preserve"> $423.54 </t>
  </si>
  <si>
    <t>ORD6390</t>
  </si>
  <si>
    <t>CUST2390</t>
  </si>
  <si>
    <t>PROD1590</t>
  </si>
  <si>
    <t>4/14/2023</t>
  </si>
  <si>
    <t xml:space="preserve"> $179.20 </t>
  </si>
  <si>
    <t>ORD6391</t>
  </si>
  <si>
    <t>CUST2391</t>
  </si>
  <si>
    <t>PROD1591</t>
  </si>
  <si>
    <t xml:space="preserve"> $37.03 </t>
  </si>
  <si>
    <t>ORD6392</t>
  </si>
  <si>
    <t>CUST2392</t>
  </si>
  <si>
    <t>PROD1592</t>
  </si>
  <si>
    <t xml:space="preserve"> $118.63 </t>
  </si>
  <si>
    <t>ORD6393</t>
  </si>
  <si>
    <t>CUST2393</t>
  </si>
  <si>
    <t>PROD1593</t>
  </si>
  <si>
    <t xml:space="preserve"> $259.76 </t>
  </si>
  <si>
    <t>ORD6394</t>
  </si>
  <si>
    <t>CUST2394</t>
  </si>
  <si>
    <t>PROD1594</t>
  </si>
  <si>
    <t xml:space="preserve"> $169.48 </t>
  </si>
  <si>
    <t>ORD6395</t>
  </si>
  <si>
    <t>CUST2395</t>
  </si>
  <si>
    <t>PROD1595</t>
  </si>
  <si>
    <t xml:space="preserve"> $99.51 </t>
  </si>
  <si>
    <t>ORD6396</t>
  </si>
  <si>
    <t>CUST2396</t>
  </si>
  <si>
    <t>PROD1596</t>
  </si>
  <si>
    <t xml:space="preserve"> $1,615.80 </t>
  </si>
  <si>
    <t>ORD6397</t>
  </si>
  <si>
    <t>CUST2397</t>
  </si>
  <si>
    <t>PROD1597</t>
  </si>
  <si>
    <t xml:space="preserve"> $1,785.74 </t>
  </si>
  <si>
    <t>ORD6398</t>
  </si>
  <si>
    <t>CUST2398</t>
  </si>
  <si>
    <t>PROD1598</t>
  </si>
  <si>
    <t xml:space="preserve"> $83.28 </t>
  </si>
  <si>
    <t>ORD6399</t>
  </si>
  <si>
    <t>CUST2399</t>
  </si>
  <si>
    <t>PROD1599</t>
  </si>
  <si>
    <t>ORD6400</t>
  </si>
  <si>
    <t>CUST2400</t>
  </si>
  <si>
    <t>PROD1600</t>
  </si>
  <si>
    <t xml:space="preserve"> $415.22 </t>
  </si>
  <si>
    <t>ORD6401</t>
  </si>
  <si>
    <t>CUST2401</t>
  </si>
  <si>
    <t>PROD1601</t>
  </si>
  <si>
    <t xml:space="preserve"> $261.32 </t>
  </si>
  <si>
    <t>ORD6402</t>
  </si>
  <si>
    <t>CUST2402</t>
  </si>
  <si>
    <t>PROD1602</t>
  </si>
  <si>
    <t xml:space="preserve"> $266.39 </t>
  </si>
  <si>
    <t>ORD6403</t>
  </si>
  <si>
    <t>CUST2403</t>
  </si>
  <si>
    <t>PROD1603</t>
  </si>
  <si>
    <t>5/17/2021</t>
  </si>
  <si>
    <t xml:space="preserve"> $132.31 </t>
  </si>
  <si>
    <t>ORD6404</t>
  </si>
  <si>
    <t>CUST2404</t>
  </si>
  <si>
    <t>PROD1604</t>
  </si>
  <si>
    <t xml:space="preserve"> $384.68 </t>
  </si>
  <si>
    <t>ORD6405</t>
  </si>
  <si>
    <t>CUST2405</t>
  </si>
  <si>
    <t>PROD1605</t>
  </si>
  <si>
    <t xml:space="preserve"> $1,914.38 </t>
  </si>
  <si>
    <t>ORD6406</t>
  </si>
  <si>
    <t>CUST2406</t>
  </si>
  <si>
    <t>PROD1606</t>
  </si>
  <si>
    <t>7/21/2024</t>
  </si>
  <si>
    <t xml:space="preserve"> $679.41 </t>
  </si>
  <si>
    <t>ORD6407</t>
  </si>
  <si>
    <t>CUST2407</t>
  </si>
  <si>
    <t>PROD1607</t>
  </si>
  <si>
    <t xml:space="preserve"> $145.38 </t>
  </si>
  <si>
    <t>ORD6408</t>
  </si>
  <si>
    <t>CUST2408</t>
  </si>
  <si>
    <t>PROD1608</t>
  </si>
  <si>
    <t>1/22/2021</t>
  </si>
  <si>
    <t>4/18/2021</t>
  </si>
  <si>
    <t>8/20/2025</t>
  </si>
  <si>
    <t xml:space="preserve"> $219.08 </t>
  </si>
  <si>
    <t>ORD6409</t>
  </si>
  <si>
    <t>CUST2409</t>
  </si>
  <si>
    <t>PROD1609</t>
  </si>
  <si>
    <t xml:space="preserve"> $90.87 </t>
  </si>
  <si>
    <t>ORD6410</t>
  </si>
  <si>
    <t>CUST2410</t>
  </si>
  <si>
    <t>PROD1610</t>
  </si>
  <si>
    <t xml:space="preserve"> $36.01 </t>
  </si>
  <si>
    <t>ORD6411</t>
  </si>
  <si>
    <t>CUST2411</t>
  </si>
  <si>
    <t>PROD1611</t>
  </si>
  <si>
    <t>8/13/2024</t>
  </si>
  <si>
    <t xml:space="preserve"> $388.06 </t>
  </si>
  <si>
    <t>ORD6412</t>
  </si>
  <si>
    <t>CUST2412</t>
  </si>
  <si>
    <t>PROD1612</t>
  </si>
  <si>
    <t xml:space="preserve"> $81.82 </t>
  </si>
  <si>
    <t>ORD6413</t>
  </si>
  <si>
    <t>CUST2413</t>
  </si>
  <si>
    <t>PROD1613</t>
  </si>
  <si>
    <t xml:space="preserve"> $107.40 </t>
  </si>
  <si>
    <t>ORD6414</t>
  </si>
  <si>
    <t>CUST2414</t>
  </si>
  <si>
    <t>PROD1614</t>
  </si>
  <si>
    <t xml:space="preserve"> $656.65 </t>
  </si>
  <si>
    <t>ORD6415</t>
  </si>
  <si>
    <t>CUST2415</t>
  </si>
  <si>
    <t>PROD1615</t>
  </si>
  <si>
    <t xml:space="preserve"> $213.07 </t>
  </si>
  <si>
    <t>ORD6416</t>
  </si>
  <si>
    <t>CUST2416</t>
  </si>
  <si>
    <t>PROD1616</t>
  </si>
  <si>
    <t xml:space="preserve"> $259.90 </t>
  </si>
  <si>
    <t>ORD6417</t>
  </si>
  <si>
    <t>CUST2417</t>
  </si>
  <si>
    <t>PROD1617</t>
  </si>
  <si>
    <t xml:space="preserve"> $1,499.25 </t>
  </si>
  <si>
    <t>ORD6418</t>
  </si>
  <si>
    <t>CUST2418</t>
  </si>
  <si>
    <t>PROD1618</t>
  </si>
  <si>
    <t xml:space="preserve"> $161.93 </t>
  </si>
  <si>
    <t>ORD6419</t>
  </si>
  <si>
    <t>CUST2419</t>
  </si>
  <si>
    <t>PROD1619</t>
  </si>
  <si>
    <t>8/17/2025</t>
  </si>
  <si>
    <t xml:space="preserve"> $229.55 </t>
  </si>
  <si>
    <t>ORD6420</t>
  </si>
  <si>
    <t>CUST2420</t>
  </si>
  <si>
    <t>PROD1620</t>
  </si>
  <si>
    <t xml:space="preserve"> $298.18 </t>
  </si>
  <si>
    <t>ORD6421</t>
  </si>
  <si>
    <t>CUST2421</t>
  </si>
  <si>
    <t>PROD1621</t>
  </si>
  <si>
    <t xml:space="preserve"> $1,299.21 </t>
  </si>
  <si>
    <t>ORD6422</t>
  </si>
  <si>
    <t>CUST2422</t>
  </si>
  <si>
    <t>PROD1622</t>
  </si>
  <si>
    <t>5/14/2021</t>
  </si>
  <si>
    <t xml:space="preserve"> $172.69 </t>
  </si>
  <si>
    <t>ORD6423</t>
  </si>
  <si>
    <t>CUST2423</t>
  </si>
  <si>
    <t>PROD1623</t>
  </si>
  <si>
    <t xml:space="preserve"> $479.12 </t>
  </si>
  <si>
    <t>ORD6424</t>
  </si>
  <si>
    <t>CUST2424</t>
  </si>
  <si>
    <t>PROD1624</t>
  </si>
  <si>
    <t xml:space="preserve"> $140.61 </t>
  </si>
  <si>
    <t>ORD6425</t>
  </si>
  <si>
    <t>CUST2425</t>
  </si>
  <si>
    <t>PROD1625</t>
  </si>
  <si>
    <t xml:space="preserve"> $208.33 </t>
  </si>
  <si>
    <t>ORD6426</t>
  </si>
  <si>
    <t>CUST2426</t>
  </si>
  <si>
    <t>PROD1626</t>
  </si>
  <si>
    <t xml:space="preserve"> $100.62 </t>
  </si>
  <si>
    <t>ORD6427</t>
  </si>
  <si>
    <t>CUST2427</t>
  </si>
  <si>
    <t>PROD1627</t>
  </si>
  <si>
    <t>ORD6428</t>
  </si>
  <si>
    <t>CUST2428</t>
  </si>
  <si>
    <t>PROD1628</t>
  </si>
  <si>
    <t xml:space="preserve"> $131.34 </t>
  </si>
  <si>
    <t>ORD6429</t>
  </si>
  <si>
    <t>CUST2429</t>
  </si>
  <si>
    <t>PROD1629</t>
  </si>
  <si>
    <t>1/20/2023</t>
  </si>
  <si>
    <t xml:space="preserve"> $1,092.39 </t>
  </si>
  <si>
    <t>ORD6430</t>
  </si>
  <si>
    <t>CUST2430</t>
  </si>
  <si>
    <t>PROD1630</t>
  </si>
  <si>
    <t>12/19/2021</t>
  </si>
  <si>
    <t xml:space="preserve"> $409.65 </t>
  </si>
  <si>
    <t>ORD6431</t>
  </si>
  <si>
    <t>CUST2431</t>
  </si>
  <si>
    <t>PROD1631</t>
  </si>
  <si>
    <t xml:space="preserve"> $155.73 </t>
  </si>
  <si>
    <t>ORD6432</t>
  </si>
  <si>
    <t>CUST2432</t>
  </si>
  <si>
    <t>PROD1632</t>
  </si>
  <si>
    <t xml:space="preserve"> $226.08 </t>
  </si>
  <si>
    <t>ORD6433</t>
  </si>
  <si>
    <t>CUST2433</t>
  </si>
  <si>
    <t>PROD1633</t>
  </si>
  <si>
    <t xml:space="preserve"> $1,695.00 </t>
  </si>
  <si>
    <t>ORD6434</t>
  </si>
  <si>
    <t>CUST2434</t>
  </si>
  <si>
    <t>PROD1634</t>
  </si>
  <si>
    <t xml:space="preserve"> $100.53 </t>
  </si>
  <si>
    <t>ORD6435</t>
  </si>
  <si>
    <t>CUST2435</t>
  </si>
  <si>
    <t>PROD1635</t>
  </si>
  <si>
    <t xml:space="preserve"> $751.06 </t>
  </si>
  <si>
    <t>ORD6436</t>
  </si>
  <si>
    <t>CUST2436</t>
  </si>
  <si>
    <t>PROD1636</t>
  </si>
  <si>
    <t xml:space="preserve"> $454.17 </t>
  </si>
  <si>
    <t>ORD6437</t>
  </si>
  <si>
    <t>CUST2437</t>
  </si>
  <si>
    <t>PROD1637</t>
  </si>
  <si>
    <t xml:space="preserve"> $299.30 </t>
  </si>
  <si>
    <t>ORD6438</t>
  </si>
  <si>
    <t>CUST2438</t>
  </si>
  <si>
    <t>PROD1638</t>
  </si>
  <si>
    <t xml:space="preserve"> $234.74 </t>
  </si>
  <si>
    <t>ORD6439</t>
  </si>
  <si>
    <t>CUST2439</t>
  </si>
  <si>
    <t>PROD1639</t>
  </si>
  <si>
    <t>6/25/2021</t>
  </si>
  <si>
    <t>5/14/2024</t>
  </si>
  <si>
    <t xml:space="preserve"> $221.69 </t>
  </si>
  <si>
    <t>ORD6440</t>
  </si>
  <si>
    <t>CUST2440</t>
  </si>
  <si>
    <t>PROD1640</t>
  </si>
  <si>
    <t xml:space="preserve"> $744.56 </t>
  </si>
  <si>
    <t>ORD6441</t>
  </si>
  <si>
    <t>CUST2441</t>
  </si>
  <si>
    <t>PROD1641</t>
  </si>
  <si>
    <t xml:space="preserve"> $400.07 </t>
  </si>
  <si>
    <t>ORD6442</t>
  </si>
  <si>
    <t>CUST2442</t>
  </si>
  <si>
    <t>PROD1642</t>
  </si>
  <si>
    <t xml:space="preserve"> $390.99 </t>
  </si>
  <si>
    <t>ORD6443</t>
  </si>
  <si>
    <t>CUST2443</t>
  </si>
  <si>
    <t>PROD1643</t>
  </si>
  <si>
    <t xml:space="preserve"> $111.28 </t>
  </si>
  <si>
    <t>ORD6444</t>
  </si>
  <si>
    <t>CUST2444</t>
  </si>
  <si>
    <t>PROD1644</t>
  </si>
  <si>
    <t xml:space="preserve"> $260.36 </t>
  </si>
  <si>
    <t>ORD6445</t>
  </si>
  <si>
    <t>CUST2445</t>
  </si>
  <si>
    <t>PROD1645</t>
  </si>
  <si>
    <t>4/24/2022</t>
  </si>
  <si>
    <t>ORD6446</t>
  </si>
  <si>
    <t>CUST2446</t>
  </si>
  <si>
    <t>PROD1646</t>
  </si>
  <si>
    <t>2/14/2021</t>
  </si>
  <si>
    <t xml:space="preserve"> $149.01 </t>
  </si>
  <si>
    <t>ORD6447</t>
  </si>
  <si>
    <t>CUST2447</t>
  </si>
  <si>
    <t>PROD1647</t>
  </si>
  <si>
    <t xml:space="preserve"> $602.62 </t>
  </si>
  <si>
    <t>ORD6448</t>
  </si>
  <si>
    <t>CUST2448</t>
  </si>
  <si>
    <t>PROD1648</t>
  </si>
  <si>
    <t xml:space="preserve"> $323.71 </t>
  </si>
  <si>
    <t>ORD6449</t>
  </si>
  <si>
    <t>CUST2449</t>
  </si>
  <si>
    <t>PROD1649</t>
  </si>
  <si>
    <t xml:space="preserve"> $204.33 </t>
  </si>
  <si>
    <t>ORD6450</t>
  </si>
  <si>
    <t>CUST2450</t>
  </si>
  <si>
    <t>PROD1650</t>
  </si>
  <si>
    <t xml:space="preserve"> $271.08 </t>
  </si>
  <si>
    <t>ORD6451</t>
  </si>
  <si>
    <t>CUST2451</t>
  </si>
  <si>
    <t>PROD1651</t>
  </si>
  <si>
    <t xml:space="preserve"> $153.01 </t>
  </si>
  <si>
    <t>ORD6452</t>
  </si>
  <si>
    <t>CUST2452</t>
  </si>
  <si>
    <t>PROD1652</t>
  </si>
  <si>
    <t xml:space="preserve"> $230.35 </t>
  </si>
  <si>
    <t>ORD6453</t>
  </si>
  <si>
    <t>CUST2453</t>
  </si>
  <si>
    <t>PROD1653</t>
  </si>
  <si>
    <t xml:space="preserve"> $67.11 </t>
  </si>
  <si>
    <t>ORD6454</t>
  </si>
  <si>
    <t>CUST2454</t>
  </si>
  <si>
    <t>PROD1654</t>
  </si>
  <si>
    <t xml:space="preserve"> $17.40 </t>
  </si>
  <si>
    <t>ORD6455</t>
  </si>
  <si>
    <t>CUST2455</t>
  </si>
  <si>
    <t>PROD1655</t>
  </si>
  <si>
    <t xml:space="preserve"> $697.20 </t>
  </si>
  <si>
    <t>ORD6456</t>
  </si>
  <si>
    <t>CUST2456</t>
  </si>
  <si>
    <t>PROD1656</t>
  </si>
  <si>
    <t xml:space="preserve"> $976.01 </t>
  </si>
  <si>
    <t>ORD6457</t>
  </si>
  <si>
    <t>CUST2457</t>
  </si>
  <si>
    <t>PROD1657</t>
  </si>
  <si>
    <t xml:space="preserve"> $240.13 </t>
  </si>
  <si>
    <t>ORD6458</t>
  </si>
  <si>
    <t>CUST2458</t>
  </si>
  <si>
    <t>PROD1658</t>
  </si>
  <si>
    <t xml:space="preserve"> $81.84 </t>
  </si>
  <si>
    <t>ORD6459</t>
  </si>
  <si>
    <t>CUST2459</t>
  </si>
  <si>
    <t>PROD1659</t>
  </si>
  <si>
    <t xml:space="preserve"> $126.39 </t>
  </si>
  <si>
    <t>ORD6460</t>
  </si>
  <si>
    <t>CUST2460</t>
  </si>
  <si>
    <t>PROD1660</t>
  </si>
  <si>
    <t xml:space="preserve"> $50.66 </t>
  </si>
  <si>
    <t>ORD6461</t>
  </si>
  <si>
    <t>CUST2461</t>
  </si>
  <si>
    <t>PROD1661</t>
  </si>
  <si>
    <t xml:space="preserve"> $1,034.24 </t>
  </si>
  <si>
    <t>ORD6462</t>
  </si>
  <si>
    <t>CUST2462</t>
  </si>
  <si>
    <t>PROD1662</t>
  </si>
  <si>
    <t>ORD6463</t>
  </si>
  <si>
    <t>CUST2463</t>
  </si>
  <si>
    <t>PROD1663</t>
  </si>
  <si>
    <t xml:space="preserve"> $85.89 </t>
  </si>
  <si>
    <t>ORD6464</t>
  </si>
  <si>
    <t>CUST2464</t>
  </si>
  <si>
    <t>PROD1664</t>
  </si>
  <si>
    <t xml:space="preserve"> $271.63 </t>
  </si>
  <si>
    <t>ORD6465</t>
  </si>
  <si>
    <t>CUST2465</t>
  </si>
  <si>
    <t>PROD1665</t>
  </si>
  <si>
    <t xml:space="preserve"> $8.14 </t>
  </si>
  <si>
    <t>ORD6466</t>
  </si>
  <si>
    <t>CUST2466</t>
  </si>
  <si>
    <t>PROD1666</t>
  </si>
  <si>
    <t xml:space="preserve"> $594.86 </t>
  </si>
  <si>
    <t>ORD6467</t>
  </si>
  <si>
    <t>CUST2467</t>
  </si>
  <si>
    <t>PROD1667</t>
  </si>
  <si>
    <t xml:space="preserve"> $170.65 </t>
  </si>
  <si>
    <t>ORD6468</t>
  </si>
  <si>
    <t>CUST2468</t>
  </si>
  <si>
    <t>PROD1668</t>
  </si>
  <si>
    <t>12/13/2022</t>
  </si>
  <si>
    <t>9/22/2023</t>
  </si>
  <si>
    <t xml:space="preserve"> $358.17 </t>
  </si>
  <si>
    <t>ORD6469</t>
  </si>
  <si>
    <t>CUST2469</t>
  </si>
  <si>
    <t>PROD1669</t>
  </si>
  <si>
    <t>9/25/2020</t>
  </si>
  <si>
    <t xml:space="preserve"> $623.62 </t>
  </si>
  <si>
    <t>ORD6470</t>
  </si>
  <si>
    <t>CUST2470</t>
  </si>
  <si>
    <t>PROD1670</t>
  </si>
  <si>
    <t xml:space="preserve"> $666.92 </t>
  </si>
  <si>
    <t>ORD6471</t>
  </si>
  <si>
    <t>CUST2471</t>
  </si>
  <si>
    <t>PROD1671</t>
  </si>
  <si>
    <t xml:space="preserve"> $240.82 </t>
  </si>
  <si>
    <t>ORD6472</t>
  </si>
  <si>
    <t>CUST2472</t>
  </si>
  <si>
    <t>PROD1672</t>
  </si>
  <si>
    <t xml:space="preserve"> $72.58 </t>
  </si>
  <si>
    <t>ORD6473</t>
  </si>
  <si>
    <t>CUST2473</t>
  </si>
  <si>
    <t>PROD1673</t>
  </si>
  <si>
    <t xml:space="preserve"> $86.11 </t>
  </si>
  <si>
    <t>ORD6474</t>
  </si>
  <si>
    <t>CUST2474</t>
  </si>
  <si>
    <t>PROD1674</t>
  </si>
  <si>
    <t xml:space="preserve"> $28.47 </t>
  </si>
  <si>
    <t>ORD6475</t>
  </si>
  <si>
    <t>CUST2475</t>
  </si>
  <si>
    <t>PROD1675</t>
  </si>
  <si>
    <t>12/25/2020</t>
  </si>
  <si>
    <t xml:space="preserve"> $501.52 </t>
  </si>
  <si>
    <t>ORD6476</t>
  </si>
  <si>
    <t>CUST2476</t>
  </si>
  <si>
    <t>PROD1676</t>
  </si>
  <si>
    <t xml:space="preserve"> $916.46 </t>
  </si>
  <si>
    <t>ORD6477</t>
  </si>
  <si>
    <t>CUST2477</t>
  </si>
  <si>
    <t>PROD1677</t>
  </si>
  <si>
    <t xml:space="preserve"> $339.31 </t>
  </si>
  <si>
    <t>ORD6478</t>
  </si>
  <si>
    <t>CUST2478</t>
  </si>
  <si>
    <t>PROD1678</t>
  </si>
  <si>
    <t xml:space="preserve"> $589.66 </t>
  </si>
  <si>
    <t>ORD6479</t>
  </si>
  <si>
    <t>CUST2479</t>
  </si>
  <si>
    <t>PROD1679</t>
  </si>
  <si>
    <t>ORD6480</t>
  </si>
  <si>
    <t>CUST2480</t>
  </si>
  <si>
    <t>PROD1680</t>
  </si>
  <si>
    <t xml:space="preserve"> $913.56 </t>
  </si>
  <si>
    <t>ORD6481</t>
  </si>
  <si>
    <t>CUST2481</t>
  </si>
  <si>
    <t>PROD1681</t>
  </si>
  <si>
    <t xml:space="preserve"> $515.65 </t>
  </si>
  <si>
    <t>ORD6482</t>
  </si>
  <si>
    <t>CUST2482</t>
  </si>
  <si>
    <t>PROD1682</t>
  </si>
  <si>
    <t>11/19/2023</t>
  </si>
  <si>
    <t xml:space="preserve"> $67.77 </t>
  </si>
  <si>
    <t>ORD6483</t>
  </si>
  <si>
    <t>CUST2483</t>
  </si>
  <si>
    <t>PROD1683</t>
  </si>
  <si>
    <t xml:space="preserve"> $485.61 </t>
  </si>
  <si>
    <t>ORD6484</t>
  </si>
  <si>
    <t>CUST2484</t>
  </si>
  <si>
    <t>PROD1684</t>
  </si>
  <si>
    <t>11/21/2024</t>
  </si>
  <si>
    <t xml:space="preserve"> $176.45 </t>
  </si>
  <si>
    <t>ORD6485</t>
  </si>
  <si>
    <t>CUST2485</t>
  </si>
  <si>
    <t>PROD1685</t>
  </si>
  <si>
    <t xml:space="preserve"> $8.27 </t>
  </si>
  <si>
    <t>ORD6486</t>
  </si>
  <si>
    <t>CUST2486</t>
  </si>
  <si>
    <t>PROD1686</t>
  </si>
  <si>
    <t xml:space="preserve"> $407.74 </t>
  </si>
  <si>
    <t>ORD6487</t>
  </si>
  <si>
    <t>CUST2487</t>
  </si>
  <si>
    <t>PROD1687</t>
  </si>
  <si>
    <t xml:space="preserve"> $348.65 </t>
  </si>
  <si>
    <t>ORD6488</t>
  </si>
  <si>
    <t>CUST2488</t>
  </si>
  <si>
    <t>PROD1688</t>
  </si>
  <si>
    <t xml:space="preserve"> $123.75 </t>
  </si>
  <si>
    <t>ORD6489</t>
  </si>
  <si>
    <t>CUST2489</t>
  </si>
  <si>
    <t>PROD1689</t>
  </si>
  <si>
    <t xml:space="preserve"> $187.84 </t>
  </si>
  <si>
    <t>ORD6490</t>
  </si>
  <si>
    <t>CUST2490</t>
  </si>
  <si>
    <t>PROD1690</t>
  </si>
  <si>
    <t xml:space="preserve"> $204.11 </t>
  </si>
  <si>
    <t>ORD6491</t>
  </si>
  <si>
    <t>CUST2491</t>
  </si>
  <si>
    <t>PROD1691</t>
  </si>
  <si>
    <t xml:space="preserve"> $130.04 </t>
  </si>
  <si>
    <t>ORD6492</t>
  </si>
  <si>
    <t>CUST2492</t>
  </si>
  <si>
    <t>PROD1692</t>
  </si>
  <si>
    <t xml:space="preserve"> $328.35 </t>
  </si>
  <si>
    <t>ORD6493</t>
  </si>
  <si>
    <t>CUST2493</t>
  </si>
  <si>
    <t>PROD1693</t>
  </si>
  <si>
    <t xml:space="preserve"> $181.01 </t>
  </si>
  <si>
    <t>ORD6494</t>
  </si>
  <si>
    <t>CUST2494</t>
  </si>
  <si>
    <t>PROD1694</t>
  </si>
  <si>
    <t>6/22/2021</t>
  </si>
  <si>
    <t xml:space="preserve"> $20.16 </t>
  </si>
  <si>
    <t>ORD6495</t>
  </si>
  <si>
    <t>CUST2495</t>
  </si>
  <si>
    <t>PROD1695</t>
  </si>
  <si>
    <t xml:space="preserve"> $198.39 </t>
  </si>
  <si>
    <t>ORD6496</t>
  </si>
  <si>
    <t>CUST2496</t>
  </si>
  <si>
    <t>PROD1696</t>
  </si>
  <si>
    <t xml:space="preserve"> $193.90 </t>
  </si>
  <si>
    <t>ORD6497</t>
  </si>
  <si>
    <t>CUST2497</t>
  </si>
  <si>
    <t>PROD1697</t>
  </si>
  <si>
    <t xml:space="preserve"> $413.80 </t>
  </si>
  <si>
    <t>ORD6498</t>
  </si>
  <si>
    <t>CUST2498</t>
  </si>
  <si>
    <t>PROD1698</t>
  </si>
  <si>
    <t xml:space="preserve"> $341.64 </t>
  </si>
  <si>
    <t>ORD6499</t>
  </si>
  <si>
    <t>CUST2499</t>
  </si>
  <si>
    <t>PROD1699</t>
  </si>
  <si>
    <t xml:space="preserve"> $388.60 </t>
  </si>
  <si>
    <t>ORD6500</t>
  </si>
  <si>
    <t>CUST2500</t>
  </si>
  <si>
    <t>PROD1700</t>
  </si>
  <si>
    <t xml:space="preserve"> $187.87 </t>
  </si>
  <si>
    <t>ORD6501</t>
  </si>
  <si>
    <t>CUST2501</t>
  </si>
  <si>
    <t>PROD1701</t>
  </si>
  <si>
    <t xml:space="preserve"> $618.99 </t>
  </si>
  <si>
    <t>ORD6502</t>
  </si>
  <si>
    <t>CUST2502</t>
  </si>
  <si>
    <t>PROD1702</t>
  </si>
  <si>
    <t xml:space="preserve"> $1,155.20 </t>
  </si>
  <si>
    <t>ORD6503</t>
  </si>
  <si>
    <t>CUST2503</t>
  </si>
  <si>
    <t>PROD1703</t>
  </si>
  <si>
    <t xml:space="preserve"> $82.63 </t>
  </si>
  <si>
    <t>ORD6504</t>
  </si>
  <si>
    <t>CUST2504</t>
  </si>
  <si>
    <t>PROD1704</t>
  </si>
  <si>
    <t>ORD6505</t>
  </si>
  <si>
    <t>CUST2505</t>
  </si>
  <si>
    <t>PROD1705</t>
  </si>
  <si>
    <t xml:space="preserve"> $738.66 </t>
  </si>
  <si>
    <t>ORD6506</t>
  </si>
  <si>
    <t>CUST2506</t>
  </si>
  <si>
    <t>PROD1706</t>
  </si>
  <si>
    <t xml:space="preserve"> $2.91 </t>
  </si>
  <si>
    <t>ORD6507</t>
  </si>
  <si>
    <t>CUST2507</t>
  </si>
  <si>
    <t>PROD1707</t>
  </si>
  <si>
    <t xml:space="preserve"> $486.08 </t>
  </si>
  <si>
    <t>ORD6508</t>
  </si>
  <si>
    <t>CUST2508</t>
  </si>
  <si>
    <t>PROD1708</t>
  </si>
  <si>
    <t xml:space="preserve"> $62.60 </t>
  </si>
  <si>
    <t>ORD6509</t>
  </si>
  <si>
    <t>CUST2509</t>
  </si>
  <si>
    <t>PROD1709</t>
  </si>
  <si>
    <t xml:space="preserve"> $522.52 </t>
  </si>
  <si>
    <t>ORD6510</t>
  </si>
  <si>
    <t>CUST2510</t>
  </si>
  <si>
    <t>PROD1710</t>
  </si>
  <si>
    <t xml:space="preserve"> $30.67 </t>
  </si>
  <si>
    <t>ORD6511</t>
  </si>
  <si>
    <t>CUST2511</t>
  </si>
  <si>
    <t>PROD1711</t>
  </si>
  <si>
    <t xml:space="preserve"> $224.96 </t>
  </si>
  <si>
    <t>ORD6512</t>
  </si>
  <si>
    <t>CUST2512</t>
  </si>
  <si>
    <t>PROD1712</t>
  </si>
  <si>
    <t xml:space="preserve"> $2.85 </t>
  </si>
  <si>
    <t>ORD6513</t>
  </si>
  <si>
    <t>CUST2513</t>
  </si>
  <si>
    <t>PROD1713</t>
  </si>
  <si>
    <t xml:space="preserve"> $571.46 </t>
  </si>
  <si>
    <t>ORD6514</t>
  </si>
  <si>
    <t>CUST2514</t>
  </si>
  <si>
    <t>PROD1714</t>
  </si>
  <si>
    <t>3/24/2021</t>
  </si>
  <si>
    <t xml:space="preserve"> $558.66 </t>
  </si>
  <si>
    <t>ORD6515</t>
  </si>
  <si>
    <t>CUST2515</t>
  </si>
  <si>
    <t>PROD1715</t>
  </si>
  <si>
    <t xml:space="preserve"> $34.92 </t>
  </si>
  <si>
    <t>ORD6516</t>
  </si>
  <si>
    <t>CUST2516</t>
  </si>
  <si>
    <t>PROD1716</t>
  </si>
  <si>
    <t xml:space="preserve"> $316.57 </t>
  </si>
  <si>
    <t>ORD6517</t>
  </si>
  <si>
    <t>CUST2517</t>
  </si>
  <si>
    <t>PROD1717</t>
  </si>
  <si>
    <t xml:space="preserve"> $243.66 </t>
  </si>
  <si>
    <t>ORD6518</t>
  </si>
  <si>
    <t>CUST2518</t>
  </si>
  <si>
    <t>PROD1718</t>
  </si>
  <si>
    <t xml:space="preserve"> $158.84 </t>
  </si>
  <si>
    <t>ORD6519</t>
  </si>
  <si>
    <t>CUST2519</t>
  </si>
  <si>
    <t>PROD1719</t>
  </si>
  <si>
    <t xml:space="preserve"> $30.74 </t>
  </si>
  <si>
    <t>ORD6520</t>
  </si>
  <si>
    <t>CUST2520</t>
  </si>
  <si>
    <t>PROD1720</t>
  </si>
  <si>
    <t xml:space="preserve"> $793.80 </t>
  </si>
  <si>
    <t>ORD6521</t>
  </si>
  <si>
    <t>CUST2521</t>
  </si>
  <si>
    <t>PROD1721</t>
  </si>
  <si>
    <t xml:space="preserve"> $292.99 </t>
  </si>
  <si>
    <t>ORD6522</t>
  </si>
  <si>
    <t>CUST2522</t>
  </si>
  <si>
    <t>PROD1722</t>
  </si>
  <si>
    <t>ORD6523</t>
  </si>
  <si>
    <t>CUST2523</t>
  </si>
  <si>
    <t>PROD1723</t>
  </si>
  <si>
    <t>12/17/2020</t>
  </si>
  <si>
    <t xml:space="preserve"> $205.75 </t>
  </si>
  <si>
    <t>ORD6524</t>
  </si>
  <si>
    <t>CUST2524</t>
  </si>
  <si>
    <t>PROD1724</t>
  </si>
  <si>
    <t xml:space="preserve"> $126.42 </t>
  </si>
  <si>
    <t>ORD6525</t>
  </si>
  <si>
    <t>CUST2525</t>
  </si>
  <si>
    <t>PROD1725</t>
  </si>
  <si>
    <t xml:space="preserve"> $205.06 </t>
  </si>
  <si>
    <t>ORD6526</t>
  </si>
  <si>
    <t>CUST2526</t>
  </si>
  <si>
    <t>PROD1726</t>
  </si>
  <si>
    <t xml:space="preserve"> $87.18 </t>
  </si>
  <si>
    <t>ORD6527</t>
  </si>
  <si>
    <t>CUST2527</t>
  </si>
  <si>
    <t>PROD1727</t>
  </si>
  <si>
    <t xml:space="preserve"> $40.23 </t>
  </si>
  <si>
    <t>ORD6528</t>
  </si>
  <si>
    <t>CUST2528</t>
  </si>
  <si>
    <t>PROD1728</t>
  </si>
  <si>
    <t xml:space="preserve"> $375.80 </t>
  </si>
  <si>
    <t>ORD6529</t>
  </si>
  <si>
    <t>CUST2529</t>
  </si>
  <si>
    <t>PROD1729</t>
  </si>
  <si>
    <t xml:space="preserve"> $277.50 </t>
  </si>
  <si>
    <t>ORD6530</t>
  </si>
  <si>
    <t>CUST2530</t>
  </si>
  <si>
    <t>PROD1730</t>
  </si>
  <si>
    <t xml:space="preserve"> $122.48 </t>
  </si>
  <si>
    <t>ORD6531</t>
  </si>
  <si>
    <t>CUST2531</t>
  </si>
  <si>
    <t>PROD1731</t>
  </si>
  <si>
    <t xml:space="preserve"> $114.92 </t>
  </si>
  <si>
    <t>ORD6532</t>
  </si>
  <si>
    <t>CUST2532</t>
  </si>
  <si>
    <t>PROD1732</t>
  </si>
  <si>
    <t xml:space="preserve"> $292.53 </t>
  </si>
  <si>
    <t>ORD6533</t>
  </si>
  <si>
    <t>CUST2533</t>
  </si>
  <si>
    <t>PROD1733</t>
  </si>
  <si>
    <t xml:space="preserve"> $239.23 </t>
  </si>
  <si>
    <t>ORD6534</t>
  </si>
  <si>
    <t>CUST2534</t>
  </si>
  <si>
    <t>PROD1734</t>
  </si>
  <si>
    <t xml:space="preserve"> $120.66 </t>
  </si>
  <si>
    <t>ORD6535</t>
  </si>
  <si>
    <t>CUST2535</t>
  </si>
  <si>
    <t>PROD1735</t>
  </si>
  <si>
    <t xml:space="preserve"> $129.00 </t>
  </si>
  <si>
    <t>ORD6536</t>
  </si>
  <si>
    <t>CUST2536</t>
  </si>
  <si>
    <t>PROD1736</t>
  </si>
  <si>
    <t xml:space="preserve"> $184.41 </t>
  </si>
  <si>
    <t>ORD6537</t>
  </si>
  <si>
    <t>CUST2537</t>
  </si>
  <si>
    <t>PROD1737</t>
  </si>
  <si>
    <t xml:space="preserve"> $90.24 </t>
  </si>
  <si>
    <t>ORD6538</t>
  </si>
  <si>
    <t>CUST2538</t>
  </si>
  <si>
    <t>PROD1738</t>
  </si>
  <si>
    <t xml:space="preserve"> $135.02 </t>
  </si>
  <si>
    <t>ORD6539</t>
  </si>
  <si>
    <t>CUST2539</t>
  </si>
  <si>
    <t>PROD1739</t>
  </si>
  <si>
    <t>3/28/2022</t>
  </si>
  <si>
    <t xml:space="preserve"> $73.10 </t>
  </si>
  <si>
    <t>ORD6540</t>
  </si>
  <si>
    <t>CUST2540</t>
  </si>
  <si>
    <t>PROD1740</t>
  </si>
  <si>
    <t xml:space="preserve"> $314.70 </t>
  </si>
  <si>
    <t>ORD6541</t>
  </si>
  <si>
    <t>CUST2541</t>
  </si>
  <si>
    <t>PROD1741</t>
  </si>
  <si>
    <t xml:space="preserve"> $195.83 </t>
  </si>
  <si>
    <t>ORD6542</t>
  </si>
  <si>
    <t>CUST2542</t>
  </si>
  <si>
    <t>PROD1742</t>
  </si>
  <si>
    <t xml:space="preserve"> $226.27 </t>
  </si>
  <si>
    <t>ORD6543</t>
  </si>
  <si>
    <t>CUST2543</t>
  </si>
  <si>
    <t>PROD1743</t>
  </si>
  <si>
    <t xml:space="preserve"> $486.70 </t>
  </si>
  <si>
    <t>ORD6544</t>
  </si>
  <si>
    <t>CUST2544</t>
  </si>
  <si>
    <t>PROD1744</t>
  </si>
  <si>
    <t xml:space="preserve"> $588.03 </t>
  </si>
  <si>
    <t>ORD6545</t>
  </si>
  <si>
    <t>CUST2545</t>
  </si>
  <si>
    <t>PROD1745</t>
  </si>
  <si>
    <t xml:space="preserve"> $841.79 </t>
  </si>
  <si>
    <t>ORD6546</t>
  </si>
  <si>
    <t>CUST2546</t>
  </si>
  <si>
    <t>PROD1746</t>
  </si>
  <si>
    <t>3/17/2023</t>
  </si>
  <si>
    <t>7/29/2024</t>
  </si>
  <si>
    <t xml:space="preserve"> $151.42 </t>
  </si>
  <si>
    <t>ORD6547</t>
  </si>
  <si>
    <t>CUST2547</t>
  </si>
  <si>
    <t>PROD1747</t>
  </si>
  <si>
    <t>5/18/2021</t>
  </si>
  <si>
    <t xml:space="preserve"> $263.28 </t>
  </si>
  <si>
    <t>ORD6548</t>
  </si>
  <si>
    <t>CUST2548</t>
  </si>
  <si>
    <t>PROD1748</t>
  </si>
  <si>
    <t xml:space="preserve"> $129.67 </t>
  </si>
  <si>
    <t>ORD6549</t>
  </si>
  <si>
    <t>CUST2549</t>
  </si>
  <si>
    <t>PROD1749</t>
  </si>
  <si>
    <t xml:space="preserve"> $1,735.82 </t>
  </si>
  <si>
    <t>ORD6550</t>
  </si>
  <si>
    <t>CUST2550</t>
  </si>
  <si>
    <t>PROD1750</t>
  </si>
  <si>
    <t xml:space="preserve"> $89.49 </t>
  </si>
  <si>
    <t>ORD6551</t>
  </si>
  <si>
    <t>CUST2551</t>
  </si>
  <si>
    <t>PROD1751</t>
  </si>
  <si>
    <t xml:space="preserve"> $84.45 </t>
  </si>
  <si>
    <t>ORD6552</t>
  </si>
  <si>
    <t>CUST2552</t>
  </si>
  <si>
    <t>PROD1752</t>
  </si>
  <si>
    <t>ORD6553</t>
  </si>
  <si>
    <t>CUST2553</t>
  </si>
  <si>
    <t>PROD1753</t>
  </si>
  <si>
    <t xml:space="preserve"> $274.23 </t>
  </si>
  <si>
    <t>ORD6554</t>
  </si>
  <si>
    <t>CUST2554</t>
  </si>
  <si>
    <t>PROD1754</t>
  </si>
  <si>
    <t>5/29/2025</t>
  </si>
  <si>
    <t>ORD6555</t>
  </si>
  <si>
    <t>CUST2555</t>
  </si>
  <si>
    <t>PROD1755</t>
  </si>
  <si>
    <t xml:space="preserve"> $323.67 </t>
  </si>
  <si>
    <t>ORD6556</t>
  </si>
  <si>
    <t>CUST2556</t>
  </si>
  <si>
    <t>PROD1756</t>
  </si>
  <si>
    <t xml:space="preserve"> $960.43 </t>
  </si>
  <si>
    <t>ORD6557</t>
  </si>
  <si>
    <t>CUST2557</t>
  </si>
  <si>
    <t>PROD1757</t>
  </si>
  <si>
    <t>11/25/2022</t>
  </si>
  <si>
    <t xml:space="preserve"> $16.74 </t>
  </si>
  <si>
    <t>ORD6558</t>
  </si>
  <si>
    <t>CUST2558</t>
  </si>
  <si>
    <t>PROD1758</t>
  </si>
  <si>
    <t xml:space="preserve"> $202.24 </t>
  </si>
  <si>
    <t>ORD6559</t>
  </si>
  <si>
    <t>CUST2559</t>
  </si>
  <si>
    <t>PROD1759</t>
  </si>
  <si>
    <t xml:space="preserve"> $143.16 </t>
  </si>
  <si>
    <t>ORD6560</t>
  </si>
  <si>
    <t>CUST2560</t>
  </si>
  <si>
    <t>PROD1760</t>
  </si>
  <si>
    <t>4/13/2024</t>
  </si>
  <si>
    <t xml:space="preserve"> $1,785.86 </t>
  </si>
  <si>
    <t>ORD6561</t>
  </si>
  <si>
    <t>CUST2561</t>
  </si>
  <si>
    <t>PROD1761</t>
  </si>
  <si>
    <t xml:space="preserve"> $328.43 </t>
  </si>
  <si>
    <t>ORD6562</t>
  </si>
  <si>
    <t>CUST2562</t>
  </si>
  <si>
    <t>PROD1762</t>
  </si>
  <si>
    <t xml:space="preserve"> $298.07 </t>
  </si>
  <si>
    <t>ORD6563</t>
  </si>
  <si>
    <t>CUST2563</t>
  </si>
  <si>
    <t>PROD1763</t>
  </si>
  <si>
    <t xml:space="preserve"> $506.96 </t>
  </si>
  <si>
    <t>ORD6564</t>
  </si>
  <si>
    <t>CUST2564</t>
  </si>
  <si>
    <t>PROD1764</t>
  </si>
  <si>
    <t>7/20/2025</t>
  </si>
  <si>
    <t xml:space="preserve"> $234.68 </t>
  </si>
  <si>
    <t>ORD6565</t>
  </si>
  <si>
    <t>CUST2565</t>
  </si>
  <si>
    <t>PROD1765</t>
  </si>
  <si>
    <t xml:space="preserve"> $346.97 </t>
  </si>
  <si>
    <t>ORD6566</t>
  </si>
  <si>
    <t>CUST2566</t>
  </si>
  <si>
    <t>PROD1766</t>
  </si>
  <si>
    <t xml:space="preserve"> $347.84 </t>
  </si>
  <si>
    <t>ORD6567</t>
  </si>
  <si>
    <t>CUST2567</t>
  </si>
  <si>
    <t>PROD1767</t>
  </si>
  <si>
    <t xml:space="preserve"> $121.64 </t>
  </si>
  <si>
    <t>ORD6568</t>
  </si>
  <si>
    <t>CUST2568</t>
  </si>
  <si>
    <t>PROD1768</t>
  </si>
  <si>
    <t xml:space="preserve"> $323.96 </t>
  </si>
  <si>
    <t>ORD6569</t>
  </si>
  <si>
    <t>CUST2569</t>
  </si>
  <si>
    <t>PROD1769</t>
  </si>
  <si>
    <t xml:space="preserve"> $171.03 </t>
  </si>
  <si>
    <t>ORD6570</t>
  </si>
  <si>
    <t>CUST2570</t>
  </si>
  <si>
    <t>PROD1770</t>
  </si>
  <si>
    <t>ORD6571</t>
  </si>
  <si>
    <t>CUST2571</t>
  </si>
  <si>
    <t>PROD1771</t>
  </si>
  <si>
    <t>6/16/2025</t>
  </si>
  <si>
    <t xml:space="preserve"> $87.07 </t>
  </si>
  <si>
    <t>ORD6572</t>
  </si>
  <si>
    <t>CUST2572</t>
  </si>
  <si>
    <t>PROD1772</t>
  </si>
  <si>
    <t xml:space="preserve"> $169.39 </t>
  </si>
  <si>
    <t>ORD6573</t>
  </si>
  <si>
    <t>CUST2573</t>
  </si>
  <si>
    <t>PROD1773</t>
  </si>
  <si>
    <t xml:space="preserve"> $206.04 </t>
  </si>
  <si>
    <t>ORD6574</t>
  </si>
  <si>
    <t>CUST2574</t>
  </si>
  <si>
    <t>PROD1774</t>
  </si>
  <si>
    <t xml:space="preserve"> $131.98 </t>
  </si>
  <si>
    <t>ORD6575</t>
  </si>
  <si>
    <t>CUST2575</t>
  </si>
  <si>
    <t>PROD1775</t>
  </si>
  <si>
    <t xml:space="preserve"> $22.25 </t>
  </si>
  <si>
    <t>ORD6576</t>
  </si>
  <si>
    <t>CUST2576</t>
  </si>
  <si>
    <t>PROD1776</t>
  </si>
  <si>
    <t xml:space="preserve"> $124.98 </t>
  </si>
  <si>
    <t>ORD6577</t>
  </si>
  <si>
    <t>CUST2577</t>
  </si>
  <si>
    <t>PROD1777</t>
  </si>
  <si>
    <t xml:space="preserve"> $265.51 </t>
  </si>
  <si>
    <t>ORD6578</t>
  </si>
  <si>
    <t>CUST2578</t>
  </si>
  <si>
    <t>PROD1778</t>
  </si>
  <si>
    <t xml:space="preserve"> $219.54 </t>
  </si>
  <si>
    <t>ORD6579</t>
  </si>
  <si>
    <t>CUST2579</t>
  </si>
  <si>
    <t>PROD1779</t>
  </si>
  <si>
    <t xml:space="preserve"> $255.15 </t>
  </si>
  <si>
    <t>ORD6580</t>
  </si>
  <si>
    <t>CUST2580</t>
  </si>
  <si>
    <t>PROD1780</t>
  </si>
  <si>
    <t xml:space="preserve"> $264.99 </t>
  </si>
  <si>
    <t>ORD6581</t>
  </si>
  <si>
    <t>CUST2581</t>
  </si>
  <si>
    <t>PROD1781</t>
  </si>
  <si>
    <t>4/26/2021</t>
  </si>
  <si>
    <t xml:space="preserve"> $253.66 </t>
  </si>
  <si>
    <t>ORD6582</t>
  </si>
  <si>
    <t>CUST2582</t>
  </si>
  <si>
    <t>PROD1782</t>
  </si>
  <si>
    <t xml:space="preserve"> $215.04 </t>
  </si>
  <si>
    <t>ORD6583</t>
  </si>
  <si>
    <t>CUST2583</t>
  </si>
  <si>
    <t>PROD1783</t>
  </si>
  <si>
    <t xml:space="preserve"> $1,226.37 </t>
  </si>
  <si>
    <t>ORD6584</t>
  </si>
  <si>
    <t>CUST2584</t>
  </si>
  <si>
    <t>PROD1784</t>
  </si>
  <si>
    <t xml:space="preserve"> $31.81 </t>
  </si>
  <si>
    <t>ORD6585</t>
  </si>
  <si>
    <t>CUST2585</t>
  </si>
  <si>
    <t>PROD1785</t>
  </si>
  <si>
    <t xml:space="preserve"> $966.86 </t>
  </si>
  <si>
    <t>ORD6586</t>
  </si>
  <si>
    <t>CUST2586</t>
  </si>
  <si>
    <t>PROD1786</t>
  </si>
  <si>
    <t xml:space="preserve"> $196.24 </t>
  </si>
  <si>
    <t>ORD6587</t>
  </si>
  <si>
    <t>CUST2587</t>
  </si>
  <si>
    <t>PROD1787</t>
  </si>
  <si>
    <t xml:space="preserve"> $279.32 </t>
  </si>
  <si>
    <t>ORD6588</t>
  </si>
  <si>
    <t>CUST2588</t>
  </si>
  <si>
    <t>PROD1788</t>
  </si>
  <si>
    <t xml:space="preserve"> $125.73 </t>
  </si>
  <si>
    <t>ORD6589</t>
  </si>
  <si>
    <t>CUST2589</t>
  </si>
  <si>
    <t>PROD1789</t>
  </si>
  <si>
    <t xml:space="preserve"> $480.90 </t>
  </si>
  <si>
    <t>ORD6590</t>
  </si>
  <si>
    <t>CUST2590</t>
  </si>
  <si>
    <t>PROD1790</t>
  </si>
  <si>
    <t xml:space="preserve"> $359.75 </t>
  </si>
  <si>
    <t>ORD6591</t>
  </si>
  <si>
    <t>CUST2591</t>
  </si>
  <si>
    <t>PROD1791</t>
  </si>
  <si>
    <t xml:space="preserve"> $159.41 </t>
  </si>
  <si>
    <t>ORD6592</t>
  </si>
  <si>
    <t>CUST2592</t>
  </si>
  <si>
    <t>PROD1792</t>
  </si>
  <si>
    <t xml:space="preserve"> $623.01 </t>
  </si>
  <si>
    <t>ORD6593</t>
  </si>
  <si>
    <t>CUST2593</t>
  </si>
  <si>
    <t>PROD1793</t>
  </si>
  <si>
    <t xml:space="preserve"> $171.77 </t>
  </si>
  <si>
    <t>ORD6594</t>
  </si>
  <si>
    <t>CUST2594</t>
  </si>
  <si>
    <t>PROD1794</t>
  </si>
  <si>
    <t xml:space="preserve"> $140.03 </t>
  </si>
  <si>
    <t>ORD6595</t>
  </si>
  <si>
    <t>CUST2595</t>
  </si>
  <si>
    <t>PROD1795</t>
  </si>
  <si>
    <t xml:space="preserve"> $222.75 </t>
  </si>
  <si>
    <t>ORD6596</t>
  </si>
  <si>
    <t>CUST2596</t>
  </si>
  <si>
    <t>PROD1796</t>
  </si>
  <si>
    <t xml:space="preserve"> $867.89 </t>
  </si>
  <si>
    <t>ORD6597</t>
  </si>
  <si>
    <t>CUST2597</t>
  </si>
  <si>
    <t>PROD1797</t>
  </si>
  <si>
    <t xml:space="preserve"> $426.44 </t>
  </si>
  <si>
    <t>ORD6598</t>
  </si>
  <si>
    <t>CUST2598</t>
  </si>
  <si>
    <t>PROD1798</t>
  </si>
  <si>
    <t xml:space="preserve"> $274.02 </t>
  </si>
  <si>
    <t>ORD6599</t>
  </si>
  <si>
    <t>CUST2599</t>
  </si>
  <si>
    <t>PROD1799</t>
  </si>
  <si>
    <t xml:space="preserve"> $222.60 </t>
  </si>
  <si>
    <t>ORD6600</t>
  </si>
  <si>
    <t>CUST2600</t>
  </si>
  <si>
    <t>PROD1800</t>
  </si>
  <si>
    <t xml:space="preserve"> $177.18 </t>
  </si>
  <si>
    <t>ORD6601</t>
  </si>
  <si>
    <t>CUST2601</t>
  </si>
  <si>
    <t>PROD1801</t>
  </si>
  <si>
    <t>6/23/2022</t>
  </si>
  <si>
    <t xml:space="preserve"> $506.88 </t>
  </si>
  <si>
    <t>ORD6602</t>
  </si>
  <si>
    <t>CUST2602</t>
  </si>
  <si>
    <t>PROD1802</t>
  </si>
  <si>
    <t xml:space="preserve"> $142.16 </t>
  </si>
  <si>
    <t>ORD6603</t>
  </si>
  <si>
    <t>CUST2603</t>
  </si>
  <si>
    <t>PROD1803</t>
  </si>
  <si>
    <t xml:space="preserve"> $186.90 </t>
  </si>
  <si>
    <t>ORD6604</t>
  </si>
  <si>
    <t>CUST2604</t>
  </si>
  <si>
    <t>PROD1804</t>
  </si>
  <si>
    <t xml:space="preserve"> $46.03 </t>
  </si>
  <si>
    <t>ORD6605</t>
  </si>
  <si>
    <t>CUST2605</t>
  </si>
  <si>
    <t>PROD1805</t>
  </si>
  <si>
    <t>4/15/2024</t>
  </si>
  <si>
    <t xml:space="preserve"> $119.98 </t>
  </si>
  <si>
    <t>ORD6606</t>
  </si>
  <si>
    <t>CUST2606</t>
  </si>
  <si>
    <t>PROD1806</t>
  </si>
  <si>
    <t xml:space="preserve"> $428.32 </t>
  </si>
  <si>
    <t>ORD6607</t>
  </si>
  <si>
    <t>CUST2607</t>
  </si>
  <si>
    <t>PROD1807</t>
  </si>
  <si>
    <t xml:space="preserve"> $434.76 </t>
  </si>
  <si>
    <t>ORD6608</t>
  </si>
  <si>
    <t>CUST2608</t>
  </si>
  <si>
    <t>PROD1808</t>
  </si>
  <si>
    <t xml:space="preserve"> $823.43 </t>
  </si>
  <si>
    <t>ORD6609</t>
  </si>
  <si>
    <t>CUST2609</t>
  </si>
  <si>
    <t>PROD1809</t>
  </si>
  <si>
    <t xml:space="preserve"> $457.86 </t>
  </si>
  <si>
    <t>ORD6610</t>
  </si>
  <si>
    <t>CUST2610</t>
  </si>
  <si>
    <t>PROD1810</t>
  </si>
  <si>
    <t xml:space="preserve"> $101.26 </t>
  </si>
  <si>
    <t>ORD6611</t>
  </si>
  <si>
    <t>CUST2611</t>
  </si>
  <si>
    <t>PROD1811</t>
  </si>
  <si>
    <t>4/17/2022</t>
  </si>
  <si>
    <t xml:space="preserve"> $96.22 </t>
  </si>
  <si>
    <t>ORD6612</t>
  </si>
  <si>
    <t>CUST2612</t>
  </si>
  <si>
    <t>PROD1812</t>
  </si>
  <si>
    <t xml:space="preserve"> $231.80 </t>
  </si>
  <si>
    <t>ORD6613</t>
  </si>
  <si>
    <t>CUST2613</t>
  </si>
  <si>
    <t>PROD1813</t>
  </si>
  <si>
    <t xml:space="preserve"> $322.05 </t>
  </si>
  <si>
    <t>ORD6614</t>
  </si>
  <si>
    <t>CUST2614</t>
  </si>
  <si>
    <t>PROD1814</t>
  </si>
  <si>
    <t xml:space="preserve"> $69.27 </t>
  </si>
  <si>
    <t>ORD6615</t>
  </si>
  <si>
    <t>CUST2615</t>
  </si>
  <si>
    <t>PROD1815</t>
  </si>
  <si>
    <t>3/18/2025</t>
  </si>
  <si>
    <t xml:space="preserve"> $1,699.62 </t>
  </si>
  <si>
    <t>ORD6616</t>
  </si>
  <si>
    <t>CUST2616</t>
  </si>
  <si>
    <t>PROD1816</t>
  </si>
  <si>
    <t xml:space="preserve"> $260.12 </t>
  </si>
  <si>
    <t>ORD6617</t>
  </si>
  <si>
    <t>CUST2617</t>
  </si>
  <si>
    <t>PROD1817</t>
  </si>
  <si>
    <t>ORD6618</t>
  </si>
  <si>
    <t>CUST2618</t>
  </si>
  <si>
    <t>PROD1818</t>
  </si>
  <si>
    <t xml:space="preserve"> $191.99 </t>
  </si>
  <si>
    <t>ORD6619</t>
  </si>
  <si>
    <t>CUST2619</t>
  </si>
  <si>
    <t>PROD1819</t>
  </si>
  <si>
    <t xml:space="preserve"> $91.60 </t>
  </si>
  <si>
    <t>ORD6620</t>
  </si>
  <si>
    <t>CUST2620</t>
  </si>
  <si>
    <t>PROD1820</t>
  </si>
  <si>
    <t xml:space="preserve"> $109.84 </t>
  </si>
  <si>
    <t>ORD6621</t>
  </si>
  <si>
    <t>CUST2621</t>
  </si>
  <si>
    <t>PROD1821</t>
  </si>
  <si>
    <t xml:space="preserve"> $502.39 </t>
  </si>
  <si>
    <t>ORD6622</t>
  </si>
  <si>
    <t>CUST2622</t>
  </si>
  <si>
    <t>PROD1822</t>
  </si>
  <si>
    <t xml:space="preserve"> $201.65 </t>
  </si>
  <si>
    <t>ORD6623</t>
  </si>
  <si>
    <t>CUST2623</t>
  </si>
  <si>
    <t>PROD1823</t>
  </si>
  <si>
    <t xml:space="preserve"> $418.77 </t>
  </si>
  <si>
    <t>ORD6624</t>
  </si>
  <si>
    <t>CUST2624</t>
  </si>
  <si>
    <t>PROD1824</t>
  </si>
  <si>
    <t xml:space="preserve"> $642.34 </t>
  </si>
  <si>
    <t>ORD6625</t>
  </si>
  <si>
    <t>CUST2625</t>
  </si>
  <si>
    <t>PROD1825</t>
  </si>
  <si>
    <t xml:space="preserve"> $935.56 </t>
  </si>
  <si>
    <t>ORD6626</t>
  </si>
  <si>
    <t>CUST2626</t>
  </si>
  <si>
    <t>PROD1826</t>
  </si>
  <si>
    <t xml:space="preserve"> $339.15 </t>
  </si>
  <si>
    <t>ORD6627</t>
  </si>
  <si>
    <t>CUST2627</t>
  </si>
  <si>
    <t>PROD1827</t>
  </si>
  <si>
    <t xml:space="preserve"> $375.92 </t>
  </si>
  <si>
    <t>ORD6628</t>
  </si>
  <si>
    <t>CUST2628</t>
  </si>
  <si>
    <t>PROD1828</t>
  </si>
  <si>
    <t xml:space="preserve"> $1,105.58 </t>
  </si>
  <si>
    <t>ORD6629</t>
  </si>
  <si>
    <t>CUST2629</t>
  </si>
  <si>
    <t>PROD1829</t>
  </si>
  <si>
    <t xml:space="preserve"> $95.07 </t>
  </si>
  <si>
    <t>ORD6630</t>
  </si>
  <si>
    <t>CUST2630</t>
  </si>
  <si>
    <t>PROD1830</t>
  </si>
  <si>
    <t xml:space="preserve"> $166.35 </t>
  </si>
  <si>
    <t>ORD6631</t>
  </si>
  <si>
    <t>CUST2631</t>
  </si>
  <si>
    <t>PROD1831</t>
  </si>
  <si>
    <t xml:space="preserve"> $476.29 </t>
  </si>
  <si>
    <t>ORD6632</t>
  </si>
  <si>
    <t>CUST2632</t>
  </si>
  <si>
    <t>PROD1832</t>
  </si>
  <si>
    <t>1/14/2021</t>
  </si>
  <si>
    <t xml:space="preserve"> $498.96 </t>
  </si>
  <si>
    <t>ORD6633</t>
  </si>
  <si>
    <t>CUST2633</t>
  </si>
  <si>
    <t>PROD1833</t>
  </si>
  <si>
    <t xml:space="preserve"> $212.70 </t>
  </si>
  <si>
    <t>ORD6634</t>
  </si>
  <si>
    <t>CUST2634</t>
  </si>
  <si>
    <t>PROD1834</t>
  </si>
  <si>
    <t xml:space="preserve"> $1,839.20 </t>
  </si>
  <si>
    <t>ORD6635</t>
  </si>
  <si>
    <t>CUST2635</t>
  </si>
  <si>
    <t>PROD1835</t>
  </si>
  <si>
    <t>ORD6636</t>
  </si>
  <si>
    <t>CUST2636</t>
  </si>
  <si>
    <t>PROD1836</t>
  </si>
  <si>
    <t>3/22/2023</t>
  </si>
  <si>
    <t xml:space="preserve"> $125.84 </t>
  </si>
  <si>
    <t>ORD6637</t>
  </si>
  <si>
    <t>CUST2637</t>
  </si>
  <si>
    <t>PROD1837</t>
  </si>
  <si>
    <t xml:space="preserve"> $53.62 </t>
  </si>
  <si>
    <t>ORD6638</t>
  </si>
  <si>
    <t>CUST2638</t>
  </si>
  <si>
    <t>PROD1838</t>
  </si>
  <si>
    <t xml:space="preserve"> $223.59 </t>
  </si>
  <si>
    <t>ORD6639</t>
  </si>
  <si>
    <t>CUST2639</t>
  </si>
  <si>
    <t>PROD1839</t>
  </si>
  <si>
    <t xml:space="preserve"> $49.19 </t>
  </si>
  <si>
    <t>ORD6640</t>
  </si>
  <si>
    <t>CUST2640</t>
  </si>
  <si>
    <t>PROD1840</t>
  </si>
  <si>
    <t xml:space="preserve"> $211.00 </t>
  </si>
  <si>
    <t>ORD6641</t>
  </si>
  <si>
    <t>CUST2641</t>
  </si>
  <si>
    <t>PROD1841</t>
  </si>
  <si>
    <t xml:space="preserve"> $905.81 </t>
  </si>
  <si>
    <t>ORD6642</t>
  </si>
  <si>
    <t>CUST2642</t>
  </si>
  <si>
    <t>PROD1842</t>
  </si>
  <si>
    <t xml:space="preserve"> $97.72 </t>
  </si>
  <si>
    <t>ORD6643</t>
  </si>
  <si>
    <t>CUST2643</t>
  </si>
  <si>
    <t>PROD1843</t>
  </si>
  <si>
    <t xml:space="preserve"> $410.74 </t>
  </si>
  <si>
    <t>ORD6644</t>
  </si>
  <si>
    <t>CUST2644</t>
  </si>
  <si>
    <t>PROD1844</t>
  </si>
  <si>
    <t xml:space="preserve"> $91.62 </t>
  </si>
  <si>
    <t>ORD6645</t>
  </si>
  <si>
    <t>CUST2645</t>
  </si>
  <si>
    <t>PROD1845</t>
  </si>
  <si>
    <t xml:space="preserve"> $173.84 </t>
  </si>
  <si>
    <t>ORD6646</t>
  </si>
  <si>
    <t>CUST2646</t>
  </si>
  <si>
    <t>PROD1846</t>
  </si>
  <si>
    <t xml:space="preserve"> $255.81 </t>
  </si>
  <si>
    <t>ORD6647</t>
  </si>
  <si>
    <t>CUST2647</t>
  </si>
  <si>
    <t>PROD1847</t>
  </si>
  <si>
    <t xml:space="preserve"> $358.63 </t>
  </si>
  <si>
    <t>ORD6648</t>
  </si>
  <si>
    <t>CUST2648</t>
  </si>
  <si>
    <t>PROD1848</t>
  </si>
  <si>
    <t xml:space="preserve"> $12.28 </t>
  </si>
  <si>
    <t>ORD6649</t>
  </si>
  <si>
    <t>CUST2649</t>
  </si>
  <si>
    <t>PROD1849</t>
  </si>
  <si>
    <t xml:space="preserve"> $112.04 </t>
  </si>
  <si>
    <t>ORD6650</t>
  </si>
  <si>
    <t>CUST2650</t>
  </si>
  <si>
    <t>PROD1850</t>
  </si>
  <si>
    <t xml:space="preserve"> $1,885.06 </t>
  </si>
  <si>
    <t>ORD6651</t>
  </si>
  <si>
    <t>CUST2651</t>
  </si>
  <si>
    <t>PROD1851</t>
  </si>
  <si>
    <t xml:space="preserve"> $714.40 </t>
  </si>
  <si>
    <t>ORD6652</t>
  </si>
  <si>
    <t>CUST2652</t>
  </si>
  <si>
    <t>PROD1852</t>
  </si>
  <si>
    <t xml:space="preserve"> $277.69 </t>
  </si>
  <si>
    <t>ORD6653</t>
  </si>
  <si>
    <t>CUST2653</t>
  </si>
  <si>
    <t>PROD1853</t>
  </si>
  <si>
    <t xml:space="preserve"> $108.33 </t>
  </si>
  <si>
    <t>ORD6654</t>
  </si>
  <si>
    <t>CUST2654</t>
  </si>
  <si>
    <t>PROD1854</t>
  </si>
  <si>
    <t xml:space="preserve"> $1,831.40 </t>
  </si>
  <si>
    <t>ORD6655</t>
  </si>
  <si>
    <t>CUST2655</t>
  </si>
  <si>
    <t>PROD1855</t>
  </si>
  <si>
    <t xml:space="preserve"> $524.46 </t>
  </si>
  <si>
    <t>ORD6656</t>
  </si>
  <si>
    <t>CUST2656</t>
  </si>
  <si>
    <t>PROD1856</t>
  </si>
  <si>
    <t xml:space="preserve"> $351.58 </t>
  </si>
  <si>
    <t>ORD6657</t>
  </si>
  <si>
    <t>CUST2657</t>
  </si>
  <si>
    <t>PROD1857</t>
  </si>
  <si>
    <t xml:space="preserve"> $79.30 </t>
  </si>
  <si>
    <t>ORD6658</t>
  </si>
  <si>
    <t>CUST2658</t>
  </si>
  <si>
    <t>PROD1858</t>
  </si>
  <si>
    <t xml:space="preserve"> $428.49 </t>
  </si>
  <si>
    <t>ORD6659</t>
  </si>
  <si>
    <t>CUST2659</t>
  </si>
  <si>
    <t>PROD1859</t>
  </si>
  <si>
    <t xml:space="preserve"> $63.22 </t>
  </si>
  <si>
    <t>ORD6660</t>
  </si>
  <si>
    <t>CUST2660</t>
  </si>
  <si>
    <t>PROD1860</t>
  </si>
  <si>
    <t xml:space="preserve"> $137.12 </t>
  </si>
  <si>
    <t>ORD6661</t>
  </si>
  <si>
    <t>CUST2661</t>
  </si>
  <si>
    <t>PROD1861</t>
  </si>
  <si>
    <t xml:space="preserve"> $209.09 </t>
  </si>
  <si>
    <t>ORD6662</t>
  </si>
  <si>
    <t>CUST2662</t>
  </si>
  <si>
    <t>PROD1862</t>
  </si>
  <si>
    <t xml:space="preserve"> $294.64 </t>
  </si>
  <si>
    <t>ORD6663</t>
  </si>
  <si>
    <t>CUST2663</t>
  </si>
  <si>
    <t>PROD1863</t>
  </si>
  <si>
    <t xml:space="preserve"> $147.02 </t>
  </si>
  <si>
    <t>ORD6664</t>
  </si>
  <si>
    <t>CUST2664</t>
  </si>
  <si>
    <t>PROD1864</t>
  </si>
  <si>
    <t xml:space="preserve"> $327.61 </t>
  </si>
  <si>
    <t>ORD6665</t>
  </si>
  <si>
    <t>CUST2665</t>
  </si>
  <si>
    <t>PROD1865</t>
  </si>
  <si>
    <t xml:space="preserve"> $823.69 </t>
  </si>
  <si>
    <t>ORD6666</t>
  </si>
  <si>
    <t>CUST2666</t>
  </si>
  <si>
    <t>PROD1866</t>
  </si>
  <si>
    <t xml:space="preserve"> $20.04 </t>
  </si>
  <si>
    <t>ORD6667</t>
  </si>
  <si>
    <t>CUST2667</t>
  </si>
  <si>
    <t>PROD1867</t>
  </si>
  <si>
    <t xml:space="preserve"> $175.23 </t>
  </si>
  <si>
    <t>ORD6668</t>
  </si>
  <si>
    <t>CUST2668</t>
  </si>
  <si>
    <t>PROD1868</t>
  </si>
  <si>
    <t xml:space="preserve"> $330.08 </t>
  </si>
  <si>
    <t>ORD6669</t>
  </si>
  <si>
    <t>CUST2669</t>
  </si>
  <si>
    <t>PROD1869</t>
  </si>
  <si>
    <t xml:space="preserve"> $240.04 </t>
  </si>
  <si>
    <t>ORD6670</t>
  </si>
  <si>
    <t>CUST2670</t>
  </si>
  <si>
    <t>PROD1870</t>
  </si>
  <si>
    <t xml:space="preserve"> $3.68 </t>
  </si>
  <si>
    <t>ORD6671</t>
  </si>
  <si>
    <t>CUST2671</t>
  </si>
  <si>
    <t>PROD1871</t>
  </si>
  <si>
    <t xml:space="preserve"> $323.89 </t>
  </si>
  <si>
    <t>ORD6672</t>
  </si>
  <si>
    <t>CUST2672</t>
  </si>
  <si>
    <t>PROD1872</t>
  </si>
  <si>
    <t xml:space="preserve"> $29.26 </t>
  </si>
  <si>
    <t>ORD6673</t>
  </si>
  <si>
    <t>CUST2673</t>
  </si>
  <si>
    <t>PROD1873</t>
  </si>
  <si>
    <t xml:space="preserve"> $119.12 </t>
  </si>
  <si>
    <t>ORD6674</t>
  </si>
  <si>
    <t>CUST2674</t>
  </si>
  <si>
    <t>PROD1874</t>
  </si>
  <si>
    <t xml:space="preserve"> $156.26 </t>
  </si>
  <si>
    <t>ORD6675</t>
  </si>
  <si>
    <t>CUST2675</t>
  </si>
  <si>
    <t>PROD1875</t>
  </si>
  <si>
    <t xml:space="preserve"> $135.47 </t>
  </si>
  <si>
    <t>ORD6676</t>
  </si>
  <si>
    <t>CUST2676</t>
  </si>
  <si>
    <t>PROD1876</t>
  </si>
  <si>
    <t xml:space="preserve"> $814.81 </t>
  </si>
  <si>
    <t>ORD6677</t>
  </si>
  <si>
    <t>CUST2677</t>
  </si>
  <si>
    <t>PROD1877</t>
  </si>
  <si>
    <t xml:space="preserve"> $403.86 </t>
  </si>
  <si>
    <t>ORD6678</t>
  </si>
  <si>
    <t>CUST2678</t>
  </si>
  <si>
    <t>PROD1878</t>
  </si>
  <si>
    <t xml:space="preserve"> $163.55 </t>
  </si>
  <si>
    <t>ORD6679</t>
  </si>
  <si>
    <t>CUST2679</t>
  </si>
  <si>
    <t>PROD1879</t>
  </si>
  <si>
    <t xml:space="preserve"> $75.07 </t>
  </si>
  <si>
    <t>ORD6680</t>
  </si>
  <si>
    <t>CUST2680</t>
  </si>
  <si>
    <t>PROD1880</t>
  </si>
  <si>
    <t xml:space="preserve"> $118.64 </t>
  </si>
  <si>
    <t>ORD6681</t>
  </si>
  <si>
    <t>CUST2681</t>
  </si>
  <si>
    <t>PROD1881</t>
  </si>
  <si>
    <t xml:space="preserve"> $53.37 </t>
  </si>
  <si>
    <t>ORD6682</t>
  </si>
  <si>
    <t>CUST2682</t>
  </si>
  <si>
    <t>PROD1882</t>
  </si>
  <si>
    <t xml:space="preserve"> $101.28 </t>
  </si>
  <si>
    <t>ORD6683</t>
  </si>
  <si>
    <t>CUST2683</t>
  </si>
  <si>
    <t>PROD1883</t>
  </si>
  <si>
    <t>4/21/2025</t>
  </si>
  <si>
    <t xml:space="preserve"> $86.01 </t>
  </si>
  <si>
    <t>ORD6684</t>
  </si>
  <si>
    <t>CUST2684</t>
  </si>
  <si>
    <t>PROD1884</t>
  </si>
  <si>
    <t xml:space="preserve"> $306.85 </t>
  </si>
  <si>
    <t>ORD6685</t>
  </si>
  <si>
    <t>CUST2685</t>
  </si>
  <si>
    <t>PROD1885</t>
  </si>
  <si>
    <t xml:space="preserve"> $177.19 </t>
  </si>
  <si>
    <t>ORD6686</t>
  </si>
  <si>
    <t>CUST2686</t>
  </si>
  <si>
    <t>PROD1886</t>
  </si>
  <si>
    <t xml:space="preserve"> $1,804.28 </t>
  </si>
  <si>
    <t>ORD6687</t>
  </si>
  <si>
    <t>CUST2687</t>
  </si>
  <si>
    <t>PROD1887</t>
  </si>
  <si>
    <t xml:space="preserve"> $25.63 </t>
  </si>
  <si>
    <t>ORD6688</t>
  </si>
  <si>
    <t>CUST2688</t>
  </si>
  <si>
    <t>PROD1888</t>
  </si>
  <si>
    <t xml:space="preserve"> $18.20 </t>
  </si>
  <si>
    <t>ORD6689</t>
  </si>
  <si>
    <t>CUST2689</t>
  </si>
  <si>
    <t>PROD1889</t>
  </si>
  <si>
    <t>8/27/2020</t>
  </si>
  <si>
    <t xml:space="preserve"> $200.74 </t>
  </si>
  <si>
    <t>ORD6690</t>
  </si>
  <si>
    <t>CUST2690</t>
  </si>
  <si>
    <t>PROD1890</t>
  </si>
  <si>
    <t>ORD6691</t>
  </si>
  <si>
    <t>CUST2691</t>
  </si>
  <si>
    <t>PROD1891</t>
  </si>
  <si>
    <t xml:space="preserve"> $383.59 </t>
  </si>
  <si>
    <t>ORD6692</t>
  </si>
  <si>
    <t>CUST2692</t>
  </si>
  <si>
    <t>PROD1892</t>
  </si>
  <si>
    <t xml:space="preserve"> $159.88 </t>
  </si>
  <si>
    <t>ORD6693</t>
  </si>
  <si>
    <t>CUST2693</t>
  </si>
  <si>
    <t>PROD1893</t>
  </si>
  <si>
    <t xml:space="preserve"> $96.74 </t>
  </si>
  <si>
    <t>ORD6694</t>
  </si>
  <si>
    <t>CUST2694</t>
  </si>
  <si>
    <t>PROD1894</t>
  </si>
  <si>
    <t xml:space="preserve"> $147.04 </t>
  </si>
  <si>
    <t>ORD6695</t>
  </si>
  <si>
    <t>CUST2695</t>
  </si>
  <si>
    <t>PROD1895</t>
  </si>
  <si>
    <t xml:space="preserve"> $67.84 </t>
  </si>
  <si>
    <t>ORD6696</t>
  </si>
  <si>
    <t>CUST2696</t>
  </si>
  <si>
    <t>PROD1896</t>
  </si>
  <si>
    <t xml:space="preserve"> $488.97 </t>
  </si>
  <si>
    <t>ORD6697</t>
  </si>
  <si>
    <t>CUST2697</t>
  </si>
  <si>
    <t>PROD1897</t>
  </si>
  <si>
    <t xml:space="preserve"> $257.60 </t>
  </si>
  <si>
    <t>ORD6698</t>
  </si>
  <si>
    <t>CUST2698</t>
  </si>
  <si>
    <t>PROD1898</t>
  </si>
  <si>
    <t>9/21/2020</t>
  </si>
  <si>
    <t xml:space="preserve"> $200.49 </t>
  </si>
  <si>
    <t>ORD6699</t>
  </si>
  <si>
    <t>CUST2699</t>
  </si>
  <si>
    <t>PROD1899</t>
  </si>
  <si>
    <t xml:space="preserve"> $80.90 </t>
  </si>
  <si>
    <t>ORD6700</t>
  </si>
  <si>
    <t>CUST2700</t>
  </si>
  <si>
    <t>PROD1900</t>
  </si>
  <si>
    <t xml:space="preserve"> $157.67 </t>
  </si>
  <si>
    <t>ORD6701</t>
  </si>
  <si>
    <t>CUST2701</t>
  </si>
  <si>
    <t>PROD1901</t>
  </si>
  <si>
    <t>9/26/2020</t>
  </si>
  <si>
    <t xml:space="preserve"> $104.98 </t>
  </si>
  <si>
    <t>ORD6702</t>
  </si>
  <si>
    <t>CUST2702</t>
  </si>
  <si>
    <t>PROD1902</t>
  </si>
  <si>
    <t xml:space="preserve"> $62.90 </t>
  </si>
  <si>
    <t>ORD6703</t>
  </si>
  <si>
    <t>CUST2703</t>
  </si>
  <si>
    <t>PROD1903</t>
  </si>
  <si>
    <t xml:space="preserve"> $145.29 </t>
  </si>
  <si>
    <t>ORD6704</t>
  </si>
  <si>
    <t>CUST2704</t>
  </si>
  <si>
    <t>PROD1904</t>
  </si>
  <si>
    <t>10/16/2024</t>
  </si>
  <si>
    <t xml:space="preserve"> $858.36 </t>
  </si>
  <si>
    <t>ORD6705</t>
  </si>
  <si>
    <t>CUST2705</t>
  </si>
  <si>
    <t>PROD1905</t>
  </si>
  <si>
    <t xml:space="preserve"> $821.24 </t>
  </si>
  <si>
    <t>ORD6706</t>
  </si>
  <si>
    <t>CUST2706</t>
  </si>
  <si>
    <t>PROD1906</t>
  </si>
  <si>
    <t xml:space="preserve"> $165.58 </t>
  </si>
  <si>
    <t>ORD6707</t>
  </si>
  <si>
    <t>CUST2707</t>
  </si>
  <si>
    <t>PROD1907</t>
  </si>
  <si>
    <t xml:space="preserve"> $93.48 </t>
  </si>
  <si>
    <t>ORD6708</t>
  </si>
  <si>
    <t>CUST2708</t>
  </si>
  <si>
    <t>PROD1908</t>
  </si>
  <si>
    <t xml:space="preserve"> $227.54 </t>
  </si>
  <si>
    <t>ORD6709</t>
  </si>
  <si>
    <t>CUST2709</t>
  </si>
  <si>
    <t>PROD1909</t>
  </si>
  <si>
    <t xml:space="preserve"> $259.94 </t>
  </si>
  <si>
    <t>ORD6710</t>
  </si>
  <si>
    <t>CUST2710</t>
  </si>
  <si>
    <t>PROD1910</t>
  </si>
  <si>
    <t xml:space="preserve"> $232.00 </t>
  </si>
  <si>
    <t>ORD6711</t>
  </si>
  <si>
    <t>CUST2711</t>
  </si>
  <si>
    <t>PROD1911</t>
  </si>
  <si>
    <t>ORD6712</t>
  </si>
  <si>
    <t>CUST2712</t>
  </si>
  <si>
    <t>PROD1912</t>
  </si>
  <si>
    <t xml:space="preserve"> $186.91 </t>
  </si>
  <si>
    <t>ORD6713</t>
  </si>
  <si>
    <t>CUST2713</t>
  </si>
  <si>
    <t>PROD1913</t>
  </si>
  <si>
    <t xml:space="preserve"> $82.59 </t>
  </si>
  <si>
    <t>ORD6714</t>
  </si>
  <si>
    <t>CUST2714</t>
  </si>
  <si>
    <t>PROD1914</t>
  </si>
  <si>
    <t xml:space="preserve"> $31.93 </t>
  </si>
  <si>
    <t>ORD6715</t>
  </si>
  <si>
    <t>CUST2715</t>
  </si>
  <si>
    <t>PROD1915</t>
  </si>
  <si>
    <t xml:space="preserve"> $244.96 </t>
  </si>
  <si>
    <t>ORD6716</t>
  </si>
  <si>
    <t>CUST2716</t>
  </si>
  <si>
    <t>PROD1916</t>
  </si>
  <si>
    <t xml:space="preserve"> $79.27 </t>
  </si>
  <si>
    <t>ORD6717</t>
  </si>
  <si>
    <t>CUST2717</t>
  </si>
  <si>
    <t>PROD1917</t>
  </si>
  <si>
    <t xml:space="preserve"> $27.61 </t>
  </si>
  <si>
    <t>ORD6718</t>
  </si>
  <si>
    <t>CUST2718</t>
  </si>
  <si>
    <t>PROD1918</t>
  </si>
  <si>
    <t xml:space="preserve"> $30.43 </t>
  </si>
  <si>
    <t>ORD6719</t>
  </si>
  <si>
    <t>CUST2719</t>
  </si>
  <si>
    <t>PROD1919</t>
  </si>
  <si>
    <t xml:space="preserve"> $870.22 </t>
  </si>
  <si>
    <t>ORD6720</t>
  </si>
  <si>
    <t>CUST2720</t>
  </si>
  <si>
    <t>PROD1920</t>
  </si>
  <si>
    <t xml:space="preserve"> $175.59 </t>
  </si>
  <si>
    <t>ORD6721</t>
  </si>
  <si>
    <t>CUST2721</t>
  </si>
  <si>
    <t>PROD1921</t>
  </si>
  <si>
    <t xml:space="preserve"> $362.98 </t>
  </si>
  <si>
    <t>ORD6722</t>
  </si>
  <si>
    <t>CUST2722</t>
  </si>
  <si>
    <t>PROD1922</t>
  </si>
  <si>
    <t xml:space="preserve"> $473.31 </t>
  </si>
  <si>
    <t>ORD6723</t>
  </si>
  <si>
    <t>CUST2723</t>
  </si>
  <si>
    <t>PROD1923</t>
  </si>
  <si>
    <t xml:space="preserve"> $156.06 </t>
  </si>
  <si>
    <t>ORD6724</t>
  </si>
  <si>
    <t>CUST2724</t>
  </si>
  <si>
    <t>PROD1924</t>
  </si>
  <si>
    <t xml:space="preserve"> $14.15 </t>
  </si>
  <si>
    <t>ORD6725</t>
  </si>
  <si>
    <t>CUST2725</t>
  </si>
  <si>
    <t>PROD1925</t>
  </si>
  <si>
    <t xml:space="preserve"> $164.04 </t>
  </si>
  <si>
    <t>ORD6726</t>
  </si>
  <si>
    <t>CUST2726</t>
  </si>
  <si>
    <t>PROD1926</t>
  </si>
  <si>
    <t>5/30/2021</t>
  </si>
  <si>
    <t xml:space="preserve"> $206.77 </t>
  </si>
  <si>
    <t>ORD6727</t>
  </si>
  <si>
    <t>CUST2727</t>
  </si>
  <si>
    <t>PROD1927</t>
  </si>
  <si>
    <t xml:space="preserve"> $972.15 </t>
  </si>
  <si>
    <t>ORD6728</t>
  </si>
  <si>
    <t>CUST2728</t>
  </si>
  <si>
    <t>PROD1928</t>
  </si>
  <si>
    <t xml:space="preserve"> $33.55 </t>
  </si>
  <si>
    <t>ORD6729</t>
  </si>
  <si>
    <t>CUST2729</t>
  </si>
  <si>
    <t>PROD1929</t>
  </si>
  <si>
    <t xml:space="preserve"> $227.40 </t>
  </si>
  <si>
    <t>ORD6730</t>
  </si>
  <si>
    <t>CUST2730</t>
  </si>
  <si>
    <t>PROD1930</t>
  </si>
  <si>
    <t xml:space="preserve"> $262.56 </t>
  </si>
  <si>
    <t>ORD6731</t>
  </si>
  <si>
    <t>CUST2731</t>
  </si>
  <si>
    <t>PROD1931</t>
  </si>
  <si>
    <t xml:space="preserve"> $388.38 </t>
  </si>
  <si>
    <t>ORD6732</t>
  </si>
  <si>
    <t>CUST2732</t>
  </si>
  <si>
    <t>PROD1932</t>
  </si>
  <si>
    <t xml:space="preserve"> $157.06 </t>
  </si>
  <si>
    <t>ORD6733</t>
  </si>
  <si>
    <t>CUST2733</t>
  </si>
  <si>
    <t>PROD1933</t>
  </si>
  <si>
    <t xml:space="preserve"> $171.09 </t>
  </si>
  <si>
    <t>ORD6734</t>
  </si>
  <si>
    <t>CUST2734</t>
  </si>
  <si>
    <t>PROD1934</t>
  </si>
  <si>
    <t xml:space="preserve"> $317.36 </t>
  </si>
  <si>
    <t>ORD6735</t>
  </si>
  <si>
    <t>CUST2735</t>
  </si>
  <si>
    <t>PROD1935</t>
  </si>
  <si>
    <t xml:space="preserve"> $613.07 </t>
  </si>
  <si>
    <t>ORD6736</t>
  </si>
  <si>
    <t>CUST2736</t>
  </si>
  <si>
    <t>PROD1936</t>
  </si>
  <si>
    <t xml:space="preserve"> $87.29 </t>
  </si>
  <si>
    <t>ORD6737</t>
  </si>
  <si>
    <t>CUST2737</t>
  </si>
  <si>
    <t>PROD1937</t>
  </si>
  <si>
    <t xml:space="preserve"> $90.99 </t>
  </si>
  <si>
    <t>ORD6738</t>
  </si>
  <si>
    <t>CUST2738</t>
  </si>
  <si>
    <t>PROD1938</t>
  </si>
  <si>
    <t xml:space="preserve"> $291.43 </t>
  </si>
  <si>
    <t>ORD6739</t>
  </si>
  <si>
    <t>CUST2739</t>
  </si>
  <si>
    <t>PROD1939</t>
  </si>
  <si>
    <t xml:space="preserve"> $407.69 </t>
  </si>
  <si>
    <t>ORD6740</t>
  </si>
  <si>
    <t>CUST2740</t>
  </si>
  <si>
    <t>PROD1940</t>
  </si>
  <si>
    <t xml:space="preserve"> $52.80 </t>
  </si>
  <si>
    <t>ORD6741</t>
  </si>
  <si>
    <t>CUST2741</t>
  </si>
  <si>
    <t>PROD1941</t>
  </si>
  <si>
    <t xml:space="preserve"> $248.17 </t>
  </si>
  <si>
    <t>ORD6742</t>
  </si>
  <si>
    <t>CUST2742</t>
  </si>
  <si>
    <t>PROD1942</t>
  </si>
  <si>
    <t xml:space="preserve"> $406.40 </t>
  </si>
  <si>
    <t>ORD6743</t>
  </si>
  <si>
    <t>CUST2743</t>
  </si>
  <si>
    <t>PROD1943</t>
  </si>
  <si>
    <t xml:space="preserve"> $49.62 </t>
  </si>
  <si>
    <t>ORD6744</t>
  </si>
  <si>
    <t>CUST2744</t>
  </si>
  <si>
    <t>PROD1944</t>
  </si>
  <si>
    <t xml:space="preserve"> $194.30 </t>
  </si>
  <si>
    <t>ORD6745</t>
  </si>
  <si>
    <t>CUST2745</t>
  </si>
  <si>
    <t>PROD1945</t>
  </si>
  <si>
    <t xml:space="preserve"> $141.25 </t>
  </si>
  <si>
    <t>ORD6746</t>
  </si>
  <si>
    <t>CUST2746</t>
  </si>
  <si>
    <t>PROD1946</t>
  </si>
  <si>
    <t xml:space="preserve"> $499.41 </t>
  </si>
  <si>
    <t>ORD6747</t>
  </si>
  <si>
    <t>CUST2747</t>
  </si>
  <si>
    <t>PROD1947</t>
  </si>
  <si>
    <t xml:space="preserve"> $242.33 </t>
  </si>
  <si>
    <t>ORD6748</t>
  </si>
  <si>
    <t>CUST2748</t>
  </si>
  <si>
    <t>PROD1948</t>
  </si>
  <si>
    <t xml:space="preserve"> $946.91 </t>
  </si>
  <si>
    <t>ORD6749</t>
  </si>
  <si>
    <t>CUST2749</t>
  </si>
  <si>
    <t>PROD1949</t>
  </si>
  <si>
    <t xml:space="preserve"> $411.67 </t>
  </si>
  <si>
    <t>ORD6750</t>
  </si>
  <si>
    <t>CUST2750</t>
  </si>
  <si>
    <t>PROD1950</t>
  </si>
  <si>
    <t xml:space="preserve"> $177.74 </t>
  </si>
  <si>
    <t>ORD6751</t>
  </si>
  <si>
    <t>CUST2751</t>
  </si>
  <si>
    <t>PROD1951</t>
  </si>
  <si>
    <t xml:space="preserve"> $500.06 </t>
  </si>
  <si>
    <t>ORD6752</t>
  </si>
  <si>
    <t>CUST2752</t>
  </si>
  <si>
    <t>PROD1952</t>
  </si>
  <si>
    <t xml:space="preserve"> $397.85 </t>
  </si>
  <si>
    <t>ORD6753</t>
  </si>
  <si>
    <t>CUST2753</t>
  </si>
  <si>
    <t>PROD1953</t>
  </si>
  <si>
    <t xml:space="preserve"> $48.17 </t>
  </si>
  <si>
    <t>ORD6754</t>
  </si>
  <si>
    <t>CUST2754</t>
  </si>
  <si>
    <t>PROD1954</t>
  </si>
  <si>
    <t xml:space="preserve"> $205.14 </t>
  </si>
  <si>
    <t>ORD6755</t>
  </si>
  <si>
    <t>CUST2755</t>
  </si>
  <si>
    <t>PROD1955</t>
  </si>
  <si>
    <t xml:space="preserve"> $168.77 </t>
  </si>
  <si>
    <t>ORD6756</t>
  </si>
  <si>
    <t>CUST2756</t>
  </si>
  <si>
    <t>PROD1956</t>
  </si>
  <si>
    <t xml:space="preserve"> $246.43 </t>
  </si>
  <si>
    <t>ORD6757</t>
  </si>
  <si>
    <t>CUST2757</t>
  </si>
  <si>
    <t>PROD1957</t>
  </si>
  <si>
    <t xml:space="preserve"> $292.64 </t>
  </si>
  <si>
    <t>ORD6758</t>
  </si>
  <si>
    <t>CUST2758</t>
  </si>
  <si>
    <t>PROD1958</t>
  </si>
  <si>
    <t xml:space="preserve"> $203.28 </t>
  </si>
  <si>
    <t>ORD6759</t>
  </si>
  <si>
    <t>CUST2759</t>
  </si>
  <si>
    <t>PROD1959</t>
  </si>
  <si>
    <t xml:space="preserve"> $931.80 </t>
  </si>
  <si>
    <t>ORD6760</t>
  </si>
  <si>
    <t>CUST2760</t>
  </si>
  <si>
    <t>PROD1960</t>
  </si>
  <si>
    <t xml:space="preserve"> $117.18 </t>
  </si>
  <si>
    <t>ORD6761</t>
  </si>
  <si>
    <t>CUST2761</t>
  </si>
  <si>
    <t>PROD1961</t>
  </si>
  <si>
    <t xml:space="preserve"> $39.66 </t>
  </si>
  <si>
    <t>ORD6762</t>
  </si>
  <si>
    <t>CUST2762</t>
  </si>
  <si>
    <t>PROD1962</t>
  </si>
  <si>
    <t xml:space="preserve"> $47.52 </t>
  </si>
  <si>
    <t>ORD6763</t>
  </si>
  <si>
    <t>CUST2763</t>
  </si>
  <si>
    <t>PROD1963</t>
  </si>
  <si>
    <t xml:space="preserve"> $165.16 </t>
  </si>
  <si>
    <t>ORD6764</t>
  </si>
  <si>
    <t>CUST2764</t>
  </si>
  <si>
    <t>PROD1964</t>
  </si>
  <si>
    <t xml:space="preserve"> $28.80 </t>
  </si>
  <si>
    <t>ORD6765</t>
  </si>
  <si>
    <t>CUST2765</t>
  </si>
  <si>
    <t>PROD1965</t>
  </si>
  <si>
    <t xml:space="preserve"> $64.24 </t>
  </si>
  <si>
    <t>ORD6766</t>
  </si>
  <si>
    <t>CUST2766</t>
  </si>
  <si>
    <t>PROD1966</t>
  </si>
  <si>
    <t xml:space="preserve"> $493.60 </t>
  </si>
  <si>
    <t>ORD6767</t>
  </si>
  <si>
    <t>CUST2767</t>
  </si>
  <si>
    <t>PROD1967</t>
  </si>
  <si>
    <t xml:space="preserve"> $180.20 </t>
  </si>
  <si>
    <t>ORD6768</t>
  </si>
  <si>
    <t>CUST2768</t>
  </si>
  <si>
    <t>PROD1968</t>
  </si>
  <si>
    <t xml:space="preserve"> $121.43 </t>
  </si>
  <si>
    <t>ORD6769</t>
  </si>
  <si>
    <t>CUST2769</t>
  </si>
  <si>
    <t>PROD1969</t>
  </si>
  <si>
    <t xml:space="preserve"> $322.70 </t>
  </si>
  <si>
    <t>ORD6770</t>
  </si>
  <si>
    <t>CUST2770</t>
  </si>
  <si>
    <t>PROD1970</t>
  </si>
  <si>
    <t xml:space="preserve"> $527.36 </t>
  </si>
  <si>
    <t>ORD6771</t>
  </si>
  <si>
    <t>CUST2771</t>
  </si>
  <si>
    <t>PROD1971</t>
  </si>
  <si>
    <t xml:space="preserve"> $101.44 </t>
  </si>
  <si>
    <t>ORD6772</t>
  </si>
  <si>
    <t>CUST2772</t>
  </si>
  <si>
    <t>PROD1972</t>
  </si>
  <si>
    <t xml:space="preserve"> $225.41 </t>
  </si>
  <si>
    <t>ORD6773</t>
  </si>
  <si>
    <t>CUST2773</t>
  </si>
  <si>
    <t>PROD1973</t>
  </si>
  <si>
    <t xml:space="preserve"> $554.73 </t>
  </si>
  <si>
    <t>ORD6774</t>
  </si>
  <si>
    <t>CUST2774</t>
  </si>
  <si>
    <t>PROD1974</t>
  </si>
  <si>
    <t xml:space="preserve"> $641.76 </t>
  </si>
  <si>
    <t>ORD6775</t>
  </si>
  <si>
    <t>CUST2775</t>
  </si>
  <si>
    <t>PROD1975</t>
  </si>
  <si>
    <t xml:space="preserve"> $116.39 </t>
  </si>
  <si>
    <t>ORD6776</t>
  </si>
  <si>
    <t>CUST2776</t>
  </si>
  <si>
    <t>PROD1976</t>
  </si>
  <si>
    <t xml:space="preserve"> $277.09 </t>
  </si>
  <si>
    <t>ORD6777</t>
  </si>
  <si>
    <t>CUST2777</t>
  </si>
  <si>
    <t>PROD1977</t>
  </si>
  <si>
    <t xml:space="preserve"> $68.30 </t>
  </si>
  <si>
    <t>ORD6778</t>
  </si>
  <si>
    <t>CUST2778</t>
  </si>
  <si>
    <t>PROD1978</t>
  </si>
  <si>
    <t xml:space="preserve"> $978.54 </t>
  </si>
  <si>
    <t>ORD6779</t>
  </si>
  <si>
    <t>CUST2779</t>
  </si>
  <si>
    <t>PROD1979</t>
  </si>
  <si>
    <t xml:space="preserve"> $1,241.77 </t>
  </si>
  <si>
    <t>ORD6780</t>
  </si>
  <si>
    <t>CUST2780</t>
  </si>
  <si>
    <t>PROD1980</t>
  </si>
  <si>
    <t xml:space="preserve"> $394.54 </t>
  </si>
  <si>
    <t>ORD6781</t>
  </si>
  <si>
    <t>CUST2781</t>
  </si>
  <si>
    <t>PROD1981</t>
  </si>
  <si>
    <t xml:space="preserve"> $5.39 </t>
  </si>
  <si>
    <t>ORD6782</t>
  </si>
  <si>
    <t>CUST2782</t>
  </si>
  <si>
    <t>PROD1982</t>
  </si>
  <si>
    <t xml:space="preserve"> $120.41 </t>
  </si>
  <si>
    <t>ORD6783</t>
  </si>
  <si>
    <t>CUST2783</t>
  </si>
  <si>
    <t>PROD1983</t>
  </si>
  <si>
    <t xml:space="preserve"> $124.30 </t>
  </si>
  <si>
    <t>ORD6784</t>
  </si>
  <si>
    <t>CUST2784</t>
  </si>
  <si>
    <t>PROD1984</t>
  </si>
  <si>
    <t xml:space="preserve"> $179.90 </t>
  </si>
  <si>
    <t>ORD6785</t>
  </si>
  <si>
    <t>CUST2785</t>
  </si>
  <si>
    <t>PROD1985</t>
  </si>
  <si>
    <t xml:space="preserve"> $151.58 </t>
  </si>
  <si>
    <t>ORD6786</t>
  </si>
  <si>
    <t>CUST2786</t>
  </si>
  <si>
    <t>PROD1986</t>
  </si>
  <si>
    <t xml:space="preserve"> $165.18 </t>
  </si>
  <si>
    <t>ORD6787</t>
  </si>
  <si>
    <t>CUST2787</t>
  </si>
  <si>
    <t>PROD1987</t>
  </si>
  <si>
    <t xml:space="preserve"> $65.76 </t>
  </si>
  <si>
    <t>ORD6788</t>
  </si>
  <si>
    <t>CUST2788</t>
  </si>
  <si>
    <t>PROD1988</t>
  </si>
  <si>
    <t xml:space="preserve"> $123.74 </t>
  </si>
  <si>
    <t>ORD6789</t>
  </si>
  <si>
    <t>CUST2789</t>
  </si>
  <si>
    <t>PROD1989</t>
  </si>
  <si>
    <t xml:space="preserve"> $62.20 </t>
  </si>
  <si>
    <t>ORD6790</t>
  </si>
  <si>
    <t>CUST2790</t>
  </si>
  <si>
    <t>PROD1990</t>
  </si>
  <si>
    <t xml:space="preserve"> $10.18 </t>
  </si>
  <si>
    <t>ORD6791</t>
  </si>
  <si>
    <t>CUST2791</t>
  </si>
  <si>
    <t>PROD1991</t>
  </si>
  <si>
    <t xml:space="preserve"> $178.14 </t>
  </si>
  <si>
    <t>ORD6792</t>
  </si>
  <si>
    <t>CUST2792</t>
  </si>
  <si>
    <t>PROD1992</t>
  </si>
  <si>
    <t xml:space="preserve"> $821.69 </t>
  </si>
  <si>
    <t>ORD6793</t>
  </si>
  <si>
    <t>CUST2793</t>
  </si>
  <si>
    <t>PROD1993</t>
  </si>
  <si>
    <t xml:space="preserve"> $166.66 </t>
  </si>
  <si>
    <t>ORD6794</t>
  </si>
  <si>
    <t>CUST2794</t>
  </si>
  <si>
    <t>PROD1994</t>
  </si>
  <si>
    <t xml:space="preserve"> $715.99 </t>
  </si>
  <si>
    <t>ORD6795</t>
  </si>
  <si>
    <t>CUST2795</t>
  </si>
  <si>
    <t>PROD1995</t>
  </si>
  <si>
    <t xml:space="preserve"> $1,397.94 </t>
  </si>
  <si>
    <t>ORD6796</t>
  </si>
  <si>
    <t>CUST2796</t>
  </si>
  <si>
    <t>PROD1996</t>
  </si>
  <si>
    <t xml:space="preserve"> $307.89 </t>
  </si>
  <si>
    <t>ORD6797</t>
  </si>
  <si>
    <t>CUST2797</t>
  </si>
  <si>
    <t>PROD1997</t>
  </si>
  <si>
    <t xml:space="preserve"> $146.78 </t>
  </si>
  <si>
    <t>ORD6798</t>
  </si>
  <si>
    <t>CUST2798</t>
  </si>
  <si>
    <t>PROD1998</t>
  </si>
  <si>
    <t xml:space="preserve"> $82.46 </t>
  </si>
  <si>
    <t>ORD6799</t>
  </si>
  <si>
    <t>CUST2799</t>
  </si>
  <si>
    <t>PROD1999</t>
  </si>
  <si>
    <t xml:space="preserve"> $406.43 </t>
  </si>
  <si>
    <t>ORD6800</t>
  </si>
  <si>
    <t>CUST2800</t>
  </si>
  <si>
    <t>PROD2000</t>
  </si>
  <si>
    <t xml:space="preserve"> $871.44 </t>
  </si>
  <si>
    <t>ORD6801</t>
  </si>
  <si>
    <t>CUST2801</t>
  </si>
  <si>
    <t>PROD2001</t>
  </si>
  <si>
    <t xml:space="preserve"> $204.50 </t>
  </si>
  <si>
    <t>ORD6802</t>
  </si>
  <si>
    <t>CUST2802</t>
  </si>
  <si>
    <t>PROD2002</t>
  </si>
  <si>
    <t xml:space="preserve"> $390.24 </t>
  </si>
  <si>
    <t>ORD6803</t>
  </si>
  <si>
    <t>CUST2803</t>
  </si>
  <si>
    <t>PROD2003</t>
  </si>
  <si>
    <t xml:space="preserve"> $295.37 </t>
  </si>
  <si>
    <t>ORD6804</t>
  </si>
  <si>
    <t>CUST2804</t>
  </si>
  <si>
    <t>PROD2004</t>
  </si>
  <si>
    <t xml:space="preserve"> $855.07 </t>
  </si>
  <si>
    <t>ORD6805</t>
  </si>
  <si>
    <t>CUST2805</t>
  </si>
  <si>
    <t>PROD2005</t>
  </si>
  <si>
    <t xml:space="preserve"> $1,595.97 </t>
  </si>
  <si>
    <t>ORD6806</t>
  </si>
  <si>
    <t>CUST2806</t>
  </si>
  <si>
    <t>PROD2006</t>
  </si>
  <si>
    <t>3/22/2022</t>
  </si>
  <si>
    <t>ORD6807</t>
  </si>
  <si>
    <t>CUST2807</t>
  </si>
  <si>
    <t>PROD2007</t>
  </si>
  <si>
    <t xml:space="preserve"> $493.19 </t>
  </si>
  <si>
    <t>ORD6808</t>
  </si>
  <si>
    <t>CUST2808</t>
  </si>
  <si>
    <t>PROD2008</t>
  </si>
  <si>
    <t xml:space="preserve"> $3.87 </t>
  </si>
  <si>
    <t>ORD6809</t>
  </si>
  <si>
    <t>CUST2809</t>
  </si>
  <si>
    <t>PROD2009</t>
  </si>
  <si>
    <t xml:space="preserve"> $646.02 </t>
  </si>
  <si>
    <t>ORD6810</t>
  </si>
  <si>
    <t>CUST2810</t>
  </si>
  <si>
    <t>PROD2010</t>
  </si>
  <si>
    <t xml:space="preserve"> $331.29 </t>
  </si>
  <si>
    <t>ORD6811</t>
  </si>
  <si>
    <t>CUST2811</t>
  </si>
  <si>
    <t>PROD2011</t>
  </si>
  <si>
    <t xml:space="preserve"> $95.93 </t>
  </si>
  <si>
    <t>ORD6812</t>
  </si>
  <si>
    <t>CUST2812</t>
  </si>
  <si>
    <t>PROD2012</t>
  </si>
  <si>
    <t xml:space="preserve"> $243.85 </t>
  </si>
  <si>
    <t>ORD6813</t>
  </si>
  <si>
    <t>CUST2813</t>
  </si>
  <si>
    <t>PROD2013</t>
  </si>
  <si>
    <t>ORD6814</t>
  </si>
  <si>
    <t>CUST2814</t>
  </si>
  <si>
    <t>PROD2014</t>
  </si>
  <si>
    <t xml:space="preserve"> $248.20 </t>
  </si>
  <si>
    <t>ORD6815</t>
  </si>
  <si>
    <t>CUST2815</t>
  </si>
  <si>
    <t>PROD2015</t>
  </si>
  <si>
    <t xml:space="preserve"> $40.29 </t>
  </si>
  <si>
    <t>ORD6816</t>
  </si>
  <si>
    <t>CUST2816</t>
  </si>
  <si>
    <t>PROD2016</t>
  </si>
  <si>
    <t xml:space="preserve"> $294.37 </t>
  </si>
  <si>
    <t>ORD6817</t>
  </si>
  <si>
    <t>CUST2817</t>
  </si>
  <si>
    <t>PROD2017</t>
  </si>
  <si>
    <t>ORD6818</t>
  </si>
  <si>
    <t>CUST2818</t>
  </si>
  <si>
    <t>PROD2018</t>
  </si>
  <si>
    <t xml:space="preserve"> $452.00 </t>
  </si>
  <si>
    <t>ORD6819</t>
  </si>
  <si>
    <t>CUST2819</t>
  </si>
  <si>
    <t>PROD2019</t>
  </si>
  <si>
    <t xml:space="preserve"> $899.63 </t>
  </si>
  <si>
    <t>ORD6820</t>
  </si>
  <si>
    <t>CUST2820</t>
  </si>
  <si>
    <t>PROD2020</t>
  </si>
  <si>
    <t xml:space="preserve"> $219.62 </t>
  </si>
  <si>
    <t>ORD6821</t>
  </si>
  <si>
    <t>CUST2821</t>
  </si>
  <si>
    <t>PROD2021</t>
  </si>
  <si>
    <t xml:space="preserve"> $183.35 </t>
  </si>
  <si>
    <t>ORD6822</t>
  </si>
  <si>
    <t>CUST2822</t>
  </si>
  <si>
    <t>PROD2022</t>
  </si>
  <si>
    <t xml:space="preserve"> $634.36 </t>
  </si>
  <si>
    <t>ORD6823</t>
  </si>
  <si>
    <t>CUST2823</t>
  </si>
  <si>
    <t>PROD2023</t>
  </si>
  <si>
    <t xml:space="preserve"> $90.04 </t>
  </si>
  <si>
    <t>ORD6824</t>
  </si>
  <si>
    <t>CUST2824</t>
  </si>
  <si>
    <t>PROD2024</t>
  </si>
  <si>
    <t>ORD6825</t>
  </si>
  <si>
    <t>CUST2825</t>
  </si>
  <si>
    <t>PROD2025</t>
  </si>
  <si>
    <t xml:space="preserve"> $369.90 </t>
  </si>
  <si>
    <t>ORD6826</t>
  </si>
  <si>
    <t>CUST2826</t>
  </si>
  <si>
    <t>PROD2026</t>
  </si>
  <si>
    <t xml:space="preserve"> $193.98 </t>
  </si>
  <si>
    <t>ORD6827</t>
  </si>
  <si>
    <t>CUST2827</t>
  </si>
  <si>
    <t>PROD2027</t>
  </si>
  <si>
    <t xml:space="preserve"> $213.98 </t>
  </si>
  <si>
    <t>ORD6828</t>
  </si>
  <si>
    <t>CUST2828</t>
  </si>
  <si>
    <t>PROD2028</t>
  </si>
  <si>
    <t xml:space="preserve"> $139.20 </t>
  </si>
  <si>
    <t>ORD6829</t>
  </si>
  <si>
    <t>CUST2829</t>
  </si>
  <si>
    <t>PROD2029</t>
  </si>
  <si>
    <t xml:space="preserve"> $429.99 </t>
  </si>
  <si>
    <t>ORD6830</t>
  </si>
  <si>
    <t>CUST2830</t>
  </si>
  <si>
    <t>PROD2030</t>
  </si>
  <si>
    <t xml:space="preserve"> $204.48 </t>
  </si>
  <si>
    <t>ORD6831</t>
  </si>
  <si>
    <t>CUST2831</t>
  </si>
  <si>
    <t>PROD2031</t>
  </si>
  <si>
    <t xml:space="preserve"> $26.95 </t>
  </si>
  <si>
    <t>ORD6832</t>
  </si>
  <si>
    <t>CUST2832</t>
  </si>
  <si>
    <t>PROD2032</t>
  </si>
  <si>
    <t xml:space="preserve"> $22.66 </t>
  </si>
  <si>
    <t>ORD6833</t>
  </si>
  <si>
    <t>CUST2833</t>
  </si>
  <si>
    <t>PROD2033</t>
  </si>
  <si>
    <t xml:space="preserve"> $150.86 </t>
  </si>
  <si>
    <t>ORD6834</t>
  </si>
  <si>
    <t>CUST2834</t>
  </si>
  <si>
    <t>PROD2034</t>
  </si>
  <si>
    <t xml:space="preserve"> $347.74 </t>
  </si>
  <si>
    <t>ORD6835</t>
  </si>
  <si>
    <t>CUST2835</t>
  </si>
  <si>
    <t>PROD2035</t>
  </si>
  <si>
    <t xml:space="preserve"> $11.42 </t>
  </si>
  <si>
    <t>ORD6836</t>
  </si>
  <si>
    <t>CUST2836</t>
  </si>
  <si>
    <t>PROD2036</t>
  </si>
  <si>
    <t>3/26/2022</t>
  </si>
  <si>
    <t xml:space="preserve"> $531.15 </t>
  </si>
  <si>
    <t>ORD6837</t>
  </si>
  <si>
    <t>CUST2837</t>
  </si>
  <si>
    <t>PROD2037</t>
  </si>
  <si>
    <t xml:space="preserve"> $1,339.00 </t>
  </si>
  <si>
    <t>ORD6838</t>
  </si>
  <si>
    <t>CUST2838</t>
  </si>
  <si>
    <t>PROD2038</t>
  </si>
  <si>
    <t xml:space="preserve"> $809.03 </t>
  </si>
  <si>
    <t>ORD6839</t>
  </si>
  <si>
    <t>CUST2839</t>
  </si>
  <si>
    <t>PROD2039</t>
  </si>
  <si>
    <t xml:space="preserve"> $423.72 </t>
  </si>
  <si>
    <t>ORD6840</t>
  </si>
  <si>
    <t>CUST2840</t>
  </si>
  <si>
    <t>PROD2040</t>
  </si>
  <si>
    <t xml:space="preserve"> $72.44 </t>
  </si>
  <si>
    <t>ORD6841</t>
  </si>
  <si>
    <t>CUST2841</t>
  </si>
  <si>
    <t>PROD2041</t>
  </si>
  <si>
    <t xml:space="preserve"> $156.44 </t>
  </si>
  <si>
    <t>ORD6842</t>
  </si>
  <si>
    <t>CUST2842</t>
  </si>
  <si>
    <t>PROD2042</t>
  </si>
  <si>
    <t xml:space="preserve"> $158.08 </t>
  </si>
  <si>
    <t>ORD6843</t>
  </si>
  <si>
    <t>CUST2843</t>
  </si>
  <si>
    <t>PROD2043</t>
  </si>
  <si>
    <t xml:space="preserve"> $644.69 </t>
  </si>
  <si>
    <t>ORD6844</t>
  </si>
  <si>
    <t>CUST2844</t>
  </si>
  <si>
    <t>PROD2044</t>
  </si>
  <si>
    <t xml:space="preserve"> $570.25 </t>
  </si>
  <si>
    <t>ORD6845</t>
  </si>
  <si>
    <t>CUST2845</t>
  </si>
  <si>
    <t>PROD2045</t>
  </si>
  <si>
    <t xml:space="preserve"> $267.00 </t>
  </si>
  <si>
    <t>ORD6846</t>
  </si>
  <si>
    <t>CUST2846</t>
  </si>
  <si>
    <t>PROD2046</t>
  </si>
  <si>
    <t xml:space="preserve"> $138.42 </t>
  </si>
  <si>
    <t>ORD6847</t>
  </si>
  <si>
    <t>CUST2847</t>
  </si>
  <si>
    <t>PROD2047</t>
  </si>
  <si>
    <t xml:space="preserve"> $71.79 </t>
  </si>
  <si>
    <t>ORD6848</t>
  </si>
  <si>
    <t>CUST2848</t>
  </si>
  <si>
    <t>PROD2048</t>
  </si>
  <si>
    <t xml:space="preserve"> $477.46 </t>
  </si>
  <si>
    <t>ORD6849</t>
  </si>
  <si>
    <t>CUST2849</t>
  </si>
  <si>
    <t>PROD2049</t>
  </si>
  <si>
    <t xml:space="preserve"> $601.04 </t>
  </si>
  <si>
    <t>ORD6850</t>
  </si>
  <si>
    <t>CUST2850</t>
  </si>
  <si>
    <t>PROD2050</t>
  </si>
  <si>
    <t xml:space="preserve"> $467.71 </t>
  </si>
  <si>
    <t>ORD6851</t>
  </si>
  <si>
    <t>CUST2851</t>
  </si>
  <si>
    <t>PROD2051</t>
  </si>
  <si>
    <t xml:space="preserve"> $147.14 </t>
  </si>
  <si>
    <t>ORD6852</t>
  </si>
  <si>
    <t>CUST2852</t>
  </si>
  <si>
    <t>PROD2052</t>
  </si>
  <si>
    <t xml:space="preserve"> $283.39 </t>
  </si>
  <si>
    <t>ORD6853</t>
  </si>
  <si>
    <t>CUST2853</t>
  </si>
  <si>
    <t>PROD2053</t>
  </si>
  <si>
    <t xml:space="preserve"> $743.56 </t>
  </si>
  <si>
    <t>ORD6854</t>
  </si>
  <si>
    <t>CUST2854</t>
  </si>
  <si>
    <t>PROD2054</t>
  </si>
  <si>
    <t xml:space="preserve"> $63.10 </t>
  </si>
  <si>
    <t>ORD6855</t>
  </si>
  <si>
    <t>CUST2855</t>
  </si>
  <si>
    <t>PROD2055</t>
  </si>
  <si>
    <t xml:space="preserve"> $189.33 </t>
  </si>
  <si>
    <t>ORD6856</t>
  </si>
  <si>
    <t>CUST2856</t>
  </si>
  <si>
    <t>PROD2056</t>
  </si>
  <si>
    <t xml:space="preserve"> $365.30 </t>
  </si>
  <si>
    <t>ORD6857</t>
  </si>
  <si>
    <t>CUST2857</t>
  </si>
  <si>
    <t>PROD2057</t>
  </si>
  <si>
    <t xml:space="preserve"> $44.94 </t>
  </si>
  <si>
    <t>ORD6858</t>
  </si>
  <si>
    <t>CUST2858</t>
  </si>
  <si>
    <t>PROD2058</t>
  </si>
  <si>
    <t xml:space="preserve"> $556.42 </t>
  </si>
  <si>
    <t>ORD6859</t>
  </si>
  <si>
    <t>CUST2859</t>
  </si>
  <si>
    <t>PROD2059</t>
  </si>
  <si>
    <t xml:space="preserve"> $103.42 </t>
  </si>
  <si>
    <t>ORD6860</t>
  </si>
  <si>
    <t>CUST2860</t>
  </si>
  <si>
    <t>PROD2060</t>
  </si>
  <si>
    <t xml:space="preserve"> $300.08 </t>
  </si>
  <si>
    <t>ORD6861</t>
  </si>
  <si>
    <t>CUST2861</t>
  </si>
  <si>
    <t>PROD2061</t>
  </si>
  <si>
    <t xml:space="preserve"> $117.58 </t>
  </si>
  <si>
    <t>ORD6862</t>
  </si>
  <si>
    <t>CUST2862</t>
  </si>
  <si>
    <t>PROD2062</t>
  </si>
  <si>
    <t xml:space="preserve"> $1,685.50 </t>
  </si>
  <si>
    <t>ORD6863</t>
  </si>
  <si>
    <t>CUST2863</t>
  </si>
  <si>
    <t>PROD2063</t>
  </si>
  <si>
    <t xml:space="preserve"> $331.38 </t>
  </si>
  <si>
    <t>ORD6864</t>
  </si>
  <si>
    <t>CUST2864</t>
  </si>
  <si>
    <t>PROD2064</t>
  </si>
  <si>
    <t>11/23/2020</t>
  </si>
  <si>
    <t xml:space="preserve"> $529.98 </t>
  </si>
  <si>
    <t>ORD6865</t>
  </si>
  <si>
    <t>CUST2865</t>
  </si>
  <si>
    <t>PROD2065</t>
  </si>
  <si>
    <t xml:space="preserve"> $642.41 </t>
  </si>
  <si>
    <t>ORD6866</t>
  </si>
  <si>
    <t>CUST2866</t>
  </si>
  <si>
    <t>PROD2066</t>
  </si>
  <si>
    <t xml:space="preserve"> $118.68 </t>
  </si>
  <si>
    <t>ORD6867</t>
  </si>
  <si>
    <t>CUST2867</t>
  </si>
  <si>
    <t>PROD2067</t>
  </si>
  <si>
    <t xml:space="preserve"> $570.81 </t>
  </si>
  <si>
    <t>ORD6868</t>
  </si>
  <si>
    <t>CUST2868</t>
  </si>
  <si>
    <t>PROD2068</t>
  </si>
  <si>
    <t xml:space="preserve"> $410.67 </t>
  </si>
  <si>
    <t>ORD6869</t>
  </si>
  <si>
    <t>CUST2869</t>
  </si>
  <si>
    <t>PROD2069</t>
  </si>
  <si>
    <t xml:space="preserve"> $21.90 </t>
  </si>
  <si>
    <t>ORD6870</t>
  </si>
  <si>
    <t>CUST2870</t>
  </si>
  <si>
    <t>PROD2070</t>
  </si>
  <si>
    <t>6/14/2023</t>
  </si>
  <si>
    <t xml:space="preserve"> $239.88 </t>
  </si>
  <si>
    <t>ORD6871</t>
  </si>
  <si>
    <t>CUST2871</t>
  </si>
  <si>
    <t>PROD2071</t>
  </si>
  <si>
    <t xml:space="preserve"> $1,761.57 </t>
  </si>
  <si>
    <t>ORD6872</t>
  </si>
  <si>
    <t>CUST2872</t>
  </si>
  <si>
    <t>PROD2072</t>
  </si>
  <si>
    <t xml:space="preserve"> $1,081.80 </t>
  </si>
  <si>
    <t>ORD6873</t>
  </si>
  <si>
    <t>CUST2873</t>
  </si>
  <si>
    <t>PROD2073</t>
  </si>
  <si>
    <t xml:space="preserve"> $152.49 </t>
  </si>
  <si>
    <t>ORD6874</t>
  </si>
  <si>
    <t>CUST2874</t>
  </si>
  <si>
    <t>PROD2074</t>
  </si>
  <si>
    <t>5/21/2021</t>
  </si>
  <si>
    <t xml:space="preserve"> $1,955.81 </t>
  </si>
  <si>
    <t>ORD6875</t>
  </si>
  <si>
    <t>CUST2875</t>
  </si>
  <si>
    <t>PROD2075</t>
  </si>
  <si>
    <t xml:space="preserve"> $92.50 </t>
  </si>
  <si>
    <t>ORD6876</t>
  </si>
  <si>
    <t>CUST2876</t>
  </si>
  <si>
    <t>PROD2076</t>
  </si>
  <si>
    <t xml:space="preserve"> $207.01 </t>
  </si>
  <si>
    <t>ORD6877</t>
  </si>
  <si>
    <t>CUST2877</t>
  </si>
  <si>
    <t>PROD2077</t>
  </si>
  <si>
    <t xml:space="preserve"> $51.21 </t>
  </si>
  <si>
    <t>ORD6878</t>
  </si>
  <si>
    <t>CUST2878</t>
  </si>
  <si>
    <t>PROD2078</t>
  </si>
  <si>
    <t>1/20/2022</t>
  </si>
  <si>
    <t xml:space="preserve"> $1,358.08 </t>
  </si>
  <si>
    <t>ORD6879</t>
  </si>
  <si>
    <t>CUST2879</t>
  </si>
  <si>
    <t>PROD2079</t>
  </si>
  <si>
    <t xml:space="preserve"> $420.35 </t>
  </si>
  <si>
    <t>ORD6880</t>
  </si>
  <si>
    <t>CUST2880</t>
  </si>
  <si>
    <t>PROD2080</t>
  </si>
  <si>
    <t xml:space="preserve"> $418.53 </t>
  </si>
  <si>
    <t>ORD6881</t>
  </si>
  <si>
    <t>CUST2881</t>
  </si>
  <si>
    <t>PROD2081</t>
  </si>
  <si>
    <t xml:space="preserve"> $192.16 </t>
  </si>
  <si>
    <t>ORD6882</t>
  </si>
  <si>
    <t>CUST2882</t>
  </si>
  <si>
    <t>PROD2082</t>
  </si>
  <si>
    <t xml:space="preserve"> $410.43 </t>
  </si>
  <si>
    <t>ORD6883</t>
  </si>
  <si>
    <t>CUST2883</t>
  </si>
  <si>
    <t>PROD2083</t>
  </si>
  <si>
    <t xml:space="preserve"> $170.66 </t>
  </si>
  <si>
    <t>ORD6884</t>
  </si>
  <si>
    <t>CUST2884</t>
  </si>
  <si>
    <t>PROD2084</t>
  </si>
  <si>
    <t xml:space="preserve"> $32.67 </t>
  </si>
  <si>
    <t>ORD6885</t>
  </si>
  <si>
    <t>CUST2885</t>
  </si>
  <si>
    <t>PROD2085</t>
  </si>
  <si>
    <t xml:space="preserve"> $1,453.08 </t>
  </si>
  <si>
    <t>ORD6886</t>
  </si>
  <si>
    <t>CUST2886</t>
  </si>
  <si>
    <t>PROD2086</t>
  </si>
  <si>
    <t xml:space="preserve"> $104.39 </t>
  </si>
  <si>
    <t>ORD6887</t>
  </si>
  <si>
    <t>CUST2887</t>
  </si>
  <si>
    <t>PROD2087</t>
  </si>
  <si>
    <t xml:space="preserve"> $935.95 </t>
  </si>
  <si>
    <t>ORD6888</t>
  </si>
  <si>
    <t>CUST2888</t>
  </si>
  <si>
    <t>PROD2088</t>
  </si>
  <si>
    <t xml:space="preserve"> $6.43 </t>
  </si>
  <si>
    <t>ORD6889</t>
  </si>
  <si>
    <t>CUST2889</t>
  </si>
  <si>
    <t>PROD2089</t>
  </si>
  <si>
    <t xml:space="preserve"> $334.50 </t>
  </si>
  <si>
    <t>ORD6890</t>
  </si>
  <si>
    <t>CUST2890</t>
  </si>
  <si>
    <t>PROD2090</t>
  </si>
  <si>
    <t>6/23/2021</t>
  </si>
  <si>
    <t xml:space="preserve"> $72.16 </t>
  </si>
  <si>
    <t>ORD6891</t>
  </si>
  <si>
    <t>CUST2891</t>
  </si>
  <si>
    <t>PROD2091</t>
  </si>
  <si>
    <t xml:space="preserve"> $198.07 </t>
  </si>
  <si>
    <t>ORD6892</t>
  </si>
  <si>
    <t>CUST2892</t>
  </si>
  <si>
    <t>PROD2092</t>
  </si>
  <si>
    <t xml:space="preserve"> $1,180.59 </t>
  </si>
  <si>
    <t>ORD6893</t>
  </si>
  <si>
    <t>CUST2893</t>
  </si>
  <si>
    <t>PROD2093</t>
  </si>
  <si>
    <t xml:space="preserve"> $83.69 </t>
  </si>
  <si>
    <t>ORD6894</t>
  </si>
  <si>
    <t>CUST2894</t>
  </si>
  <si>
    <t>PROD2094</t>
  </si>
  <si>
    <t xml:space="preserve"> $228.12 </t>
  </si>
  <si>
    <t>ORD6895</t>
  </si>
  <si>
    <t>CUST2895</t>
  </si>
  <si>
    <t>PROD2095</t>
  </si>
  <si>
    <t xml:space="preserve"> $284.69 </t>
  </si>
  <si>
    <t>ORD6896</t>
  </si>
  <si>
    <t>CUST2896</t>
  </si>
  <si>
    <t>PROD2096</t>
  </si>
  <si>
    <t xml:space="preserve"> $10.34 </t>
  </si>
  <si>
    <t>ORD6897</t>
  </si>
  <si>
    <t>CUST2897</t>
  </si>
  <si>
    <t>PROD2097</t>
  </si>
  <si>
    <t>ORD6898</t>
  </si>
  <si>
    <t>CUST2898</t>
  </si>
  <si>
    <t>PROD2098</t>
  </si>
  <si>
    <t xml:space="preserve"> $211.68 </t>
  </si>
  <si>
    <t>ORD6899</t>
  </si>
  <si>
    <t>CUST2899</t>
  </si>
  <si>
    <t>PROD2099</t>
  </si>
  <si>
    <t xml:space="preserve"> $102.92 </t>
  </si>
  <si>
    <t>ORD6900</t>
  </si>
  <si>
    <t>CUST2900</t>
  </si>
  <si>
    <t>PROD2100</t>
  </si>
  <si>
    <t xml:space="preserve"> $277.83 </t>
  </si>
  <si>
    <t>ORD6901</t>
  </si>
  <si>
    <t>CUST2901</t>
  </si>
  <si>
    <t>PROD2101</t>
  </si>
  <si>
    <t xml:space="preserve"> $224.46 </t>
  </si>
  <si>
    <t>ORD6902</t>
  </si>
  <si>
    <t>CUST2902</t>
  </si>
  <si>
    <t>PROD2102</t>
  </si>
  <si>
    <t>3/21/2021</t>
  </si>
  <si>
    <t xml:space="preserve"> $277.63 </t>
  </si>
  <si>
    <t>ORD6903</t>
  </si>
  <si>
    <t>CUST2903</t>
  </si>
  <si>
    <t>PROD2103</t>
  </si>
  <si>
    <t xml:space="preserve"> $350.36 </t>
  </si>
  <si>
    <t>ORD6904</t>
  </si>
  <si>
    <t>CUST2904</t>
  </si>
  <si>
    <t>PROD2104</t>
  </si>
  <si>
    <t xml:space="preserve"> $213.68 </t>
  </si>
  <si>
    <t>ORD6905</t>
  </si>
  <si>
    <t>CUST2905</t>
  </si>
  <si>
    <t>PROD2105</t>
  </si>
  <si>
    <t xml:space="preserve"> $36.09 </t>
  </si>
  <si>
    <t>ORD6906</t>
  </si>
  <si>
    <t>CUST2906</t>
  </si>
  <si>
    <t>PROD2106</t>
  </si>
  <si>
    <t xml:space="preserve"> $267.89 </t>
  </si>
  <si>
    <t>ORD6907</t>
  </si>
  <si>
    <t>CUST2907</t>
  </si>
  <si>
    <t>PROD2107</t>
  </si>
  <si>
    <t xml:space="preserve"> $755.64 </t>
  </si>
  <si>
    <t>ORD6908</t>
  </si>
  <si>
    <t>CUST2908</t>
  </si>
  <si>
    <t>PROD2108</t>
  </si>
  <si>
    <t xml:space="preserve"> $1,725.32 </t>
  </si>
  <si>
    <t>ORD6909</t>
  </si>
  <si>
    <t>CUST2909</t>
  </si>
  <si>
    <t>PROD2109</t>
  </si>
  <si>
    <t xml:space="preserve"> $87.10 </t>
  </si>
  <si>
    <t>ORD6910</t>
  </si>
  <si>
    <t>CUST2910</t>
  </si>
  <si>
    <t>PROD2110</t>
  </si>
  <si>
    <t xml:space="preserve"> $104.59 </t>
  </si>
  <si>
    <t>ORD6911</t>
  </si>
  <si>
    <t>CUST2911</t>
  </si>
  <si>
    <t>PROD2111</t>
  </si>
  <si>
    <t xml:space="preserve"> $79.28 </t>
  </si>
  <si>
    <t>ORD6912</t>
  </si>
  <si>
    <t>CUST2912</t>
  </si>
  <si>
    <t>PROD2112</t>
  </si>
  <si>
    <t>2/17/2024</t>
  </si>
  <si>
    <t xml:space="preserve"> $197.22 </t>
  </si>
  <si>
    <t>ORD6913</t>
  </si>
  <si>
    <t>CUST2913</t>
  </si>
  <si>
    <t>PROD2113</t>
  </si>
  <si>
    <t>5/23/2024</t>
  </si>
  <si>
    <t xml:space="preserve"> $343.73 </t>
  </si>
  <si>
    <t>ORD6914</t>
  </si>
  <si>
    <t>CUST2914</t>
  </si>
  <si>
    <t>PROD2114</t>
  </si>
  <si>
    <t xml:space="preserve"> $183.62 </t>
  </si>
  <si>
    <t>ORD6915</t>
  </si>
  <si>
    <t>CUST2915</t>
  </si>
  <si>
    <t>PROD2115</t>
  </si>
  <si>
    <t xml:space="preserve"> $266.26 </t>
  </si>
  <si>
    <t>ORD6916</t>
  </si>
  <si>
    <t>CUST2916</t>
  </si>
  <si>
    <t>PROD2116</t>
  </si>
  <si>
    <t xml:space="preserve"> $231.08 </t>
  </si>
  <si>
    <t>ORD6917</t>
  </si>
  <si>
    <t>CUST2917</t>
  </si>
  <si>
    <t>PROD2117</t>
  </si>
  <si>
    <t xml:space="preserve"> $261.03 </t>
  </si>
  <si>
    <t>ORD6918</t>
  </si>
  <si>
    <t>CUST2918</t>
  </si>
  <si>
    <t>PROD2118</t>
  </si>
  <si>
    <t>9/24/2020</t>
  </si>
  <si>
    <t xml:space="preserve"> $220.35 </t>
  </si>
  <si>
    <t>ORD6919</t>
  </si>
  <si>
    <t>CUST2919</t>
  </si>
  <si>
    <t>PROD2119</t>
  </si>
  <si>
    <t xml:space="preserve"> $88.49 </t>
  </si>
  <si>
    <t>ORD6920</t>
  </si>
  <si>
    <t>CUST2920</t>
  </si>
  <si>
    <t>PROD2120</t>
  </si>
  <si>
    <t>1/28/2022</t>
  </si>
  <si>
    <t xml:space="preserve"> $229.56 </t>
  </si>
  <si>
    <t>ORD6921</t>
  </si>
  <si>
    <t>CUST2921</t>
  </si>
  <si>
    <t>PROD2121</t>
  </si>
  <si>
    <t xml:space="preserve"> $38.42 </t>
  </si>
  <si>
    <t>ORD6922</t>
  </si>
  <si>
    <t>CUST2922</t>
  </si>
  <si>
    <t>PROD2122</t>
  </si>
  <si>
    <t xml:space="preserve"> $35.18 </t>
  </si>
  <si>
    <t>ORD6923</t>
  </si>
  <si>
    <t>CUST2923</t>
  </si>
  <si>
    <t>PROD2123</t>
  </si>
  <si>
    <t xml:space="preserve"> $96.43 </t>
  </si>
  <si>
    <t>ORD6924</t>
  </si>
  <si>
    <t>CUST2924</t>
  </si>
  <si>
    <t>PROD2124</t>
  </si>
  <si>
    <t>1/31/2022</t>
  </si>
  <si>
    <t xml:space="preserve"> $198.52 </t>
  </si>
  <si>
    <t>ORD6925</t>
  </si>
  <si>
    <t>CUST2925</t>
  </si>
  <si>
    <t>PROD2125</t>
  </si>
  <si>
    <t xml:space="preserve"> $423.90 </t>
  </si>
  <si>
    <t>ORD6926</t>
  </si>
  <si>
    <t>CUST2926</t>
  </si>
  <si>
    <t>PROD2126</t>
  </si>
  <si>
    <t xml:space="preserve"> $182.16 </t>
  </si>
  <si>
    <t>ORD6927</t>
  </si>
  <si>
    <t>CUST2927</t>
  </si>
  <si>
    <t>PROD2127</t>
  </si>
  <si>
    <t xml:space="preserve"> $978.85 </t>
  </si>
  <si>
    <t>ORD6928</t>
  </si>
  <si>
    <t>CUST2928</t>
  </si>
  <si>
    <t>PROD2128</t>
  </si>
  <si>
    <t xml:space="preserve"> $657.06 </t>
  </si>
  <si>
    <t>ORD6929</t>
  </si>
  <si>
    <t>CUST2929</t>
  </si>
  <si>
    <t>PROD2129</t>
  </si>
  <si>
    <t xml:space="preserve"> $6.78 </t>
  </si>
  <si>
    <t>ORD6930</t>
  </si>
  <si>
    <t>CUST2930</t>
  </si>
  <si>
    <t>PROD2130</t>
  </si>
  <si>
    <t xml:space="preserve"> $289.80 </t>
  </si>
  <si>
    <t>ORD6931</t>
  </si>
  <si>
    <t>CUST2931</t>
  </si>
  <si>
    <t>PROD2131</t>
  </si>
  <si>
    <t xml:space="preserve"> $21.72 </t>
  </si>
  <si>
    <t>ORD6932</t>
  </si>
  <si>
    <t>CUST2932</t>
  </si>
  <si>
    <t>PROD2132</t>
  </si>
  <si>
    <t xml:space="preserve"> $780.10 </t>
  </si>
  <si>
    <t>ORD6933</t>
  </si>
  <si>
    <t>CUST2933</t>
  </si>
  <si>
    <t>PROD2133</t>
  </si>
  <si>
    <t xml:space="preserve"> $460.48 </t>
  </si>
  <si>
    <t>ORD6934</t>
  </si>
  <si>
    <t>CUST2934</t>
  </si>
  <si>
    <t>PROD2134</t>
  </si>
  <si>
    <t xml:space="preserve"> $332.45 </t>
  </si>
  <si>
    <t>ORD6935</t>
  </si>
  <si>
    <t>CUST2935</t>
  </si>
  <si>
    <t>PROD2135</t>
  </si>
  <si>
    <t xml:space="preserve"> $66.25 </t>
  </si>
  <si>
    <t>ORD6936</t>
  </si>
  <si>
    <t>CUST2936</t>
  </si>
  <si>
    <t>PROD2136</t>
  </si>
  <si>
    <t xml:space="preserve"> $132.92 </t>
  </si>
  <si>
    <t>ORD6937</t>
  </si>
  <si>
    <t>CUST2937</t>
  </si>
  <si>
    <t>PROD2137</t>
  </si>
  <si>
    <t xml:space="preserve"> $187.24 </t>
  </si>
  <si>
    <t>ORD6938</t>
  </si>
  <si>
    <t>CUST2938</t>
  </si>
  <si>
    <t>PROD2138</t>
  </si>
  <si>
    <t xml:space="preserve"> $1,575.87 </t>
  </si>
  <si>
    <t>ORD6939</t>
  </si>
  <si>
    <t>CUST2939</t>
  </si>
  <si>
    <t>PROD2139</t>
  </si>
  <si>
    <t xml:space="preserve"> $141.13 </t>
  </si>
  <si>
    <t>ORD6940</t>
  </si>
  <si>
    <t>CUST2940</t>
  </si>
  <si>
    <t>PROD2140</t>
  </si>
  <si>
    <t xml:space="preserve"> $584.37 </t>
  </si>
  <si>
    <t>ORD6941</t>
  </si>
  <si>
    <t>CUST2941</t>
  </si>
  <si>
    <t>PROD2141</t>
  </si>
  <si>
    <t xml:space="preserve"> $389.05 </t>
  </si>
  <si>
    <t>ORD6942</t>
  </si>
  <si>
    <t>CUST2942</t>
  </si>
  <si>
    <t>PROD2142</t>
  </si>
  <si>
    <t xml:space="preserve"> $495.74 </t>
  </si>
  <si>
    <t>ORD6943</t>
  </si>
  <si>
    <t>CUST2943</t>
  </si>
  <si>
    <t>PROD2143</t>
  </si>
  <si>
    <t xml:space="preserve"> $19.39 </t>
  </si>
  <si>
    <t>ORD6944</t>
  </si>
  <si>
    <t>CUST2944</t>
  </si>
  <si>
    <t>PROD2144</t>
  </si>
  <si>
    <t xml:space="preserve"> $444.92 </t>
  </si>
  <si>
    <t>ORD6945</t>
  </si>
  <si>
    <t>CUST2945</t>
  </si>
  <si>
    <t>PROD2145</t>
  </si>
  <si>
    <t>11/23/2022</t>
  </si>
  <si>
    <t xml:space="preserve"> $85.87 </t>
  </si>
  <si>
    <t>ORD6946</t>
  </si>
  <si>
    <t>CUST2946</t>
  </si>
  <si>
    <t>PROD2146</t>
  </si>
  <si>
    <t xml:space="preserve"> $382.88 </t>
  </si>
  <si>
    <t>ORD6947</t>
  </si>
  <si>
    <t>CUST2947</t>
  </si>
  <si>
    <t>PROD2147</t>
  </si>
  <si>
    <t>12/24/2020</t>
  </si>
  <si>
    <t xml:space="preserve"> $177.29 </t>
  </si>
  <si>
    <t>ORD6948</t>
  </si>
  <si>
    <t>CUST2948</t>
  </si>
  <si>
    <t>PROD2148</t>
  </si>
  <si>
    <t xml:space="preserve"> $130.54 </t>
  </si>
  <si>
    <t>ORD6949</t>
  </si>
  <si>
    <t>CUST2949</t>
  </si>
  <si>
    <t>PROD2149</t>
  </si>
  <si>
    <t>3/13/2025</t>
  </si>
  <si>
    <t xml:space="preserve"> $1,249.74 </t>
  </si>
  <si>
    <t>ORD6950</t>
  </si>
  <si>
    <t>CUST2950</t>
  </si>
  <si>
    <t>PROD2150</t>
  </si>
  <si>
    <t xml:space="preserve"> $290.81 </t>
  </si>
  <si>
    <t>ORD6951</t>
  </si>
  <si>
    <t>CUST2951</t>
  </si>
  <si>
    <t>PROD2151</t>
  </si>
  <si>
    <t xml:space="preserve"> $366.09 </t>
  </si>
  <si>
    <t>ORD6952</t>
  </si>
  <si>
    <t>CUST2952</t>
  </si>
  <si>
    <t>PROD2152</t>
  </si>
  <si>
    <t xml:space="preserve"> $34.53 </t>
  </si>
  <si>
    <t>ORD6953</t>
  </si>
  <si>
    <t>CUST2953</t>
  </si>
  <si>
    <t>PROD2153</t>
  </si>
  <si>
    <t>12/18/2020</t>
  </si>
  <si>
    <t xml:space="preserve"> $112.73 </t>
  </si>
  <si>
    <t>ORD6954</t>
  </si>
  <si>
    <t>CUST2954</t>
  </si>
  <si>
    <t>PROD2154</t>
  </si>
  <si>
    <t xml:space="preserve"> $1,019.71 </t>
  </si>
  <si>
    <t>ORD6955</t>
  </si>
  <si>
    <t>CUST2955</t>
  </si>
  <si>
    <t>PROD2155</t>
  </si>
  <si>
    <t xml:space="preserve"> $74.99 </t>
  </si>
  <si>
    <t>ORD6956</t>
  </si>
  <si>
    <t>CUST2956</t>
  </si>
  <si>
    <t>PROD2156</t>
  </si>
  <si>
    <t xml:space="preserve"> $434.02 </t>
  </si>
  <si>
    <t>ORD6957</t>
  </si>
  <si>
    <t>CUST2957</t>
  </si>
  <si>
    <t>PROD2157</t>
  </si>
  <si>
    <t xml:space="preserve"> $358.32 </t>
  </si>
  <si>
    <t>ORD6958</t>
  </si>
  <si>
    <t>CUST2958</t>
  </si>
  <si>
    <t>PROD2158</t>
  </si>
  <si>
    <t xml:space="preserve"> $189.52 </t>
  </si>
  <si>
    <t>ORD6959</t>
  </si>
  <si>
    <t>CUST2959</t>
  </si>
  <si>
    <t>PROD2159</t>
  </si>
  <si>
    <t xml:space="preserve"> $239.76 </t>
  </si>
  <si>
    <t>ORD6960</t>
  </si>
  <si>
    <t>CUST2960</t>
  </si>
  <si>
    <t>PROD2160</t>
  </si>
  <si>
    <t xml:space="preserve"> $43.42 </t>
  </si>
  <si>
    <t>ORD6961</t>
  </si>
  <si>
    <t>CUST2961</t>
  </si>
  <si>
    <t>PROD2161</t>
  </si>
  <si>
    <t xml:space="preserve"> $153.87 </t>
  </si>
  <si>
    <t>ORD6962</t>
  </si>
  <si>
    <t>CUST2962</t>
  </si>
  <si>
    <t>PROD2162</t>
  </si>
  <si>
    <t xml:space="preserve"> $8.10 </t>
  </si>
  <si>
    <t>ORD6963</t>
  </si>
  <si>
    <t>CUST2963</t>
  </si>
  <si>
    <t>PROD2163</t>
  </si>
  <si>
    <t xml:space="preserve"> $325.53 </t>
  </si>
  <si>
    <t>ORD6964</t>
  </si>
  <si>
    <t>CUST2964</t>
  </si>
  <si>
    <t>PROD2164</t>
  </si>
  <si>
    <t xml:space="preserve"> $211.46 </t>
  </si>
  <si>
    <t>ORD6965</t>
  </si>
  <si>
    <t>CUST2965</t>
  </si>
  <si>
    <t>PROD2165</t>
  </si>
  <si>
    <t xml:space="preserve"> $293.70 </t>
  </si>
  <si>
    <t>ORD6966</t>
  </si>
  <si>
    <t>CUST2966</t>
  </si>
  <si>
    <t>PROD2166</t>
  </si>
  <si>
    <t xml:space="preserve"> $157.86 </t>
  </si>
  <si>
    <t>ORD6967</t>
  </si>
  <si>
    <t>CUST2967</t>
  </si>
  <si>
    <t>PROD2167</t>
  </si>
  <si>
    <t xml:space="preserve"> $927.22 </t>
  </si>
  <si>
    <t>ORD6968</t>
  </si>
  <si>
    <t>CUST2968</t>
  </si>
  <si>
    <t>PROD2168</t>
  </si>
  <si>
    <t xml:space="preserve"> $33.59 </t>
  </si>
  <si>
    <t>ORD6969</t>
  </si>
  <si>
    <t>CUST2969</t>
  </si>
  <si>
    <t>PROD2169</t>
  </si>
  <si>
    <t xml:space="preserve"> $295.43 </t>
  </si>
  <si>
    <t>ORD6970</t>
  </si>
  <si>
    <t>CUST2970</t>
  </si>
  <si>
    <t>PROD2170</t>
  </si>
  <si>
    <t xml:space="preserve"> $91.90 </t>
  </si>
  <si>
    <t>ORD6971</t>
  </si>
  <si>
    <t>CUST2971</t>
  </si>
  <si>
    <t>PROD2171</t>
  </si>
  <si>
    <t xml:space="preserve"> $531.37 </t>
  </si>
  <si>
    <t>ORD6972</t>
  </si>
  <si>
    <t>CUST2972</t>
  </si>
  <si>
    <t>PROD2172</t>
  </si>
  <si>
    <t xml:space="preserve"> $143.44 </t>
  </si>
  <si>
    <t>ORD6973</t>
  </si>
  <si>
    <t>CUST2973</t>
  </si>
  <si>
    <t>PROD2173</t>
  </si>
  <si>
    <t xml:space="preserve"> $432.84 </t>
  </si>
  <si>
    <t>ORD6974</t>
  </si>
  <si>
    <t>CUST2974</t>
  </si>
  <si>
    <t>PROD2174</t>
  </si>
  <si>
    <t xml:space="preserve"> $61.63 </t>
  </si>
  <si>
    <t>ORD6975</t>
  </si>
  <si>
    <t>CUST2975</t>
  </si>
  <si>
    <t>PROD2175</t>
  </si>
  <si>
    <t xml:space="preserve"> $146.29 </t>
  </si>
  <si>
    <t>ORD6976</t>
  </si>
  <si>
    <t>CUST2976</t>
  </si>
  <si>
    <t>PROD2176</t>
  </si>
  <si>
    <t xml:space="preserve"> $142.63 </t>
  </si>
  <si>
    <t>ORD6977</t>
  </si>
  <si>
    <t>CUST2977</t>
  </si>
  <si>
    <t>PROD2177</t>
  </si>
  <si>
    <t xml:space="preserve"> $281.51 </t>
  </si>
  <si>
    <t>ORD6978</t>
  </si>
  <si>
    <t>CUST2978</t>
  </si>
  <si>
    <t>PROD2178</t>
  </si>
  <si>
    <t>10/30/2021</t>
  </si>
  <si>
    <t>11/17/2024</t>
  </si>
  <si>
    <t xml:space="preserve"> $314.29 </t>
  </si>
  <si>
    <t>ORD6979</t>
  </si>
  <si>
    <t>CUST2979</t>
  </si>
  <si>
    <t>PROD2179</t>
  </si>
  <si>
    <t xml:space="preserve"> $628.04 </t>
  </si>
  <si>
    <t>ORD6980</t>
  </si>
  <si>
    <t>CUST2980</t>
  </si>
  <si>
    <t>PROD2180</t>
  </si>
  <si>
    <t xml:space="preserve"> $145.30 </t>
  </si>
  <si>
    <t>ORD6981</t>
  </si>
  <si>
    <t>CUST2981</t>
  </si>
  <si>
    <t>PROD2181</t>
  </si>
  <si>
    <t xml:space="preserve"> $81.86 </t>
  </si>
  <si>
    <t>ORD6982</t>
  </si>
  <si>
    <t>CUST2982</t>
  </si>
  <si>
    <t>PROD2182</t>
  </si>
  <si>
    <t xml:space="preserve"> $478.29 </t>
  </si>
  <si>
    <t>ORD6983</t>
  </si>
  <si>
    <t>CUST2983</t>
  </si>
  <si>
    <t>PROD2183</t>
  </si>
  <si>
    <t xml:space="preserve"> $386.17 </t>
  </si>
  <si>
    <t>ORD6984</t>
  </si>
  <si>
    <t>CUST2984</t>
  </si>
  <si>
    <t>PROD2184</t>
  </si>
  <si>
    <t>6/28/2023</t>
  </si>
  <si>
    <t xml:space="preserve"> $1,902.06 </t>
  </si>
  <si>
    <t>ORD6985</t>
  </si>
  <si>
    <t>CUST2985</t>
  </si>
  <si>
    <t>PROD2185</t>
  </si>
  <si>
    <t xml:space="preserve"> $11.23 </t>
  </si>
  <si>
    <t>ORD6986</t>
  </si>
  <si>
    <t>CUST2986</t>
  </si>
  <si>
    <t>PROD2186</t>
  </si>
  <si>
    <t xml:space="preserve"> $522.95 </t>
  </si>
  <si>
    <t>ORD6987</t>
  </si>
  <si>
    <t>CUST2987</t>
  </si>
  <si>
    <t>PROD2187</t>
  </si>
  <si>
    <t xml:space="preserve"> $354.59 </t>
  </si>
  <si>
    <t>ORD6988</t>
  </si>
  <si>
    <t>CUST2988</t>
  </si>
  <si>
    <t>PROD2188</t>
  </si>
  <si>
    <t xml:space="preserve"> $35.70 </t>
  </si>
  <si>
    <t>ORD6989</t>
  </si>
  <si>
    <t>CUST2989</t>
  </si>
  <si>
    <t>PROD2189</t>
  </si>
  <si>
    <t>3/23/2022</t>
  </si>
  <si>
    <t xml:space="preserve"> $394.60 </t>
  </si>
  <si>
    <t>ORD6990</t>
  </si>
  <si>
    <t>CUST2990</t>
  </si>
  <si>
    <t>PROD2190</t>
  </si>
  <si>
    <t xml:space="preserve"> $71.62 </t>
  </si>
  <si>
    <t>ORD6991</t>
  </si>
  <si>
    <t>CUST2991</t>
  </si>
  <si>
    <t>PROD2191</t>
  </si>
  <si>
    <t xml:space="preserve"> $260.37 </t>
  </si>
  <si>
    <t>ORD6992</t>
  </si>
  <si>
    <t>CUST2992</t>
  </si>
  <si>
    <t>PROD2192</t>
  </si>
  <si>
    <t xml:space="preserve"> $281.42 </t>
  </si>
  <si>
    <t>ORD6993</t>
  </si>
  <si>
    <t>CUST2993</t>
  </si>
  <si>
    <t>PROD2193</t>
  </si>
  <si>
    <t xml:space="preserve"> $54.05 </t>
  </si>
  <si>
    <t>ORD6994</t>
  </si>
  <si>
    <t>CUST2994</t>
  </si>
  <si>
    <t>PROD2194</t>
  </si>
  <si>
    <t xml:space="preserve"> $77.92 </t>
  </si>
  <si>
    <t>ORD6995</t>
  </si>
  <si>
    <t>CUST2995</t>
  </si>
  <si>
    <t>PROD2195</t>
  </si>
  <si>
    <t xml:space="preserve"> $30.34 </t>
  </si>
  <si>
    <t>ORD6996</t>
  </si>
  <si>
    <t>CUST2996</t>
  </si>
  <si>
    <t>PROD2196</t>
  </si>
  <si>
    <t xml:space="preserve"> $381.38 </t>
  </si>
  <si>
    <t>ORD6997</t>
  </si>
  <si>
    <t>CUST2997</t>
  </si>
  <si>
    <t>PROD2197</t>
  </si>
  <si>
    <t xml:space="preserve"> $305.05 </t>
  </si>
  <si>
    <t>ORD6998</t>
  </si>
  <si>
    <t>CUST2998</t>
  </si>
  <si>
    <t>PROD2198</t>
  </si>
  <si>
    <t xml:space="preserve"> $229.14 </t>
  </si>
  <si>
    <t>ORD6999</t>
  </si>
  <si>
    <t>CUST2999</t>
  </si>
  <si>
    <t>PROD2199</t>
  </si>
  <si>
    <t xml:space="preserve"> $4.41 </t>
  </si>
  <si>
    <t>ho</t>
  </si>
  <si>
    <t>E-Commerce KPI Calculations — Executive Summary</t>
  </si>
  <si>
    <t>KPI Metric</t>
  </si>
  <si>
    <t>Formula Logic</t>
  </si>
  <si>
    <t>Value</t>
  </si>
  <si>
    <t>Category</t>
  </si>
  <si>
    <t>Business Interpretation</t>
  </si>
  <si>
    <t>Total Gross Revenue</t>
  </si>
  <si>
    <t>Total Orders</t>
  </si>
  <si>
    <t>Unique Customers</t>
  </si>
  <si>
    <t>Avg Order Value (AOV)</t>
  </si>
  <si>
    <t>Avg Unit Price</t>
  </si>
  <si>
    <t>Avg Quantity / Order</t>
  </si>
  <si>
    <t>Avg Purchase Frequency</t>
  </si>
  <si>
    <t>Active Customer Rate</t>
  </si>
  <si>
    <t>Churn Rate (Cancelled)</t>
  </si>
  <si>
    <t>Paused Rate</t>
  </si>
  <si>
    <t>Preference Alignment %</t>
  </si>
  <si>
    <t>Avg Cancellations / Customer</t>
  </si>
  <si>
    <t>High Churn Risk Count</t>
  </si>
  <si>
    <t>Revenue - Top Category</t>
  </si>
  <si>
    <t>Revenue - Top Country</t>
  </si>
  <si>
    <t>Female Customer %</t>
  </si>
  <si>
    <t>Male Customer %</t>
  </si>
  <si>
    <t>Max Revenue Order</t>
  </si>
  <si>
    <t>Total Cancellations</t>
  </si>
  <si>
    <t>SUM(unit_price × quantity)</t>
  </si>
  <si>
    <t>COUNT(order_id)</t>
  </si>
  <si>
    <t>COUNTUNIQUE(customer_id)</t>
  </si>
  <si>
    <t>Total Revenue / Total Orders</t>
  </si>
  <si>
    <t>AVERAGE(quantity)</t>
  </si>
  <si>
    <t>AVERAGE(purchase_frequency)</t>
  </si>
  <si>
    <t>Active / Total Customers</t>
  </si>
  <si>
    <t>Cancelled / Total</t>
  </si>
  <si>
    <t>Paused / Total</t>
  </si>
  <si>
    <t>Aligned / Total Orders</t>
  </si>
  <si>
    <t>AVERAGE(cancellations_count)</t>
  </si>
  <si>
    <t>COUNT(churn_risk='High')</t>
  </si>
  <si>
    <t>MAX by category: Clothing</t>
  </si>
  <si>
    <t>MAX by country: Germany</t>
  </si>
  <si>
    <t>Female / Total</t>
  </si>
  <si>
    <t>Male / Total</t>
  </si>
  <si>
    <t>MAX(gross_revenue)</t>
  </si>
  <si>
    <t>SUM(cancellations_count)</t>
  </si>
  <si>
    <t>Revenue</t>
  </si>
  <si>
    <t>Volume</t>
  </si>
  <si>
    <t>Customers</t>
  </si>
  <si>
    <t>Loyalty</t>
  </si>
  <si>
    <t>Retention</t>
  </si>
  <si>
    <t>Churn</t>
  </si>
  <si>
    <t>Behaviour</t>
  </si>
  <si>
    <t>Risk</t>
  </si>
  <si>
    <t>Geography</t>
  </si>
  <si>
    <t>Demographics</t>
  </si>
  <si>
    <t>Total income generated across all orders</t>
  </si>
  <si>
    <t>Total transactions processed</t>
  </si>
  <si>
    <t>Distinct customer base size</t>
  </si>
  <si>
    <t>Average spend per transaction</t>
  </si>
  <si>
    <t>Items per order on average</t>
  </si>
  <si>
    <t>How often customers repurchase</t>
  </si>
  <si>
    <t>% with active subscription</t>
  </si>
  <si>
    <t>% of customers who cancelled</t>
  </si>
  <si>
    <t>% with paused subscription</t>
  </si>
  <si>
    <t>Orders matching stated preference</t>
  </si>
  <si>
    <t>Avg cancellations per customer</t>
  </si>
  <si>
    <t>Customers with high churn risk</t>
  </si>
  <si>
    <t>Best-performing product category revenue</t>
  </si>
  <si>
    <t>Best-performing country revenue</t>
  </si>
  <si>
    <t>Share of female customers</t>
  </si>
  <si>
    <t>Share of male customers</t>
  </si>
  <si>
    <t>Highest single-order revenue</t>
  </si>
  <si>
    <t>Total cancellation events across all customers</t>
  </si>
  <si>
    <t>Row Labels</t>
  </si>
  <si>
    <t>Grand Total</t>
  </si>
  <si>
    <t>Sum of gross_revenue</t>
  </si>
  <si>
    <t>Column Labels</t>
  </si>
  <si>
    <t>Count of customer_id</t>
  </si>
  <si>
    <t xml:space="preserve">v </t>
  </si>
  <si>
    <t>total_revenue</t>
  </si>
  <si>
    <t>Avg_Order_Value</t>
  </si>
  <si>
    <t>Total_revenue</t>
  </si>
  <si>
    <t>Order_Count</t>
  </si>
  <si>
    <t>Avg_Unit_Price</t>
  </si>
  <si>
    <t>Revenue &amp; Orders by Product Category</t>
  </si>
  <si>
    <t>Unique_Customers</t>
  </si>
  <si>
    <t>order_count</t>
  </si>
  <si>
    <t>Revenue &amp; Customers by Country</t>
  </si>
  <si>
    <t>Avg_Cancellations</t>
  </si>
  <si>
    <t>Avg_Purchase_Freq</t>
  </si>
  <si>
    <t>Subscription Status Analysis</t>
  </si>
  <si>
    <t>customer_Count</t>
  </si>
  <si>
    <t>Revenue &amp; Behaviour by Age Group</t>
  </si>
  <si>
    <t>(blank)</t>
  </si>
  <si>
    <t>Total_Revenue</t>
  </si>
  <si>
    <t>Avg_Quantity</t>
  </si>
  <si>
    <t>Orders &amp; Revenue by Gender</t>
  </si>
  <si>
    <t>Revenue by Category × Gender</t>
  </si>
  <si>
    <t xml:space="preserve">CHURN RATE </t>
  </si>
  <si>
    <t>ACTIVE RATE</t>
  </si>
  <si>
    <t>Status</t>
  </si>
  <si>
    <t>Customer count</t>
  </si>
  <si>
    <t>Subscription Status Breakdown</t>
  </si>
  <si>
    <t>Age group</t>
  </si>
  <si>
    <t>Gender</t>
  </si>
  <si>
    <t>Revenue by Product Category</t>
  </si>
  <si>
    <t>Revenue Distribution by Country</t>
  </si>
  <si>
    <t>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</si>
</sst>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_-[$$-409]* #,##0.00_ ;_-[$$-409]* \-#,##0.00\ ;_-[$$-409]* &quot;-&quot;??_ ;_-@_ "/>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name val="Arial"/>
      <family val="2"/>
    </font>
    <font>
      <b/>
      <sz val="11"/>
      <name val="Arial"/>
      <family val="2"/>
    </font>
    <font>
      <b/>
      <sz val="10"/>
      <name val="Arial"/>
      <family val="2"/>
    </font>
    <font>
      <sz val="10"/>
      <name val="Arial"/>
      <family val="2"/>
    </font>
    <font>
      <b/>
      <sz val="12"/>
      <color theme="1"/>
      <name val="Aptos Narrow"/>
      <family val="2"/>
      <scheme val="minor"/>
    </font>
    <font>
      <b/>
      <sz val="14"/>
      <color theme="1"/>
      <name val="Aptos Narrow"/>
      <family val="2"/>
      <scheme val="minor"/>
    </font>
    <font>
      <b/>
      <sz val="16"/>
      <color rgb="FF595959"/>
      <name val="Aptos Narrow"/>
      <family val="2"/>
      <scheme val="minor"/>
    </font>
    <font>
      <b/>
      <sz val="16"/>
      <color theme="1"/>
      <name val="Aptos Narrow"/>
      <family val="2"/>
      <scheme val="minor"/>
    </font>
    <font>
      <sz val="12"/>
      <color theme="1"/>
      <name val="Aptos Narrow"/>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rgb="FF2C3E50"/>
      </patternFill>
    </fill>
    <fill>
      <patternFill patternType="solid">
        <fgColor theme="4" tint="0.39997558519241921"/>
        <bgColor rgb="FF1B6CA8"/>
      </patternFill>
    </fill>
    <fill>
      <patternFill patternType="solid">
        <fgColor theme="3" tint="0.749992370372631"/>
        <bgColor rgb="FFD6EEF8"/>
      </patternFill>
    </fill>
    <fill>
      <patternFill patternType="solid">
        <fgColor theme="3" tint="0.749992370372631"/>
        <bgColor rgb="FFD6EAF8"/>
      </patternFill>
    </fill>
    <fill>
      <patternFill patternType="solid">
        <fgColor theme="3" tint="0.749992370372631"/>
        <bgColor rgb="FFF9F9F9"/>
      </patternFill>
    </fill>
    <fill>
      <patternFill patternType="solid">
        <fgColor theme="3" tint="0.749992370372631"/>
        <bgColor rgb="FFEAF2F8"/>
      </patternFill>
    </fill>
    <fill>
      <patternFill patternType="solid">
        <fgColor theme="3" tint="0.749992370372631"/>
        <bgColor rgb="FFD9D9D9"/>
      </patternFill>
    </fill>
    <fill>
      <patternFill patternType="solid">
        <fgColor theme="3" tint="0.749992370372631"/>
        <bgColor rgb="FFFFF3CD"/>
      </patternFill>
    </fill>
    <fill>
      <patternFill patternType="solid">
        <fgColor theme="3" tint="0.749992370372631"/>
        <bgColor rgb="FFEBF5FB"/>
      </patternFill>
    </fill>
    <fill>
      <patternFill patternType="solid">
        <fgColor theme="3" tint="0.749992370372631"/>
        <bgColor rgb="FFF5EEF8"/>
      </patternFill>
    </fill>
    <fill>
      <patternFill patternType="solid">
        <fgColor theme="3" tint="0.749992370372631"/>
        <bgColor rgb="FFF0F4F8"/>
      </patternFill>
    </fill>
    <fill>
      <patternFill patternType="solid">
        <fgColor theme="3" tint="0.749992370372631"/>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4" tint="0.59999389629810485"/>
        <bgColor theme="4" tint="0.79998168889431442"/>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7">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19" fillId="34" borderId="10" xfId="0" applyFont="1" applyFill="1" applyBorder="1" applyAlignment="1">
      <alignment horizontal="center" vertical="center" wrapText="1"/>
    </xf>
    <xf numFmtId="0" fontId="20" fillId="35" borderId="10" xfId="0" applyFont="1" applyFill="1" applyBorder="1" applyAlignment="1">
      <alignment horizontal="left" vertical="center" wrapText="1"/>
    </xf>
    <xf numFmtId="0" fontId="21" fillId="35" borderId="10" xfId="0" applyFont="1" applyFill="1" applyBorder="1" applyAlignment="1">
      <alignment horizontal="left" vertical="center" wrapText="1"/>
    </xf>
    <xf numFmtId="164" fontId="21" fillId="35" borderId="10" xfId="0" applyNumberFormat="1" applyFont="1" applyFill="1" applyBorder="1" applyAlignment="1">
      <alignment horizontal="center" vertical="center" wrapText="1"/>
    </xf>
    <xf numFmtId="0" fontId="21" fillId="35" borderId="10" xfId="0" applyFont="1" applyFill="1" applyBorder="1" applyAlignment="1">
      <alignment horizontal="center" vertical="center" wrapText="1"/>
    </xf>
    <xf numFmtId="0" fontId="20" fillId="36" borderId="10" xfId="0" applyFont="1" applyFill="1" applyBorder="1" applyAlignment="1">
      <alignment horizontal="left" vertical="center" wrapText="1"/>
    </xf>
    <xf numFmtId="0" fontId="21" fillId="36" borderId="10" xfId="0" applyFont="1" applyFill="1" applyBorder="1" applyAlignment="1">
      <alignment horizontal="left" vertical="center" wrapText="1"/>
    </xf>
    <xf numFmtId="4" fontId="21" fillId="36" borderId="10" xfId="0" applyNumberFormat="1" applyFont="1" applyFill="1" applyBorder="1" applyAlignment="1">
      <alignment horizontal="center" vertical="center" wrapText="1"/>
    </xf>
    <xf numFmtId="0" fontId="21" fillId="36" borderId="10" xfId="0" applyFont="1" applyFill="1" applyBorder="1" applyAlignment="1">
      <alignment horizontal="center" vertical="center" wrapText="1"/>
    </xf>
    <xf numFmtId="0" fontId="20" fillId="37" borderId="10" xfId="0" applyFont="1" applyFill="1" applyBorder="1" applyAlignment="1">
      <alignment horizontal="left" vertical="center" wrapText="1"/>
    </xf>
    <xf numFmtId="0" fontId="21" fillId="37" borderId="10" xfId="0" applyFont="1" applyFill="1" applyBorder="1" applyAlignment="1">
      <alignment horizontal="left" vertical="center" wrapText="1"/>
    </xf>
    <xf numFmtId="4" fontId="21" fillId="37" borderId="10" xfId="0" applyNumberFormat="1" applyFont="1" applyFill="1" applyBorder="1" applyAlignment="1">
      <alignment horizontal="center" vertical="center" wrapText="1"/>
    </xf>
    <xf numFmtId="0" fontId="21" fillId="37" borderId="10" xfId="0" applyFont="1" applyFill="1" applyBorder="1" applyAlignment="1">
      <alignment horizontal="center" vertical="center" wrapText="1"/>
    </xf>
    <xf numFmtId="0" fontId="20" fillId="38" borderId="10" xfId="0" applyFont="1" applyFill="1" applyBorder="1" applyAlignment="1">
      <alignment horizontal="left" vertical="center" wrapText="1"/>
    </xf>
    <xf numFmtId="4" fontId="21" fillId="35" borderId="10" xfId="0" applyNumberFormat="1" applyFont="1" applyFill="1" applyBorder="1" applyAlignment="1">
      <alignment horizontal="center" vertical="center" wrapText="1"/>
    </xf>
    <xf numFmtId="0" fontId="20" fillId="39" borderId="10" xfId="0" applyFont="1" applyFill="1" applyBorder="1" applyAlignment="1">
      <alignment horizontal="left" vertical="center" wrapText="1"/>
    </xf>
    <xf numFmtId="0" fontId="21" fillId="39" borderId="10" xfId="0" applyFont="1" applyFill="1" applyBorder="1" applyAlignment="1">
      <alignment horizontal="left" vertical="center" wrapText="1"/>
    </xf>
    <xf numFmtId="165" fontId="21" fillId="39" borderId="10" xfId="0" applyNumberFormat="1" applyFont="1" applyFill="1" applyBorder="1" applyAlignment="1">
      <alignment horizontal="center" vertical="center" wrapText="1"/>
    </xf>
    <xf numFmtId="0" fontId="21" fillId="39" borderId="10" xfId="0" applyFont="1" applyFill="1" applyBorder="1" applyAlignment="1">
      <alignment horizontal="center" vertical="center" wrapText="1"/>
    </xf>
    <xf numFmtId="0" fontId="20" fillId="40" borderId="10" xfId="0" applyFont="1" applyFill="1" applyBorder="1" applyAlignment="1">
      <alignment horizontal="left" vertical="center" wrapText="1"/>
    </xf>
    <xf numFmtId="0" fontId="21" fillId="40" borderId="10" xfId="0" applyFont="1" applyFill="1" applyBorder="1" applyAlignment="1">
      <alignment horizontal="left" vertical="center" wrapText="1"/>
    </xf>
    <xf numFmtId="165" fontId="21" fillId="40" borderId="10" xfId="0" applyNumberFormat="1" applyFont="1" applyFill="1" applyBorder="1" applyAlignment="1">
      <alignment horizontal="center" vertical="center" wrapText="1"/>
    </xf>
    <xf numFmtId="0" fontId="21" fillId="40" borderId="10" xfId="0" applyFont="1" applyFill="1" applyBorder="1" applyAlignment="1">
      <alignment horizontal="center" vertical="center" wrapText="1"/>
    </xf>
    <xf numFmtId="0" fontId="20" fillId="41" borderId="10" xfId="0" applyFont="1" applyFill="1" applyBorder="1" applyAlignment="1">
      <alignment horizontal="left" vertical="center" wrapText="1"/>
    </xf>
    <xf numFmtId="0" fontId="21" fillId="41" borderId="10" xfId="0" applyFont="1" applyFill="1" applyBorder="1" applyAlignment="1">
      <alignment horizontal="left" vertical="center" wrapText="1"/>
    </xf>
    <xf numFmtId="165" fontId="21" fillId="41" borderId="10" xfId="0" applyNumberFormat="1" applyFont="1" applyFill="1" applyBorder="1" applyAlignment="1">
      <alignment horizontal="center" vertical="center" wrapText="1"/>
    </xf>
    <xf numFmtId="0" fontId="21" fillId="41" borderId="10" xfId="0" applyFont="1" applyFill="1" applyBorder="1" applyAlignment="1">
      <alignment horizontal="center" vertical="center" wrapText="1"/>
    </xf>
    <xf numFmtId="4" fontId="21" fillId="40" borderId="10" xfId="0" applyNumberFormat="1" applyFont="1" applyFill="1" applyBorder="1" applyAlignment="1">
      <alignment horizontal="center" vertical="center" wrapText="1"/>
    </xf>
    <xf numFmtId="0" fontId="20" fillId="42" borderId="10" xfId="0" applyFont="1" applyFill="1" applyBorder="1" applyAlignment="1">
      <alignment horizontal="left" vertical="center" wrapText="1"/>
    </xf>
    <xf numFmtId="0" fontId="21" fillId="42" borderId="10" xfId="0" applyFont="1" applyFill="1" applyBorder="1" applyAlignment="1">
      <alignment horizontal="left" vertical="center" wrapText="1"/>
    </xf>
    <xf numFmtId="164" fontId="21" fillId="42" borderId="10" xfId="0" applyNumberFormat="1" applyFont="1" applyFill="1" applyBorder="1" applyAlignment="1">
      <alignment horizontal="center" vertical="center" wrapText="1"/>
    </xf>
    <xf numFmtId="0" fontId="21" fillId="42" borderId="10" xfId="0" applyFont="1" applyFill="1" applyBorder="1" applyAlignment="1">
      <alignment horizontal="center" vertical="center" wrapText="1"/>
    </xf>
    <xf numFmtId="164" fontId="21" fillId="41" borderId="10" xfId="0" applyNumberFormat="1" applyFont="1" applyFill="1" applyBorder="1" applyAlignment="1">
      <alignment horizontal="center" vertical="center" wrapText="1"/>
    </xf>
    <xf numFmtId="0" fontId="20" fillId="43" borderId="10" xfId="0" applyFont="1" applyFill="1" applyBorder="1" applyAlignment="1">
      <alignment horizontal="left" vertical="center" wrapText="1"/>
    </xf>
    <xf numFmtId="0" fontId="21" fillId="43" borderId="10" xfId="0" applyFont="1" applyFill="1" applyBorder="1" applyAlignment="1">
      <alignment horizontal="left" vertical="center" wrapText="1"/>
    </xf>
    <xf numFmtId="165" fontId="21" fillId="43" borderId="10" xfId="0" applyNumberFormat="1" applyFont="1" applyFill="1" applyBorder="1" applyAlignment="1">
      <alignment horizontal="center" vertical="center" wrapText="1"/>
    </xf>
    <xf numFmtId="0" fontId="21" fillId="43" borderId="10" xfId="0" applyFont="1" applyFill="1" applyBorder="1" applyAlignment="1">
      <alignment horizontal="center" vertical="center" wrapText="1"/>
    </xf>
    <xf numFmtId="0" fontId="16" fillId="44" borderId="0" xfId="0" applyFont="1" applyFill="1"/>
    <xf numFmtId="2"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66" fontId="0" fillId="0" borderId="0" xfId="0" applyNumberFormat="1" applyAlignment="1">
      <alignment horizontal="center" vertical="center"/>
    </xf>
    <xf numFmtId="2" fontId="0" fillId="0" borderId="0" xfId="0" applyNumberFormat="1" applyAlignment="1">
      <alignment horizontal="center" vertical="center"/>
    </xf>
    <xf numFmtId="166" fontId="0" fillId="0" borderId="0" xfId="0" applyNumberFormat="1"/>
    <xf numFmtId="0" fontId="0" fillId="44" borderId="0" xfId="0" applyFill="1"/>
    <xf numFmtId="10" fontId="0" fillId="44" borderId="0" xfId="0" applyNumberFormat="1" applyFill="1"/>
    <xf numFmtId="9" fontId="0" fillId="44" borderId="0" xfId="42" applyFont="1" applyFill="1"/>
    <xf numFmtId="0" fontId="0" fillId="45" borderId="11" xfId="0" applyFill="1" applyBorder="1" applyAlignment="1">
      <alignment horizontal="center" vertical="center"/>
    </xf>
    <xf numFmtId="0" fontId="0" fillId="45" borderId="11" xfId="0" applyFill="1" applyBorder="1"/>
    <xf numFmtId="0" fontId="0" fillId="0" borderId="11" xfId="0" applyBorder="1"/>
    <xf numFmtId="0" fontId="0" fillId="48" borderId="11" xfId="0" applyFill="1" applyBorder="1"/>
    <xf numFmtId="2" fontId="0" fillId="0" borderId="11" xfId="0" applyNumberFormat="1" applyBorder="1"/>
    <xf numFmtId="2" fontId="0" fillId="48" borderId="11" xfId="0" applyNumberFormat="1" applyFill="1" applyBorder="1"/>
    <xf numFmtId="0" fontId="16" fillId="46" borderId="0" xfId="0" applyFont="1" applyFill="1" applyAlignment="1">
      <alignment horizontal="center" vertical="center"/>
    </xf>
    <xf numFmtId="0" fontId="0" fillId="46" borderId="11" xfId="0" applyFill="1" applyBorder="1" applyAlignment="1">
      <alignment horizontal="center"/>
    </xf>
    <xf numFmtId="2" fontId="0" fillId="46" borderId="11" xfId="0" applyNumberFormat="1" applyFill="1" applyBorder="1" applyAlignment="1">
      <alignment horizontal="center"/>
    </xf>
    <xf numFmtId="0" fontId="0" fillId="48" borderId="11" xfId="0" applyFill="1" applyBorder="1" applyAlignment="1">
      <alignment horizontal="center"/>
    </xf>
    <xf numFmtId="2" fontId="0" fillId="48" borderId="11" xfId="0" applyNumberFormat="1" applyFill="1" applyBorder="1" applyAlignment="1">
      <alignment horizontal="center"/>
    </xf>
    <xf numFmtId="0" fontId="0" fillId="45" borderId="11" xfId="0" applyFill="1" applyBorder="1" applyAlignment="1">
      <alignment horizontal="center"/>
    </xf>
    <xf numFmtId="0" fontId="0" fillId="0" borderId="11" xfId="0" applyBorder="1" applyAlignment="1">
      <alignment horizontal="center"/>
    </xf>
    <xf numFmtId="2" fontId="0" fillId="0" borderId="11" xfId="0" applyNumberFormat="1" applyBorder="1" applyAlignment="1">
      <alignment horizontal="center"/>
    </xf>
    <xf numFmtId="0" fontId="16" fillId="49" borderId="11" xfId="0" applyFont="1" applyFill="1" applyBorder="1" applyAlignment="1">
      <alignment horizontal="left" vertical="center"/>
    </xf>
    <xf numFmtId="0" fontId="16" fillId="50" borderId="11" xfId="0" applyFont="1" applyFill="1" applyBorder="1"/>
    <xf numFmtId="0" fontId="0" fillId="46" borderId="0" xfId="0" applyFill="1"/>
    <xf numFmtId="0" fontId="26" fillId="0" borderId="0" xfId="0" applyFont="1"/>
    <xf numFmtId="0" fontId="0" fillId="46" borderId="0" xfId="0" applyFill="1" applyAlignment="1">
      <alignment horizontal="center"/>
    </xf>
    <xf numFmtId="0" fontId="23" fillId="46" borderId="0" xfId="0" applyFont="1" applyFill="1" applyAlignment="1">
      <alignment horizontal="center"/>
    </xf>
    <xf numFmtId="0" fontId="16" fillId="45" borderId="11" xfId="0" applyFont="1" applyFill="1" applyBorder="1"/>
    <xf numFmtId="0" fontId="22" fillId="45" borderId="11" xfId="0" applyFont="1" applyFill="1" applyBorder="1" applyAlignment="1">
      <alignment horizontal="center"/>
    </xf>
    <xf numFmtId="0" fontId="23" fillId="45" borderId="0" xfId="0" applyFont="1" applyFill="1" applyAlignment="1">
      <alignment horizontal="center"/>
    </xf>
    <xf numFmtId="0" fontId="16" fillId="47" borderId="12" xfId="0" applyFont="1" applyFill="1" applyBorder="1" applyAlignment="1">
      <alignment horizontal="center" vertical="center"/>
    </xf>
    <xf numFmtId="0" fontId="16" fillId="47" borderId="13" xfId="0" applyFont="1" applyFill="1" applyBorder="1" applyAlignment="1">
      <alignment horizontal="center" vertical="center"/>
    </xf>
    <xf numFmtId="0" fontId="16" fillId="47" borderId="14" xfId="0" applyFont="1" applyFill="1" applyBorder="1" applyAlignment="1">
      <alignment horizontal="center" vertical="center"/>
    </xf>
    <xf numFmtId="0" fontId="22" fillId="45" borderId="0" xfId="0" applyFont="1" applyFill="1" applyAlignment="1">
      <alignment horizontal="center"/>
    </xf>
    <xf numFmtId="0" fontId="24" fillId="45" borderId="0" xfId="0" applyFont="1" applyFill="1" applyAlignment="1">
      <alignment horizontal="center" vertical="center" readingOrder="1"/>
    </xf>
    <xf numFmtId="0" fontId="25" fillId="45" borderId="0" xfId="0" applyFont="1" applyFill="1" applyAlignment="1">
      <alignment horizontal="center"/>
    </xf>
    <xf numFmtId="0" fontId="18" fillId="33" borderId="10" xfId="0" applyFont="1" applyFill="1" applyBorder="1" applyAlignment="1">
      <alignment horizontal="center" vertical="center" wrapText="1"/>
    </xf>
    <xf numFmtId="0" fontId="16" fillId="45" borderId="0" xfId="0" applyFont="1" applyFill="1" applyAlignment="1">
      <alignment horizontal="center"/>
    </xf>
    <xf numFmtId="0" fontId="16" fillId="45" borderId="0" xfId="0" applyFont="1" applyFill="1" applyAlignment="1">
      <alignment horizontal="center" vertical="center"/>
    </xf>
    <xf numFmtId="0" fontId="0" fillId="0" borderId="0" xfId="0" applyNumberFormat="1"/>
    <xf numFmtId="0" fontId="0" fillId="0" borderId="0" xfId="0" applyNumberFormat="1" applyAlignment="1">
      <alignment horizontal="center" vertical="center"/>
    </xf>
    <xf numFmtId="1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2">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66" formatCode="_-[$$-409]* #,##0.00_ ;_-[$$-409]* \-#,##0.00\ ;_-[$$-409]* &quot;-&quot;??_ ;_-@_ "/>
    </dxf>
    <dxf>
      <numFmt numFmtId="166" formatCode="_-[$$-409]* #,##0.00_ ;_-[$$-409]* \-#,##0.00\ ;_-[$$-409]* &quot;-&quot;??_ ;_-@_ "/>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66" formatCode="_-[$$-409]* #,##0.00_ ;_-[$$-409]* \-#,##0.00\ ;_-[$$-409]* &quot;-&quot;??_ ;_-@_ "/>
    </dxf>
    <dxf>
      <numFmt numFmtId="166" formatCode="_-[$$-409]* #,##0.00_ ;_-[$$-409]* \-#,##0.00\ ;_-[$$-409]* &quot;-&quot;??_ ;_-@_ "/>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166" formatCode="_-[$$-409]* #,##0.00_ ;_-[$$-409]* \-#,##0.00\ ;_-[$$-409]* &quot;-&quot;??_ ;_-@_ "/>
    </dxf>
    <dxf>
      <numFmt numFmtId="166" formatCode="_-[$$-409]* #,##0.00_ ;_-[$$-409]* \-#,##0.00\ ;_-[$$-409]* &quot;-&quot;??_ ;_-@_ "/>
    </dxf>
    <dxf>
      <numFmt numFmtId="166"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166" formatCode="_-[$$-409]* #,##0.00_ ;_-[$$-409]* \-#,##0.00\ ;_-[$$-409]* &quot;-&quot;??_ ;_-@_ "/>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6" formatCode="_-[$$-409]* #,##0.00_ ;_-[$$-409]* \-#,##0.00\ ;_-[$$-409]* &quot;-&quot;??_ ;_-@_ "/>
    </dxf>
    <dxf>
      <numFmt numFmtId="166" formatCode="_-[$$-409]* #,##0.00_ ;_-[$$-409]* \-#,##0.00\ ;_-[$$-409]* &quot;-&quot;??_ ;_-@_ "/>
    </dxf>
    <dxf>
      <numFmt numFmtId="166" formatCode="_-[$$-409]* #,##0.00_ ;_-[$$-409]* \-#,##0.00\ ;_-[$$-409]* &quot;-&quot;??_ ;_-@_ "/>
    </dxf>
    <dxf>
      <numFmt numFmtId="2"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a:t>
            </a:r>
            <a:r>
              <a:rPr lang="en-IN" sz="1400" b="0" i="0" u="none" strike="noStrike" baseline="0"/>
              <a:t>Revenue by Product Category</a:t>
            </a:r>
            <a:r>
              <a:rPr lang="en-IN"/>
              <a:t>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Total_revenue</c:v>
                </c:pt>
              </c:strCache>
            </c:strRef>
          </c:tx>
          <c:spPr>
            <a:solidFill>
              <a:schemeClr val="accent1"/>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Table'!$B$3:$B$8</c:f>
              <c:numCache>
                <c:formatCode>_-[$$-409]* #,##0.00_ ;_-[$$-409]* \-#,##0.00\ ;_-[$$-409]* "-"??_ ;_-@_ </c:formatCode>
                <c:ptCount val="5"/>
                <c:pt idx="0">
                  <c:v>405850.74000000022</c:v>
                </c:pt>
                <c:pt idx="1">
                  <c:v>439803.15</c:v>
                </c:pt>
                <c:pt idx="2">
                  <c:v>411628.81000000011</c:v>
                </c:pt>
                <c:pt idx="3">
                  <c:v>392086.74000000017</c:v>
                </c:pt>
                <c:pt idx="4">
                  <c:v>402321.2099999999</c:v>
                </c:pt>
              </c:numCache>
            </c:numRef>
          </c:val>
          <c:extLst>
            <c:ext xmlns:c16="http://schemas.microsoft.com/office/drawing/2014/chart" uri="{C3380CC4-5D6E-409C-BE32-E72D297353CC}">
              <c16:uniqueId val="{00000000-3A42-43EB-97F6-0246C2AE1695}"/>
            </c:ext>
          </c:extLst>
        </c:ser>
        <c:ser>
          <c:idx val="1"/>
          <c:order val="1"/>
          <c:tx>
            <c:strRef>
              <c:f>'Pivot Table'!$C$2</c:f>
              <c:strCache>
                <c:ptCount val="1"/>
                <c:pt idx="0">
                  <c:v>order_count</c:v>
                </c:pt>
              </c:strCache>
            </c:strRef>
          </c:tx>
          <c:spPr>
            <a:solidFill>
              <a:schemeClr val="accent2"/>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Table'!$C$3:$C$8</c:f>
              <c:numCache>
                <c:formatCode>General</c:formatCode>
                <c:ptCount val="5"/>
                <c:pt idx="0">
                  <c:v>396</c:v>
                </c:pt>
                <c:pt idx="1">
                  <c:v>426</c:v>
                </c:pt>
                <c:pt idx="2">
                  <c:v>414</c:v>
                </c:pt>
                <c:pt idx="3">
                  <c:v>374</c:v>
                </c:pt>
                <c:pt idx="4">
                  <c:v>390</c:v>
                </c:pt>
              </c:numCache>
            </c:numRef>
          </c:val>
          <c:extLst>
            <c:ext xmlns:c16="http://schemas.microsoft.com/office/drawing/2014/chart" uri="{C3380CC4-5D6E-409C-BE32-E72D297353CC}">
              <c16:uniqueId val="{00000001-3A42-43EB-97F6-0246C2AE1695}"/>
            </c:ext>
          </c:extLst>
        </c:ser>
        <c:ser>
          <c:idx val="2"/>
          <c:order val="2"/>
          <c:tx>
            <c:strRef>
              <c:f>'Pivot Table'!$D$2</c:f>
              <c:strCache>
                <c:ptCount val="1"/>
                <c:pt idx="0">
                  <c:v>Avg_Order_Value</c:v>
                </c:pt>
              </c:strCache>
            </c:strRef>
          </c:tx>
          <c:spPr>
            <a:solidFill>
              <a:schemeClr val="accent3"/>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Table'!$D$3:$D$8</c:f>
              <c:numCache>
                <c:formatCode>_-[$$-409]* #,##0.00_ ;_-[$$-409]* \-#,##0.00\ ;_-[$$-409]* "-"??_ ;_-@_ </c:formatCode>
                <c:ptCount val="5"/>
                <c:pt idx="0">
                  <c:v>1024.8756060606065</c:v>
                </c:pt>
                <c:pt idx="1">
                  <c:v>1032.4017605633803</c:v>
                </c:pt>
                <c:pt idx="2">
                  <c:v>994.27248792270564</c:v>
                </c:pt>
                <c:pt idx="3">
                  <c:v>1048.3602673796795</c:v>
                </c:pt>
                <c:pt idx="4">
                  <c:v>1031.5928461538458</c:v>
                </c:pt>
              </c:numCache>
            </c:numRef>
          </c:val>
          <c:extLst>
            <c:ext xmlns:c16="http://schemas.microsoft.com/office/drawing/2014/chart" uri="{C3380CC4-5D6E-409C-BE32-E72D297353CC}">
              <c16:uniqueId val="{00000002-3A42-43EB-97F6-0246C2AE1695}"/>
            </c:ext>
          </c:extLst>
        </c:ser>
        <c:ser>
          <c:idx val="3"/>
          <c:order val="3"/>
          <c:tx>
            <c:strRef>
              <c:f>'Pivot Table'!$E$2</c:f>
              <c:strCache>
                <c:ptCount val="1"/>
                <c:pt idx="0">
                  <c:v>Avg_Unit_Price</c:v>
                </c:pt>
              </c:strCache>
            </c:strRef>
          </c:tx>
          <c:spPr>
            <a:solidFill>
              <a:schemeClr val="accent4"/>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Table'!$E$3:$E$8</c:f>
              <c:numCache>
                <c:formatCode>_-[$$-409]* #,##0.00_ ;_-[$$-409]* \-#,##0.00\ ;_-[$$-409]* "-"??_ ;_-@_ </c:formatCode>
                <c:ptCount val="5"/>
                <c:pt idx="0">
                  <c:v>5.012626262626263</c:v>
                </c:pt>
                <c:pt idx="1">
                  <c:v>5.117370892018779</c:v>
                </c:pt>
                <c:pt idx="2">
                  <c:v>4.6908212560386477</c:v>
                </c:pt>
                <c:pt idx="3">
                  <c:v>4.8930481283422456</c:v>
                </c:pt>
                <c:pt idx="4">
                  <c:v>5.0256410256410255</c:v>
                </c:pt>
              </c:numCache>
            </c:numRef>
          </c:val>
          <c:extLst>
            <c:ext xmlns:c16="http://schemas.microsoft.com/office/drawing/2014/chart" uri="{C3380CC4-5D6E-409C-BE32-E72D297353CC}">
              <c16:uniqueId val="{00000003-3A42-43EB-97F6-0246C2AE1695}"/>
            </c:ext>
          </c:extLst>
        </c:ser>
        <c:dLbls>
          <c:showLegendKey val="0"/>
          <c:showVal val="0"/>
          <c:showCatName val="0"/>
          <c:showSerName val="0"/>
          <c:showPercent val="0"/>
          <c:showBubbleSize val="0"/>
        </c:dLbls>
        <c:gapWidth val="219"/>
        <c:overlap val="-27"/>
        <c:axId val="159583024"/>
        <c:axId val="159583504"/>
      </c:barChart>
      <c:catAx>
        <c:axId val="15958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83504"/>
        <c:crosses val="autoZero"/>
        <c:auto val="1"/>
        <c:lblAlgn val="ctr"/>
        <c:lblOffset val="100"/>
        <c:noMultiLvlLbl val="0"/>
      </c:catAx>
      <c:valAx>
        <c:axId val="15958350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8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Table!Revenue Distribution by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Distribution by Country</a:t>
            </a:r>
            <a:r>
              <a:rPr lang="en-IN"/>
              <a:t>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Table'!$B$11</c:f>
              <c:strCache>
                <c:ptCount val="1"/>
                <c:pt idx="0">
                  <c:v>Total_revenue</c:v>
                </c:pt>
              </c:strCache>
            </c:strRef>
          </c:tx>
          <c:spPr>
            <a:solidFill>
              <a:schemeClr val="accent1"/>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Table'!$B$12:$B$18</c:f>
              <c:numCache>
                <c:formatCode>_-[$$-409]* #,##0.00_ ;_-[$$-409]* \-#,##0.00\ ;_-[$$-409]* "-"??_ ;_-@_ </c:formatCode>
                <c:ptCount val="6"/>
                <c:pt idx="0">
                  <c:v>321518.31999999977</c:v>
                </c:pt>
                <c:pt idx="1">
                  <c:v>368249.31000000023</c:v>
                </c:pt>
                <c:pt idx="2">
                  <c:v>336791.52999999997</c:v>
                </c:pt>
                <c:pt idx="3">
                  <c:v>343162.68</c:v>
                </c:pt>
                <c:pt idx="4">
                  <c:v>353312.03000000009</c:v>
                </c:pt>
                <c:pt idx="5">
                  <c:v>328656.78000000009</c:v>
                </c:pt>
              </c:numCache>
            </c:numRef>
          </c:val>
          <c:extLst>
            <c:ext xmlns:c16="http://schemas.microsoft.com/office/drawing/2014/chart" uri="{C3380CC4-5D6E-409C-BE32-E72D297353CC}">
              <c16:uniqueId val="{00000000-5196-47EA-B78E-252F17C55FBA}"/>
            </c:ext>
          </c:extLst>
        </c:ser>
        <c:ser>
          <c:idx val="1"/>
          <c:order val="1"/>
          <c:tx>
            <c:strRef>
              <c:f>'Pivot Table'!$C$11</c:f>
              <c:strCache>
                <c:ptCount val="1"/>
                <c:pt idx="0">
                  <c:v>order_count</c:v>
                </c:pt>
              </c:strCache>
            </c:strRef>
          </c:tx>
          <c:spPr>
            <a:solidFill>
              <a:schemeClr val="accent2"/>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Table'!$C$12:$C$18</c:f>
              <c:numCache>
                <c:formatCode>General</c:formatCode>
                <c:ptCount val="6"/>
                <c:pt idx="0">
                  <c:v>315</c:v>
                </c:pt>
                <c:pt idx="1">
                  <c:v>360</c:v>
                </c:pt>
                <c:pt idx="2">
                  <c:v>324</c:v>
                </c:pt>
                <c:pt idx="3">
                  <c:v>332</c:v>
                </c:pt>
                <c:pt idx="4">
                  <c:v>350</c:v>
                </c:pt>
                <c:pt idx="5">
                  <c:v>319</c:v>
                </c:pt>
              </c:numCache>
            </c:numRef>
          </c:val>
          <c:extLst>
            <c:ext xmlns:c16="http://schemas.microsoft.com/office/drawing/2014/chart" uri="{C3380CC4-5D6E-409C-BE32-E72D297353CC}">
              <c16:uniqueId val="{00000001-5196-47EA-B78E-252F17C55FBA}"/>
            </c:ext>
          </c:extLst>
        </c:ser>
        <c:ser>
          <c:idx val="2"/>
          <c:order val="2"/>
          <c:tx>
            <c:strRef>
              <c:f>'Pivot Table'!$D$11</c:f>
              <c:strCache>
                <c:ptCount val="1"/>
                <c:pt idx="0">
                  <c:v>Unique_Customers</c:v>
                </c:pt>
              </c:strCache>
            </c:strRef>
          </c:tx>
          <c:spPr>
            <a:solidFill>
              <a:schemeClr val="accent3"/>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Table'!$D$12:$D$18</c:f>
              <c:numCache>
                <c:formatCode>0.00</c:formatCode>
                <c:ptCount val="6"/>
                <c:pt idx="0">
                  <c:v>315</c:v>
                </c:pt>
                <c:pt idx="1">
                  <c:v>360</c:v>
                </c:pt>
                <c:pt idx="2">
                  <c:v>324</c:v>
                </c:pt>
                <c:pt idx="3">
                  <c:v>332</c:v>
                </c:pt>
                <c:pt idx="4">
                  <c:v>350</c:v>
                </c:pt>
                <c:pt idx="5">
                  <c:v>319</c:v>
                </c:pt>
              </c:numCache>
            </c:numRef>
          </c:val>
          <c:extLst>
            <c:ext xmlns:c16="http://schemas.microsoft.com/office/drawing/2014/chart" uri="{C3380CC4-5D6E-409C-BE32-E72D297353CC}">
              <c16:uniqueId val="{00000002-5196-47EA-B78E-252F17C55FBA}"/>
            </c:ext>
          </c:extLst>
        </c:ser>
        <c:ser>
          <c:idx val="3"/>
          <c:order val="3"/>
          <c:tx>
            <c:strRef>
              <c:f>'Pivot Table'!$E$11</c:f>
              <c:strCache>
                <c:ptCount val="1"/>
                <c:pt idx="0">
                  <c:v>Avg_Order_Value</c:v>
                </c:pt>
              </c:strCache>
            </c:strRef>
          </c:tx>
          <c:spPr>
            <a:solidFill>
              <a:schemeClr val="accent4"/>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Table'!$E$12:$E$18</c:f>
              <c:numCache>
                <c:formatCode>_-[$$-409]* #,##0.00_ ;_-[$$-409]* \-#,##0.00\ ;_-[$$-409]* "-"??_ ;_-@_ </c:formatCode>
                <c:ptCount val="6"/>
                <c:pt idx="0">
                  <c:v>1020.6930793650787</c:v>
                </c:pt>
                <c:pt idx="1">
                  <c:v>1022.9147500000006</c:v>
                </c:pt>
                <c:pt idx="2">
                  <c:v>1039.4800308641975</c:v>
                </c:pt>
                <c:pt idx="3">
                  <c:v>1033.622530120482</c:v>
                </c:pt>
                <c:pt idx="4">
                  <c:v>1009.462942857143</c:v>
                </c:pt>
                <c:pt idx="5">
                  <c:v>1030.272037617555</c:v>
                </c:pt>
              </c:numCache>
            </c:numRef>
          </c:val>
          <c:extLst>
            <c:ext xmlns:c16="http://schemas.microsoft.com/office/drawing/2014/chart" uri="{C3380CC4-5D6E-409C-BE32-E72D297353CC}">
              <c16:uniqueId val="{00000003-5196-47EA-B78E-252F17C55FBA}"/>
            </c:ext>
          </c:extLst>
        </c:ser>
        <c:dLbls>
          <c:showLegendKey val="0"/>
          <c:showVal val="0"/>
          <c:showCatName val="0"/>
          <c:showSerName val="0"/>
          <c:showPercent val="0"/>
          <c:showBubbleSize val="0"/>
        </c:dLbls>
        <c:gapWidth val="150"/>
        <c:shape val="box"/>
        <c:axId val="157815936"/>
        <c:axId val="157813536"/>
        <c:axId val="0"/>
      </c:bar3DChart>
      <c:catAx>
        <c:axId val="15781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3536"/>
        <c:crosses val="autoZero"/>
        <c:auto val="1"/>
        <c:lblAlgn val="ctr"/>
        <c:lblOffset val="100"/>
        <c:noMultiLvlLbl val="0"/>
      </c:catAx>
      <c:valAx>
        <c:axId val="15781353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Subscription Status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Table'!$I$2</c:f>
              <c:strCache>
                <c:ptCount val="1"/>
                <c:pt idx="0">
                  <c:v>Count of customer_id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E6-4064-B1D7-6511E3E5F1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E6-4064-B1D7-6511E3E5F1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E6-4064-B1D7-6511E3E5F15D}"/>
              </c:ext>
            </c:extLst>
          </c:dPt>
          <c:cat>
            <c:strRef>
              <c:f>'Pivot Table'!$H$3:$H$6</c:f>
              <c:strCache>
                <c:ptCount val="3"/>
                <c:pt idx="0">
                  <c:v>active</c:v>
                </c:pt>
                <c:pt idx="1">
                  <c:v>cancelled</c:v>
                </c:pt>
                <c:pt idx="2">
                  <c:v>paused</c:v>
                </c:pt>
              </c:strCache>
            </c:strRef>
          </c:cat>
          <c:val>
            <c:numRef>
              <c:f>'Pivot Table'!$I$3:$I$6</c:f>
              <c:numCache>
                <c:formatCode>General</c:formatCode>
                <c:ptCount val="3"/>
                <c:pt idx="0">
                  <c:v>1204</c:v>
                </c:pt>
                <c:pt idx="1">
                  <c:v>493</c:v>
                </c:pt>
                <c:pt idx="2">
                  <c:v>303</c:v>
                </c:pt>
              </c:numCache>
            </c:numRef>
          </c:val>
          <c:extLst>
            <c:ext xmlns:c16="http://schemas.microsoft.com/office/drawing/2014/chart" uri="{C3380CC4-5D6E-409C-BE32-E72D297353CC}">
              <c16:uniqueId val="{00000006-36E6-4064-B1D7-6511E3E5F15D}"/>
            </c:ext>
          </c:extLst>
        </c:ser>
        <c:ser>
          <c:idx val="1"/>
          <c:order val="1"/>
          <c:tx>
            <c:strRef>
              <c:f>'Pivot Table'!$J$2</c:f>
              <c:strCache>
                <c:ptCount val="1"/>
                <c:pt idx="0">
                  <c:v>Sum of gross_revenue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36E6-4064-B1D7-6511E3E5F1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36E6-4064-B1D7-6511E3E5F1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36E6-4064-B1D7-6511E3E5F15D}"/>
              </c:ext>
            </c:extLst>
          </c:dPt>
          <c:cat>
            <c:strRef>
              <c:f>'Pivot Table'!$H$3:$H$6</c:f>
              <c:strCache>
                <c:ptCount val="3"/>
                <c:pt idx="0">
                  <c:v>active</c:v>
                </c:pt>
                <c:pt idx="1">
                  <c:v>cancelled</c:v>
                </c:pt>
                <c:pt idx="2">
                  <c:v>paused</c:v>
                </c:pt>
              </c:strCache>
            </c:strRef>
          </c:cat>
          <c:val>
            <c:numRef>
              <c:f>'Pivot Table'!$J$3:$J$6</c:f>
              <c:numCache>
                <c:formatCode>General</c:formatCode>
                <c:ptCount val="3"/>
                <c:pt idx="0">
                  <c:v>1231160.2599999988</c:v>
                </c:pt>
                <c:pt idx="1">
                  <c:v>516068.28000000009</c:v>
                </c:pt>
                <c:pt idx="2">
                  <c:v>304462.10999999993</c:v>
                </c:pt>
              </c:numCache>
            </c:numRef>
          </c:val>
          <c:extLst>
            <c:ext xmlns:c16="http://schemas.microsoft.com/office/drawing/2014/chart" uri="{C3380CC4-5D6E-409C-BE32-E72D297353CC}">
              <c16:uniqueId val="{0000000D-36E6-4064-B1D7-6511E3E5F15D}"/>
            </c:ext>
          </c:extLst>
        </c:ser>
        <c:ser>
          <c:idx val="2"/>
          <c:order val="2"/>
          <c:tx>
            <c:strRef>
              <c:f>'Pivot Table'!$K$2</c:f>
              <c:strCache>
                <c:ptCount val="1"/>
                <c:pt idx="0">
                  <c:v>Avg_Cancellations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36E6-4064-B1D7-6511E3E5F1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36E6-4064-B1D7-6511E3E5F1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36E6-4064-B1D7-6511E3E5F15D}"/>
              </c:ext>
            </c:extLst>
          </c:dPt>
          <c:cat>
            <c:strRef>
              <c:f>'Pivot Table'!$H$3:$H$6</c:f>
              <c:strCache>
                <c:ptCount val="3"/>
                <c:pt idx="0">
                  <c:v>active</c:v>
                </c:pt>
                <c:pt idx="1">
                  <c:v>cancelled</c:v>
                </c:pt>
                <c:pt idx="2">
                  <c:v>paused</c:v>
                </c:pt>
              </c:strCache>
            </c:strRef>
          </c:cat>
          <c:val>
            <c:numRef>
              <c:f>'Pivot Table'!$K$3:$K$6</c:f>
              <c:numCache>
                <c:formatCode>0.00</c:formatCode>
                <c:ptCount val="3"/>
                <c:pt idx="0">
                  <c:v>2.4393687707641196</c:v>
                </c:pt>
                <c:pt idx="1">
                  <c:v>2.4787018255578093</c:v>
                </c:pt>
                <c:pt idx="2">
                  <c:v>2.3894389438943895</c:v>
                </c:pt>
              </c:numCache>
            </c:numRef>
          </c:val>
          <c:extLst>
            <c:ext xmlns:c16="http://schemas.microsoft.com/office/drawing/2014/chart" uri="{C3380CC4-5D6E-409C-BE32-E72D297353CC}">
              <c16:uniqueId val="{00000014-36E6-4064-B1D7-6511E3E5F15D}"/>
            </c:ext>
          </c:extLst>
        </c:ser>
        <c:ser>
          <c:idx val="3"/>
          <c:order val="3"/>
          <c:tx>
            <c:strRef>
              <c:f>'Pivot Table'!$L$2</c:f>
              <c:strCache>
                <c:ptCount val="1"/>
                <c:pt idx="0">
                  <c:v>Avg_Purchase_Freq</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6-36E6-4064-B1D7-6511E3E5F1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8-36E6-4064-B1D7-6511E3E5F1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A-36E6-4064-B1D7-6511E3E5F15D}"/>
              </c:ext>
            </c:extLst>
          </c:dPt>
          <c:cat>
            <c:strRef>
              <c:f>'Pivot Table'!$H$3:$H$6</c:f>
              <c:strCache>
                <c:ptCount val="3"/>
                <c:pt idx="0">
                  <c:v>active</c:v>
                </c:pt>
                <c:pt idx="1">
                  <c:v>cancelled</c:v>
                </c:pt>
                <c:pt idx="2">
                  <c:v>paused</c:v>
                </c:pt>
              </c:strCache>
            </c:strRef>
          </c:cat>
          <c:val>
            <c:numRef>
              <c:f>'Pivot Table'!$L$3:$L$6</c:f>
              <c:numCache>
                <c:formatCode>0.00</c:formatCode>
                <c:ptCount val="3"/>
                <c:pt idx="0">
                  <c:v>24.843023255813954</c:v>
                </c:pt>
                <c:pt idx="1">
                  <c:v>26.06288032454361</c:v>
                </c:pt>
                <c:pt idx="2">
                  <c:v>24.937293729372936</c:v>
                </c:pt>
              </c:numCache>
            </c:numRef>
          </c:val>
          <c:extLst>
            <c:ext xmlns:c16="http://schemas.microsoft.com/office/drawing/2014/chart" uri="{C3380CC4-5D6E-409C-BE32-E72D297353CC}">
              <c16:uniqueId val="{0000001B-36E6-4064-B1D7-6511E3E5F15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Generational Revenue &amp; Behaviour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Table'!$I$10</c:f>
              <c:strCache>
                <c:ptCount val="1"/>
                <c:pt idx="0">
                  <c:v>customer_Count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Table'!$I$11:$I$16</c:f>
              <c:numCache>
                <c:formatCode>0.00</c:formatCode>
                <c:ptCount val="5"/>
                <c:pt idx="0">
                  <c:v>258</c:v>
                </c:pt>
                <c:pt idx="1">
                  <c:v>345</c:v>
                </c:pt>
                <c:pt idx="2">
                  <c:v>584</c:v>
                </c:pt>
                <c:pt idx="3">
                  <c:v>632</c:v>
                </c:pt>
                <c:pt idx="4">
                  <c:v>181</c:v>
                </c:pt>
              </c:numCache>
            </c:numRef>
          </c:val>
          <c:smooth val="0"/>
          <c:extLst>
            <c:ext xmlns:c16="http://schemas.microsoft.com/office/drawing/2014/chart" uri="{C3380CC4-5D6E-409C-BE32-E72D297353CC}">
              <c16:uniqueId val="{00000000-6AE3-451A-B50F-E56E3622EFEB}"/>
            </c:ext>
          </c:extLst>
        </c:ser>
        <c:ser>
          <c:idx val="1"/>
          <c:order val="1"/>
          <c:tx>
            <c:strRef>
              <c:f>'Pivot Table'!$J$10</c:f>
              <c:strCache>
                <c:ptCount val="1"/>
                <c:pt idx="0">
                  <c:v>Sum of gross_revenue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Table'!$J$11:$J$16</c:f>
              <c:numCache>
                <c:formatCode>General</c:formatCode>
                <c:ptCount val="5"/>
                <c:pt idx="0">
                  <c:v>263546.12</c:v>
                </c:pt>
                <c:pt idx="1">
                  <c:v>361799.49</c:v>
                </c:pt>
                <c:pt idx="2">
                  <c:v>598548.38000000012</c:v>
                </c:pt>
                <c:pt idx="3">
                  <c:v>633398.31999999948</c:v>
                </c:pt>
                <c:pt idx="4">
                  <c:v>194398.33999999991</c:v>
                </c:pt>
              </c:numCache>
            </c:numRef>
          </c:val>
          <c:smooth val="0"/>
          <c:extLst>
            <c:ext xmlns:c16="http://schemas.microsoft.com/office/drawing/2014/chart" uri="{C3380CC4-5D6E-409C-BE32-E72D297353CC}">
              <c16:uniqueId val="{00000001-6AE3-451A-B50F-E56E3622EFEB}"/>
            </c:ext>
          </c:extLst>
        </c:ser>
        <c:ser>
          <c:idx val="2"/>
          <c:order val="2"/>
          <c:tx>
            <c:strRef>
              <c:f>'Pivot Table'!$K$10</c:f>
              <c:strCache>
                <c:ptCount val="1"/>
                <c:pt idx="0">
                  <c:v>Avg_Order_Value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Table'!$K$11:$K$16</c:f>
              <c:numCache>
                <c:formatCode>0.00</c:formatCode>
                <c:ptCount val="5"/>
                <c:pt idx="0">
                  <c:v>1021.4965891472868</c:v>
                </c:pt>
                <c:pt idx="1">
                  <c:v>1048.6941739130434</c:v>
                </c:pt>
                <c:pt idx="2">
                  <c:v>1024.9116095890413</c:v>
                </c:pt>
                <c:pt idx="3">
                  <c:v>1002.2125316455688</c:v>
                </c:pt>
                <c:pt idx="4">
                  <c:v>1074.0239779005519</c:v>
                </c:pt>
              </c:numCache>
            </c:numRef>
          </c:val>
          <c:smooth val="0"/>
          <c:extLst>
            <c:ext xmlns:c16="http://schemas.microsoft.com/office/drawing/2014/chart" uri="{C3380CC4-5D6E-409C-BE32-E72D297353CC}">
              <c16:uniqueId val="{00000002-6AE3-451A-B50F-E56E3622EFEB}"/>
            </c:ext>
          </c:extLst>
        </c:ser>
        <c:ser>
          <c:idx val="3"/>
          <c:order val="3"/>
          <c:tx>
            <c:strRef>
              <c:f>'Pivot Table'!$L$10</c:f>
              <c:strCache>
                <c:ptCount val="1"/>
                <c:pt idx="0">
                  <c:v>Avg_Purchase_Freq</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Table'!$L$11:$L$16</c:f>
              <c:numCache>
                <c:formatCode>0.00</c:formatCode>
                <c:ptCount val="5"/>
                <c:pt idx="0">
                  <c:v>25.120155038759691</c:v>
                </c:pt>
                <c:pt idx="1">
                  <c:v>24.930434782608696</c:v>
                </c:pt>
                <c:pt idx="2">
                  <c:v>25.332191780821919</c:v>
                </c:pt>
                <c:pt idx="3">
                  <c:v>24.7626582278481</c:v>
                </c:pt>
                <c:pt idx="4">
                  <c:v>26.464088397790054</c:v>
                </c:pt>
              </c:numCache>
            </c:numRef>
          </c:val>
          <c:smooth val="0"/>
          <c:extLst>
            <c:ext xmlns:c16="http://schemas.microsoft.com/office/drawing/2014/chart" uri="{C3380CC4-5D6E-409C-BE32-E72D297353CC}">
              <c16:uniqueId val="{00000003-6AE3-451A-B50F-E56E3622EFEB}"/>
            </c:ext>
          </c:extLst>
        </c:ser>
        <c:dLbls>
          <c:showLegendKey val="0"/>
          <c:showVal val="0"/>
          <c:showCatName val="0"/>
          <c:showSerName val="0"/>
          <c:showPercent val="0"/>
          <c:showBubbleSize val="0"/>
        </c:dLbls>
        <c:marker val="1"/>
        <c:smooth val="0"/>
        <c:axId val="149471472"/>
        <c:axId val="149471952"/>
      </c:lineChart>
      <c:catAx>
        <c:axId val="14947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1952"/>
        <c:crosses val="autoZero"/>
        <c:auto val="1"/>
        <c:lblAlgn val="ctr"/>
        <c:lblOffset val="100"/>
        <c:noMultiLvlLbl val="0"/>
      </c:catAx>
      <c:valAx>
        <c:axId val="14947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&amp; Revenue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Order_Count</c:v>
                </c:pt>
              </c:strCache>
            </c:strRef>
          </c:tx>
          <c:spPr>
            <a:solidFill>
              <a:schemeClr val="accent1"/>
            </a:solidFill>
            <a:ln>
              <a:noFill/>
            </a:ln>
            <a:effectLst/>
          </c:spPr>
          <c:invertIfNegative val="0"/>
          <c:cat>
            <c:strRef>
              <c:f>'Pivot Table'!$A$23:$A$28</c:f>
              <c:strCache>
                <c:ptCount val="5"/>
                <c:pt idx="0">
                  <c:v>Female</c:v>
                </c:pt>
                <c:pt idx="1">
                  <c:v>Male</c:v>
                </c:pt>
                <c:pt idx="2">
                  <c:v>Other</c:v>
                </c:pt>
                <c:pt idx="3">
                  <c:v>total_revenue</c:v>
                </c:pt>
                <c:pt idx="4">
                  <c:v>(blank)</c:v>
                </c:pt>
              </c:strCache>
            </c:strRef>
          </c:cat>
          <c:val>
            <c:numRef>
              <c:f>'Pivot Table'!$B$23:$B$28</c:f>
              <c:numCache>
                <c:formatCode>General</c:formatCode>
                <c:ptCount val="5"/>
                <c:pt idx="0">
                  <c:v>1015</c:v>
                </c:pt>
                <c:pt idx="1">
                  <c:v>917</c:v>
                </c:pt>
                <c:pt idx="2">
                  <c:v>68</c:v>
                </c:pt>
              </c:numCache>
            </c:numRef>
          </c:val>
          <c:extLst>
            <c:ext xmlns:c16="http://schemas.microsoft.com/office/drawing/2014/chart" uri="{C3380CC4-5D6E-409C-BE32-E72D297353CC}">
              <c16:uniqueId val="{00000000-039C-4A5C-85B0-60221F71CC96}"/>
            </c:ext>
          </c:extLst>
        </c:ser>
        <c:dLbls>
          <c:showLegendKey val="0"/>
          <c:showVal val="0"/>
          <c:showCatName val="0"/>
          <c:showSerName val="0"/>
          <c:showPercent val="0"/>
          <c:showBubbleSize val="0"/>
        </c:dLbls>
        <c:gapWidth val="219"/>
        <c:overlap val="-27"/>
        <c:axId val="944062416"/>
        <c:axId val="944079216"/>
      </c:barChart>
      <c:lineChart>
        <c:grouping val="standard"/>
        <c:varyColors val="0"/>
        <c:ser>
          <c:idx val="2"/>
          <c:order val="2"/>
          <c:tx>
            <c:strRef>
              <c:f>'Pivot Table'!$D$22</c:f>
              <c:strCache>
                <c:ptCount val="1"/>
                <c:pt idx="0">
                  <c:v>Avg_Order_Value</c:v>
                </c:pt>
              </c:strCache>
            </c:strRef>
          </c:tx>
          <c:spPr>
            <a:ln w="28575" cap="rnd">
              <a:solidFill>
                <a:schemeClr val="accent3"/>
              </a:solidFill>
              <a:round/>
            </a:ln>
            <a:effectLst/>
          </c:spPr>
          <c:marker>
            <c:symbol val="none"/>
          </c:marker>
          <c:cat>
            <c:strRef>
              <c:f>'Pivot Table'!$A$23:$A$28</c:f>
              <c:strCache>
                <c:ptCount val="5"/>
                <c:pt idx="0">
                  <c:v>Female</c:v>
                </c:pt>
                <c:pt idx="1">
                  <c:v>Male</c:v>
                </c:pt>
                <c:pt idx="2">
                  <c:v>Other</c:v>
                </c:pt>
                <c:pt idx="3">
                  <c:v>total_revenue</c:v>
                </c:pt>
                <c:pt idx="4">
                  <c:v>(blank)</c:v>
                </c:pt>
              </c:strCache>
            </c:strRef>
          </c:cat>
          <c:val>
            <c:numRef>
              <c:f>'Pivot Table'!$D$23:$D$28</c:f>
              <c:numCache>
                <c:formatCode>0.00</c:formatCode>
                <c:ptCount val="5"/>
                <c:pt idx="0">
                  <c:v>1017.1743842364523</c:v>
                </c:pt>
                <c:pt idx="1">
                  <c:v>1040.5250490730634</c:v>
                </c:pt>
                <c:pt idx="2">
                  <c:v>957.31147058823535</c:v>
                </c:pt>
                <c:pt idx="3">
                  <c:v>2051690.6500000055</c:v>
                </c:pt>
              </c:numCache>
            </c:numRef>
          </c:val>
          <c:smooth val="0"/>
          <c:extLst>
            <c:ext xmlns:c16="http://schemas.microsoft.com/office/drawing/2014/chart" uri="{C3380CC4-5D6E-409C-BE32-E72D297353CC}">
              <c16:uniqueId val="{00000001-039C-4A5C-85B0-60221F71CC96}"/>
            </c:ext>
          </c:extLst>
        </c:ser>
        <c:ser>
          <c:idx val="3"/>
          <c:order val="3"/>
          <c:tx>
            <c:strRef>
              <c:f>'Pivot Table'!$E$22</c:f>
              <c:strCache>
                <c:ptCount val="1"/>
                <c:pt idx="0">
                  <c:v>Avg_Quantity</c:v>
                </c:pt>
              </c:strCache>
            </c:strRef>
          </c:tx>
          <c:spPr>
            <a:ln w="28575" cap="rnd">
              <a:solidFill>
                <a:schemeClr val="accent4"/>
              </a:solidFill>
              <a:round/>
            </a:ln>
            <a:effectLst/>
          </c:spPr>
          <c:marker>
            <c:symbol val="none"/>
          </c:marker>
          <c:cat>
            <c:strRef>
              <c:f>'Pivot Table'!$A$23:$A$28</c:f>
              <c:strCache>
                <c:ptCount val="5"/>
                <c:pt idx="0">
                  <c:v>Female</c:v>
                </c:pt>
                <c:pt idx="1">
                  <c:v>Male</c:v>
                </c:pt>
                <c:pt idx="2">
                  <c:v>Other</c:v>
                </c:pt>
                <c:pt idx="3">
                  <c:v>total_revenue</c:v>
                </c:pt>
                <c:pt idx="4">
                  <c:v>(blank)</c:v>
                </c:pt>
              </c:strCache>
            </c:strRef>
          </c:cat>
          <c:val>
            <c:numRef>
              <c:f>'Pivot Table'!$E$23:$E$28</c:f>
              <c:numCache>
                <c:formatCode>0.00</c:formatCode>
                <c:ptCount val="5"/>
                <c:pt idx="0">
                  <c:v>4.9891625615763546</c:v>
                </c:pt>
                <c:pt idx="1">
                  <c:v>4.9018538713195206</c:v>
                </c:pt>
                <c:pt idx="2">
                  <c:v>4.9705882352941178</c:v>
                </c:pt>
              </c:numCache>
            </c:numRef>
          </c:val>
          <c:smooth val="0"/>
          <c:extLst>
            <c:ext xmlns:c16="http://schemas.microsoft.com/office/drawing/2014/chart" uri="{C3380CC4-5D6E-409C-BE32-E72D297353CC}">
              <c16:uniqueId val="{00000002-039C-4A5C-85B0-60221F71CC96}"/>
            </c:ext>
          </c:extLst>
        </c:ser>
        <c:dLbls>
          <c:showLegendKey val="0"/>
          <c:showVal val="0"/>
          <c:showCatName val="0"/>
          <c:showSerName val="0"/>
          <c:showPercent val="0"/>
          <c:showBubbleSize val="0"/>
        </c:dLbls>
        <c:marker val="1"/>
        <c:smooth val="0"/>
        <c:axId val="944062416"/>
        <c:axId val="944079216"/>
      </c:lineChart>
      <c:lineChart>
        <c:grouping val="standard"/>
        <c:varyColors val="0"/>
        <c:ser>
          <c:idx val="1"/>
          <c:order val="1"/>
          <c:tx>
            <c:strRef>
              <c:f>'Pivot Table'!$C$22</c:f>
              <c:strCache>
                <c:ptCount val="1"/>
                <c:pt idx="0">
                  <c:v>Total_Revenue</c:v>
                </c:pt>
              </c:strCache>
            </c:strRef>
          </c:tx>
          <c:spPr>
            <a:ln w="28575" cap="rnd">
              <a:solidFill>
                <a:schemeClr val="accent2"/>
              </a:solidFill>
              <a:round/>
            </a:ln>
            <a:effectLst/>
          </c:spPr>
          <c:marker>
            <c:symbol val="none"/>
          </c:marker>
          <c:cat>
            <c:strRef>
              <c:f>'Pivot Table'!$A$23:$A$28</c:f>
              <c:strCache>
                <c:ptCount val="5"/>
                <c:pt idx="0">
                  <c:v>Female</c:v>
                </c:pt>
                <c:pt idx="1">
                  <c:v>Male</c:v>
                </c:pt>
                <c:pt idx="2">
                  <c:v>Other</c:v>
                </c:pt>
                <c:pt idx="3">
                  <c:v>total_revenue</c:v>
                </c:pt>
                <c:pt idx="4">
                  <c:v>(blank)</c:v>
                </c:pt>
              </c:strCache>
            </c:strRef>
          </c:cat>
          <c:val>
            <c:numRef>
              <c:f>'Pivot Table'!$C$23:$C$28</c:f>
              <c:numCache>
                <c:formatCode>General</c:formatCode>
                <c:ptCount val="5"/>
                <c:pt idx="0">
                  <c:v>1032431.9999999991</c:v>
                </c:pt>
                <c:pt idx="1">
                  <c:v>954161.46999999916</c:v>
                </c:pt>
                <c:pt idx="2">
                  <c:v>65097.18</c:v>
                </c:pt>
                <c:pt idx="3">
                  <c:v>2051690.6500000055</c:v>
                </c:pt>
              </c:numCache>
            </c:numRef>
          </c:val>
          <c:smooth val="0"/>
          <c:extLst>
            <c:ext xmlns:c16="http://schemas.microsoft.com/office/drawing/2014/chart" uri="{C3380CC4-5D6E-409C-BE32-E72D297353CC}">
              <c16:uniqueId val="{00000003-039C-4A5C-85B0-60221F71CC96}"/>
            </c:ext>
          </c:extLst>
        </c:ser>
        <c:dLbls>
          <c:showLegendKey val="0"/>
          <c:showVal val="0"/>
          <c:showCatName val="0"/>
          <c:showSerName val="0"/>
          <c:showPercent val="0"/>
          <c:showBubbleSize val="0"/>
        </c:dLbls>
        <c:marker val="1"/>
        <c:smooth val="0"/>
        <c:axId val="944087856"/>
        <c:axId val="944086896"/>
      </c:lineChart>
      <c:catAx>
        <c:axId val="9440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79216"/>
        <c:crosses val="autoZero"/>
        <c:auto val="1"/>
        <c:lblAlgn val="ctr"/>
        <c:lblOffset val="100"/>
        <c:noMultiLvlLbl val="0"/>
      </c:catAx>
      <c:valAx>
        <c:axId val="94407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62416"/>
        <c:crosses val="autoZero"/>
        <c:crossBetween val="between"/>
      </c:valAx>
      <c:valAx>
        <c:axId val="9440868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87856"/>
        <c:crosses val="max"/>
        <c:crossBetween val="between"/>
      </c:valAx>
      <c:catAx>
        <c:axId val="944087856"/>
        <c:scaling>
          <c:orientation val="minMax"/>
        </c:scaling>
        <c:delete val="1"/>
        <c:axPos val="b"/>
        <c:numFmt formatCode="General" sourceLinked="1"/>
        <c:majorTickMark val="out"/>
        <c:minorTickMark val="none"/>
        <c:tickLblPos val="nextTo"/>
        <c:crossAx val="944086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 × Gender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Table'!$I$20:$I$21</c:f>
              <c:strCache>
                <c:ptCount val="1"/>
                <c:pt idx="0">
                  <c:v>Female</c:v>
                </c:pt>
              </c:strCache>
            </c:strRef>
          </c:tx>
          <c:spPr>
            <a:ln w="28575" cap="rnd">
              <a:solidFill>
                <a:schemeClr val="accent1"/>
              </a:solidFill>
              <a:round/>
            </a:ln>
            <a:effectLst/>
          </c:spPr>
          <c:marker>
            <c:symbol val="none"/>
          </c:marker>
          <c:cat>
            <c:strRef>
              <c:f>'Pivot Table'!$H$22:$H$27</c:f>
              <c:strCache>
                <c:ptCount val="5"/>
                <c:pt idx="0">
                  <c:v>Beauty</c:v>
                </c:pt>
                <c:pt idx="1">
                  <c:v>Clothing</c:v>
                </c:pt>
                <c:pt idx="2">
                  <c:v>Electronics</c:v>
                </c:pt>
                <c:pt idx="3">
                  <c:v>Home</c:v>
                </c:pt>
                <c:pt idx="4">
                  <c:v>Sports</c:v>
                </c:pt>
              </c:strCache>
            </c:strRef>
          </c:cat>
          <c:val>
            <c:numRef>
              <c:f>'Pivot Table'!$I$22:$I$27</c:f>
              <c:numCache>
                <c:formatCode>General</c:formatCode>
                <c:ptCount val="5"/>
                <c:pt idx="0">
                  <c:v>216591.81999999977</c:v>
                </c:pt>
                <c:pt idx="1">
                  <c:v>194857.89</c:v>
                </c:pt>
                <c:pt idx="2">
                  <c:v>188809.57000000004</c:v>
                </c:pt>
                <c:pt idx="3">
                  <c:v>223832.45000000004</c:v>
                </c:pt>
                <c:pt idx="4">
                  <c:v>208340.26999999996</c:v>
                </c:pt>
              </c:numCache>
            </c:numRef>
          </c:val>
          <c:smooth val="0"/>
          <c:extLst>
            <c:ext xmlns:c16="http://schemas.microsoft.com/office/drawing/2014/chart" uri="{C3380CC4-5D6E-409C-BE32-E72D297353CC}">
              <c16:uniqueId val="{00000000-A3C3-497C-AE5D-1B75FD7D5255}"/>
            </c:ext>
          </c:extLst>
        </c:ser>
        <c:ser>
          <c:idx val="1"/>
          <c:order val="1"/>
          <c:tx>
            <c:strRef>
              <c:f>'Pivot Table'!$J$20:$J$21</c:f>
              <c:strCache>
                <c:ptCount val="1"/>
                <c:pt idx="0">
                  <c:v>Male</c:v>
                </c:pt>
              </c:strCache>
            </c:strRef>
          </c:tx>
          <c:spPr>
            <a:ln w="28575" cap="rnd">
              <a:solidFill>
                <a:schemeClr val="accent2"/>
              </a:solidFill>
              <a:round/>
            </a:ln>
            <a:effectLst/>
          </c:spPr>
          <c:marker>
            <c:symbol val="none"/>
          </c:marker>
          <c:cat>
            <c:strRef>
              <c:f>'Pivot Table'!$H$22:$H$27</c:f>
              <c:strCache>
                <c:ptCount val="5"/>
                <c:pt idx="0">
                  <c:v>Beauty</c:v>
                </c:pt>
                <c:pt idx="1">
                  <c:v>Clothing</c:v>
                </c:pt>
                <c:pt idx="2">
                  <c:v>Electronics</c:v>
                </c:pt>
                <c:pt idx="3">
                  <c:v>Home</c:v>
                </c:pt>
                <c:pt idx="4">
                  <c:v>Sports</c:v>
                </c:pt>
              </c:strCache>
            </c:strRef>
          </c:cat>
          <c:val>
            <c:numRef>
              <c:f>'Pivot Table'!$J$22:$J$27</c:f>
              <c:numCache>
                <c:formatCode>General</c:formatCode>
                <c:ptCount val="5"/>
                <c:pt idx="0">
                  <c:v>169530.33999999988</c:v>
                </c:pt>
                <c:pt idx="1">
                  <c:v>230559.54000000004</c:v>
                </c:pt>
                <c:pt idx="2">
                  <c:v>214104.17000000004</c:v>
                </c:pt>
                <c:pt idx="3">
                  <c:v>158138.06</c:v>
                </c:pt>
                <c:pt idx="4">
                  <c:v>181829.35999999987</c:v>
                </c:pt>
              </c:numCache>
            </c:numRef>
          </c:val>
          <c:smooth val="0"/>
          <c:extLst>
            <c:ext xmlns:c16="http://schemas.microsoft.com/office/drawing/2014/chart" uri="{C3380CC4-5D6E-409C-BE32-E72D297353CC}">
              <c16:uniqueId val="{00000001-A3C3-497C-AE5D-1B75FD7D5255}"/>
            </c:ext>
          </c:extLst>
        </c:ser>
        <c:ser>
          <c:idx val="2"/>
          <c:order val="2"/>
          <c:tx>
            <c:strRef>
              <c:f>'Pivot Table'!$K$20:$K$21</c:f>
              <c:strCache>
                <c:ptCount val="1"/>
                <c:pt idx="0">
                  <c:v>Other</c:v>
                </c:pt>
              </c:strCache>
            </c:strRef>
          </c:tx>
          <c:spPr>
            <a:ln w="28575" cap="rnd">
              <a:solidFill>
                <a:schemeClr val="accent3"/>
              </a:solidFill>
              <a:round/>
            </a:ln>
            <a:effectLst/>
          </c:spPr>
          <c:marker>
            <c:symbol val="none"/>
          </c:marker>
          <c:cat>
            <c:strRef>
              <c:f>'Pivot Table'!$H$22:$H$27</c:f>
              <c:strCache>
                <c:ptCount val="5"/>
                <c:pt idx="0">
                  <c:v>Beauty</c:v>
                </c:pt>
                <c:pt idx="1">
                  <c:v>Clothing</c:v>
                </c:pt>
                <c:pt idx="2">
                  <c:v>Electronics</c:v>
                </c:pt>
                <c:pt idx="3">
                  <c:v>Home</c:v>
                </c:pt>
                <c:pt idx="4">
                  <c:v>Sports</c:v>
                </c:pt>
              </c:strCache>
            </c:strRef>
          </c:cat>
          <c:val>
            <c:numRef>
              <c:f>'Pivot Table'!$K$22:$K$27</c:f>
              <c:numCache>
                <c:formatCode>General</c:formatCode>
                <c:ptCount val="5"/>
                <c:pt idx="0">
                  <c:v>19728.579999999998</c:v>
                </c:pt>
                <c:pt idx="1">
                  <c:v>14385.720000000001</c:v>
                </c:pt>
                <c:pt idx="2">
                  <c:v>8715.07</c:v>
                </c:pt>
                <c:pt idx="3">
                  <c:v>10116.23</c:v>
                </c:pt>
                <c:pt idx="4">
                  <c:v>12151.58</c:v>
                </c:pt>
              </c:numCache>
            </c:numRef>
          </c:val>
          <c:smooth val="0"/>
          <c:extLst>
            <c:ext xmlns:c16="http://schemas.microsoft.com/office/drawing/2014/chart" uri="{C3380CC4-5D6E-409C-BE32-E72D297353CC}">
              <c16:uniqueId val="{00000002-A3C3-497C-AE5D-1B75FD7D5255}"/>
            </c:ext>
          </c:extLst>
        </c:ser>
        <c:dLbls>
          <c:showLegendKey val="0"/>
          <c:showVal val="0"/>
          <c:showCatName val="0"/>
          <c:showSerName val="0"/>
          <c:showPercent val="0"/>
          <c:showBubbleSize val="0"/>
        </c:dLbls>
        <c:smooth val="0"/>
        <c:axId val="159575008"/>
        <c:axId val="159575488"/>
      </c:lineChart>
      <c:catAx>
        <c:axId val="1595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75488"/>
        <c:crosses val="autoZero"/>
        <c:auto val="1"/>
        <c:lblAlgn val="ctr"/>
        <c:lblOffset val="100"/>
        <c:noMultiLvlLbl val="0"/>
      </c:catAx>
      <c:valAx>
        <c:axId val="159575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7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a:t>
            </a:r>
            <a:r>
              <a:rPr lang="en-IN" sz="1400" b="0" i="0" u="none" strike="noStrike" baseline="0"/>
              <a:t>Revenue by Product Category</a:t>
            </a:r>
            <a:r>
              <a:rPr lang="en-IN"/>
              <a:t>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Total_revenue</c:v>
                </c:pt>
              </c:strCache>
            </c:strRef>
          </c:tx>
          <c:spPr>
            <a:solidFill>
              <a:schemeClr val="accent1"/>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Table'!$B$3:$B$8</c:f>
              <c:numCache>
                <c:formatCode>_-[$$-409]* #,##0.00_ ;_-[$$-409]* \-#,##0.00\ ;_-[$$-409]* "-"??_ ;_-@_ </c:formatCode>
                <c:ptCount val="5"/>
                <c:pt idx="0">
                  <c:v>405850.74000000022</c:v>
                </c:pt>
                <c:pt idx="1">
                  <c:v>439803.15</c:v>
                </c:pt>
                <c:pt idx="2">
                  <c:v>411628.81000000011</c:v>
                </c:pt>
                <c:pt idx="3">
                  <c:v>392086.74000000017</c:v>
                </c:pt>
                <c:pt idx="4">
                  <c:v>402321.2099999999</c:v>
                </c:pt>
              </c:numCache>
            </c:numRef>
          </c:val>
          <c:extLst>
            <c:ext xmlns:c16="http://schemas.microsoft.com/office/drawing/2014/chart" uri="{C3380CC4-5D6E-409C-BE32-E72D297353CC}">
              <c16:uniqueId val="{00000000-07F1-4506-B63B-F8E1947237D4}"/>
            </c:ext>
          </c:extLst>
        </c:ser>
        <c:ser>
          <c:idx val="1"/>
          <c:order val="1"/>
          <c:tx>
            <c:strRef>
              <c:f>'Pivot Table'!$C$2</c:f>
              <c:strCache>
                <c:ptCount val="1"/>
                <c:pt idx="0">
                  <c:v>order_count</c:v>
                </c:pt>
              </c:strCache>
            </c:strRef>
          </c:tx>
          <c:spPr>
            <a:solidFill>
              <a:schemeClr val="accent2"/>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Table'!$C$3:$C$8</c:f>
              <c:numCache>
                <c:formatCode>General</c:formatCode>
                <c:ptCount val="5"/>
                <c:pt idx="0">
                  <c:v>396</c:v>
                </c:pt>
                <c:pt idx="1">
                  <c:v>426</c:v>
                </c:pt>
                <c:pt idx="2">
                  <c:v>414</c:v>
                </c:pt>
                <c:pt idx="3">
                  <c:v>374</c:v>
                </c:pt>
                <c:pt idx="4">
                  <c:v>390</c:v>
                </c:pt>
              </c:numCache>
            </c:numRef>
          </c:val>
          <c:extLst>
            <c:ext xmlns:c16="http://schemas.microsoft.com/office/drawing/2014/chart" uri="{C3380CC4-5D6E-409C-BE32-E72D297353CC}">
              <c16:uniqueId val="{00000001-07F1-4506-B63B-F8E1947237D4}"/>
            </c:ext>
          </c:extLst>
        </c:ser>
        <c:ser>
          <c:idx val="2"/>
          <c:order val="2"/>
          <c:tx>
            <c:strRef>
              <c:f>'Pivot Table'!$D$2</c:f>
              <c:strCache>
                <c:ptCount val="1"/>
                <c:pt idx="0">
                  <c:v>Avg_Order_Value</c:v>
                </c:pt>
              </c:strCache>
            </c:strRef>
          </c:tx>
          <c:spPr>
            <a:solidFill>
              <a:schemeClr val="accent3"/>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Table'!$D$3:$D$8</c:f>
              <c:numCache>
                <c:formatCode>_-[$$-409]* #,##0.00_ ;_-[$$-409]* \-#,##0.00\ ;_-[$$-409]* "-"??_ ;_-@_ </c:formatCode>
                <c:ptCount val="5"/>
                <c:pt idx="0">
                  <c:v>1024.8756060606065</c:v>
                </c:pt>
                <c:pt idx="1">
                  <c:v>1032.4017605633803</c:v>
                </c:pt>
                <c:pt idx="2">
                  <c:v>994.27248792270564</c:v>
                </c:pt>
                <c:pt idx="3">
                  <c:v>1048.3602673796795</c:v>
                </c:pt>
                <c:pt idx="4">
                  <c:v>1031.5928461538458</c:v>
                </c:pt>
              </c:numCache>
            </c:numRef>
          </c:val>
          <c:extLst>
            <c:ext xmlns:c16="http://schemas.microsoft.com/office/drawing/2014/chart" uri="{C3380CC4-5D6E-409C-BE32-E72D297353CC}">
              <c16:uniqueId val="{00000002-07F1-4506-B63B-F8E1947237D4}"/>
            </c:ext>
          </c:extLst>
        </c:ser>
        <c:ser>
          <c:idx val="3"/>
          <c:order val="3"/>
          <c:tx>
            <c:strRef>
              <c:f>'Pivot Table'!$E$2</c:f>
              <c:strCache>
                <c:ptCount val="1"/>
                <c:pt idx="0">
                  <c:v>Avg_Unit_Price</c:v>
                </c:pt>
              </c:strCache>
            </c:strRef>
          </c:tx>
          <c:spPr>
            <a:solidFill>
              <a:schemeClr val="accent4"/>
            </a:solidFill>
            <a:ln>
              <a:noFill/>
            </a:ln>
            <a:effectLst/>
          </c:spPr>
          <c:invertIfNegative val="0"/>
          <c:cat>
            <c:strRef>
              <c:f>'Pivot Table'!$A$3:$A$8</c:f>
              <c:strCache>
                <c:ptCount val="5"/>
                <c:pt idx="0">
                  <c:v>Beauty</c:v>
                </c:pt>
                <c:pt idx="1">
                  <c:v>Clothing</c:v>
                </c:pt>
                <c:pt idx="2">
                  <c:v>Electronics</c:v>
                </c:pt>
                <c:pt idx="3">
                  <c:v>Home</c:v>
                </c:pt>
                <c:pt idx="4">
                  <c:v>Sports</c:v>
                </c:pt>
              </c:strCache>
            </c:strRef>
          </c:cat>
          <c:val>
            <c:numRef>
              <c:f>'Pivot Table'!$E$3:$E$8</c:f>
              <c:numCache>
                <c:formatCode>_-[$$-409]* #,##0.00_ ;_-[$$-409]* \-#,##0.00\ ;_-[$$-409]* "-"??_ ;_-@_ </c:formatCode>
                <c:ptCount val="5"/>
                <c:pt idx="0">
                  <c:v>5.012626262626263</c:v>
                </c:pt>
                <c:pt idx="1">
                  <c:v>5.117370892018779</c:v>
                </c:pt>
                <c:pt idx="2">
                  <c:v>4.6908212560386477</c:v>
                </c:pt>
                <c:pt idx="3">
                  <c:v>4.8930481283422456</c:v>
                </c:pt>
                <c:pt idx="4">
                  <c:v>5.0256410256410255</c:v>
                </c:pt>
              </c:numCache>
            </c:numRef>
          </c:val>
          <c:extLst>
            <c:ext xmlns:c16="http://schemas.microsoft.com/office/drawing/2014/chart" uri="{C3380CC4-5D6E-409C-BE32-E72D297353CC}">
              <c16:uniqueId val="{00000003-07F1-4506-B63B-F8E1947237D4}"/>
            </c:ext>
          </c:extLst>
        </c:ser>
        <c:dLbls>
          <c:showLegendKey val="0"/>
          <c:showVal val="0"/>
          <c:showCatName val="0"/>
          <c:showSerName val="0"/>
          <c:showPercent val="0"/>
          <c:showBubbleSize val="0"/>
        </c:dLbls>
        <c:gapWidth val="219"/>
        <c:overlap val="-27"/>
        <c:axId val="159583024"/>
        <c:axId val="159583504"/>
      </c:barChart>
      <c:catAx>
        <c:axId val="15958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83504"/>
        <c:crosses val="autoZero"/>
        <c:auto val="1"/>
        <c:lblAlgn val="ctr"/>
        <c:lblOffset val="100"/>
        <c:noMultiLvlLbl val="0"/>
      </c:catAx>
      <c:valAx>
        <c:axId val="15958350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8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Subscription Status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Table'!$I$2</c:f>
              <c:strCache>
                <c:ptCount val="1"/>
                <c:pt idx="0">
                  <c:v>Count of customer_id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F1-49E4-BE5F-36A5182BDD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F1-49E4-BE5F-36A5182BDD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5F1-49E4-BE5F-36A5182BDD09}"/>
              </c:ext>
            </c:extLst>
          </c:dPt>
          <c:cat>
            <c:strRef>
              <c:f>'Pivot Table'!$H$3:$H$6</c:f>
              <c:strCache>
                <c:ptCount val="3"/>
                <c:pt idx="0">
                  <c:v>active</c:v>
                </c:pt>
                <c:pt idx="1">
                  <c:v>cancelled</c:v>
                </c:pt>
                <c:pt idx="2">
                  <c:v>paused</c:v>
                </c:pt>
              </c:strCache>
            </c:strRef>
          </c:cat>
          <c:val>
            <c:numRef>
              <c:f>'Pivot Table'!$I$3:$I$6</c:f>
              <c:numCache>
                <c:formatCode>General</c:formatCode>
                <c:ptCount val="3"/>
                <c:pt idx="0">
                  <c:v>1204</c:v>
                </c:pt>
                <c:pt idx="1">
                  <c:v>493</c:v>
                </c:pt>
                <c:pt idx="2">
                  <c:v>303</c:v>
                </c:pt>
              </c:numCache>
            </c:numRef>
          </c:val>
          <c:extLst>
            <c:ext xmlns:c16="http://schemas.microsoft.com/office/drawing/2014/chart" uri="{C3380CC4-5D6E-409C-BE32-E72D297353CC}">
              <c16:uniqueId val="{00000006-25F1-49E4-BE5F-36A5182BDD09}"/>
            </c:ext>
          </c:extLst>
        </c:ser>
        <c:ser>
          <c:idx val="1"/>
          <c:order val="1"/>
          <c:tx>
            <c:strRef>
              <c:f>'Pivot Table'!$J$2</c:f>
              <c:strCache>
                <c:ptCount val="1"/>
                <c:pt idx="0">
                  <c:v>Sum of gross_revenue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25F1-49E4-BE5F-36A5182BDD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25F1-49E4-BE5F-36A5182BDD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25F1-49E4-BE5F-36A5182BDD09}"/>
              </c:ext>
            </c:extLst>
          </c:dPt>
          <c:cat>
            <c:strRef>
              <c:f>'Pivot Table'!$H$3:$H$6</c:f>
              <c:strCache>
                <c:ptCount val="3"/>
                <c:pt idx="0">
                  <c:v>active</c:v>
                </c:pt>
                <c:pt idx="1">
                  <c:v>cancelled</c:v>
                </c:pt>
                <c:pt idx="2">
                  <c:v>paused</c:v>
                </c:pt>
              </c:strCache>
            </c:strRef>
          </c:cat>
          <c:val>
            <c:numRef>
              <c:f>'Pivot Table'!$J$3:$J$6</c:f>
              <c:numCache>
                <c:formatCode>General</c:formatCode>
                <c:ptCount val="3"/>
                <c:pt idx="0">
                  <c:v>1231160.2599999988</c:v>
                </c:pt>
                <c:pt idx="1">
                  <c:v>516068.28000000009</c:v>
                </c:pt>
                <c:pt idx="2">
                  <c:v>304462.10999999993</c:v>
                </c:pt>
              </c:numCache>
            </c:numRef>
          </c:val>
          <c:extLst>
            <c:ext xmlns:c16="http://schemas.microsoft.com/office/drawing/2014/chart" uri="{C3380CC4-5D6E-409C-BE32-E72D297353CC}">
              <c16:uniqueId val="{0000000D-25F1-49E4-BE5F-36A5182BDD09}"/>
            </c:ext>
          </c:extLst>
        </c:ser>
        <c:ser>
          <c:idx val="2"/>
          <c:order val="2"/>
          <c:tx>
            <c:strRef>
              <c:f>'Pivot Table'!$K$2</c:f>
              <c:strCache>
                <c:ptCount val="1"/>
                <c:pt idx="0">
                  <c:v>Avg_Cancellations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25F1-49E4-BE5F-36A5182BDD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25F1-49E4-BE5F-36A5182BDD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25F1-49E4-BE5F-36A5182BDD09}"/>
              </c:ext>
            </c:extLst>
          </c:dPt>
          <c:cat>
            <c:strRef>
              <c:f>'Pivot Table'!$H$3:$H$6</c:f>
              <c:strCache>
                <c:ptCount val="3"/>
                <c:pt idx="0">
                  <c:v>active</c:v>
                </c:pt>
                <c:pt idx="1">
                  <c:v>cancelled</c:v>
                </c:pt>
                <c:pt idx="2">
                  <c:v>paused</c:v>
                </c:pt>
              </c:strCache>
            </c:strRef>
          </c:cat>
          <c:val>
            <c:numRef>
              <c:f>'Pivot Table'!$K$3:$K$6</c:f>
              <c:numCache>
                <c:formatCode>0.00</c:formatCode>
                <c:ptCount val="3"/>
                <c:pt idx="0">
                  <c:v>2.4393687707641196</c:v>
                </c:pt>
                <c:pt idx="1">
                  <c:v>2.4787018255578093</c:v>
                </c:pt>
                <c:pt idx="2">
                  <c:v>2.3894389438943895</c:v>
                </c:pt>
              </c:numCache>
            </c:numRef>
          </c:val>
          <c:extLst>
            <c:ext xmlns:c16="http://schemas.microsoft.com/office/drawing/2014/chart" uri="{C3380CC4-5D6E-409C-BE32-E72D297353CC}">
              <c16:uniqueId val="{00000014-25F1-49E4-BE5F-36A5182BDD09}"/>
            </c:ext>
          </c:extLst>
        </c:ser>
        <c:ser>
          <c:idx val="3"/>
          <c:order val="3"/>
          <c:tx>
            <c:strRef>
              <c:f>'Pivot Table'!$L$2</c:f>
              <c:strCache>
                <c:ptCount val="1"/>
                <c:pt idx="0">
                  <c:v>Avg_Purchase_Freq</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6-25F1-49E4-BE5F-36A5182BDD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8-25F1-49E4-BE5F-36A5182BDD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A-25F1-49E4-BE5F-36A5182BDD09}"/>
              </c:ext>
            </c:extLst>
          </c:dPt>
          <c:cat>
            <c:strRef>
              <c:f>'Pivot Table'!$H$3:$H$6</c:f>
              <c:strCache>
                <c:ptCount val="3"/>
                <c:pt idx="0">
                  <c:v>active</c:v>
                </c:pt>
                <c:pt idx="1">
                  <c:v>cancelled</c:v>
                </c:pt>
                <c:pt idx="2">
                  <c:v>paused</c:v>
                </c:pt>
              </c:strCache>
            </c:strRef>
          </c:cat>
          <c:val>
            <c:numRef>
              <c:f>'Pivot Table'!$L$3:$L$6</c:f>
              <c:numCache>
                <c:formatCode>0.00</c:formatCode>
                <c:ptCount val="3"/>
                <c:pt idx="0">
                  <c:v>24.843023255813954</c:v>
                </c:pt>
                <c:pt idx="1">
                  <c:v>26.06288032454361</c:v>
                </c:pt>
                <c:pt idx="2">
                  <c:v>24.937293729372936</c:v>
                </c:pt>
              </c:numCache>
            </c:numRef>
          </c:val>
          <c:extLst>
            <c:ext xmlns:c16="http://schemas.microsoft.com/office/drawing/2014/chart" uri="{C3380CC4-5D6E-409C-BE32-E72D297353CC}">
              <c16:uniqueId val="{0000001B-25F1-49E4-BE5F-36A5182BDD0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Table!Revenue Distribution by Country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Distribution by Country</a:t>
            </a:r>
            <a:r>
              <a:rPr lang="en-IN"/>
              <a:t>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Table'!$B$11</c:f>
              <c:strCache>
                <c:ptCount val="1"/>
                <c:pt idx="0">
                  <c:v>Total_revenue</c:v>
                </c:pt>
              </c:strCache>
            </c:strRef>
          </c:tx>
          <c:spPr>
            <a:solidFill>
              <a:schemeClr val="accent1"/>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Table'!$B$12:$B$18</c:f>
              <c:numCache>
                <c:formatCode>_-[$$-409]* #,##0.00_ ;_-[$$-409]* \-#,##0.00\ ;_-[$$-409]* "-"??_ ;_-@_ </c:formatCode>
                <c:ptCount val="6"/>
                <c:pt idx="0">
                  <c:v>321518.31999999977</c:v>
                </c:pt>
                <c:pt idx="1">
                  <c:v>368249.31000000023</c:v>
                </c:pt>
                <c:pt idx="2">
                  <c:v>336791.52999999997</c:v>
                </c:pt>
                <c:pt idx="3">
                  <c:v>343162.68</c:v>
                </c:pt>
                <c:pt idx="4">
                  <c:v>353312.03000000009</c:v>
                </c:pt>
                <c:pt idx="5">
                  <c:v>328656.78000000009</c:v>
                </c:pt>
              </c:numCache>
            </c:numRef>
          </c:val>
          <c:extLst>
            <c:ext xmlns:c16="http://schemas.microsoft.com/office/drawing/2014/chart" uri="{C3380CC4-5D6E-409C-BE32-E72D297353CC}">
              <c16:uniqueId val="{00000000-7743-402B-93D6-BAAAA39C9BBD}"/>
            </c:ext>
          </c:extLst>
        </c:ser>
        <c:ser>
          <c:idx val="1"/>
          <c:order val="1"/>
          <c:tx>
            <c:strRef>
              <c:f>'Pivot Table'!$C$11</c:f>
              <c:strCache>
                <c:ptCount val="1"/>
                <c:pt idx="0">
                  <c:v>order_count</c:v>
                </c:pt>
              </c:strCache>
            </c:strRef>
          </c:tx>
          <c:spPr>
            <a:solidFill>
              <a:schemeClr val="accent2"/>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Table'!$C$12:$C$18</c:f>
              <c:numCache>
                <c:formatCode>General</c:formatCode>
                <c:ptCount val="6"/>
                <c:pt idx="0">
                  <c:v>315</c:v>
                </c:pt>
                <c:pt idx="1">
                  <c:v>360</c:v>
                </c:pt>
                <c:pt idx="2">
                  <c:v>324</c:v>
                </c:pt>
                <c:pt idx="3">
                  <c:v>332</c:v>
                </c:pt>
                <c:pt idx="4">
                  <c:v>350</c:v>
                </c:pt>
                <c:pt idx="5">
                  <c:v>319</c:v>
                </c:pt>
              </c:numCache>
            </c:numRef>
          </c:val>
          <c:extLst>
            <c:ext xmlns:c16="http://schemas.microsoft.com/office/drawing/2014/chart" uri="{C3380CC4-5D6E-409C-BE32-E72D297353CC}">
              <c16:uniqueId val="{00000001-7743-402B-93D6-BAAAA39C9BBD}"/>
            </c:ext>
          </c:extLst>
        </c:ser>
        <c:ser>
          <c:idx val="2"/>
          <c:order val="2"/>
          <c:tx>
            <c:strRef>
              <c:f>'Pivot Table'!$D$11</c:f>
              <c:strCache>
                <c:ptCount val="1"/>
                <c:pt idx="0">
                  <c:v>Unique_Customers</c:v>
                </c:pt>
              </c:strCache>
            </c:strRef>
          </c:tx>
          <c:spPr>
            <a:solidFill>
              <a:schemeClr val="accent3"/>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Table'!$D$12:$D$18</c:f>
              <c:numCache>
                <c:formatCode>0.00</c:formatCode>
                <c:ptCount val="6"/>
                <c:pt idx="0">
                  <c:v>315</c:v>
                </c:pt>
                <c:pt idx="1">
                  <c:v>360</c:v>
                </c:pt>
                <c:pt idx="2">
                  <c:v>324</c:v>
                </c:pt>
                <c:pt idx="3">
                  <c:v>332</c:v>
                </c:pt>
                <c:pt idx="4">
                  <c:v>350</c:v>
                </c:pt>
                <c:pt idx="5">
                  <c:v>319</c:v>
                </c:pt>
              </c:numCache>
            </c:numRef>
          </c:val>
          <c:extLst>
            <c:ext xmlns:c16="http://schemas.microsoft.com/office/drawing/2014/chart" uri="{C3380CC4-5D6E-409C-BE32-E72D297353CC}">
              <c16:uniqueId val="{00000002-7743-402B-93D6-BAAAA39C9BBD}"/>
            </c:ext>
          </c:extLst>
        </c:ser>
        <c:ser>
          <c:idx val="3"/>
          <c:order val="3"/>
          <c:tx>
            <c:strRef>
              <c:f>'Pivot Table'!$E$11</c:f>
              <c:strCache>
                <c:ptCount val="1"/>
                <c:pt idx="0">
                  <c:v>Avg_Order_Value</c:v>
                </c:pt>
              </c:strCache>
            </c:strRef>
          </c:tx>
          <c:spPr>
            <a:solidFill>
              <a:schemeClr val="accent4"/>
            </a:solidFill>
            <a:ln>
              <a:noFill/>
            </a:ln>
            <a:effectLst/>
            <a:sp3d/>
          </c:spPr>
          <c:invertIfNegative val="0"/>
          <c:cat>
            <c:strRef>
              <c:f>'Pivot Table'!$A$12:$A$18</c:f>
              <c:strCache>
                <c:ptCount val="6"/>
                <c:pt idx="0">
                  <c:v>Canada</c:v>
                </c:pt>
                <c:pt idx="1">
                  <c:v>Germany</c:v>
                </c:pt>
                <c:pt idx="2">
                  <c:v>India</c:v>
                </c:pt>
                <c:pt idx="3">
                  <c:v>Pakistan</c:v>
                </c:pt>
                <c:pt idx="4">
                  <c:v>UK</c:v>
                </c:pt>
                <c:pt idx="5">
                  <c:v>USA</c:v>
                </c:pt>
              </c:strCache>
            </c:strRef>
          </c:cat>
          <c:val>
            <c:numRef>
              <c:f>'Pivot Table'!$E$12:$E$18</c:f>
              <c:numCache>
                <c:formatCode>_-[$$-409]* #,##0.00_ ;_-[$$-409]* \-#,##0.00\ ;_-[$$-409]* "-"??_ ;_-@_ </c:formatCode>
                <c:ptCount val="6"/>
                <c:pt idx="0">
                  <c:v>1020.6930793650787</c:v>
                </c:pt>
                <c:pt idx="1">
                  <c:v>1022.9147500000006</c:v>
                </c:pt>
                <c:pt idx="2">
                  <c:v>1039.4800308641975</c:v>
                </c:pt>
                <c:pt idx="3">
                  <c:v>1033.622530120482</c:v>
                </c:pt>
                <c:pt idx="4">
                  <c:v>1009.462942857143</c:v>
                </c:pt>
                <c:pt idx="5">
                  <c:v>1030.272037617555</c:v>
                </c:pt>
              </c:numCache>
            </c:numRef>
          </c:val>
          <c:extLst>
            <c:ext xmlns:c16="http://schemas.microsoft.com/office/drawing/2014/chart" uri="{C3380CC4-5D6E-409C-BE32-E72D297353CC}">
              <c16:uniqueId val="{00000003-7743-402B-93D6-BAAAA39C9BBD}"/>
            </c:ext>
          </c:extLst>
        </c:ser>
        <c:dLbls>
          <c:showLegendKey val="0"/>
          <c:showVal val="0"/>
          <c:showCatName val="0"/>
          <c:showSerName val="0"/>
          <c:showPercent val="0"/>
          <c:showBubbleSize val="0"/>
        </c:dLbls>
        <c:gapWidth val="150"/>
        <c:shape val="box"/>
        <c:axId val="157815936"/>
        <c:axId val="157813536"/>
        <c:axId val="0"/>
      </c:bar3DChart>
      <c:catAx>
        <c:axId val="15781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3536"/>
        <c:crosses val="autoZero"/>
        <c:auto val="1"/>
        <c:lblAlgn val="ctr"/>
        <c:lblOffset val="100"/>
        <c:noMultiLvlLbl val="0"/>
      </c:catAx>
      <c:valAx>
        <c:axId val="157813536"/>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Generational Revenue &amp; Behaviour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Table'!$I$10</c:f>
              <c:strCache>
                <c:ptCount val="1"/>
                <c:pt idx="0">
                  <c:v>customer_Count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Table'!$I$11:$I$16</c:f>
              <c:numCache>
                <c:formatCode>0.00</c:formatCode>
                <c:ptCount val="5"/>
                <c:pt idx="0">
                  <c:v>258</c:v>
                </c:pt>
                <c:pt idx="1">
                  <c:v>345</c:v>
                </c:pt>
                <c:pt idx="2">
                  <c:v>584</c:v>
                </c:pt>
                <c:pt idx="3">
                  <c:v>632</c:v>
                </c:pt>
                <c:pt idx="4">
                  <c:v>181</c:v>
                </c:pt>
              </c:numCache>
            </c:numRef>
          </c:val>
          <c:smooth val="0"/>
          <c:extLst>
            <c:ext xmlns:c16="http://schemas.microsoft.com/office/drawing/2014/chart" uri="{C3380CC4-5D6E-409C-BE32-E72D297353CC}">
              <c16:uniqueId val="{00000000-8401-4A8B-AD2D-AE9CA0E9BB70}"/>
            </c:ext>
          </c:extLst>
        </c:ser>
        <c:ser>
          <c:idx val="1"/>
          <c:order val="1"/>
          <c:tx>
            <c:strRef>
              <c:f>'Pivot Table'!$J$10</c:f>
              <c:strCache>
                <c:ptCount val="1"/>
                <c:pt idx="0">
                  <c:v>Sum of gross_revenue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Table'!$J$11:$J$16</c:f>
              <c:numCache>
                <c:formatCode>General</c:formatCode>
                <c:ptCount val="5"/>
                <c:pt idx="0">
                  <c:v>263546.12</c:v>
                </c:pt>
                <c:pt idx="1">
                  <c:v>361799.49</c:v>
                </c:pt>
                <c:pt idx="2">
                  <c:v>598548.38000000012</c:v>
                </c:pt>
                <c:pt idx="3">
                  <c:v>633398.31999999948</c:v>
                </c:pt>
                <c:pt idx="4">
                  <c:v>194398.33999999991</c:v>
                </c:pt>
              </c:numCache>
            </c:numRef>
          </c:val>
          <c:smooth val="0"/>
          <c:extLst>
            <c:ext xmlns:c16="http://schemas.microsoft.com/office/drawing/2014/chart" uri="{C3380CC4-5D6E-409C-BE32-E72D297353CC}">
              <c16:uniqueId val="{00000001-8401-4A8B-AD2D-AE9CA0E9BB70}"/>
            </c:ext>
          </c:extLst>
        </c:ser>
        <c:ser>
          <c:idx val="2"/>
          <c:order val="2"/>
          <c:tx>
            <c:strRef>
              <c:f>'Pivot Table'!$K$10</c:f>
              <c:strCache>
                <c:ptCount val="1"/>
                <c:pt idx="0">
                  <c:v>Avg_Order_Value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Table'!$K$11:$K$16</c:f>
              <c:numCache>
                <c:formatCode>0.00</c:formatCode>
                <c:ptCount val="5"/>
                <c:pt idx="0">
                  <c:v>1021.4965891472868</c:v>
                </c:pt>
                <c:pt idx="1">
                  <c:v>1048.6941739130434</c:v>
                </c:pt>
                <c:pt idx="2">
                  <c:v>1024.9116095890413</c:v>
                </c:pt>
                <c:pt idx="3">
                  <c:v>1002.2125316455688</c:v>
                </c:pt>
                <c:pt idx="4">
                  <c:v>1074.0239779005519</c:v>
                </c:pt>
              </c:numCache>
            </c:numRef>
          </c:val>
          <c:smooth val="0"/>
          <c:extLst>
            <c:ext xmlns:c16="http://schemas.microsoft.com/office/drawing/2014/chart" uri="{C3380CC4-5D6E-409C-BE32-E72D297353CC}">
              <c16:uniqueId val="{00000002-8401-4A8B-AD2D-AE9CA0E9BB70}"/>
            </c:ext>
          </c:extLst>
        </c:ser>
        <c:ser>
          <c:idx val="3"/>
          <c:order val="3"/>
          <c:tx>
            <c:strRef>
              <c:f>'Pivot Table'!$L$10</c:f>
              <c:strCache>
                <c:ptCount val="1"/>
                <c:pt idx="0">
                  <c:v>Avg_Purchase_Freq</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Table'!$H$11:$H$16</c:f>
              <c:strCache>
                <c:ptCount val="5"/>
                <c:pt idx="0">
                  <c:v>18-24 Gen Z</c:v>
                </c:pt>
                <c:pt idx="1">
                  <c:v>25-34 Millennials</c:v>
                </c:pt>
                <c:pt idx="2">
                  <c:v>35-49 Gen X</c:v>
                </c:pt>
                <c:pt idx="3">
                  <c:v>50-64 Boomers</c:v>
                </c:pt>
                <c:pt idx="4">
                  <c:v>65+ Seniors</c:v>
                </c:pt>
              </c:strCache>
            </c:strRef>
          </c:cat>
          <c:val>
            <c:numRef>
              <c:f>'Pivot Table'!$L$11:$L$16</c:f>
              <c:numCache>
                <c:formatCode>0.00</c:formatCode>
                <c:ptCount val="5"/>
                <c:pt idx="0">
                  <c:v>25.120155038759691</c:v>
                </c:pt>
                <c:pt idx="1">
                  <c:v>24.930434782608696</c:v>
                </c:pt>
                <c:pt idx="2">
                  <c:v>25.332191780821919</c:v>
                </c:pt>
                <c:pt idx="3">
                  <c:v>24.7626582278481</c:v>
                </c:pt>
                <c:pt idx="4">
                  <c:v>26.464088397790054</c:v>
                </c:pt>
              </c:numCache>
            </c:numRef>
          </c:val>
          <c:smooth val="0"/>
          <c:extLst>
            <c:ext xmlns:c16="http://schemas.microsoft.com/office/drawing/2014/chart" uri="{C3380CC4-5D6E-409C-BE32-E72D297353CC}">
              <c16:uniqueId val="{00000003-8401-4A8B-AD2D-AE9CA0E9BB70}"/>
            </c:ext>
          </c:extLst>
        </c:ser>
        <c:dLbls>
          <c:showLegendKey val="0"/>
          <c:showVal val="0"/>
          <c:showCatName val="0"/>
          <c:showSerName val="0"/>
          <c:showPercent val="0"/>
          <c:showBubbleSize val="0"/>
        </c:dLbls>
        <c:marker val="1"/>
        <c:smooth val="0"/>
        <c:axId val="149471472"/>
        <c:axId val="149471952"/>
      </c:lineChart>
      <c:catAx>
        <c:axId val="14947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1952"/>
        <c:crosses val="autoZero"/>
        <c:auto val="1"/>
        <c:lblAlgn val="ctr"/>
        <c:lblOffset val="100"/>
        <c:noMultiLvlLbl val="0"/>
      </c:catAx>
      <c:valAx>
        <c:axId val="1494719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&amp; Revenue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Order_Count</c:v>
                </c:pt>
              </c:strCache>
            </c:strRef>
          </c:tx>
          <c:spPr>
            <a:solidFill>
              <a:schemeClr val="accent1"/>
            </a:solidFill>
            <a:ln>
              <a:noFill/>
            </a:ln>
            <a:effectLst/>
          </c:spPr>
          <c:invertIfNegative val="0"/>
          <c:cat>
            <c:strRef>
              <c:f>'Pivot Table'!$A$23:$A$28</c:f>
              <c:strCache>
                <c:ptCount val="5"/>
                <c:pt idx="0">
                  <c:v>Female</c:v>
                </c:pt>
                <c:pt idx="1">
                  <c:v>Male</c:v>
                </c:pt>
                <c:pt idx="2">
                  <c:v>Other</c:v>
                </c:pt>
                <c:pt idx="3">
                  <c:v>total_revenue</c:v>
                </c:pt>
                <c:pt idx="4">
                  <c:v>(blank)</c:v>
                </c:pt>
              </c:strCache>
            </c:strRef>
          </c:cat>
          <c:val>
            <c:numRef>
              <c:f>'Pivot Table'!$B$23:$B$28</c:f>
              <c:numCache>
                <c:formatCode>General</c:formatCode>
                <c:ptCount val="5"/>
                <c:pt idx="0">
                  <c:v>1015</c:v>
                </c:pt>
                <c:pt idx="1">
                  <c:v>917</c:v>
                </c:pt>
                <c:pt idx="2">
                  <c:v>68</c:v>
                </c:pt>
              </c:numCache>
            </c:numRef>
          </c:val>
          <c:extLst>
            <c:ext xmlns:c16="http://schemas.microsoft.com/office/drawing/2014/chart" uri="{C3380CC4-5D6E-409C-BE32-E72D297353CC}">
              <c16:uniqueId val="{00000000-8031-4E6A-AB57-2E7D2A773A09}"/>
            </c:ext>
          </c:extLst>
        </c:ser>
        <c:dLbls>
          <c:showLegendKey val="0"/>
          <c:showVal val="0"/>
          <c:showCatName val="0"/>
          <c:showSerName val="0"/>
          <c:showPercent val="0"/>
          <c:showBubbleSize val="0"/>
        </c:dLbls>
        <c:gapWidth val="219"/>
        <c:overlap val="-27"/>
        <c:axId val="944062416"/>
        <c:axId val="944079216"/>
      </c:barChart>
      <c:lineChart>
        <c:grouping val="standard"/>
        <c:varyColors val="0"/>
        <c:ser>
          <c:idx val="2"/>
          <c:order val="2"/>
          <c:tx>
            <c:strRef>
              <c:f>'Pivot Table'!$D$22</c:f>
              <c:strCache>
                <c:ptCount val="1"/>
                <c:pt idx="0">
                  <c:v>Avg_Order_Value</c:v>
                </c:pt>
              </c:strCache>
            </c:strRef>
          </c:tx>
          <c:spPr>
            <a:ln w="28575" cap="rnd">
              <a:solidFill>
                <a:schemeClr val="accent3"/>
              </a:solidFill>
              <a:round/>
            </a:ln>
            <a:effectLst/>
          </c:spPr>
          <c:marker>
            <c:symbol val="none"/>
          </c:marker>
          <c:cat>
            <c:strRef>
              <c:f>'Pivot Table'!$A$23:$A$28</c:f>
              <c:strCache>
                <c:ptCount val="5"/>
                <c:pt idx="0">
                  <c:v>Female</c:v>
                </c:pt>
                <c:pt idx="1">
                  <c:v>Male</c:v>
                </c:pt>
                <c:pt idx="2">
                  <c:v>Other</c:v>
                </c:pt>
                <c:pt idx="3">
                  <c:v>total_revenue</c:v>
                </c:pt>
                <c:pt idx="4">
                  <c:v>(blank)</c:v>
                </c:pt>
              </c:strCache>
            </c:strRef>
          </c:cat>
          <c:val>
            <c:numRef>
              <c:f>'Pivot Table'!$D$23:$D$28</c:f>
              <c:numCache>
                <c:formatCode>0.00</c:formatCode>
                <c:ptCount val="5"/>
                <c:pt idx="0">
                  <c:v>1017.1743842364523</c:v>
                </c:pt>
                <c:pt idx="1">
                  <c:v>1040.5250490730634</c:v>
                </c:pt>
                <c:pt idx="2">
                  <c:v>957.31147058823535</c:v>
                </c:pt>
                <c:pt idx="3">
                  <c:v>2051690.6500000055</c:v>
                </c:pt>
              </c:numCache>
            </c:numRef>
          </c:val>
          <c:smooth val="0"/>
          <c:extLst>
            <c:ext xmlns:c16="http://schemas.microsoft.com/office/drawing/2014/chart" uri="{C3380CC4-5D6E-409C-BE32-E72D297353CC}">
              <c16:uniqueId val="{00000001-8031-4E6A-AB57-2E7D2A773A09}"/>
            </c:ext>
          </c:extLst>
        </c:ser>
        <c:ser>
          <c:idx val="3"/>
          <c:order val="3"/>
          <c:tx>
            <c:strRef>
              <c:f>'Pivot Table'!$E$22</c:f>
              <c:strCache>
                <c:ptCount val="1"/>
                <c:pt idx="0">
                  <c:v>Avg_Quantity</c:v>
                </c:pt>
              </c:strCache>
            </c:strRef>
          </c:tx>
          <c:spPr>
            <a:ln w="28575" cap="rnd">
              <a:solidFill>
                <a:schemeClr val="accent4"/>
              </a:solidFill>
              <a:round/>
            </a:ln>
            <a:effectLst/>
          </c:spPr>
          <c:marker>
            <c:symbol val="none"/>
          </c:marker>
          <c:cat>
            <c:strRef>
              <c:f>'Pivot Table'!$A$23:$A$28</c:f>
              <c:strCache>
                <c:ptCount val="5"/>
                <c:pt idx="0">
                  <c:v>Female</c:v>
                </c:pt>
                <c:pt idx="1">
                  <c:v>Male</c:v>
                </c:pt>
                <c:pt idx="2">
                  <c:v>Other</c:v>
                </c:pt>
                <c:pt idx="3">
                  <c:v>total_revenue</c:v>
                </c:pt>
                <c:pt idx="4">
                  <c:v>(blank)</c:v>
                </c:pt>
              </c:strCache>
            </c:strRef>
          </c:cat>
          <c:val>
            <c:numRef>
              <c:f>'Pivot Table'!$E$23:$E$28</c:f>
              <c:numCache>
                <c:formatCode>0.00</c:formatCode>
                <c:ptCount val="5"/>
                <c:pt idx="0">
                  <c:v>4.9891625615763546</c:v>
                </c:pt>
                <c:pt idx="1">
                  <c:v>4.9018538713195206</c:v>
                </c:pt>
                <c:pt idx="2">
                  <c:v>4.9705882352941178</c:v>
                </c:pt>
              </c:numCache>
            </c:numRef>
          </c:val>
          <c:smooth val="0"/>
          <c:extLst>
            <c:ext xmlns:c16="http://schemas.microsoft.com/office/drawing/2014/chart" uri="{C3380CC4-5D6E-409C-BE32-E72D297353CC}">
              <c16:uniqueId val="{00000002-8031-4E6A-AB57-2E7D2A773A09}"/>
            </c:ext>
          </c:extLst>
        </c:ser>
        <c:dLbls>
          <c:showLegendKey val="0"/>
          <c:showVal val="0"/>
          <c:showCatName val="0"/>
          <c:showSerName val="0"/>
          <c:showPercent val="0"/>
          <c:showBubbleSize val="0"/>
        </c:dLbls>
        <c:marker val="1"/>
        <c:smooth val="0"/>
        <c:axId val="944062416"/>
        <c:axId val="944079216"/>
      </c:lineChart>
      <c:lineChart>
        <c:grouping val="standard"/>
        <c:varyColors val="0"/>
        <c:ser>
          <c:idx val="1"/>
          <c:order val="1"/>
          <c:tx>
            <c:strRef>
              <c:f>'Pivot Table'!$C$22</c:f>
              <c:strCache>
                <c:ptCount val="1"/>
                <c:pt idx="0">
                  <c:v>Total_Revenue</c:v>
                </c:pt>
              </c:strCache>
            </c:strRef>
          </c:tx>
          <c:spPr>
            <a:ln w="28575" cap="rnd">
              <a:solidFill>
                <a:schemeClr val="accent2"/>
              </a:solidFill>
              <a:round/>
            </a:ln>
            <a:effectLst/>
          </c:spPr>
          <c:marker>
            <c:symbol val="none"/>
          </c:marker>
          <c:cat>
            <c:strRef>
              <c:f>'Pivot Table'!$A$23:$A$28</c:f>
              <c:strCache>
                <c:ptCount val="5"/>
                <c:pt idx="0">
                  <c:v>Female</c:v>
                </c:pt>
                <c:pt idx="1">
                  <c:v>Male</c:v>
                </c:pt>
                <c:pt idx="2">
                  <c:v>Other</c:v>
                </c:pt>
                <c:pt idx="3">
                  <c:v>total_revenue</c:v>
                </c:pt>
                <c:pt idx="4">
                  <c:v>(blank)</c:v>
                </c:pt>
              </c:strCache>
            </c:strRef>
          </c:cat>
          <c:val>
            <c:numRef>
              <c:f>'Pivot Table'!$C$23:$C$28</c:f>
              <c:numCache>
                <c:formatCode>General</c:formatCode>
                <c:ptCount val="5"/>
                <c:pt idx="0">
                  <c:v>1032431.9999999991</c:v>
                </c:pt>
                <c:pt idx="1">
                  <c:v>954161.46999999916</c:v>
                </c:pt>
                <c:pt idx="2">
                  <c:v>65097.18</c:v>
                </c:pt>
                <c:pt idx="3">
                  <c:v>2051690.6500000055</c:v>
                </c:pt>
              </c:numCache>
            </c:numRef>
          </c:val>
          <c:smooth val="0"/>
          <c:extLst>
            <c:ext xmlns:c16="http://schemas.microsoft.com/office/drawing/2014/chart" uri="{C3380CC4-5D6E-409C-BE32-E72D297353CC}">
              <c16:uniqueId val="{00000003-8031-4E6A-AB57-2E7D2A773A09}"/>
            </c:ext>
          </c:extLst>
        </c:ser>
        <c:dLbls>
          <c:showLegendKey val="0"/>
          <c:showVal val="0"/>
          <c:showCatName val="0"/>
          <c:showSerName val="0"/>
          <c:showPercent val="0"/>
          <c:showBubbleSize val="0"/>
        </c:dLbls>
        <c:marker val="1"/>
        <c:smooth val="0"/>
        <c:axId val="944087856"/>
        <c:axId val="944086896"/>
      </c:lineChart>
      <c:catAx>
        <c:axId val="9440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79216"/>
        <c:crosses val="autoZero"/>
        <c:auto val="1"/>
        <c:lblAlgn val="ctr"/>
        <c:lblOffset val="100"/>
        <c:noMultiLvlLbl val="0"/>
      </c:catAx>
      <c:valAx>
        <c:axId val="94407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62416"/>
        <c:crosses val="autoZero"/>
        <c:crossBetween val="between"/>
      </c:valAx>
      <c:valAx>
        <c:axId val="9440868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87856"/>
        <c:crosses val="max"/>
        <c:crossBetween val="between"/>
      </c:valAx>
      <c:catAx>
        <c:axId val="944087856"/>
        <c:scaling>
          <c:orientation val="minMax"/>
        </c:scaling>
        <c:delete val="1"/>
        <c:axPos val="b"/>
        <c:numFmt formatCode="General" sourceLinked="1"/>
        <c:majorTickMark val="out"/>
        <c:minorTickMark val="none"/>
        <c:tickLblPos val="nextTo"/>
        <c:crossAx val="944086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 × Gender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Table'!$I$20:$I$21</c:f>
              <c:strCache>
                <c:ptCount val="1"/>
                <c:pt idx="0">
                  <c:v>Female</c:v>
                </c:pt>
              </c:strCache>
            </c:strRef>
          </c:tx>
          <c:spPr>
            <a:ln w="28575" cap="rnd">
              <a:solidFill>
                <a:schemeClr val="accent1"/>
              </a:solidFill>
              <a:round/>
            </a:ln>
            <a:effectLst/>
          </c:spPr>
          <c:marker>
            <c:symbol val="none"/>
          </c:marker>
          <c:cat>
            <c:strRef>
              <c:f>'Pivot Table'!$H$22:$H$27</c:f>
              <c:strCache>
                <c:ptCount val="5"/>
                <c:pt idx="0">
                  <c:v>Beauty</c:v>
                </c:pt>
                <c:pt idx="1">
                  <c:v>Clothing</c:v>
                </c:pt>
                <c:pt idx="2">
                  <c:v>Electronics</c:v>
                </c:pt>
                <c:pt idx="3">
                  <c:v>Home</c:v>
                </c:pt>
                <c:pt idx="4">
                  <c:v>Sports</c:v>
                </c:pt>
              </c:strCache>
            </c:strRef>
          </c:cat>
          <c:val>
            <c:numRef>
              <c:f>'Pivot Table'!$I$22:$I$27</c:f>
              <c:numCache>
                <c:formatCode>General</c:formatCode>
                <c:ptCount val="5"/>
                <c:pt idx="0">
                  <c:v>216591.81999999977</c:v>
                </c:pt>
                <c:pt idx="1">
                  <c:v>194857.89</c:v>
                </c:pt>
                <c:pt idx="2">
                  <c:v>188809.57000000004</c:v>
                </c:pt>
                <c:pt idx="3">
                  <c:v>223832.45000000004</c:v>
                </c:pt>
                <c:pt idx="4">
                  <c:v>208340.26999999996</c:v>
                </c:pt>
              </c:numCache>
            </c:numRef>
          </c:val>
          <c:smooth val="0"/>
          <c:extLst>
            <c:ext xmlns:c16="http://schemas.microsoft.com/office/drawing/2014/chart" uri="{C3380CC4-5D6E-409C-BE32-E72D297353CC}">
              <c16:uniqueId val="{00000000-F04F-4D32-9812-9CCB8DCE6650}"/>
            </c:ext>
          </c:extLst>
        </c:ser>
        <c:ser>
          <c:idx val="1"/>
          <c:order val="1"/>
          <c:tx>
            <c:strRef>
              <c:f>'Pivot Table'!$J$20:$J$21</c:f>
              <c:strCache>
                <c:ptCount val="1"/>
                <c:pt idx="0">
                  <c:v>Male</c:v>
                </c:pt>
              </c:strCache>
            </c:strRef>
          </c:tx>
          <c:spPr>
            <a:ln w="28575" cap="rnd">
              <a:solidFill>
                <a:schemeClr val="accent2"/>
              </a:solidFill>
              <a:round/>
            </a:ln>
            <a:effectLst/>
          </c:spPr>
          <c:marker>
            <c:symbol val="none"/>
          </c:marker>
          <c:cat>
            <c:strRef>
              <c:f>'Pivot Table'!$H$22:$H$27</c:f>
              <c:strCache>
                <c:ptCount val="5"/>
                <c:pt idx="0">
                  <c:v>Beauty</c:v>
                </c:pt>
                <c:pt idx="1">
                  <c:v>Clothing</c:v>
                </c:pt>
                <c:pt idx="2">
                  <c:v>Electronics</c:v>
                </c:pt>
                <c:pt idx="3">
                  <c:v>Home</c:v>
                </c:pt>
                <c:pt idx="4">
                  <c:v>Sports</c:v>
                </c:pt>
              </c:strCache>
            </c:strRef>
          </c:cat>
          <c:val>
            <c:numRef>
              <c:f>'Pivot Table'!$J$22:$J$27</c:f>
              <c:numCache>
                <c:formatCode>General</c:formatCode>
                <c:ptCount val="5"/>
                <c:pt idx="0">
                  <c:v>169530.33999999988</c:v>
                </c:pt>
                <c:pt idx="1">
                  <c:v>230559.54000000004</c:v>
                </c:pt>
                <c:pt idx="2">
                  <c:v>214104.17000000004</c:v>
                </c:pt>
                <c:pt idx="3">
                  <c:v>158138.06</c:v>
                </c:pt>
                <c:pt idx="4">
                  <c:v>181829.35999999987</c:v>
                </c:pt>
              </c:numCache>
            </c:numRef>
          </c:val>
          <c:smooth val="0"/>
          <c:extLst>
            <c:ext xmlns:c16="http://schemas.microsoft.com/office/drawing/2014/chart" uri="{C3380CC4-5D6E-409C-BE32-E72D297353CC}">
              <c16:uniqueId val="{00000001-F04F-4D32-9812-9CCB8DCE6650}"/>
            </c:ext>
          </c:extLst>
        </c:ser>
        <c:ser>
          <c:idx val="2"/>
          <c:order val="2"/>
          <c:tx>
            <c:strRef>
              <c:f>'Pivot Table'!$K$20:$K$21</c:f>
              <c:strCache>
                <c:ptCount val="1"/>
                <c:pt idx="0">
                  <c:v>Other</c:v>
                </c:pt>
              </c:strCache>
            </c:strRef>
          </c:tx>
          <c:spPr>
            <a:ln w="28575" cap="rnd">
              <a:solidFill>
                <a:schemeClr val="accent3"/>
              </a:solidFill>
              <a:round/>
            </a:ln>
            <a:effectLst/>
          </c:spPr>
          <c:marker>
            <c:symbol val="none"/>
          </c:marker>
          <c:cat>
            <c:strRef>
              <c:f>'Pivot Table'!$H$22:$H$27</c:f>
              <c:strCache>
                <c:ptCount val="5"/>
                <c:pt idx="0">
                  <c:v>Beauty</c:v>
                </c:pt>
                <c:pt idx="1">
                  <c:v>Clothing</c:v>
                </c:pt>
                <c:pt idx="2">
                  <c:v>Electronics</c:v>
                </c:pt>
                <c:pt idx="3">
                  <c:v>Home</c:v>
                </c:pt>
                <c:pt idx="4">
                  <c:v>Sports</c:v>
                </c:pt>
              </c:strCache>
            </c:strRef>
          </c:cat>
          <c:val>
            <c:numRef>
              <c:f>'Pivot Table'!$K$22:$K$27</c:f>
              <c:numCache>
                <c:formatCode>General</c:formatCode>
                <c:ptCount val="5"/>
                <c:pt idx="0">
                  <c:v>19728.579999999998</c:v>
                </c:pt>
                <c:pt idx="1">
                  <c:v>14385.720000000001</c:v>
                </c:pt>
                <c:pt idx="2">
                  <c:v>8715.07</c:v>
                </c:pt>
                <c:pt idx="3">
                  <c:v>10116.23</c:v>
                </c:pt>
                <c:pt idx="4">
                  <c:v>12151.58</c:v>
                </c:pt>
              </c:numCache>
            </c:numRef>
          </c:val>
          <c:smooth val="0"/>
          <c:extLst>
            <c:ext xmlns:c16="http://schemas.microsoft.com/office/drawing/2014/chart" uri="{C3380CC4-5D6E-409C-BE32-E72D297353CC}">
              <c16:uniqueId val="{00000002-F04F-4D32-9812-9CCB8DCE6650}"/>
            </c:ext>
          </c:extLst>
        </c:ser>
        <c:dLbls>
          <c:showLegendKey val="0"/>
          <c:showVal val="0"/>
          <c:showCatName val="0"/>
          <c:showSerName val="0"/>
          <c:showPercent val="0"/>
          <c:showBubbleSize val="0"/>
        </c:dLbls>
        <c:smooth val="0"/>
        <c:axId val="159575008"/>
        <c:axId val="159575488"/>
      </c:lineChart>
      <c:catAx>
        <c:axId val="1595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75488"/>
        <c:crosses val="autoZero"/>
        <c:auto val="1"/>
        <c:lblAlgn val="ctr"/>
        <c:lblOffset val="100"/>
        <c:noMultiLvlLbl val="0"/>
      </c:catAx>
      <c:valAx>
        <c:axId val="159575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7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518160</xdr:colOff>
      <xdr:row>1</xdr:row>
      <xdr:rowOff>121920</xdr:rowOff>
    </xdr:from>
    <xdr:to>
      <xdr:col>8</xdr:col>
      <xdr:colOff>213360</xdr:colOff>
      <xdr:row>20</xdr:row>
      <xdr:rowOff>68580</xdr:rowOff>
    </xdr:to>
    <xdr:graphicFrame macro="">
      <xdr:nvGraphicFramePr>
        <xdr:cNvPr id="3" name="Chart 4">
          <a:extLst>
            <a:ext uri="{FF2B5EF4-FFF2-40B4-BE49-F238E27FC236}">
              <a16:creationId xmlns:a16="http://schemas.microsoft.com/office/drawing/2014/main" id="{9C444BD8-FFC5-1451-E8CF-FA26E6820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396240</xdr:colOff>
      <xdr:row>0</xdr:row>
      <xdr:rowOff>121920</xdr:rowOff>
    </xdr:from>
    <xdr:to>
      <xdr:col>16</xdr:col>
      <xdr:colOff>91440</xdr:colOff>
      <xdr:row>20</xdr:row>
      <xdr:rowOff>0</xdr:rowOff>
    </xdr:to>
    <xdr:graphicFrame macro="">
      <xdr:nvGraphicFramePr>
        <xdr:cNvPr id="4" name="Chart 5">
          <a:extLst>
            <a:ext uri="{FF2B5EF4-FFF2-40B4-BE49-F238E27FC236}">
              <a16:creationId xmlns:a16="http://schemas.microsoft.com/office/drawing/2014/main" id="{6EF4C06F-F1F7-3311-BFFF-F651228A9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213360</xdr:colOff>
      <xdr:row>21</xdr:row>
      <xdr:rowOff>7620</xdr:rowOff>
    </xdr:from>
    <xdr:to>
      <xdr:col>8</xdr:col>
      <xdr:colOff>518160</xdr:colOff>
      <xdr:row>36</xdr:row>
      <xdr:rowOff>7620</xdr:rowOff>
    </xdr:to>
    <xdr:graphicFrame macro="">
      <xdr:nvGraphicFramePr>
        <xdr:cNvPr id="6" name="Chart 7">
          <a:extLst>
            <a:ext uri="{FF2B5EF4-FFF2-40B4-BE49-F238E27FC236}">
              <a16:creationId xmlns:a16="http://schemas.microsoft.com/office/drawing/2014/main" id="{0A55C4C5-FBD4-9DD3-6DD8-D936F7E2D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327660</xdr:colOff>
      <xdr:row>21</xdr:row>
      <xdr:rowOff>53340</xdr:rowOff>
    </xdr:from>
    <xdr:to>
      <xdr:col>17</xdr:col>
      <xdr:colOff>22860</xdr:colOff>
      <xdr:row>36</xdr:row>
      <xdr:rowOff>53340</xdr:rowOff>
    </xdr:to>
    <xdr:graphicFrame macro="">
      <xdr:nvGraphicFramePr>
        <xdr:cNvPr id="7" name="Chart 8">
          <a:extLst>
            <a:ext uri="{FF2B5EF4-FFF2-40B4-BE49-F238E27FC236}">
              <a16:creationId xmlns:a16="http://schemas.microsoft.com/office/drawing/2014/main" id="{B0BD529E-6D23-D02C-8FA7-B0E565B06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297180</xdr:colOff>
      <xdr:row>37</xdr:row>
      <xdr:rowOff>152400</xdr:rowOff>
    </xdr:from>
    <xdr:to>
      <xdr:col>8</xdr:col>
      <xdr:colOff>601980</xdr:colOff>
      <xdr:row>53</xdr:row>
      <xdr:rowOff>30480</xdr:rowOff>
    </xdr:to>
    <xdr:graphicFrame macro="">
      <xdr:nvGraphicFramePr>
        <xdr:cNvPr id="8" name="Chart 9">
          <a:extLst>
            <a:ext uri="{FF2B5EF4-FFF2-40B4-BE49-F238E27FC236}">
              <a16:creationId xmlns:a16="http://schemas.microsoft.com/office/drawing/2014/main" id="{24E28122-5EDF-9A32-FA42-8E4C78F02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373380</xdr:colOff>
      <xdr:row>38</xdr:row>
      <xdr:rowOff>15240</xdr:rowOff>
    </xdr:from>
    <xdr:to>
      <xdr:col>17</xdr:col>
      <xdr:colOff>68580</xdr:colOff>
      <xdr:row>53</xdr:row>
      <xdr:rowOff>15240</xdr:rowOff>
    </xdr:to>
    <xdr:graphicFrame macro="">
      <xdr:nvGraphicFramePr>
        <xdr:cNvPr id="9" name="Chart 10">
          <a:extLst>
            <a:ext uri="{FF2B5EF4-FFF2-40B4-BE49-F238E27FC236}">
              <a16:creationId xmlns:a16="http://schemas.microsoft.com/office/drawing/2014/main" id="{A358FF71-39A7-6A82-C605-FF6706CF4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0</xdr:row>
      <xdr:rowOff>99060</xdr:rowOff>
    </xdr:from>
    <xdr:to>
      <xdr:col>20</xdr:col>
      <xdr:colOff>327660</xdr:colOff>
      <xdr:row>4</xdr:row>
      <xdr:rowOff>68580</xdr:rowOff>
    </xdr:to>
    <xdr:sp macro="" textlink="">
      <xdr:nvSpPr>
        <xdr:cNvPr id="2" name="Rectangle: Rounded Corners 1">
          <a:extLst>
            <a:ext uri="{FF2B5EF4-FFF2-40B4-BE49-F238E27FC236}">
              <a16:creationId xmlns:a16="http://schemas.microsoft.com/office/drawing/2014/main" id="{182768E6-460B-2F5B-89C9-4B4B29706AB8}"/>
            </a:ext>
          </a:extLst>
        </xdr:cNvPr>
        <xdr:cNvSpPr/>
      </xdr:nvSpPr>
      <xdr:spPr>
        <a:xfrm>
          <a:off x="281940" y="99060"/>
          <a:ext cx="18737580" cy="70104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IN" sz="4000" b="1"/>
            <a:t>E</a:t>
          </a:r>
          <a:r>
            <a:rPr lang="en-IN" sz="4000" b="1" baseline="0"/>
            <a:t> COMMERCE SALES ANALYSIS DASHBOARD</a:t>
          </a:r>
          <a:endParaRPr lang="en-IN" sz="4000" b="1"/>
        </a:p>
      </xdr:txBody>
    </xdr:sp>
    <xdr:clientData/>
  </xdr:twoCellAnchor>
  <xdr:twoCellAnchor>
    <xdr:from>
      <xdr:col>0</xdr:col>
      <xdr:colOff>274320</xdr:colOff>
      <xdr:row>5</xdr:row>
      <xdr:rowOff>60960</xdr:rowOff>
    </xdr:from>
    <xdr:to>
      <xdr:col>3</xdr:col>
      <xdr:colOff>356126</xdr:colOff>
      <xdr:row>10</xdr:row>
      <xdr:rowOff>30480</xdr:rowOff>
    </xdr:to>
    <xdr:sp macro="" textlink="">
      <xdr:nvSpPr>
        <xdr:cNvPr id="10" name="Rectangle: Rounded Corners 9">
          <a:extLst>
            <a:ext uri="{FF2B5EF4-FFF2-40B4-BE49-F238E27FC236}">
              <a16:creationId xmlns:a16="http://schemas.microsoft.com/office/drawing/2014/main" id="{402A7950-BD2D-8C57-4175-8F2263B9A48E}"/>
            </a:ext>
          </a:extLst>
        </xdr:cNvPr>
        <xdr:cNvSpPr/>
      </xdr:nvSpPr>
      <xdr:spPr>
        <a:xfrm>
          <a:off x="274320" y="975360"/>
          <a:ext cx="1910606" cy="8839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600" b="1"/>
            <a:t>TOTAL REVENUE</a:t>
          </a:r>
          <a:endParaRPr lang="en-IN" sz="1100" b="1"/>
        </a:p>
      </xdr:txBody>
    </xdr:sp>
    <xdr:clientData/>
  </xdr:twoCellAnchor>
  <xdr:twoCellAnchor>
    <xdr:from>
      <xdr:col>3</xdr:col>
      <xdr:colOff>533400</xdr:colOff>
      <xdr:row>5</xdr:row>
      <xdr:rowOff>91440</xdr:rowOff>
    </xdr:from>
    <xdr:to>
      <xdr:col>7</xdr:col>
      <xdr:colOff>245368</xdr:colOff>
      <xdr:row>10</xdr:row>
      <xdr:rowOff>60960</xdr:rowOff>
    </xdr:to>
    <xdr:sp macro="" textlink="">
      <xdr:nvSpPr>
        <xdr:cNvPr id="16" name="Rectangle: Rounded Corners 15">
          <a:extLst>
            <a:ext uri="{FF2B5EF4-FFF2-40B4-BE49-F238E27FC236}">
              <a16:creationId xmlns:a16="http://schemas.microsoft.com/office/drawing/2014/main" id="{A11B13F4-AADB-4721-917A-4F62A120C3A4}"/>
            </a:ext>
          </a:extLst>
        </xdr:cNvPr>
        <xdr:cNvSpPr/>
      </xdr:nvSpPr>
      <xdr:spPr>
        <a:xfrm>
          <a:off x="2362200" y="1005840"/>
          <a:ext cx="2150368" cy="8839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600" b="1"/>
            <a:t>TOTAL ORDERS</a:t>
          </a:r>
          <a:endParaRPr lang="en-IN" sz="1100" b="1"/>
        </a:p>
      </xdr:txBody>
    </xdr:sp>
    <xdr:clientData/>
  </xdr:twoCellAnchor>
  <xdr:twoCellAnchor>
    <xdr:from>
      <xdr:col>17</xdr:col>
      <xdr:colOff>175260</xdr:colOff>
      <xdr:row>5</xdr:row>
      <xdr:rowOff>83820</xdr:rowOff>
    </xdr:from>
    <xdr:to>
      <xdr:col>20</xdr:col>
      <xdr:colOff>320040</xdr:colOff>
      <xdr:row>10</xdr:row>
      <xdr:rowOff>53340</xdr:rowOff>
    </xdr:to>
    <xdr:sp macro="" textlink="">
      <xdr:nvSpPr>
        <xdr:cNvPr id="17" name="Rectangle: Rounded Corners 16">
          <a:extLst>
            <a:ext uri="{FF2B5EF4-FFF2-40B4-BE49-F238E27FC236}">
              <a16:creationId xmlns:a16="http://schemas.microsoft.com/office/drawing/2014/main" id="{4C7C38AE-4DB7-4B3F-ADB5-15098E2B4358}"/>
            </a:ext>
          </a:extLst>
        </xdr:cNvPr>
        <xdr:cNvSpPr/>
      </xdr:nvSpPr>
      <xdr:spPr>
        <a:xfrm>
          <a:off x="16314420" y="998220"/>
          <a:ext cx="2697480" cy="8839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600" b="1"/>
            <a:t> ACTIVE RATE</a:t>
          </a:r>
          <a:endParaRPr lang="en-IN" sz="1100" b="1"/>
        </a:p>
      </xdr:txBody>
    </xdr:sp>
    <xdr:clientData/>
  </xdr:twoCellAnchor>
  <xdr:twoCellAnchor>
    <xdr:from>
      <xdr:col>10</xdr:col>
      <xdr:colOff>632460</xdr:colOff>
      <xdr:row>5</xdr:row>
      <xdr:rowOff>83820</xdr:rowOff>
    </xdr:from>
    <xdr:to>
      <xdr:col>13</xdr:col>
      <xdr:colOff>571500</xdr:colOff>
      <xdr:row>10</xdr:row>
      <xdr:rowOff>53340</xdr:rowOff>
    </xdr:to>
    <xdr:sp macro="" textlink="">
      <xdr:nvSpPr>
        <xdr:cNvPr id="18" name="Rectangle: Rounded Corners 17">
          <a:extLst>
            <a:ext uri="{FF2B5EF4-FFF2-40B4-BE49-F238E27FC236}">
              <a16:creationId xmlns:a16="http://schemas.microsoft.com/office/drawing/2014/main" id="{20BA23D9-61F9-4CDC-B6D5-5EBFB8AF8E7F}"/>
            </a:ext>
          </a:extLst>
        </xdr:cNvPr>
        <xdr:cNvSpPr/>
      </xdr:nvSpPr>
      <xdr:spPr>
        <a:xfrm>
          <a:off x="10172700" y="998220"/>
          <a:ext cx="3025140" cy="8839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600" b="1"/>
            <a:t>AVG ORDER VALUE</a:t>
          </a:r>
          <a:endParaRPr lang="en-IN" sz="1100" b="1"/>
        </a:p>
      </xdr:txBody>
    </xdr:sp>
    <xdr:clientData/>
  </xdr:twoCellAnchor>
  <xdr:twoCellAnchor>
    <xdr:from>
      <xdr:col>13</xdr:col>
      <xdr:colOff>777240</xdr:colOff>
      <xdr:row>5</xdr:row>
      <xdr:rowOff>76200</xdr:rowOff>
    </xdr:from>
    <xdr:to>
      <xdr:col>16</xdr:col>
      <xdr:colOff>830580</xdr:colOff>
      <xdr:row>10</xdr:row>
      <xdr:rowOff>45720</xdr:rowOff>
    </xdr:to>
    <xdr:sp macro="" textlink="">
      <xdr:nvSpPr>
        <xdr:cNvPr id="19" name="Rectangle: Rounded Corners 18">
          <a:extLst>
            <a:ext uri="{FF2B5EF4-FFF2-40B4-BE49-F238E27FC236}">
              <a16:creationId xmlns:a16="http://schemas.microsoft.com/office/drawing/2014/main" id="{1F451F69-231A-417F-9624-250A322037C8}"/>
            </a:ext>
          </a:extLst>
        </xdr:cNvPr>
        <xdr:cNvSpPr/>
      </xdr:nvSpPr>
      <xdr:spPr>
        <a:xfrm>
          <a:off x="13403580" y="990600"/>
          <a:ext cx="2712720" cy="8839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600" b="1"/>
            <a:t>CHURN RATE</a:t>
          </a:r>
          <a:endParaRPr lang="en-IN" sz="1100" b="1"/>
        </a:p>
      </xdr:txBody>
    </xdr:sp>
    <xdr:clientData/>
  </xdr:twoCellAnchor>
  <xdr:twoCellAnchor>
    <xdr:from>
      <xdr:col>7</xdr:col>
      <xdr:colOff>403860</xdr:colOff>
      <xdr:row>5</xdr:row>
      <xdr:rowOff>99060</xdr:rowOff>
    </xdr:from>
    <xdr:to>
      <xdr:col>10</xdr:col>
      <xdr:colOff>441960</xdr:colOff>
      <xdr:row>10</xdr:row>
      <xdr:rowOff>68580</xdr:rowOff>
    </xdr:to>
    <xdr:sp macro="" textlink="">
      <xdr:nvSpPr>
        <xdr:cNvPr id="20" name="Rectangle: Rounded Corners 19">
          <a:extLst>
            <a:ext uri="{FF2B5EF4-FFF2-40B4-BE49-F238E27FC236}">
              <a16:creationId xmlns:a16="http://schemas.microsoft.com/office/drawing/2014/main" id="{97E1727E-69CA-4BEE-8670-FC52F965155A}"/>
            </a:ext>
          </a:extLst>
        </xdr:cNvPr>
        <xdr:cNvSpPr/>
      </xdr:nvSpPr>
      <xdr:spPr>
        <a:xfrm>
          <a:off x="6446520" y="1013460"/>
          <a:ext cx="3535680" cy="8839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600" b="1"/>
            <a:t>UNIQUE CUSTOMERS</a:t>
          </a:r>
          <a:endParaRPr lang="en-IN" sz="1400" b="1"/>
        </a:p>
      </xdr:txBody>
    </xdr:sp>
    <xdr:clientData/>
  </xdr:twoCellAnchor>
  <xdr:twoCellAnchor>
    <xdr:from>
      <xdr:col>0</xdr:col>
      <xdr:colOff>541020</xdr:colOff>
      <xdr:row>7</xdr:row>
      <xdr:rowOff>144780</xdr:rowOff>
    </xdr:from>
    <xdr:to>
      <xdr:col>3</xdr:col>
      <xdr:colOff>68580</xdr:colOff>
      <xdr:row>9</xdr:row>
      <xdr:rowOff>121920</xdr:rowOff>
    </xdr:to>
    <xdr:sp macro="" textlink="'Pivot Table'!B9">
      <xdr:nvSpPr>
        <xdr:cNvPr id="24" name="TextBox 23">
          <a:extLst>
            <a:ext uri="{FF2B5EF4-FFF2-40B4-BE49-F238E27FC236}">
              <a16:creationId xmlns:a16="http://schemas.microsoft.com/office/drawing/2014/main" id="{A30ECAD6-169B-B2F5-7DC5-C6C135277567}"/>
            </a:ext>
          </a:extLst>
        </xdr:cNvPr>
        <xdr:cNvSpPr txBox="1"/>
      </xdr:nvSpPr>
      <xdr:spPr>
        <a:xfrm>
          <a:off x="541020" y="1424940"/>
          <a:ext cx="1356360" cy="342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F3B458-CE81-42FB-AC2D-E333A327208F}" type="TxLink">
            <a:rPr lang="en-US" sz="1100" b="0" i="0" u="none" strike="noStrike">
              <a:solidFill>
                <a:srgbClr val="000000"/>
              </a:solidFill>
              <a:latin typeface="Aptos Narrow"/>
            </a:rPr>
            <a:pPr algn="ctr"/>
            <a:t> $20,51,690.65 </a:t>
          </a:fld>
          <a:endParaRPr lang="en-IN" sz="1400"/>
        </a:p>
      </xdr:txBody>
    </xdr:sp>
    <xdr:clientData/>
  </xdr:twoCellAnchor>
  <xdr:twoCellAnchor>
    <xdr:from>
      <xdr:col>4</xdr:col>
      <xdr:colOff>266700</xdr:colOff>
      <xdr:row>7</xdr:row>
      <xdr:rowOff>167640</xdr:rowOff>
    </xdr:from>
    <xdr:to>
      <xdr:col>6</xdr:col>
      <xdr:colOff>480060</xdr:colOff>
      <xdr:row>9</xdr:row>
      <xdr:rowOff>121920</xdr:rowOff>
    </xdr:to>
    <xdr:sp macro="" textlink="'Pivot Table'!C9">
      <xdr:nvSpPr>
        <xdr:cNvPr id="25" name="TextBox 24">
          <a:extLst>
            <a:ext uri="{FF2B5EF4-FFF2-40B4-BE49-F238E27FC236}">
              <a16:creationId xmlns:a16="http://schemas.microsoft.com/office/drawing/2014/main" id="{57811391-2FFD-690E-48A2-D2B633ACC875}"/>
            </a:ext>
          </a:extLst>
        </xdr:cNvPr>
        <xdr:cNvSpPr txBox="1"/>
      </xdr:nvSpPr>
      <xdr:spPr>
        <a:xfrm>
          <a:off x="2705100" y="1447800"/>
          <a:ext cx="1432560" cy="3200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9D4AD-889D-4F71-86EF-70831AE91888}" type="TxLink">
            <a:rPr lang="en-US" sz="2000" b="0" i="0" u="none" strike="noStrike">
              <a:solidFill>
                <a:srgbClr val="000000"/>
              </a:solidFill>
              <a:latin typeface="Aptos Narrow"/>
            </a:rPr>
            <a:pPr algn="ctr"/>
            <a:t>2000</a:t>
          </a:fld>
          <a:endParaRPr lang="en-IN" sz="2000"/>
        </a:p>
      </xdr:txBody>
    </xdr:sp>
    <xdr:clientData/>
  </xdr:twoCellAnchor>
  <xdr:twoCellAnchor>
    <xdr:from>
      <xdr:col>7</xdr:col>
      <xdr:colOff>762000</xdr:colOff>
      <xdr:row>8</xdr:row>
      <xdr:rowOff>38100</xdr:rowOff>
    </xdr:from>
    <xdr:to>
      <xdr:col>9</xdr:col>
      <xdr:colOff>1318260</xdr:colOff>
      <xdr:row>9</xdr:row>
      <xdr:rowOff>160019</xdr:rowOff>
    </xdr:to>
    <xdr:sp macro="" textlink="'Pivot Table'!D19">
      <xdr:nvSpPr>
        <xdr:cNvPr id="28" name="TextBox 27">
          <a:extLst>
            <a:ext uri="{FF2B5EF4-FFF2-40B4-BE49-F238E27FC236}">
              <a16:creationId xmlns:a16="http://schemas.microsoft.com/office/drawing/2014/main" id="{A91E63BC-F409-463C-800D-7788C28CE6D0}"/>
            </a:ext>
          </a:extLst>
        </xdr:cNvPr>
        <xdr:cNvSpPr txBox="1"/>
      </xdr:nvSpPr>
      <xdr:spPr>
        <a:xfrm rot="10800000" flipV="1">
          <a:off x="6804660" y="1501140"/>
          <a:ext cx="2697480" cy="30479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6BB27A-27A5-4E5C-BDDE-4C62F8CC0C4F}" type="TxLink">
            <a:rPr lang="en-US" sz="1600" b="0" i="0" u="none" strike="noStrike">
              <a:solidFill>
                <a:srgbClr val="000000"/>
              </a:solidFill>
              <a:latin typeface="Aptos Narrow"/>
            </a:rPr>
            <a:pPr algn="ctr"/>
            <a:t>2000.00</a:t>
          </a:fld>
          <a:endParaRPr lang="en-IN" sz="1600"/>
        </a:p>
      </xdr:txBody>
    </xdr:sp>
    <xdr:clientData/>
  </xdr:twoCellAnchor>
  <xdr:twoCellAnchor>
    <xdr:from>
      <xdr:col>10</xdr:col>
      <xdr:colOff>922020</xdr:colOff>
      <xdr:row>7</xdr:row>
      <xdr:rowOff>175260</xdr:rowOff>
    </xdr:from>
    <xdr:to>
      <xdr:col>13</xdr:col>
      <xdr:colOff>434340</xdr:colOff>
      <xdr:row>9</xdr:row>
      <xdr:rowOff>121920</xdr:rowOff>
    </xdr:to>
    <xdr:sp macro="" textlink="'Pivot Table'!D9">
      <xdr:nvSpPr>
        <xdr:cNvPr id="29" name="TextBox 28">
          <a:extLst>
            <a:ext uri="{FF2B5EF4-FFF2-40B4-BE49-F238E27FC236}">
              <a16:creationId xmlns:a16="http://schemas.microsoft.com/office/drawing/2014/main" id="{772FE465-7701-442B-8F1E-462E2DDEDC80}"/>
            </a:ext>
          </a:extLst>
        </xdr:cNvPr>
        <xdr:cNvSpPr txBox="1"/>
      </xdr:nvSpPr>
      <xdr:spPr>
        <a:xfrm>
          <a:off x="9029700" y="1455420"/>
          <a:ext cx="2407920" cy="3124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8E9C72-1843-4052-81F4-0D5F6C39EC0B}" type="TxLink">
            <a:rPr lang="en-US" sz="1600" b="0" i="0" u="none" strike="noStrike">
              <a:solidFill>
                <a:srgbClr val="000000"/>
              </a:solidFill>
              <a:latin typeface="Aptos Narrow"/>
            </a:rPr>
            <a:pPr algn="ctr"/>
            <a:t> $1,025.85 </a:t>
          </a:fld>
          <a:endParaRPr lang="en-IN" sz="1600"/>
        </a:p>
      </xdr:txBody>
    </xdr:sp>
    <xdr:clientData/>
  </xdr:twoCellAnchor>
  <xdr:twoCellAnchor>
    <xdr:from>
      <xdr:col>14</xdr:col>
      <xdr:colOff>220980</xdr:colOff>
      <xdr:row>7</xdr:row>
      <xdr:rowOff>167640</xdr:rowOff>
    </xdr:from>
    <xdr:to>
      <xdr:col>16</xdr:col>
      <xdr:colOff>586740</xdr:colOff>
      <xdr:row>9</xdr:row>
      <xdr:rowOff>137160</xdr:rowOff>
    </xdr:to>
    <xdr:sp macro="" textlink="'Pivot Table'!B32">
      <xdr:nvSpPr>
        <xdr:cNvPr id="30" name="TextBox 29">
          <a:extLst>
            <a:ext uri="{FF2B5EF4-FFF2-40B4-BE49-F238E27FC236}">
              <a16:creationId xmlns:a16="http://schemas.microsoft.com/office/drawing/2014/main" id="{0938D2A4-49DC-4B4B-8B61-2370CBE63FD6}"/>
            </a:ext>
          </a:extLst>
        </xdr:cNvPr>
        <xdr:cNvSpPr txBox="1"/>
      </xdr:nvSpPr>
      <xdr:spPr>
        <a:xfrm>
          <a:off x="13845540" y="1447800"/>
          <a:ext cx="202692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16EB19-6169-485E-8729-886829BF7BAB}" type="TxLink">
            <a:rPr lang="en-US" sz="1400" b="0" i="0" u="none" strike="noStrike">
              <a:solidFill>
                <a:srgbClr val="000000"/>
              </a:solidFill>
              <a:latin typeface="Aptos Narrow"/>
            </a:rPr>
            <a:pPr algn="ctr"/>
            <a:t>24.65%</a:t>
          </a:fld>
          <a:endParaRPr lang="en-IN" sz="1400"/>
        </a:p>
      </xdr:txBody>
    </xdr:sp>
    <xdr:clientData/>
  </xdr:twoCellAnchor>
  <xdr:twoCellAnchor>
    <xdr:from>
      <xdr:col>17</xdr:col>
      <xdr:colOff>723900</xdr:colOff>
      <xdr:row>8</xdr:row>
      <xdr:rowOff>22860</xdr:rowOff>
    </xdr:from>
    <xdr:to>
      <xdr:col>20</xdr:col>
      <xdr:colOff>160020</xdr:colOff>
      <xdr:row>9</xdr:row>
      <xdr:rowOff>121920</xdr:rowOff>
    </xdr:to>
    <xdr:sp macro="" textlink="'Pivot Table'!E32">
      <xdr:nvSpPr>
        <xdr:cNvPr id="31" name="TextBox 30">
          <a:extLst>
            <a:ext uri="{FF2B5EF4-FFF2-40B4-BE49-F238E27FC236}">
              <a16:creationId xmlns:a16="http://schemas.microsoft.com/office/drawing/2014/main" id="{33FAAD37-4799-4D16-BAC6-8C0C8206CDB8}"/>
            </a:ext>
          </a:extLst>
        </xdr:cNvPr>
        <xdr:cNvSpPr txBox="1"/>
      </xdr:nvSpPr>
      <xdr:spPr>
        <a:xfrm>
          <a:off x="16863060" y="1485900"/>
          <a:ext cx="1988820" cy="2819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CB5553-10C8-406F-BFDB-98D47EE3876D}" type="TxLink">
            <a:rPr lang="en-US" sz="1400" b="0" i="0" u="none" strike="noStrike">
              <a:solidFill>
                <a:srgbClr val="000000"/>
              </a:solidFill>
              <a:latin typeface="Aptos Narrow"/>
            </a:rPr>
            <a:pPr algn="ctr"/>
            <a:t>60%</a:t>
          </a:fld>
          <a:endParaRPr lang="en-IN" sz="1400"/>
        </a:p>
      </xdr:txBody>
    </xdr:sp>
    <xdr:clientData/>
  </xdr:twoCellAnchor>
  <xdr:twoCellAnchor>
    <xdr:from>
      <xdr:col>0</xdr:col>
      <xdr:colOff>403860</xdr:colOff>
      <xdr:row>24</xdr:row>
      <xdr:rowOff>7620</xdr:rowOff>
    </xdr:from>
    <xdr:to>
      <xdr:col>6</xdr:col>
      <xdr:colOff>822960</xdr:colOff>
      <xdr:row>43</xdr:row>
      <xdr:rowOff>22860</xdr:rowOff>
    </xdr:to>
    <xdr:graphicFrame macro="">
      <xdr:nvGraphicFramePr>
        <xdr:cNvPr id="3" name="Chart 4">
          <a:extLst>
            <a:ext uri="{FF2B5EF4-FFF2-40B4-BE49-F238E27FC236}">
              <a16:creationId xmlns:a16="http://schemas.microsoft.com/office/drawing/2014/main" id="{AF7DA15F-6827-4FA6-879D-A7D2E64B3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24</xdr:row>
      <xdr:rowOff>0</xdr:rowOff>
    </xdr:from>
    <xdr:to>
      <xdr:col>11</xdr:col>
      <xdr:colOff>1196340</xdr:colOff>
      <xdr:row>42</xdr:row>
      <xdr:rowOff>152400</xdr:rowOff>
    </xdr:to>
    <xdr:graphicFrame macro="">
      <xdr:nvGraphicFramePr>
        <xdr:cNvPr id="4" name="Chart 7">
          <a:extLst>
            <a:ext uri="{FF2B5EF4-FFF2-40B4-BE49-F238E27FC236}">
              <a16:creationId xmlns:a16="http://schemas.microsoft.com/office/drawing/2014/main" id="{BD29A316-FE77-4061-9955-ADBF61BE7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601980</xdr:colOff>
      <xdr:row>24</xdr:row>
      <xdr:rowOff>15240</xdr:rowOff>
    </xdr:from>
    <xdr:to>
      <xdr:col>18</xdr:col>
      <xdr:colOff>579120</xdr:colOff>
      <xdr:row>42</xdr:row>
      <xdr:rowOff>175260</xdr:rowOff>
    </xdr:to>
    <xdr:graphicFrame macro="">
      <xdr:nvGraphicFramePr>
        <xdr:cNvPr id="5" name="Chart 5">
          <a:extLst>
            <a:ext uri="{FF2B5EF4-FFF2-40B4-BE49-F238E27FC236}">
              <a16:creationId xmlns:a16="http://schemas.microsoft.com/office/drawing/2014/main" id="{77F1425B-6D07-45EE-9CFB-CB0494A27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56</xdr:row>
      <xdr:rowOff>45720</xdr:rowOff>
    </xdr:from>
    <xdr:to>
      <xdr:col>6</xdr:col>
      <xdr:colOff>815340</xdr:colOff>
      <xdr:row>70</xdr:row>
      <xdr:rowOff>175260</xdr:rowOff>
    </xdr:to>
    <xdr:graphicFrame macro="">
      <xdr:nvGraphicFramePr>
        <xdr:cNvPr id="7" name="Chart 8">
          <a:extLst>
            <a:ext uri="{FF2B5EF4-FFF2-40B4-BE49-F238E27FC236}">
              <a16:creationId xmlns:a16="http://schemas.microsoft.com/office/drawing/2014/main" id="{890E4E84-940A-4850-8853-D682D0B5C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56</xdr:row>
      <xdr:rowOff>0</xdr:rowOff>
    </xdr:from>
    <xdr:to>
      <xdr:col>13</xdr:col>
      <xdr:colOff>0</xdr:colOff>
      <xdr:row>71</xdr:row>
      <xdr:rowOff>45720</xdr:rowOff>
    </xdr:to>
    <xdr:graphicFrame macro="">
      <xdr:nvGraphicFramePr>
        <xdr:cNvPr id="8" name="Chart 9">
          <a:extLst>
            <a:ext uri="{FF2B5EF4-FFF2-40B4-BE49-F238E27FC236}">
              <a16:creationId xmlns:a16="http://schemas.microsoft.com/office/drawing/2014/main" id="{5AF61AD5-42A0-4F55-B939-A18D67491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xdr:colOff>
      <xdr:row>56</xdr:row>
      <xdr:rowOff>7620</xdr:rowOff>
    </xdr:from>
    <xdr:to>
      <xdr:col>19</xdr:col>
      <xdr:colOff>594360</xdr:colOff>
      <xdr:row>70</xdr:row>
      <xdr:rowOff>175260</xdr:rowOff>
    </xdr:to>
    <xdr:graphicFrame macro="">
      <xdr:nvGraphicFramePr>
        <xdr:cNvPr id="9" name="Chart 10">
          <a:extLst>
            <a:ext uri="{FF2B5EF4-FFF2-40B4-BE49-F238E27FC236}">
              <a16:creationId xmlns:a16="http://schemas.microsoft.com/office/drawing/2014/main" id="{FA0FBEA6-CF5A-4793-9643-D2F0ACE7F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99060</xdr:colOff>
      <xdr:row>12</xdr:row>
      <xdr:rowOff>45720</xdr:rowOff>
    </xdr:from>
    <xdr:to>
      <xdr:col>2</xdr:col>
      <xdr:colOff>792480</xdr:colOff>
      <xdr:row>21</xdr:row>
      <xdr:rowOff>152401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EC94886F-BFF1-42EE-BAD5-4B0E6E339C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 y="2240280"/>
              <a:ext cx="1828800" cy="1821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114301</xdr:rowOff>
    </xdr:from>
    <xdr:to>
      <xdr:col>1</xdr:col>
      <xdr:colOff>502920</xdr:colOff>
      <xdr:row>54</xdr:row>
      <xdr:rowOff>53341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42EC428-439F-45CA-BDCC-2A60038AC6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8694421"/>
              <a:ext cx="92202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 refreshedDate="46180.479167708334" createdVersion="8" refreshedVersion="8" minRefreshableVersion="3" recordCount="2000" xr:uid="{C82BDDF1-8623-48C0-8D76-15A42139180D}">
  <cacheSource type="worksheet">
    <worksheetSource name="Table1"/>
  </cacheSource>
  <cacheFields count="22">
    <cacheField name="order_id" numFmtId="0">
      <sharedItems/>
    </cacheField>
    <cacheField name="customer_id" numFmtId="0">
      <sharedItems/>
    </cacheField>
    <cacheField name="age" numFmtId="0">
      <sharedItems containsSemiMixedTypes="0" containsString="0" containsNumber="1" containsInteger="1" minValue="18" maxValue="69"/>
    </cacheField>
    <cacheField name="product_id" numFmtId="0">
      <sharedItems/>
    </cacheField>
    <cacheField name="country" numFmtId="0">
      <sharedItems count="6">
        <s v="Canada"/>
        <s v="USA"/>
        <s v="Pakistan"/>
        <s v="India"/>
        <s v="Germany"/>
        <s v="UK"/>
      </sharedItems>
    </cacheField>
    <cacheField name="signup_date" numFmtId="0">
      <sharedItems containsDate="1" containsMixedTypes="1" minDate="2020-01-09T00:00:00" maxDate="2023-12-09T00:00:00" count="926">
        <d v="2021-07-01T00:00:00"/>
        <s v="10/19/2020"/>
        <d v="2023-10-06T00:00:00"/>
        <s v="7/30/2023"/>
        <d v="2020-09-12T00:00:00"/>
        <s v="5/16/2023"/>
        <d v="2023-10-04T00:00:00"/>
        <d v="2022-11-07T00:00:00"/>
        <s v="4/25/2021"/>
        <d v="2021-09-12T00:00:00"/>
        <d v="2020-04-10T00:00:00"/>
        <d v="2022-12-02T00:00:00"/>
        <s v="12/20/2020"/>
        <s v="2/19/2021"/>
        <s v="2/27/2021"/>
        <s v="12/31/2021"/>
        <d v="2021-06-07T00:00:00"/>
        <s v="9/14/2021"/>
        <s v="5/25/2023"/>
        <s v="9/14/2022"/>
        <s v="3/13/2022"/>
        <d v="2021-02-02T00:00:00"/>
        <d v="2022-09-06T00:00:00"/>
        <d v="2021-04-05T00:00:00"/>
        <s v="4/14/2022"/>
        <d v="2021-07-11T00:00:00"/>
        <s v="5/15/2023"/>
        <s v="3/23/2021"/>
        <d v="2021-02-06T00:00:00"/>
        <s v="8/22/2020"/>
        <s v="4/19/2021"/>
        <s v="8/19/2021"/>
        <d v="2021-09-02T00:00:00"/>
        <s v="3/25/2022"/>
        <s v="2/26/2021"/>
        <d v="2021-11-07T00:00:00"/>
        <d v="2023-03-08T00:00:00"/>
        <s v="3/25/2023"/>
        <s v="2/17/2022"/>
        <d v="2022-04-12T00:00:00"/>
        <d v="2023-08-05T00:00:00"/>
        <s v="7/19/2022"/>
        <s v="5/23/2023"/>
        <s v="4/22/2023"/>
        <d v="2022-11-03T00:00:00"/>
        <s v="11/30/2020"/>
        <s v="3/21/2023"/>
        <s v="7/13/2021"/>
        <s v="6/17/2022"/>
        <s v="8/29/2020"/>
        <d v="2022-05-12T00:00:00"/>
        <d v="2020-09-09T00:00:00"/>
        <d v="2020-05-10T00:00:00"/>
        <d v="2023-03-05T00:00:00"/>
        <d v="2022-09-04T00:00:00"/>
        <s v="8/15/2023"/>
        <s v="2/27/2023"/>
        <s v="4/22/2021"/>
        <s v="8/30/2020"/>
        <s v="8/16/2021"/>
        <s v="12/29/2021"/>
        <d v="2021-09-09T00:00:00"/>
        <s v="11/26/2020"/>
        <d v="2022-08-07T00:00:00"/>
        <s v="11/16/2020"/>
        <s v="7/13/2023"/>
        <s v="9/24/2021"/>
        <s v="5/27/2023"/>
        <s v="1/25/2022"/>
        <s v="7/29/2023"/>
        <d v="2021-09-10T00:00:00"/>
        <s v="12/14/2020"/>
        <d v="2021-01-11T00:00:00"/>
        <s v="8/20/2022"/>
        <d v="2021-03-05T00:00:00"/>
        <s v="7/17/2021"/>
        <d v="2021-11-04T00:00:00"/>
        <d v="2021-02-11T00:00:00"/>
        <d v="2023-01-07T00:00:00"/>
        <s v="9/23/2021"/>
        <d v="2021-03-10T00:00:00"/>
        <d v="2021-02-12T00:00:00"/>
        <d v="2021-04-04T00:00:00"/>
        <s v="1/15/2021"/>
        <d v="2022-05-04T00:00:00"/>
        <s v="10/16/2021"/>
        <s v="8/28/2021"/>
        <d v="2023-07-07T00:00:00"/>
        <s v="9/13/2021"/>
        <s v="5/29/2023"/>
        <s v="7/14/2022"/>
        <s v="10/20/2022"/>
        <s v="2/15/2021"/>
        <s v="3/31/2021"/>
        <s v="9/15/2021"/>
        <s v="9/18/2021"/>
        <s v="11/28/2020"/>
        <s v="4/15/2022"/>
        <s v="8/14/2023"/>
        <s v="6/18/2023"/>
        <s v="7/27/2022"/>
        <d v="2022-01-10T00:00:00"/>
        <s v="9/15/2022"/>
        <s v="10/16/2020"/>
        <d v="2022-04-07T00:00:00"/>
        <d v="2022-06-11T00:00:00"/>
        <s v="10/29/2022"/>
        <s v="1/27/2023"/>
        <s v="2/13/2021"/>
        <d v="2023-11-08T00:00:00"/>
        <s v="12/16/2021"/>
        <s v="7/26/2022"/>
        <s v="11/29/2022"/>
        <s v="12/30/2020"/>
        <d v="2022-01-03T00:00:00"/>
        <d v="2021-12-09T00:00:00"/>
        <s v="10/30/2022"/>
        <d v="2022-03-12T00:00:00"/>
        <s v="4/25/2023"/>
        <s v="2/19/2023"/>
        <s v="5/20/2023"/>
        <d v="2021-09-06T00:00:00"/>
        <s v="7/25/2022"/>
        <s v="9/28/2022"/>
        <s v="4/24/2021"/>
        <d v="2021-08-11T00:00:00"/>
        <s v="7/13/2022"/>
        <s v="6/29/2021"/>
        <d v="2021-05-09T00:00:00"/>
        <d v="2022-10-01T00:00:00"/>
        <d v="2021-02-05T00:00:00"/>
        <d v="2023-07-04T00:00:00"/>
        <d v="2023-07-06T00:00:00"/>
        <s v="2/14/2022"/>
        <s v="3/24/2023"/>
        <d v="2023-02-06T00:00:00"/>
        <s v="10/20/2021"/>
        <d v="2021-10-11T00:00:00"/>
        <d v="2021-07-08T00:00:00"/>
        <s v="3/17/2021"/>
        <s v="8/24/2022"/>
        <d v="2021-05-12T00:00:00"/>
        <s v="9/22/2021"/>
        <s v="12/26/2020"/>
        <d v="2021-09-11T00:00:00"/>
        <s v="10/13/2020"/>
        <s v="8/28/2022"/>
        <d v="2021-06-10T00:00:00"/>
        <s v="7/17/2022"/>
        <s v="11/22/2020"/>
        <s v="5/22/2022"/>
        <s v="7/30/2022"/>
        <s v="9/30/2020"/>
        <d v="2023-02-07T00:00:00"/>
        <s v="11/19/2022"/>
        <d v="2023-12-05T00:00:00"/>
        <d v="2021-03-09T00:00:00"/>
        <s v="11/23/2021"/>
        <s v="1/23/2021"/>
        <d v="2021-09-05T00:00:00"/>
        <s v="4/17/2021"/>
        <s v="2/19/2022"/>
        <d v="2022-12-05T00:00:00"/>
        <s v="2/15/2023"/>
        <d v="2023-11-07T00:00:00"/>
        <s v="11/19/2020"/>
        <s v="11/14/2021"/>
        <s v="7/24/2021"/>
        <d v="2021-01-08T00:00:00"/>
        <d v="2023-09-07T00:00:00"/>
        <s v="6/22/2022"/>
        <d v="2021-08-08T00:00:00"/>
        <d v="2023-06-05T00:00:00"/>
        <s v="5/25/2021"/>
        <s v="10/22/2022"/>
        <s v="7/19/2021"/>
        <s v="2/15/2022"/>
        <s v="8/14/2021"/>
        <d v="2021-10-05T00:00:00"/>
        <s v="7/19/2023"/>
        <d v="2020-07-10T00:00:00"/>
        <s v="4/25/2022"/>
        <d v="2022-11-10T00:00:00"/>
        <s v="3/29/2023"/>
        <d v="2021-06-11T00:00:00"/>
        <s v="7/22/2021"/>
        <d v="2021-12-05T00:00:00"/>
        <s v="8/20/2021"/>
        <s v="11/24/2021"/>
        <s v="7/16/2023"/>
        <d v="2022-12-09T00:00:00"/>
        <d v="2022-12-04T00:00:00"/>
        <s v="3/14/2022"/>
        <d v="2022-08-03T00:00:00"/>
        <s v="4/26/2022"/>
        <d v="2021-04-01T00:00:00"/>
        <s v="10/26/2022"/>
        <d v="2021-08-03T00:00:00"/>
        <s v="4/27/2023"/>
        <d v="2022-01-07T00:00:00"/>
        <s v="8/20/2023"/>
        <d v="2022-06-06T00:00:00"/>
        <d v="2020-01-10T00:00:00"/>
        <d v="2023-05-01T00:00:00"/>
        <s v="10/27/2021"/>
        <s v="3/19/2021"/>
        <s v="3/16/2022"/>
        <s v="6/21/2022"/>
        <d v="2023-12-01T00:00:00"/>
        <d v="2022-07-04T00:00:00"/>
        <s v="11/16/2021"/>
        <s v="9/22/2020"/>
        <d v="2023-10-01T00:00:00"/>
        <s v="11/29/2021"/>
        <s v="12/27/2022"/>
        <s v="5/21/2022"/>
        <s v="9/16/2020"/>
        <s v="12/18/2021"/>
        <s v="10/17/2022"/>
        <s v="10/31/2020"/>
        <s v="1/13/2021"/>
        <s v="11/18/2022"/>
        <s v="8/29/2021"/>
        <s v="12/18/2022"/>
        <s v="2/21/2021"/>
        <s v="5/13/2021"/>
        <d v="2021-12-02T00:00:00"/>
        <d v="2023-09-02T00:00:00"/>
        <s v="5/28/2021"/>
        <s v="10/18/2021"/>
        <d v="2020-02-09T00:00:00"/>
        <s v="2/18/2021"/>
        <s v="12/14/2022"/>
        <d v="2022-02-09T00:00:00"/>
        <d v="2023-03-04T00:00:00"/>
        <s v="7/22/2022"/>
        <s v="7/28/2022"/>
        <s v="11/30/2021"/>
        <s v="10/31/2022"/>
        <s v="3/28/2021"/>
        <s v="8/31/2021"/>
        <d v="2021-06-09T00:00:00"/>
        <s v="5/29/2022"/>
        <d v="2022-09-12T00:00:00"/>
        <s v="10/14/2020"/>
        <d v="2021-09-07T00:00:00"/>
        <d v="2020-06-11T00:00:00"/>
        <s v="5/22/2021"/>
        <s v="11/27/2021"/>
        <d v="2021-08-04T00:00:00"/>
        <s v="2/25/2023"/>
        <s v="3/28/2023"/>
        <s v="12/13/2021"/>
        <s v="1/15/2023"/>
        <d v="2021-01-03T00:00:00"/>
        <s v="2/28/2021"/>
        <d v="2023-08-08T00:00:00"/>
        <s v="7/28/2023"/>
        <s v="10/14/2021"/>
        <s v="7/28/2021"/>
        <s v="11/13/2022"/>
        <s v="1/17/2022"/>
        <s v="9/29/2020"/>
        <s v="3/16/2021"/>
        <s v="9/19/2020"/>
        <d v="2020-01-12T00:00:00"/>
        <s v="10/21/2021"/>
        <d v="2021-08-01T00:00:00"/>
        <d v="2021-02-08T00:00:00"/>
        <d v="2022-02-03T00:00:00"/>
        <d v="2022-11-12T00:00:00"/>
        <d v="2023-07-03T00:00:00"/>
        <s v="8/27/2022"/>
        <s v="7/23/2022"/>
        <s v="7/27/2023"/>
        <d v="2020-10-09T00:00:00"/>
        <d v="2021-11-10T00:00:00"/>
        <s v="4/22/2022"/>
        <d v="2021-08-12T00:00:00"/>
        <s v="5/28/2022"/>
        <d v="2022-10-08T00:00:00"/>
        <d v="2021-08-02T00:00:00"/>
        <s v="12/24/2021"/>
        <s v="8/24/2021"/>
        <s v="6/14/2022"/>
        <s v="9/13/2022"/>
        <s v="3/15/2023"/>
        <d v="2021-08-10T00:00:00"/>
        <d v="2021-09-01T00:00:00"/>
        <s v="2/16/2023"/>
        <s v="4/14/2021"/>
        <s v="12/26/2021"/>
        <d v="2020-12-10T00:00:00"/>
        <s v="9/27/2021"/>
        <d v="2023-01-05T00:00:00"/>
        <s v="6/18/2021"/>
        <s v="10/28/2021"/>
        <s v="11/18/2021"/>
        <s v="3/20/2021"/>
        <d v="2020-03-11T00:00:00"/>
        <s v="8/21/2021"/>
        <d v="2020-12-09T00:00:00"/>
        <d v="2021-06-12T00:00:00"/>
        <d v="2023-01-08T00:00:00"/>
        <d v="2022-05-08T00:00:00"/>
        <d v="2021-11-06T00:00:00"/>
        <s v="10/19/2021"/>
        <s v="10/23/2020"/>
        <d v="2021-01-02T00:00:00"/>
        <s v="2/22/2022"/>
        <s v="9/30/2021"/>
        <s v="1/19/2023"/>
        <s v="10/18/2022"/>
        <s v="4/13/2022"/>
        <d v="2022-10-04T00:00:00"/>
        <s v="12/14/2021"/>
        <d v="2023-10-07T00:00:00"/>
        <s v="7/22/2023"/>
        <s v="5/26/2023"/>
        <s v="5/18/2022"/>
        <d v="2023-05-05T00:00:00"/>
        <s v="10/27/2022"/>
        <s v="1/18/2022"/>
        <s v="12/16/2020"/>
        <d v="2022-08-01T00:00:00"/>
        <s v="7/30/2021"/>
        <d v="2021-02-04T00:00:00"/>
        <s v="5/14/2022"/>
        <s v="9/29/2022"/>
        <s v="1/25/2021"/>
        <s v="7/14/2021"/>
        <d v="2022-03-10T00:00:00"/>
        <d v="2021-03-12T00:00:00"/>
        <d v="2023-12-08T00:00:00"/>
        <s v="3/15/2022"/>
        <d v="2020-05-09T00:00:00"/>
        <d v="2023-06-03T00:00:00"/>
        <s v="5/31/2023"/>
        <s v="10/23/2021"/>
        <s v="3/19/2022"/>
        <d v="2020-11-09T00:00:00"/>
        <s v="3/23/2023"/>
        <d v="2023-09-06T00:00:00"/>
        <d v="2022-10-05T00:00:00"/>
        <s v="10/28/2022"/>
        <s v="6/15/2021"/>
        <d v="2022-06-03T00:00:00"/>
        <d v="2021-04-02T00:00:00"/>
        <s v="5/15/2022"/>
        <d v="2022-07-06T00:00:00"/>
        <d v="2023-08-07T00:00:00"/>
        <d v="2021-09-08T00:00:00"/>
        <s v="6/27/2023"/>
        <d v="2023-06-04T00:00:00"/>
        <s v="1/16/2021"/>
        <s v="12/21/2022"/>
        <s v="7/26/2021"/>
        <s v="7/24/2022"/>
        <d v="2022-03-04T00:00:00"/>
        <s v="7/16/2022"/>
        <s v="2/13/2022"/>
        <s v="10/30/2020"/>
        <d v="2023-03-03T00:00:00"/>
        <s v="9/30/2022"/>
        <d v="2022-10-06T00:00:00"/>
        <s v="12/13/2020"/>
        <s v="4/30/2021"/>
        <d v="2022-06-07T00:00:00"/>
        <d v="2023-12-06T00:00:00"/>
        <s v="2/20/2021"/>
        <d v="2022-04-10T00:00:00"/>
        <d v="2023-01-02T00:00:00"/>
        <s v="11/21/2022"/>
        <d v="2022-04-06T00:00:00"/>
        <s v="6/13/2023"/>
        <d v="2021-10-06T00:00:00"/>
        <s v="11/26/2022"/>
        <s v="9/25/2021"/>
        <s v="11/24/2020"/>
        <s v="3/14/2021"/>
        <s v="1/16/2022"/>
        <s v="10/13/2021"/>
        <d v="2023-11-03T00:00:00"/>
        <s v="8/18/2021"/>
        <d v="2023-12-02T00:00:00"/>
        <s v="4/20/2023"/>
        <s v="4/21/2023"/>
        <d v="2021-04-08T00:00:00"/>
        <s v="5/20/2022"/>
        <s v="10/14/2022"/>
        <s v="11/29/2020"/>
        <s v="10/16/2022"/>
        <d v="2021-12-10T00:00:00"/>
        <d v="2023-06-08T00:00:00"/>
        <s v="4/19/2022"/>
        <s v="11/27/2022"/>
        <s v="1/14/2022"/>
        <s v="1/26/2023"/>
        <d v="2021-07-09T00:00:00"/>
        <s v="9/19/2022"/>
        <d v="2022-04-04T00:00:00"/>
        <s v="10/26/2020"/>
        <s v="3/30/2021"/>
        <d v="2021-08-09T00:00:00"/>
        <s v="6/17/2023"/>
        <s v="10/25/2022"/>
        <d v="2022-09-08T00:00:00"/>
        <d v="2022-10-12T00:00:00"/>
        <s v="5/25/2022"/>
        <d v="2021-04-03T00:00:00"/>
        <d v="2023-12-03T00:00:00"/>
        <s v="7/16/2021"/>
        <d v="2020-01-09T00:00:00"/>
        <s v="6/30/2022"/>
        <s v="2/24/2022"/>
        <s v="12/17/2021"/>
        <s v="8/29/2022"/>
        <d v="2022-09-05T00:00:00"/>
        <s v="8/18/2022"/>
        <s v="1/21/2023"/>
        <s v="1/22/2023"/>
        <s v="5/30/2022"/>
        <d v="2022-10-07T00:00:00"/>
        <d v="2022-07-11T00:00:00"/>
        <d v="2020-02-11T00:00:00"/>
        <s v="12/24/2022"/>
        <s v="7/18/2022"/>
        <d v="2022-08-09T00:00:00"/>
        <s v="2/24/2023"/>
        <d v="2021-04-07T00:00:00"/>
        <s v="5/21/2023"/>
        <d v="2022-02-10T00:00:00"/>
        <d v="2022-06-05T00:00:00"/>
        <s v="8/30/2021"/>
        <s v="12/28/2021"/>
        <s v="10/20/2020"/>
        <d v="2022-09-11T00:00:00"/>
        <s v="5/20/2021"/>
        <d v="2023-11-05T00:00:00"/>
        <d v="2021-12-03T00:00:00"/>
        <s v="12/22/2021"/>
        <s v="5/13/2022"/>
        <s v="2/23/2021"/>
        <s v="12/15/2021"/>
        <s v="7/31/2021"/>
        <d v="2023-07-01T00:00:00"/>
        <s v="5/23/2022"/>
        <d v="2022-01-06T00:00:00"/>
        <s v="6/29/2023"/>
        <s v="6/13/2022"/>
        <d v="2021-07-06T00:00:00"/>
        <d v="2022-08-11T00:00:00"/>
        <d v="2023-05-07T00:00:00"/>
        <s v="4/23/2022"/>
        <d v="2023-02-01T00:00:00"/>
        <s v="1/26/2021"/>
        <d v="2023-04-07T00:00:00"/>
        <d v="2022-07-02T00:00:00"/>
        <s v="12/30/2022"/>
        <s v="4/28/2022"/>
        <d v="2023-05-06T00:00:00"/>
        <d v="2022-11-01T00:00:00"/>
        <d v="2022-06-02T00:00:00"/>
        <s v="6/26/2023"/>
        <s v="9/17/2020"/>
        <s v="8/17/2021"/>
        <s v="4/23/2021"/>
        <s v="6/16/2021"/>
        <s v="3/29/2022"/>
        <s v="10/17/2020"/>
        <s v="12/21/2021"/>
        <s v="8/23/2021"/>
        <d v="2021-03-02T00:00:00"/>
        <d v="2022-07-01T00:00:00"/>
        <s v="11/13/2021"/>
        <d v="2022-02-01T00:00:00"/>
        <s v="6/19/2021"/>
        <s v="7/27/2021"/>
        <s v="1/21/2021"/>
        <d v="2022-11-09T00:00:00"/>
        <s v="8/31/2022"/>
        <d v="2021-05-07T00:00:00"/>
        <d v="2022-04-09T00:00:00"/>
        <s v="6/24/2021"/>
        <d v="2021-10-08T00:00:00"/>
        <s v="12/27/2020"/>
        <s v="6/26/2021"/>
        <d v="2023-12-07T00:00:00"/>
        <s v="10/29/2020"/>
        <d v="2023-09-01T00:00:00"/>
        <d v="2023-08-01T00:00:00"/>
        <s v="5/27/2021"/>
        <s v="8/23/2020"/>
        <d v="2022-06-04T00:00:00"/>
        <d v="2023-06-01T00:00:00"/>
        <s v="4/18/2022"/>
        <s v="12/15/2020"/>
        <s v="9/23/2022"/>
        <d v="2022-06-12T00:00:00"/>
        <s v="8/19/2022"/>
        <s v="2/21/2023"/>
        <d v="2022-05-10T00:00:00"/>
        <s v="7/23/2023"/>
        <s v="6/28/2022"/>
        <d v="2021-03-03T00:00:00"/>
        <d v="2020-11-10T00:00:00"/>
        <d v="2022-09-03T00:00:00"/>
        <d v="2021-06-01T00:00:00"/>
        <s v="10/24/2020"/>
        <s v="5/18/2023"/>
        <s v="4/16/2021"/>
        <d v="2022-10-02T00:00:00"/>
        <s v="9/29/2021"/>
        <d v="2020-04-09T00:00:00"/>
        <d v="2022-05-01T00:00:00"/>
        <s v="1/29/2023"/>
        <s v="7/20/2023"/>
        <s v="11/20/2021"/>
        <d v="2023-02-05T00:00:00"/>
        <s v="1/25/2023"/>
        <s v="2/16/2022"/>
        <s v="8/16/2023"/>
        <s v="1/29/2022"/>
        <d v="2022-12-08T00:00:00"/>
        <d v="2021-02-09T00:00:00"/>
        <s v="12/25/2022"/>
        <d v="2021-07-02T00:00:00"/>
        <s v="1/17/2021"/>
        <s v="9/16/2022"/>
        <d v="2023-07-02T00:00:00"/>
        <d v="2023-04-01T00:00:00"/>
        <s v="9/28/2021"/>
        <d v="2023-02-04T00:00:00"/>
        <s v="3/31/2023"/>
        <s v="6/30/2021"/>
        <s v="9/27/2020"/>
        <s v="2/16/2021"/>
        <s v="10/15/2021"/>
        <s v="11/25/2021"/>
        <s v="4/21/2021"/>
        <s v="6/13/2021"/>
        <d v="2020-03-12T00:00:00"/>
        <d v="2022-11-05T00:00:00"/>
        <s v="7/14/2023"/>
        <d v="2021-05-04T00:00:00"/>
        <s v="9/17/2022"/>
        <d v="2020-10-11T00:00:00"/>
        <s v="6/27/2021"/>
        <d v="2021-12-07T00:00:00"/>
        <s v="5/15/2021"/>
        <d v="2023-04-03T00:00:00"/>
        <s v="4/13/2023"/>
        <s v="1/30/2021"/>
        <s v="3/31/2022"/>
        <d v="2022-07-07T00:00:00"/>
        <s v="3/18/2023"/>
        <d v="2020-11-11T00:00:00"/>
        <d v="2022-11-02T00:00:00"/>
        <d v="2023-06-07T00:00:00"/>
        <d v="2023-09-03T00:00:00"/>
        <d v="2023-11-04T00:00:00"/>
        <s v="5/19/2022"/>
        <s v="1/20/2021"/>
        <s v="8/15/2022"/>
        <s v="3/29/2021"/>
        <s v="3/16/2023"/>
        <s v="9/21/2021"/>
        <s v="10/15/2020"/>
        <s v="1/22/2022"/>
        <s v="4/30/2022"/>
        <s v="4/20/2021"/>
        <s v="11/15/2022"/>
        <d v="2021-03-04T00:00:00"/>
        <s v="4/24/2023"/>
        <d v="2021-08-07T00:00:00"/>
        <d v="2023-06-02T00:00:00"/>
        <s v="9/13/2020"/>
        <s v="4/20/2022"/>
        <d v="2022-11-06T00:00:00"/>
        <s v="3/26/2021"/>
        <s v="2/22/2021"/>
        <d v="2021-05-10T00:00:00"/>
        <s v="12/17/2022"/>
        <d v="2021-04-11T00:00:00"/>
        <s v="11/17/2022"/>
        <s v="5/26/2022"/>
        <d v="2020-04-11T00:00:00"/>
        <s v="4/21/2022"/>
        <s v="1/26/2022"/>
        <d v="2021-01-05T00:00:00"/>
        <s v="1/17/2023"/>
        <s v="8/31/2020"/>
        <d v="2023-06-06T00:00:00"/>
        <s v="1/18/2023"/>
        <d v="2021-01-04T00:00:00"/>
        <d v="2021-04-12T00:00:00"/>
        <s v="1/30/2022"/>
        <d v="2023-03-06T00:00:00"/>
        <s v="3/30/2023"/>
        <d v="2022-03-02T00:00:00"/>
        <s v="8/19/2023"/>
        <s v="6/16/2022"/>
        <d v="2020-02-10T00:00:00"/>
        <s v="6/17/2021"/>
        <s v="10/19/2022"/>
        <s v="9/20/2022"/>
        <s v="1/24/2021"/>
        <s v="9/18/2020"/>
        <s v="4/29/2022"/>
        <s v="11/14/2022"/>
        <s v="1/28/2021"/>
        <s v="12/31/2020"/>
        <s v="1/30/2023"/>
        <s v="6/16/2023"/>
        <d v="2021-01-06T00:00:00"/>
        <d v="2021-10-04T00:00:00"/>
        <s v="11/16/2022"/>
        <d v="2021-11-12T00:00:00"/>
        <d v="2021-10-03T00:00:00"/>
        <s v="8/28/2020"/>
        <s v="11/27/2020"/>
        <d v="2023-02-03T00:00:00"/>
        <d v="2020-07-09T00:00:00"/>
        <d v="2021-03-07T00:00:00"/>
        <s v="6/18/2022"/>
        <d v="2023-04-04T00:00:00"/>
        <s v="6/26/2022"/>
        <d v="2022-11-11T00:00:00"/>
        <s v="9/28/2020"/>
        <d v="2022-05-03T00:00:00"/>
        <s v="10/23/2022"/>
        <s v="1/24/2022"/>
        <s v="4/15/2021"/>
        <d v="2020-05-12T00:00:00"/>
        <s v="3/18/2022"/>
        <s v="3/13/2023"/>
        <s v="7/18/2023"/>
        <s v="5/31/2022"/>
        <d v="2020-11-12T00:00:00"/>
        <d v="2023-09-04T00:00:00"/>
        <d v="2022-09-09T00:00:00"/>
        <s v="4/13/2021"/>
        <s v="6/15/2023"/>
        <s v="11/28/2021"/>
        <s v="1/27/2022"/>
        <d v="2020-03-10T00:00:00"/>
        <s v="1/21/2022"/>
        <s v="10/31/2021"/>
        <s v="9/26/2022"/>
        <s v="6/20/2023"/>
        <s v="3/17/2022"/>
        <s v="5/26/2021"/>
        <d v="2022-03-07T00:00:00"/>
        <d v="2021-11-02T00:00:00"/>
        <s v="12/20/2022"/>
        <s v="10/13/2022"/>
        <d v="2023-05-02T00:00:00"/>
        <d v="2022-03-11T00:00:00"/>
        <d v="2023-01-06T00:00:00"/>
        <d v="2021-01-09T00:00:00"/>
        <s v="7/20/2021"/>
        <s v="5/17/2022"/>
        <s v="5/29/2021"/>
        <d v="2021-10-10T00:00:00"/>
        <s v="3/20/2022"/>
        <d v="2023-03-01T00:00:00"/>
        <s v="8/17/2022"/>
        <s v="5/17/2023"/>
        <s v="10/21/2022"/>
        <s v="5/16/2022"/>
        <s v="7/23/2021"/>
        <d v="2021-07-05T00:00:00"/>
        <s v="3/14/2023"/>
        <s v="9/25/2022"/>
        <d v="2021-12-11T00:00:00"/>
        <d v="2021-02-07T00:00:00"/>
        <s v="7/26/2023"/>
        <d v="2022-08-12T00:00:00"/>
        <s v="7/25/2023"/>
        <s v="1/24/2023"/>
        <s v="2/23/2022"/>
        <d v="2021-10-09T00:00:00"/>
        <d v="2020-08-10T00:00:00"/>
        <d v="2021-07-04T00:00:00"/>
        <s v="8/13/2022"/>
        <s v="7/29/2021"/>
        <d v="2022-02-06T00:00:00"/>
        <s v="2/22/2023"/>
        <s v="7/21/2023"/>
        <s v="11/26/2021"/>
        <s v="8/22/2022"/>
        <s v="9/26/2021"/>
        <d v="2022-08-10T00:00:00"/>
        <d v="2022-02-04T00:00:00"/>
        <d v="2022-05-07T00:00:00"/>
        <s v="4/27/2022"/>
        <s v="6/14/2021"/>
        <s v="12/23/2021"/>
        <s v="8/16/2022"/>
        <s v="5/24/2021"/>
        <s v="9/15/2020"/>
        <d v="2022-08-06T00:00:00"/>
        <s v="2/28/2023"/>
        <s v="12/19/2020"/>
        <s v="12/28/2020"/>
        <s v="10/21/2020"/>
        <s v="8/21/2022"/>
        <d v="2022-01-09T00:00:00"/>
        <d v="2022-03-08T00:00:00"/>
        <d v="2023-05-08T00:00:00"/>
        <d v="2023-03-07T00:00:00"/>
        <s v="10/18/2020"/>
        <s v="6/19/2022"/>
        <d v="2022-10-10T00:00:00"/>
        <s v="1/31/2023"/>
        <s v="2/27/2022"/>
        <d v="2021-06-02T00:00:00"/>
        <s v="12/26/2022"/>
        <s v="1/23/2023"/>
        <s v="11/15/2020"/>
        <s v="6/21/2021"/>
        <d v="2022-04-05T00:00:00"/>
        <s v="2/18/2022"/>
        <s v="12/31/2022"/>
        <s v="1/19/2022"/>
        <d v="2021-12-01T00:00:00"/>
        <d v="2023-10-05T00:00:00"/>
        <d v="2022-04-03T00:00:00"/>
        <s v="9/20/2020"/>
        <d v="2020-12-12T00:00:00"/>
        <s v="8/20/2020"/>
        <d v="2021-09-03T00:00:00"/>
        <s v="12/22/2022"/>
        <d v="2022-02-08T00:00:00"/>
        <s v="2/18/2023"/>
        <s v="11/13/2020"/>
        <s v="1/18/2021"/>
        <d v="2022-08-02T00:00:00"/>
        <d v="2020-06-09T00:00:00"/>
        <s v="9/20/2021"/>
        <s v="2/28/2022"/>
        <d v="2023-11-02T00:00:00"/>
        <s v="12/15/2022"/>
        <d v="2021-05-11T00:00:00"/>
        <d v="2023-04-02T00:00:00"/>
        <s v="2/26/2023"/>
        <s v="1/13/2022"/>
        <s v="11/17/2021"/>
        <d v="2022-05-11T00:00:00"/>
        <s v="3/24/2022"/>
        <d v="2020-03-09T00:00:00"/>
        <s v="7/31/2022"/>
        <s v="4/16/2023"/>
        <s v="11/22/2021"/>
        <s v="6/27/2022"/>
        <d v="2022-03-09T00:00:00"/>
        <d v="2021-07-10T00:00:00"/>
        <s v="4/30/2023"/>
        <d v="2022-09-07T00:00:00"/>
        <d v="2023-07-05T00:00:00"/>
        <s v="5/23/2021"/>
        <s v="3/13/2021"/>
        <d v="2021-11-08T00:00:00"/>
        <d v="2022-06-09T00:00:00"/>
        <d v="2022-12-10T00:00:00"/>
        <d v="2020-06-12T00:00:00"/>
        <s v="9/16/2021"/>
        <d v="2022-01-11T00:00:00"/>
        <s v="3/22/2021"/>
        <s v="6/28/2021"/>
        <d v="2023-12-04T00:00:00"/>
        <s v="1/31/2021"/>
        <d v="2023-04-05T00:00:00"/>
        <d v="2022-12-06T00:00:00"/>
        <s v="3/15/2021"/>
        <s v="1/27/2021"/>
        <s v="2/24/2021"/>
        <s v="4/27/2021"/>
        <d v="2023-08-04T00:00:00"/>
        <s v="7/31/2023"/>
        <s v="11/20/2020"/>
        <d v="2021-12-08T00:00:00"/>
        <d v="2020-10-10T00:00:00"/>
        <s v="8/22/2021"/>
        <s v="12/29/2020"/>
        <s v="5/17/2021"/>
        <s v="1/22/2021"/>
        <s v="4/28/2023"/>
        <d v="2021-05-08T00:00:00"/>
        <s v="4/19/2023"/>
        <s v="2/25/2021"/>
        <s v="6/29/2022"/>
        <s v="1/20/2023"/>
        <s v="12/19/2021"/>
        <s v="2/13/2023"/>
        <s v="6/25/2021"/>
        <d v="2021-07-07T00:00:00"/>
        <s v="4/24/2022"/>
        <s v="2/14/2021"/>
        <s v="6/24/2022"/>
        <s v="3/27/2023"/>
        <d v="2023-05-03T00:00:00"/>
        <d v="2021-11-03T00:00:00"/>
        <d v="2023-08-06T00:00:00"/>
        <s v="12/30/2021"/>
        <s v="12/13/2022"/>
        <s v="9/25/2020"/>
        <s v="5/14/2023"/>
        <d v="2021-10-12T00:00:00"/>
        <s v="12/25/2020"/>
        <s v="5/24/2023"/>
        <d v="2020-08-09T00:00:00"/>
        <s v="6/22/2021"/>
        <d v="2021-12-04T00:00:00"/>
        <s v="3/24/2021"/>
        <s v="11/28/2022"/>
        <s v="12/17/2020"/>
        <s v="2/23/2023"/>
        <d v="2021-11-11T00:00:00"/>
        <s v="6/20/2022"/>
        <s v="4/15/2023"/>
        <s v="3/28/2022"/>
        <s v="3/17/2023"/>
        <s v="1/23/2022"/>
        <d v="2023-10-02T00:00:00"/>
        <s v="2/21/2022"/>
        <d v="2021-02-01T00:00:00"/>
        <s v="2/20/2022"/>
        <d v="2022-08-08T00:00:00"/>
        <d v="2021-06-03T00:00:00"/>
        <d v="2020-09-10T00:00:00"/>
        <d v="2021-02-03T00:00:00"/>
        <s v="12/27/2021"/>
        <s v="7/24/2023"/>
        <d v="2022-04-01T00:00:00"/>
        <s v="1/13/2023"/>
        <s v="6/23/2022"/>
        <s v="8/18/2023"/>
        <d v="2022-12-12T00:00:00"/>
        <s v="5/13/2023"/>
        <s v="7/15/2023"/>
        <s v="4/18/2021"/>
        <d v="2022-06-08T00:00:00"/>
        <s v="1/14/2021"/>
        <s v="3/22/2023"/>
        <d v="2022-04-08T00:00:00"/>
        <d v="2022-12-07T00:00:00"/>
        <d v="2022-12-11T00:00:00"/>
        <d v="2023-01-04T00:00:00"/>
        <d v="2020-06-10T00:00:00"/>
        <d v="2021-01-01T00:00:00"/>
        <d v="2021-10-01T00:00:00"/>
        <d v="2021-05-02T00:00:00"/>
        <s v="4/28/2021"/>
        <d v="2021-06-08T00:00:00"/>
        <s v="5/14/2021"/>
        <s v="8/13/2023"/>
        <d v="2021-02-10T00:00:00"/>
        <d v="2023-01-03T00:00:00"/>
        <s v="12/23/2022"/>
        <s v="8/27/2020"/>
        <s v="6/22/2023"/>
        <s v="9/21/2020"/>
        <s v="3/26/2023"/>
        <s v="9/26/2020"/>
        <d v="2020-02-12T00:00:00"/>
        <s v="3/30/2022"/>
        <s v="5/18/2021"/>
        <d v="2020-05-11T00:00:00"/>
        <s v="6/23/2023"/>
        <s v="8/25/2021"/>
        <s v="11/25/2022"/>
        <s v="7/17/2023"/>
        <s v="2/17/2023"/>
        <s v="12/19/2022"/>
        <d v="2021-06-05T00:00:00"/>
        <s v="6/30/2023"/>
        <d v="2022-11-08T00:00:00"/>
        <d v="2022-01-12T00:00:00"/>
        <d v="2020-08-12T00:00:00"/>
        <d v="2022-08-04T00:00:00"/>
        <s v="3/22/2022"/>
        <d v="2021-03-01T00:00:00"/>
        <d v="2021-07-03T00:00:00"/>
        <d v="2021-11-09T00:00:00"/>
        <s v="10/24/2021"/>
        <s v="6/15/2022"/>
        <d v="2022-05-05T00:00:00"/>
        <s v="3/26/2022"/>
        <d v="2021-01-07T00:00:00"/>
        <s v="12/20/2021"/>
        <s v="5/22/2023"/>
        <s v="11/23/2020"/>
        <s v="7/15/2022"/>
        <d v="2020-09-11T00:00:00"/>
        <s v="6/14/2023"/>
        <d v="2023-09-05T00:00:00"/>
        <d v="2021-01-10T00:00:00"/>
        <s v="5/21/2021"/>
        <s v="1/20/2022"/>
        <d v="2021-11-01T00:00:00"/>
        <s v="8/14/2022"/>
        <s v="6/23/2021"/>
        <d v="2022-04-02T00:00:00"/>
        <s v="10/25/2021"/>
        <s v="3/21/2021"/>
        <s v="1/29/2021"/>
        <d v="2023-11-01T00:00:00"/>
        <s v="9/24/2020"/>
        <d v="2021-06-04T00:00:00"/>
        <d v="2021-03-11T00:00:00"/>
        <s v="7/21/2022"/>
        <d v="2022-02-07T00:00:00"/>
        <d v="2021-08-05T00:00:00"/>
        <s v="12/24/2020"/>
        <s v="12/18/2020"/>
        <d v="2023-10-03T00:00:00"/>
        <d v="2022-03-03T00:00:00"/>
        <d v="2023-02-02T00:00:00"/>
        <s v="10/30/2021"/>
        <d v="2022-12-03T00:00:00"/>
        <s v="8/26/2022"/>
        <s v="3/23/2022"/>
        <s v="8/17/2023"/>
        <d v="2021-05-03T00:00:00"/>
        <s v="5/16/2021"/>
      </sharedItems>
    </cacheField>
    <cacheField name="last_purchase_date" numFmtId="0">
      <sharedItems containsDate="1" containsMixedTypes="1" minDate="2020-07-11T00:00:00" maxDate="2025-12-09T00:00:00"/>
    </cacheField>
    <cacheField name="cancellations_count" numFmtId="0">
      <sharedItems containsSemiMixedTypes="0" containsString="0" containsNumber="1" containsInteger="1" minValue="0" maxValue="5"/>
    </cacheField>
    <cacheField name="subscription_status" numFmtId="0">
      <sharedItems count="3">
        <s v="active"/>
        <s v="cancelled"/>
        <s v="paused"/>
      </sharedItems>
    </cacheField>
    <cacheField name="order_date" numFmtId="0">
      <sharedItems containsDate="1" containsMixedTypes="1" minDate="2020-01-12T00:00:00" maxDate="2025-12-09T00:00:00"/>
    </cacheField>
    <cacheField name=" unit_price " numFmtId="0">
      <sharedItems/>
    </cacheField>
    <cacheField name="quantity" numFmtId="0">
      <sharedItems containsSemiMixedTypes="0" containsString="0" containsNumber="1" containsInteger="1" minValue="1" maxValue="9"/>
    </cacheField>
    <cacheField name="purchase_frequency" numFmtId="0">
      <sharedItems containsSemiMixedTypes="0" containsString="0" containsNumber="1" containsInteger="1" minValue="1" maxValue="49"/>
    </cacheField>
    <cacheField name="preferred_category" numFmtId="0">
      <sharedItems/>
    </cacheField>
    <cacheField name="product_name" numFmtId="0">
      <sharedItems/>
    </cacheField>
    <cacheField name="category" numFmtId="0">
      <sharedItems count="5">
        <s v="Sports"/>
        <s v="Home"/>
        <s v="Clothing"/>
        <s v="Beauty"/>
        <s v="Electronics"/>
      </sharedItems>
    </cacheField>
    <cacheField name="gender" numFmtId="0">
      <sharedItems count="3">
        <s v="Female"/>
        <s v="Male"/>
        <s v="Other"/>
      </sharedItems>
    </cacheField>
    <cacheField name="gross_revenue" numFmtId="0">
      <sharedItems containsSemiMixedTypes="0" containsString="0" containsNumber="1" minValue="22.29" maxValue="1998.08"/>
    </cacheField>
    <cacheField name="preference_alignment" numFmtId="0">
      <sharedItems/>
    </cacheField>
    <cacheField name="age_group" numFmtId="0">
      <sharedItems count="5">
        <s v="35-49 Gen X"/>
        <s v="50-64 Boomers"/>
        <s v="25-34 Millennials"/>
        <s v="18-24 Gen Z"/>
        <s v="65+ Seniors"/>
      </sharedItems>
    </cacheField>
    <cacheField name="Customer_Lifetime_Value_Tier" numFmtId="0">
      <sharedItems/>
    </cacheField>
    <cacheField name="dormancy_risk" numFmtId="0">
      <sharedItems count="4">
        <s v="Stable"/>
        <s v="Elevated Risk"/>
        <s v="ho"/>
        <s v="Critical Risk"/>
      </sharedItems>
    </cacheField>
  </cacheFields>
  <extLst>
    <ext xmlns:x14="http://schemas.microsoft.com/office/spreadsheetml/2009/9/main" uri="{725AE2AE-9491-48be-B2B4-4EB974FC3084}">
      <x14:pivotCacheDefinition pivotCacheId="7985727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 refreshedDate="46180.517707060186" createdVersion="8" refreshedVersion="8" minRefreshableVersion="3" recordCount="2003" xr:uid="{262E166C-BD49-46DE-A93D-978663904B64}">
  <cacheSource type="worksheet">
    <worksheetSource ref="A1:V1048576" sheet="Data"/>
  </cacheSource>
  <cacheFields count="22">
    <cacheField name="order_id" numFmtId="0">
      <sharedItems containsBlank="1"/>
    </cacheField>
    <cacheField name="customer_id" numFmtId="0">
      <sharedItems containsBlank="1"/>
    </cacheField>
    <cacheField name="age" numFmtId="0">
      <sharedItems containsString="0" containsBlank="1" containsNumber="1" containsInteger="1" minValue="18" maxValue="69"/>
    </cacheField>
    <cacheField name="product_id" numFmtId="0">
      <sharedItems containsBlank="1"/>
    </cacheField>
    <cacheField name="country" numFmtId="0">
      <sharedItems containsBlank="1"/>
    </cacheField>
    <cacheField name="signup_date" numFmtId="0">
      <sharedItems containsDate="1" containsBlank="1" containsMixedTypes="1" minDate="2020-01-09T00:00:00" maxDate="2023-12-09T00:00:00"/>
    </cacheField>
    <cacheField name="last_purchase_date" numFmtId="0">
      <sharedItems containsDate="1" containsBlank="1" containsMixedTypes="1" minDate="2020-07-11T00:00:00" maxDate="2025-12-09T00:00:00"/>
    </cacheField>
    <cacheField name="cancellations_count" numFmtId="0">
      <sharedItems containsString="0" containsBlank="1" containsNumber="1" containsInteger="1" minValue="0" maxValue="5"/>
    </cacheField>
    <cacheField name="subscription_status" numFmtId="0">
      <sharedItems containsBlank="1"/>
    </cacheField>
    <cacheField name="order_date" numFmtId="0">
      <sharedItems containsDate="1" containsBlank="1" containsMixedTypes="1" minDate="2020-01-12T00:00:00" maxDate="2025-12-09T00:00:00"/>
    </cacheField>
    <cacheField name=" unit_price " numFmtId="0">
      <sharedItems containsBlank="1"/>
    </cacheField>
    <cacheField name="quantity" numFmtId="0">
      <sharedItems containsString="0" containsBlank="1" containsNumber="1" containsInteger="1" minValue="1" maxValue="9"/>
    </cacheField>
    <cacheField name="purchase_frequency" numFmtId="0">
      <sharedItems containsString="0" containsBlank="1" containsNumber="1" containsInteger="1" minValue="1" maxValue="49"/>
    </cacheField>
    <cacheField name="preferred_category" numFmtId="0">
      <sharedItems containsBlank="1"/>
    </cacheField>
    <cacheField name="product_name" numFmtId="0">
      <sharedItems containsBlank="1"/>
    </cacheField>
    <cacheField name="category" numFmtId="0">
      <sharedItems containsBlank="1"/>
    </cacheField>
    <cacheField name="gender" numFmtId="0">
      <sharedItems containsBlank="1" count="5">
        <s v="Female"/>
        <s v="Male"/>
        <s v="Other"/>
        <m/>
        <s v="total_revenue"/>
      </sharedItems>
    </cacheField>
    <cacheField name="gross_revenue" numFmtId="0">
      <sharedItems containsString="0" containsBlank="1" containsNumber="1" minValue="22.29" maxValue="2051690.6500000055"/>
    </cacheField>
    <cacheField name="preference_alignment" numFmtId="0">
      <sharedItems containsBlank="1"/>
    </cacheField>
    <cacheField name="age_group" numFmtId="0">
      <sharedItems containsBlank="1"/>
    </cacheField>
    <cacheField name="Customer_Lifetime_Value_Tier" numFmtId="0">
      <sharedItems containsBlank="1"/>
    </cacheField>
    <cacheField name="dormancy_ris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5000"/>
    <s v="CUST1000"/>
    <n v="39"/>
    <s v="PROD200"/>
    <x v="0"/>
    <x v="0"/>
    <s v="2/21/2023"/>
    <n v="0"/>
    <x v="0"/>
    <s v="8/20/2024"/>
    <s v=" $78.21 "/>
    <n v="5"/>
    <n v="37"/>
    <s v="Sports"/>
    <s v="Football"/>
    <x v="0"/>
    <x v="0"/>
    <n v="391.05"/>
    <s v="Aligned"/>
    <x v="0"/>
    <s v="High Value Tier"/>
    <x v="0"/>
  </r>
  <r>
    <s v="ORD5001"/>
    <s v="CUST1001"/>
    <n v="61"/>
    <s v="PROD201"/>
    <x v="1"/>
    <x v="1"/>
    <d v="2021-08-12T00:00:00"/>
    <n v="0"/>
    <x v="0"/>
    <s v="7/17/2025"/>
    <s v=" $64.02 "/>
    <n v="8"/>
    <n v="35"/>
    <s v="Sports"/>
    <s v="Refrigerator"/>
    <x v="1"/>
    <x v="0"/>
    <n v="512.16"/>
    <s v="Misaligned"/>
    <x v="1"/>
    <s v="High Value Tier"/>
    <x v="0"/>
  </r>
  <r>
    <s v="ORD5002"/>
    <s v="CUST1002"/>
    <n v="26"/>
    <s v="PROD202"/>
    <x v="2"/>
    <x v="2"/>
    <d v="2023-04-09T00:00:00"/>
    <n v="3"/>
    <x v="1"/>
    <d v="2025-12-03T00:00:00"/>
    <s v=" $604.14 "/>
    <n v="2"/>
    <n v="44"/>
    <s v="Electronics"/>
    <s v="Hoodie"/>
    <x v="2"/>
    <x v="0"/>
    <n v="1208.28"/>
    <s v="Misaligned"/>
    <x v="2"/>
    <s v="High Value Tier"/>
    <x v="0"/>
  </r>
  <r>
    <s v="ORD5003"/>
    <s v="CUST1003"/>
    <n v="54"/>
    <s v="PROD203"/>
    <x v="3"/>
    <x v="3"/>
    <s v="2/20/2024"/>
    <n v="4"/>
    <x v="2"/>
    <s v="9/19/2024"/>
    <s v=" $84.66 "/>
    <n v="4"/>
    <n v="1"/>
    <s v="Sports"/>
    <s v="Conditioner"/>
    <x v="3"/>
    <x v="1"/>
    <n v="338.64"/>
    <s v="Misaligned"/>
    <x v="1"/>
    <s v="Value Tier"/>
    <x v="1"/>
  </r>
  <r>
    <s v="ORD5004"/>
    <s v="CUST1004"/>
    <n v="50"/>
    <s v="PROD204"/>
    <x v="3"/>
    <x v="4"/>
    <s v="9/14/2024"/>
    <n v="0"/>
    <x v="0"/>
    <d v="2024-08-08T00:00:00"/>
    <s v=" $62.66 "/>
    <n v="7"/>
    <n v="35"/>
    <s v="Sports"/>
    <s v="Smartwatch"/>
    <x v="4"/>
    <x v="1"/>
    <n v="438.62"/>
    <s v="Misaligned"/>
    <x v="1"/>
    <s v="High Value Tier"/>
    <x v="0"/>
  </r>
  <r>
    <s v="ORD5005"/>
    <s v="CUST1005"/>
    <n v="46"/>
    <s v="PROD205"/>
    <x v="2"/>
    <x v="5"/>
    <s v="8/13/2025"/>
    <n v="2"/>
    <x v="0"/>
    <s v="10/14/2024"/>
    <s v=" $221.61 "/>
    <n v="8"/>
    <n v="16"/>
    <s v="Electronics"/>
    <s v="Hoodie"/>
    <x v="2"/>
    <x v="1"/>
    <n v="1772.88"/>
    <s v="Misaligned"/>
    <x v="0"/>
    <s v="High Value Tier"/>
    <x v="0"/>
  </r>
  <r>
    <s v="ORD5006"/>
    <s v="CUST1006"/>
    <n v="29"/>
    <s v="PROD206"/>
    <x v="4"/>
    <x v="6"/>
    <s v="7/15/2025"/>
    <n v="1"/>
    <x v="0"/>
    <d v="2024-05-03T00:00:00"/>
    <s v=" $175.74 "/>
    <n v="4"/>
    <n v="7"/>
    <s v="Clothing"/>
    <s v="Tablet"/>
    <x v="4"/>
    <x v="0"/>
    <n v="702.96"/>
    <s v="Misaligned"/>
    <x v="2"/>
    <s v="High Value Tier"/>
    <x v="0"/>
  </r>
  <r>
    <s v="ORD5007"/>
    <s v="CUST1007"/>
    <n v="24"/>
    <s v="PROD207"/>
    <x v="5"/>
    <x v="7"/>
    <s v="12/31/2024"/>
    <n v="2"/>
    <x v="0"/>
    <s v="3/21/2025"/>
    <s v=" $9.56 "/>
    <n v="5"/>
    <n v="34"/>
    <s v="Clothing"/>
    <s v="Jacket"/>
    <x v="2"/>
    <x v="0"/>
    <n v="47.8"/>
    <s v="Aligned"/>
    <x v="3"/>
    <s v="Core Tier"/>
    <x v="2"/>
  </r>
  <r>
    <s v="ORD5008"/>
    <s v="CUST1008"/>
    <n v="53"/>
    <s v="PROD208"/>
    <x v="2"/>
    <x v="8"/>
    <s v="12/26/2024"/>
    <n v="4"/>
    <x v="2"/>
    <s v="12/14/2023"/>
    <s v=" $1,525.80 "/>
    <n v="1"/>
    <n v="32"/>
    <s v="Electronics"/>
    <s v="Nail Polish"/>
    <x v="3"/>
    <x v="0"/>
    <n v="1525.8"/>
    <s v="Misaligned"/>
    <x v="1"/>
    <s v="High Value Tier"/>
    <x v="1"/>
  </r>
  <r>
    <s v="ORD5009"/>
    <s v="CUST1009"/>
    <n v="38"/>
    <s v="PROD209"/>
    <x v="4"/>
    <x v="9"/>
    <s v="11/29/2024"/>
    <n v="2"/>
    <x v="0"/>
    <s v="12/24/2021"/>
    <s v=" $337.24 "/>
    <n v="4"/>
    <n v="6"/>
    <s v="Clothing"/>
    <s v="Camera"/>
    <x v="4"/>
    <x v="1"/>
    <n v="1348.96"/>
    <s v="Misaligned"/>
    <x v="0"/>
    <s v="High Value Tier"/>
    <x v="0"/>
  </r>
  <r>
    <s v="ORD5010"/>
    <s v="CUST1010"/>
    <n v="41"/>
    <s v="PROD210"/>
    <x v="5"/>
    <x v="10"/>
    <d v="2022-02-08T00:00:00"/>
    <n v="2"/>
    <x v="0"/>
    <s v="11/23/2023"/>
    <s v=" $203.05 "/>
    <n v="6"/>
    <n v="38"/>
    <s v="Home"/>
    <s v="Dumbbells"/>
    <x v="0"/>
    <x v="0"/>
    <n v="1218.3"/>
    <s v="Misaligned"/>
    <x v="0"/>
    <s v="High Value Tier"/>
    <x v="0"/>
  </r>
  <r>
    <s v="ORD5011"/>
    <s v="CUST1011"/>
    <n v="24"/>
    <s v="PROD211"/>
    <x v="0"/>
    <x v="11"/>
    <d v="2025-12-03T00:00:00"/>
    <n v="1"/>
    <x v="0"/>
    <s v="5/30/2025"/>
    <s v=" $940.17 "/>
    <n v="1"/>
    <n v="24"/>
    <s v="Beauty"/>
    <s v="Headphones"/>
    <x v="4"/>
    <x v="0"/>
    <n v="940.17"/>
    <s v="Misaligned"/>
    <x v="3"/>
    <s v="High Value Tier"/>
    <x v="0"/>
  </r>
  <r>
    <s v="ORD5012"/>
    <s v="CUST1012"/>
    <n v="39"/>
    <s v="PROD212"/>
    <x v="0"/>
    <x v="12"/>
    <s v="1/16/2023"/>
    <n v="2"/>
    <x v="0"/>
    <d v="2021-07-08T00:00:00"/>
    <s v=" $168.79 "/>
    <n v="9"/>
    <n v="36"/>
    <s v="Beauty"/>
    <s v="Vacuum Cleaner"/>
    <x v="1"/>
    <x v="0"/>
    <n v="1519.11"/>
    <s v="Misaligned"/>
    <x v="0"/>
    <s v="High Value Tier"/>
    <x v="0"/>
  </r>
  <r>
    <s v="ORD5013"/>
    <s v="CUST1013"/>
    <n v="61"/>
    <s v="PROD213"/>
    <x v="1"/>
    <x v="13"/>
    <d v="2024-09-12T00:00:00"/>
    <n v="3"/>
    <x v="0"/>
    <s v="1/26/2024"/>
    <s v=" $236.77 "/>
    <n v="8"/>
    <n v="5"/>
    <s v="Sports"/>
    <s v="Perfume"/>
    <x v="3"/>
    <x v="0"/>
    <n v="1894.16"/>
    <s v="Misaligned"/>
    <x v="1"/>
    <s v="High Value Tier"/>
    <x v="0"/>
  </r>
  <r>
    <s v="ORD5014"/>
    <s v="CUST1014"/>
    <n v="64"/>
    <s v="PROD214"/>
    <x v="5"/>
    <x v="14"/>
    <s v="4/24/2025"/>
    <n v="1"/>
    <x v="0"/>
    <d v="2023-06-12T00:00:00"/>
    <s v=" $130.32 "/>
    <n v="6"/>
    <n v="20"/>
    <s v="Clothing"/>
    <s v="Cycling Helmet"/>
    <x v="0"/>
    <x v="0"/>
    <n v="781.92"/>
    <s v="Misaligned"/>
    <x v="1"/>
    <s v="High Value Tier"/>
    <x v="0"/>
  </r>
  <r>
    <s v="ORD5015"/>
    <s v="CUST1015"/>
    <n v="28"/>
    <s v="PROD215"/>
    <x v="5"/>
    <x v="15"/>
    <s v="11/15/2023"/>
    <n v="5"/>
    <x v="1"/>
    <s v="11/30/2024"/>
    <s v=" $333.99 "/>
    <n v="3"/>
    <n v="27"/>
    <s v="Home"/>
    <s v="Face Wash"/>
    <x v="3"/>
    <x v="0"/>
    <n v="1001.97"/>
    <s v="Misaligned"/>
    <x v="2"/>
    <s v="High Value Tier"/>
    <x v="0"/>
  </r>
  <r>
    <s v="ORD5016"/>
    <s v="CUST1016"/>
    <n v="34"/>
    <s v="PROD216"/>
    <x v="1"/>
    <x v="16"/>
    <d v="2025-02-08T00:00:00"/>
    <n v="1"/>
    <x v="0"/>
    <s v="6/19/2024"/>
    <s v=" $1,875.08 "/>
    <n v="1"/>
    <n v="31"/>
    <s v="Sports"/>
    <s v="Football"/>
    <x v="0"/>
    <x v="0"/>
    <n v="1875.08"/>
    <s v="Aligned"/>
    <x v="2"/>
    <s v="High Value Tier"/>
    <x v="0"/>
  </r>
  <r>
    <s v="ORD5017"/>
    <s v="CUST1017"/>
    <n v="22"/>
    <s v="PROD217"/>
    <x v="2"/>
    <x v="17"/>
    <d v="2024-04-08T00:00:00"/>
    <n v="0"/>
    <x v="1"/>
    <s v="1/27/2024"/>
    <s v=" $211.24 "/>
    <n v="6"/>
    <n v="18"/>
    <s v="Electronics"/>
    <s v="Cricket Bat"/>
    <x v="0"/>
    <x v="1"/>
    <n v="1267.44"/>
    <s v="Misaligned"/>
    <x v="3"/>
    <s v="High Value Tier"/>
    <x v="0"/>
  </r>
  <r>
    <s v="ORD5018"/>
    <s v="CUST1018"/>
    <n v="42"/>
    <s v="PROD218"/>
    <x v="1"/>
    <x v="18"/>
    <d v="2025-09-01T00:00:00"/>
    <n v="5"/>
    <x v="2"/>
    <s v="8/13/2025"/>
    <s v=" $1,702.39 "/>
    <n v="1"/>
    <n v="14"/>
    <s v="Clothing"/>
    <s v="Sneakers"/>
    <x v="2"/>
    <x v="1"/>
    <n v="1702.39"/>
    <s v="Aligned"/>
    <x v="0"/>
    <s v="High Value Tier"/>
    <x v="1"/>
  </r>
  <r>
    <s v="ORD5019"/>
    <s v="CUST1019"/>
    <n v="51"/>
    <s v="PROD219"/>
    <x v="3"/>
    <x v="19"/>
    <s v="8/13/2025"/>
    <n v="0"/>
    <x v="2"/>
    <s v="10/27/2024"/>
    <s v=" $199.58 "/>
    <n v="8"/>
    <n v="41"/>
    <s v="Clothing"/>
    <s v="Refrigerator"/>
    <x v="1"/>
    <x v="0"/>
    <n v="1596.64"/>
    <s v="Misaligned"/>
    <x v="1"/>
    <s v="High Value Tier"/>
    <x v="1"/>
  </r>
  <r>
    <s v="ORD5020"/>
    <s v="CUST1020"/>
    <n v="64"/>
    <s v="PROD220"/>
    <x v="0"/>
    <x v="20"/>
    <s v="1/23/2024"/>
    <n v="4"/>
    <x v="0"/>
    <d v="2022-06-05T00:00:00"/>
    <s v=" $242.03 "/>
    <n v="6"/>
    <n v="2"/>
    <s v="Electronics"/>
    <s v="Cricket Bat"/>
    <x v="0"/>
    <x v="0"/>
    <n v="1452.18"/>
    <s v="Misaligned"/>
    <x v="1"/>
    <s v="High Value Tier"/>
    <x v="3"/>
  </r>
  <r>
    <s v="ORD5021"/>
    <s v="CUST1021"/>
    <n v="52"/>
    <s v="PROD221"/>
    <x v="4"/>
    <x v="21"/>
    <s v="6/20/2022"/>
    <n v="1"/>
    <x v="2"/>
    <s v="8/20/2024"/>
    <s v=" $50.78 "/>
    <n v="7"/>
    <n v="9"/>
    <s v="Home"/>
    <s v="Dress"/>
    <x v="2"/>
    <x v="1"/>
    <n v="355.46"/>
    <s v="Misaligned"/>
    <x v="1"/>
    <s v="High Value Tier"/>
    <x v="1"/>
  </r>
  <r>
    <s v="ORD5022"/>
    <s v="CUST1022"/>
    <n v="28"/>
    <s v="PROD222"/>
    <x v="4"/>
    <x v="22"/>
    <d v="2022-05-08T00:00:00"/>
    <n v="2"/>
    <x v="0"/>
    <d v="2024-06-02T00:00:00"/>
    <s v=" $89.87 "/>
    <n v="6"/>
    <n v="39"/>
    <s v="Home"/>
    <s v="Smartphone"/>
    <x v="4"/>
    <x v="0"/>
    <n v="539.22"/>
    <s v="Misaligned"/>
    <x v="2"/>
    <s v="High Value Tier"/>
    <x v="0"/>
  </r>
  <r>
    <s v="ORD5023"/>
    <s v="CUST1023"/>
    <n v="25"/>
    <s v="PROD223"/>
    <x v="4"/>
    <x v="23"/>
    <d v="2025-11-06T00:00:00"/>
    <n v="5"/>
    <x v="0"/>
    <d v="2025-11-07T00:00:00"/>
    <s v=" $52.34 "/>
    <n v="8"/>
    <n v="16"/>
    <s v="Electronics"/>
    <s v="Camera"/>
    <x v="4"/>
    <x v="1"/>
    <n v="418.72"/>
    <s v="Aligned"/>
    <x v="2"/>
    <s v="High Value Tier"/>
    <x v="3"/>
  </r>
  <r>
    <s v="ORD5024"/>
    <s v="CUST1024"/>
    <n v="45"/>
    <s v="PROD224"/>
    <x v="4"/>
    <x v="24"/>
    <s v="1/29/2023"/>
    <n v="2"/>
    <x v="0"/>
    <s v="5/21/2024"/>
    <s v=" $232.67 "/>
    <n v="3"/>
    <n v="20"/>
    <s v="Clothing"/>
    <s v="Lipstick"/>
    <x v="3"/>
    <x v="1"/>
    <n v="698.01"/>
    <s v="Misaligned"/>
    <x v="0"/>
    <s v="High Value Tier"/>
    <x v="0"/>
  </r>
  <r>
    <s v="ORD5025"/>
    <s v="CUST1025"/>
    <n v="49"/>
    <s v="PROD225"/>
    <x v="3"/>
    <x v="25"/>
    <d v="2022-09-06T00:00:00"/>
    <n v="3"/>
    <x v="1"/>
    <s v="9/26/2022"/>
    <s v=" $142.89 "/>
    <n v="5"/>
    <n v="40"/>
    <s v="Clothing"/>
    <s v="Sneakers"/>
    <x v="2"/>
    <x v="1"/>
    <n v="714.45"/>
    <s v="Aligned"/>
    <x v="0"/>
    <s v="High Value Tier"/>
    <x v="0"/>
  </r>
  <r>
    <s v="ORD5026"/>
    <s v="CUST1026"/>
    <n v="27"/>
    <s v="PROD226"/>
    <x v="4"/>
    <x v="26"/>
    <d v="2025-05-05T00:00:00"/>
    <n v="0"/>
    <x v="2"/>
    <s v="8/26/2024"/>
    <s v=" $44.69 "/>
    <n v="7"/>
    <n v="28"/>
    <s v="Beauty"/>
    <s v="T-Shirt"/>
    <x v="2"/>
    <x v="1"/>
    <n v="312.83"/>
    <s v="Misaligned"/>
    <x v="2"/>
    <s v="High Value Tier"/>
    <x v="1"/>
  </r>
  <r>
    <s v="ORD5027"/>
    <s v="CUST1027"/>
    <n v="69"/>
    <s v="PROD227"/>
    <x v="2"/>
    <x v="27"/>
    <s v="2/25/2022"/>
    <n v="4"/>
    <x v="1"/>
    <s v="11/13/2024"/>
    <s v=" $139.30 "/>
    <n v="7"/>
    <n v="42"/>
    <s v="Clothing"/>
    <s v="Tennis Racket"/>
    <x v="0"/>
    <x v="1"/>
    <n v="975.1"/>
    <s v="Misaligned"/>
    <x v="4"/>
    <s v="High Value Tier"/>
    <x v="0"/>
  </r>
  <r>
    <s v="ORD5028"/>
    <s v="CUST1028"/>
    <n v="66"/>
    <s v="PROD228"/>
    <x v="3"/>
    <x v="28"/>
    <d v="2025-03-04T00:00:00"/>
    <n v="1"/>
    <x v="0"/>
    <s v="1/17/2022"/>
    <s v=" $149.65 "/>
    <n v="8"/>
    <n v="45"/>
    <s v="Electronics"/>
    <s v="Sofa"/>
    <x v="1"/>
    <x v="1"/>
    <n v="1197.2"/>
    <s v="Misaligned"/>
    <x v="4"/>
    <s v="High Value Tier"/>
    <x v="0"/>
  </r>
  <r>
    <s v="ORD5029"/>
    <s v="CUST1029"/>
    <n v="43"/>
    <s v="PROD229"/>
    <x v="0"/>
    <x v="29"/>
    <s v="3/22/2024"/>
    <n v="3"/>
    <x v="1"/>
    <d v="2021-06-08T00:00:00"/>
    <s v=" $157.10 "/>
    <n v="6"/>
    <n v="14"/>
    <s v="Electronics"/>
    <s v="Laptop"/>
    <x v="4"/>
    <x v="0"/>
    <n v="942.6"/>
    <s v="Aligned"/>
    <x v="0"/>
    <s v="High Value Tier"/>
    <x v="0"/>
  </r>
  <r>
    <s v="ORD5030"/>
    <s v="CUST1030"/>
    <n v="18"/>
    <s v="PROD230"/>
    <x v="4"/>
    <x v="30"/>
    <d v="2021-01-06T00:00:00"/>
    <n v="5"/>
    <x v="0"/>
    <d v="2023-04-03T00:00:00"/>
    <s v=" $182.53 "/>
    <n v="9"/>
    <n v="24"/>
    <s v="Clothing"/>
    <s v="Basketball"/>
    <x v="0"/>
    <x v="1"/>
    <n v="1642.77"/>
    <s v="Misaligned"/>
    <x v="3"/>
    <s v="High Value Tier"/>
    <x v="3"/>
  </r>
  <r>
    <s v="ORD5031"/>
    <s v="CUST1031"/>
    <n v="37"/>
    <s v="PROD231"/>
    <x v="0"/>
    <x v="31"/>
    <s v="7/22/2023"/>
    <n v="4"/>
    <x v="2"/>
    <d v="2024-07-09T00:00:00"/>
    <s v=" $31.95 "/>
    <n v="1"/>
    <n v="9"/>
    <s v="Home"/>
    <s v="Dress"/>
    <x v="2"/>
    <x v="1"/>
    <n v="31.95"/>
    <s v="Misaligned"/>
    <x v="0"/>
    <s v="Value Tier"/>
    <x v="1"/>
  </r>
  <r>
    <s v="ORD5032"/>
    <s v="CUST1032"/>
    <n v="52"/>
    <s v="PROD232"/>
    <x v="4"/>
    <x v="32"/>
    <s v="7/27/2021"/>
    <n v="0"/>
    <x v="1"/>
    <d v="2023-10-11T00:00:00"/>
    <s v=" $804.77 "/>
    <n v="2"/>
    <n v="26"/>
    <s v="Beauty"/>
    <s v="Cycling Helmet"/>
    <x v="0"/>
    <x v="0"/>
    <n v="1609.54"/>
    <s v="Misaligned"/>
    <x v="1"/>
    <s v="High Value Tier"/>
    <x v="0"/>
  </r>
  <r>
    <s v="ORD5033"/>
    <s v="CUST1033"/>
    <n v="50"/>
    <s v="PROD233"/>
    <x v="0"/>
    <x v="33"/>
    <s v="9/25/2022"/>
    <n v="5"/>
    <x v="0"/>
    <d v="2022-05-09T00:00:00"/>
    <s v=" $332.38 "/>
    <n v="5"/>
    <n v="29"/>
    <s v="Home"/>
    <s v="Shirt"/>
    <x v="2"/>
    <x v="1"/>
    <n v="1661.9"/>
    <s v="Misaligned"/>
    <x v="1"/>
    <s v="High Value Tier"/>
    <x v="3"/>
  </r>
  <r>
    <s v="ORD5034"/>
    <s v="CUST1034"/>
    <n v="49"/>
    <s v="PROD234"/>
    <x v="5"/>
    <x v="34"/>
    <s v="4/22/2025"/>
    <n v="5"/>
    <x v="0"/>
    <s v="10/18/2021"/>
    <s v=" $1,292.65 "/>
    <n v="1"/>
    <n v="12"/>
    <s v="Electronics"/>
    <s v="Cricket Bat"/>
    <x v="0"/>
    <x v="0"/>
    <n v="1292.6500000000001"/>
    <s v="Misaligned"/>
    <x v="0"/>
    <s v="High Value Tier"/>
    <x v="3"/>
  </r>
  <r>
    <s v="ORD5035"/>
    <s v="CUST1035"/>
    <n v="48"/>
    <s v="PROD235"/>
    <x v="3"/>
    <x v="35"/>
    <s v="11/23/2023"/>
    <n v="3"/>
    <x v="0"/>
    <d v="2024-03-06T00:00:00"/>
    <s v=" $36.39 "/>
    <n v="7"/>
    <n v="24"/>
    <s v="Electronics"/>
    <s v="Tablet"/>
    <x v="4"/>
    <x v="0"/>
    <n v="254.73"/>
    <s v="Aligned"/>
    <x v="0"/>
    <s v="High Value Tier"/>
    <x v="0"/>
  </r>
  <r>
    <s v="ORD5036"/>
    <s v="CUST1036"/>
    <n v="42"/>
    <s v="PROD236"/>
    <x v="5"/>
    <x v="36"/>
    <s v="1/14/2024"/>
    <n v="0"/>
    <x v="2"/>
    <s v="9/22/2024"/>
    <s v=" $79.19 "/>
    <n v="7"/>
    <n v="13"/>
    <s v="Home"/>
    <s v="Camera"/>
    <x v="4"/>
    <x v="1"/>
    <n v="554.33000000000004"/>
    <s v="Misaligned"/>
    <x v="0"/>
    <s v="High Value Tier"/>
    <x v="1"/>
  </r>
  <r>
    <s v="ORD5037"/>
    <s v="CUST1037"/>
    <n v="66"/>
    <s v="PROD237"/>
    <x v="3"/>
    <x v="37"/>
    <s v="5/16/2023"/>
    <n v="3"/>
    <x v="0"/>
    <s v="12/29/2024"/>
    <s v=" $94.06 "/>
    <n v="4"/>
    <n v="48"/>
    <s v="Sports"/>
    <s v="Blender"/>
    <x v="1"/>
    <x v="1"/>
    <n v="376.24"/>
    <s v="Misaligned"/>
    <x v="4"/>
    <s v="High Value Tier"/>
    <x v="0"/>
  </r>
  <r>
    <s v="ORD5038"/>
    <s v="CUST1038"/>
    <n v="25"/>
    <s v="PROD238"/>
    <x v="2"/>
    <x v="38"/>
    <s v="6/29/2023"/>
    <n v="3"/>
    <x v="2"/>
    <s v="3/13/2022"/>
    <s v=" $786.48 "/>
    <n v="2"/>
    <n v="11"/>
    <s v="Sports"/>
    <s v="Basketball"/>
    <x v="0"/>
    <x v="0"/>
    <n v="1572.96"/>
    <s v="Aligned"/>
    <x v="2"/>
    <s v="High Value Tier"/>
    <x v="1"/>
  </r>
  <r>
    <s v="ORD5039"/>
    <s v="CUST1039"/>
    <n v="40"/>
    <s v="PROD239"/>
    <x v="3"/>
    <x v="39"/>
    <s v="12/13/2024"/>
    <n v="5"/>
    <x v="0"/>
    <d v="2025-05-06T00:00:00"/>
    <s v=" $20.55 "/>
    <n v="6"/>
    <n v="47"/>
    <s v="Beauty"/>
    <s v="Sneakers"/>
    <x v="2"/>
    <x v="0"/>
    <n v="123.3"/>
    <s v="Misaligned"/>
    <x v="0"/>
    <s v="High Value Tier"/>
    <x v="3"/>
  </r>
  <r>
    <s v="ORD5040"/>
    <s v="CUST1040"/>
    <n v="31"/>
    <s v="PROD240"/>
    <x v="1"/>
    <x v="40"/>
    <d v="2025-06-08T00:00:00"/>
    <n v="3"/>
    <x v="0"/>
    <d v="2023-09-10T00:00:00"/>
    <s v=" $203.23 "/>
    <n v="5"/>
    <n v="45"/>
    <s v="Beauty"/>
    <s v="Sneakers"/>
    <x v="2"/>
    <x v="1"/>
    <n v="1016.15"/>
    <s v="Misaligned"/>
    <x v="2"/>
    <s v="High Value Tier"/>
    <x v="0"/>
  </r>
  <r>
    <s v="ORD5041"/>
    <s v="CUST1041"/>
    <n v="55"/>
    <s v="PROD241"/>
    <x v="2"/>
    <x v="41"/>
    <s v="3/28/2025"/>
    <n v="5"/>
    <x v="0"/>
    <d v="2024-02-12T00:00:00"/>
    <s v=" $65.07 "/>
    <n v="7"/>
    <n v="5"/>
    <s v="Sports"/>
    <s v="Dumbbells"/>
    <x v="0"/>
    <x v="0"/>
    <n v="455.49"/>
    <s v="Aligned"/>
    <x v="1"/>
    <s v="Core Tier"/>
    <x v="3"/>
  </r>
  <r>
    <s v="ORD5042"/>
    <s v="CUST1042"/>
    <n v="57"/>
    <s v="PROD242"/>
    <x v="4"/>
    <x v="42"/>
    <s v="3/15/2025"/>
    <n v="4"/>
    <x v="2"/>
    <s v="8/25/2023"/>
    <s v=" $1,954.64 "/>
    <n v="1"/>
    <n v="36"/>
    <s v="Home"/>
    <s v="Cricket Bat"/>
    <x v="0"/>
    <x v="2"/>
    <n v="1954.64"/>
    <s v="Misaligned"/>
    <x v="1"/>
    <s v="High Value Tier"/>
    <x v="1"/>
  </r>
  <r>
    <s v="ORD5043"/>
    <s v="CUST1043"/>
    <n v="55"/>
    <s v="PROD243"/>
    <x v="5"/>
    <x v="43"/>
    <s v="5/28/2024"/>
    <n v="4"/>
    <x v="0"/>
    <s v="12/24/2024"/>
    <s v=" $18.98 "/>
    <n v="7"/>
    <n v="45"/>
    <s v="Sports"/>
    <s v="Smartphone"/>
    <x v="4"/>
    <x v="0"/>
    <n v="132.86000000000001"/>
    <s v="Misaligned"/>
    <x v="1"/>
    <s v="High Value Tier"/>
    <x v="3"/>
  </r>
  <r>
    <s v="ORD5044"/>
    <s v="CUST1044"/>
    <n v="47"/>
    <s v="PROD244"/>
    <x v="4"/>
    <x v="44"/>
    <d v="2023-11-12T00:00:00"/>
    <n v="5"/>
    <x v="1"/>
    <d v="2025-09-07T00:00:00"/>
    <s v=" $654.56 "/>
    <n v="3"/>
    <n v="48"/>
    <s v="Beauty"/>
    <s v="Football"/>
    <x v="0"/>
    <x v="1"/>
    <n v="1963.68"/>
    <s v="Misaligned"/>
    <x v="0"/>
    <s v="High Value Tier"/>
    <x v="0"/>
  </r>
  <r>
    <s v="ORD5045"/>
    <s v="CUST1045"/>
    <n v="29"/>
    <s v="PROD245"/>
    <x v="2"/>
    <x v="45"/>
    <s v="5/22/2022"/>
    <n v="0"/>
    <x v="0"/>
    <s v="10/24/2023"/>
    <s v=" $334.17 "/>
    <n v="5"/>
    <n v="6"/>
    <s v="Home"/>
    <s v="Headphones"/>
    <x v="4"/>
    <x v="1"/>
    <n v="1670.85"/>
    <s v="Misaligned"/>
    <x v="2"/>
    <s v="High Value Tier"/>
    <x v="0"/>
  </r>
  <r>
    <s v="ORD5046"/>
    <s v="CUST1046"/>
    <n v="19"/>
    <s v="PROD246"/>
    <x v="2"/>
    <x v="46"/>
    <s v="1/14/2025"/>
    <n v="0"/>
    <x v="0"/>
    <s v="4/29/2024"/>
    <s v=" $219.75 "/>
    <n v="5"/>
    <n v="37"/>
    <s v="Beauty"/>
    <s v="Jacket"/>
    <x v="2"/>
    <x v="0"/>
    <n v="1098.75"/>
    <s v="Misaligned"/>
    <x v="3"/>
    <s v="High Value Tier"/>
    <x v="0"/>
  </r>
  <r>
    <s v="ORD5047"/>
    <s v="CUST1047"/>
    <n v="38"/>
    <s v="PROD247"/>
    <x v="0"/>
    <x v="47"/>
    <d v="2022-09-07T00:00:00"/>
    <n v="1"/>
    <x v="0"/>
    <s v="7/23/2021"/>
    <s v=" $223.05 "/>
    <n v="7"/>
    <n v="23"/>
    <s v="Home"/>
    <s v="Lamp"/>
    <x v="1"/>
    <x v="1"/>
    <n v="1561.35"/>
    <s v="Aligned"/>
    <x v="0"/>
    <s v="High Value Tier"/>
    <x v="0"/>
  </r>
  <r>
    <s v="ORD5048"/>
    <s v="CUST1048"/>
    <n v="48"/>
    <s v="PROD248"/>
    <x v="2"/>
    <x v="6"/>
    <s v="4/18/2025"/>
    <n v="5"/>
    <x v="2"/>
    <d v="2025-09-06T00:00:00"/>
    <s v=" $149.88 "/>
    <n v="4"/>
    <n v="35"/>
    <s v="Sports"/>
    <s v="Headphones"/>
    <x v="4"/>
    <x v="1"/>
    <n v="599.52"/>
    <s v="Misaligned"/>
    <x v="0"/>
    <s v="High Value Tier"/>
    <x v="1"/>
  </r>
  <r>
    <s v="ORD5049"/>
    <s v="CUST1049"/>
    <n v="58"/>
    <s v="PROD249"/>
    <x v="4"/>
    <x v="48"/>
    <d v="2025-04-01T00:00:00"/>
    <n v="4"/>
    <x v="0"/>
    <s v="11/26/2024"/>
    <s v=" $165.27 "/>
    <n v="9"/>
    <n v="30"/>
    <s v="Sports"/>
    <s v="Bluetooth Speaker"/>
    <x v="4"/>
    <x v="1"/>
    <n v="1487.43"/>
    <s v="Misaligned"/>
    <x v="1"/>
    <s v="High Value Tier"/>
    <x v="3"/>
  </r>
  <r>
    <s v="ORD5050"/>
    <s v="CUST1050"/>
    <n v="27"/>
    <s v="PROD250"/>
    <x v="2"/>
    <x v="49"/>
    <s v="8/15/2024"/>
    <n v="0"/>
    <x v="2"/>
    <d v="2023-09-02T00:00:00"/>
    <s v=" $222.62 "/>
    <n v="8"/>
    <n v="37"/>
    <s v="Beauty"/>
    <s v="Gaming Console"/>
    <x v="4"/>
    <x v="0"/>
    <n v="1780.96"/>
    <s v="Misaligned"/>
    <x v="2"/>
    <s v="High Value Tier"/>
    <x v="1"/>
  </r>
  <r>
    <s v="ORD5051"/>
    <s v="CUST1051"/>
    <n v="54"/>
    <s v="PROD251"/>
    <x v="0"/>
    <x v="50"/>
    <s v="7/13/2023"/>
    <n v="2"/>
    <x v="0"/>
    <d v="2025-05-06T00:00:00"/>
    <s v=" $45.17 "/>
    <n v="2"/>
    <n v="14"/>
    <s v="Beauty"/>
    <s v="Bluetooth Speaker"/>
    <x v="4"/>
    <x v="1"/>
    <n v="90.34"/>
    <s v="Misaligned"/>
    <x v="1"/>
    <s v="Core Tier"/>
    <x v="0"/>
  </r>
  <r>
    <s v="ORD5052"/>
    <s v="CUST1052"/>
    <n v="67"/>
    <s v="PROD252"/>
    <x v="1"/>
    <x v="51"/>
    <s v="5/28/2025"/>
    <n v="3"/>
    <x v="0"/>
    <s v="3/19/2022"/>
    <s v=" $136.95 "/>
    <n v="8"/>
    <n v="4"/>
    <s v="Clothing"/>
    <s v="Basketball"/>
    <x v="0"/>
    <x v="0"/>
    <n v="1095.5999999999999"/>
    <s v="Misaligned"/>
    <x v="4"/>
    <s v="High Value Tier"/>
    <x v="0"/>
  </r>
  <r>
    <s v="ORD5053"/>
    <s v="CUST1053"/>
    <n v="51"/>
    <s v="PROD253"/>
    <x v="0"/>
    <x v="52"/>
    <s v="8/16/2021"/>
    <n v="4"/>
    <x v="1"/>
    <d v="2025-03-04T00:00:00"/>
    <s v=" $323.04 "/>
    <n v="3"/>
    <n v="8"/>
    <s v="Beauty"/>
    <s v="Nail Polish"/>
    <x v="3"/>
    <x v="0"/>
    <n v="969.12"/>
    <s v="Aligned"/>
    <x v="1"/>
    <s v="High Value Tier"/>
    <x v="0"/>
  </r>
  <r>
    <s v="ORD5054"/>
    <s v="CUST1054"/>
    <n v="59"/>
    <s v="PROD254"/>
    <x v="5"/>
    <x v="53"/>
    <s v="4/26/2024"/>
    <n v="0"/>
    <x v="1"/>
    <s v="12/24/2023"/>
    <s v=" $104.00 "/>
    <n v="3"/>
    <n v="1"/>
    <s v="Electronics"/>
    <s v="Smartphone"/>
    <x v="4"/>
    <x v="1"/>
    <n v="312"/>
    <s v="Aligned"/>
    <x v="1"/>
    <s v="Value Tier"/>
    <x v="0"/>
  </r>
  <r>
    <s v="ORD5055"/>
    <s v="CUST1055"/>
    <n v="42"/>
    <s v="PROD255"/>
    <x v="1"/>
    <x v="54"/>
    <d v="2022-04-08T00:00:00"/>
    <n v="4"/>
    <x v="1"/>
    <d v="2023-10-04T00:00:00"/>
    <s v=" $251.60 "/>
    <n v="3"/>
    <n v="23"/>
    <s v="Beauty"/>
    <s v="Lamp"/>
    <x v="1"/>
    <x v="0"/>
    <n v="754.8"/>
    <s v="Misaligned"/>
    <x v="0"/>
    <s v="High Value Tier"/>
    <x v="0"/>
  </r>
  <r>
    <s v="ORD5056"/>
    <s v="CUST1056"/>
    <n v="38"/>
    <s v="PROD256"/>
    <x v="1"/>
    <x v="55"/>
    <s v="12/28/2023"/>
    <n v="0"/>
    <x v="0"/>
    <s v="4/18/2025"/>
    <s v=" $472.04 "/>
    <n v="2"/>
    <n v="17"/>
    <s v="Electronics"/>
    <s v="Shirt"/>
    <x v="2"/>
    <x v="1"/>
    <n v="944.08"/>
    <s v="Misaligned"/>
    <x v="0"/>
    <s v="High Value Tier"/>
    <x v="0"/>
  </r>
  <r>
    <s v="ORD5057"/>
    <s v="CUST1057"/>
    <n v="23"/>
    <s v="PROD257"/>
    <x v="4"/>
    <x v="56"/>
    <d v="2025-11-02T00:00:00"/>
    <n v="5"/>
    <x v="0"/>
    <s v="3/14/2023"/>
    <s v=" $21.85 "/>
    <n v="8"/>
    <n v="1"/>
    <s v="Home"/>
    <s v="Tennis Racket"/>
    <x v="0"/>
    <x v="0"/>
    <n v="174.8"/>
    <s v="Misaligned"/>
    <x v="3"/>
    <s v="Value Tier"/>
    <x v="3"/>
  </r>
  <r>
    <s v="ORD5058"/>
    <s v="CUST1058"/>
    <n v="18"/>
    <s v="PROD258"/>
    <x v="1"/>
    <x v="57"/>
    <s v="5/18/2023"/>
    <n v="3"/>
    <x v="0"/>
    <d v="2023-04-02T00:00:00"/>
    <s v=" $295.22 "/>
    <n v="5"/>
    <n v="18"/>
    <s v="Electronics"/>
    <s v="Jeans"/>
    <x v="2"/>
    <x v="1"/>
    <n v="1476.1"/>
    <s v="Misaligned"/>
    <x v="3"/>
    <s v="High Value Tier"/>
    <x v="0"/>
  </r>
  <r>
    <s v="ORD5059"/>
    <s v="CUST1059"/>
    <n v="41"/>
    <s v="PROD259"/>
    <x v="0"/>
    <x v="58"/>
    <d v="2023-02-09T00:00:00"/>
    <n v="0"/>
    <x v="2"/>
    <s v="9/30/2023"/>
    <s v=" $362.26 "/>
    <n v="5"/>
    <n v="13"/>
    <s v="Beauty"/>
    <s v="Running Shoes"/>
    <x v="0"/>
    <x v="0"/>
    <n v="1811.3"/>
    <s v="Misaligned"/>
    <x v="0"/>
    <s v="High Value Tier"/>
    <x v="1"/>
  </r>
  <r>
    <s v="ORD5060"/>
    <s v="CUST1060"/>
    <n v="35"/>
    <s v="PROD260"/>
    <x v="0"/>
    <x v="59"/>
    <s v="9/21/2021"/>
    <n v="1"/>
    <x v="1"/>
    <s v="11/22/2021"/>
    <s v=" $286.73 "/>
    <n v="6"/>
    <n v="42"/>
    <s v="Beauty"/>
    <s v="Cycling Helmet"/>
    <x v="0"/>
    <x v="0"/>
    <n v="1720.38"/>
    <s v="Misaligned"/>
    <x v="0"/>
    <s v="High Value Tier"/>
    <x v="0"/>
  </r>
  <r>
    <s v="ORD5061"/>
    <s v="CUST1061"/>
    <n v="39"/>
    <s v="PROD261"/>
    <x v="0"/>
    <x v="60"/>
    <d v="2024-10-01T00:00:00"/>
    <n v="3"/>
    <x v="0"/>
    <d v="2022-05-04T00:00:00"/>
    <s v=" $34.68 "/>
    <n v="9"/>
    <n v="2"/>
    <s v="Home"/>
    <s v="Smartphone"/>
    <x v="4"/>
    <x v="0"/>
    <n v="312.12"/>
    <s v="Misaligned"/>
    <x v="0"/>
    <s v="Value Tier"/>
    <x v="0"/>
  </r>
  <r>
    <s v="ORD5062"/>
    <s v="CUST1062"/>
    <n v="33"/>
    <s v="PROD262"/>
    <x v="5"/>
    <x v="61"/>
    <d v="2024-02-02T00:00:00"/>
    <n v="4"/>
    <x v="2"/>
    <s v="11/14/2022"/>
    <s v=" $370.97 "/>
    <n v="4"/>
    <n v="13"/>
    <s v="Electronics"/>
    <s v="Sneakers"/>
    <x v="2"/>
    <x v="0"/>
    <n v="1483.88"/>
    <s v="Misaligned"/>
    <x v="2"/>
    <s v="High Value Tier"/>
    <x v="1"/>
  </r>
  <r>
    <s v="ORD5063"/>
    <s v="CUST1063"/>
    <n v="34"/>
    <s v="PROD263"/>
    <x v="0"/>
    <x v="62"/>
    <d v="2022-10-03T00:00:00"/>
    <n v="4"/>
    <x v="0"/>
    <s v="8/17/2021"/>
    <s v=" $841.95 "/>
    <n v="2"/>
    <n v="9"/>
    <s v="Sports"/>
    <s v="Camera"/>
    <x v="4"/>
    <x v="0"/>
    <n v="1683.9"/>
    <s v="Misaligned"/>
    <x v="2"/>
    <s v="High Value Tier"/>
    <x v="3"/>
  </r>
  <r>
    <s v="ORD5064"/>
    <s v="CUST1064"/>
    <n v="22"/>
    <s v="PROD264"/>
    <x v="4"/>
    <x v="63"/>
    <d v="2023-03-02T00:00:00"/>
    <n v="4"/>
    <x v="1"/>
    <s v="3/31/2024"/>
    <s v=" $1,795.65 "/>
    <n v="1"/>
    <n v="16"/>
    <s v="Clothing"/>
    <s v="Sofa"/>
    <x v="1"/>
    <x v="0"/>
    <n v="1795.65"/>
    <s v="Misaligned"/>
    <x v="3"/>
    <s v="High Value Tier"/>
    <x v="0"/>
  </r>
  <r>
    <s v="ORD5065"/>
    <s v="CUST1065"/>
    <n v="56"/>
    <s v="PROD265"/>
    <x v="2"/>
    <x v="64"/>
    <d v="2025-12-06T00:00:00"/>
    <n v="1"/>
    <x v="2"/>
    <s v="8/15/2022"/>
    <s v=" $459.56 "/>
    <n v="3"/>
    <n v="7"/>
    <s v="Sports"/>
    <s v="Smartwatch"/>
    <x v="4"/>
    <x v="1"/>
    <n v="1378.68"/>
    <s v="Misaligned"/>
    <x v="1"/>
    <s v="High Value Tier"/>
    <x v="1"/>
  </r>
  <r>
    <s v="ORD5066"/>
    <s v="CUST1066"/>
    <n v="54"/>
    <s v="PROD266"/>
    <x v="2"/>
    <x v="65"/>
    <d v="2024-10-04T00:00:00"/>
    <n v="3"/>
    <x v="1"/>
    <d v="2024-08-08T00:00:00"/>
    <s v=" $193.86 "/>
    <n v="5"/>
    <n v="9"/>
    <s v="Home"/>
    <s v="Hoodie"/>
    <x v="2"/>
    <x v="0"/>
    <n v="969.3"/>
    <s v="Misaligned"/>
    <x v="1"/>
    <s v="High Value Tier"/>
    <x v="0"/>
  </r>
  <r>
    <s v="ORD5067"/>
    <s v="CUST1067"/>
    <n v="66"/>
    <s v="PROD267"/>
    <x v="5"/>
    <x v="66"/>
    <s v="10/30/2024"/>
    <n v="4"/>
    <x v="0"/>
    <s v="6/22/2024"/>
    <s v=" $180.63 "/>
    <n v="3"/>
    <n v="39"/>
    <s v="Clothing"/>
    <s v="Cycling Helmet"/>
    <x v="0"/>
    <x v="0"/>
    <n v="541.89"/>
    <s v="Misaligned"/>
    <x v="4"/>
    <s v="High Value Tier"/>
    <x v="3"/>
  </r>
  <r>
    <s v="ORD5068"/>
    <s v="CUST1068"/>
    <n v="45"/>
    <s v="PROD268"/>
    <x v="0"/>
    <x v="67"/>
    <d v="2024-11-09T00:00:00"/>
    <n v="5"/>
    <x v="0"/>
    <s v="9/28/2024"/>
    <s v=" $1,217.67 "/>
    <n v="1"/>
    <n v="40"/>
    <s v="Home"/>
    <s v="Lipstick"/>
    <x v="3"/>
    <x v="2"/>
    <n v="1217.67"/>
    <s v="Misaligned"/>
    <x v="0"/>
    <s v="High Value Tier"/>
    <x v="3"/>
  </r>
  <r>
    <s v="ORD5069"/>
    <s v="CUST1069"/>
    <n v="19"/>
    <s v="PROD269"/>
    <x v="0"/>
    <x v="68"/>
    <s v="6/29/2025"/>
    <n v="4"/>
    <x v="0"/>
    <d v="2025-07-01T00:00:00"/>
    <s v=" $262.10 "/>
    <n v="6"/>
    <n v="33"/>
    <s v="Clothing"/>
    <s v="Smartwatch"/>
    <x v="4"/>
    <x v="1"/>
    <n v="1572.6"/>
    <s v="Misaligned"/>
    <x v="3"/>
    <s v="High Value Tier"/>
    <x v="3"/>
  </r>
  <r>
    <s v="ORD5070"/>
    <s v="CUST1070"/>
    <n v="33"/>
    <s v="PROD270"/>
    <x v="3"/>
    <x v="69"/>
    <s v="12/18/2024"/>
    <n v="3"/>
    <x v="0"/>
    <s v="4/17/2025"/>
    <s v=" $466.13 "/>
    <n v="3"/>
    <n v="25"/>
    <s v="Home"/>
    <s v="Jeans"/>
    <x v="2"/>
    <x v="0"/>
    <n v="1398.39"/>
    <s v="Misaligned"/>
    <x v="2"/>
    <s v="High Value Tier"/>
    <x v="0"/>
  </r>
  <r>
    <s v="ORD5071"/>
    <s v="CUST1071"/>
    <n v="62"/>
    <s v="PROD271"/>
    <x v="3"/>
    <x v="70"/>
    <d v="2024-01-03T00:00:00"/>
    <n v="2"/>
    <x v="0"/>
    <s v="12/25/2022"/>
    <s v=" $365.16 "/>
    <n v="3"/>
    <n v="13"/>
    <s v="Sports"/>
    <s v="Laptop"/>
    <x v="4"/>
    <x v="0"/>
    <n v="1095.48"/>
    <s v="Misaligned"/>
    <x v="1"/>
    <s v="High Value Tier"/>
    <x v="0"/>
  </r>
  <r>
    <s v="ORD5072"/>
    <s v="CUST1072"/>
    <n v="34"/>
    <s v="PROD272"/>
    <x v="0"/>
    <x v="71"/>
    <d v="2021-01-04T00:00:00"/>
    <n v="3"/>
    <x v="0"/>
    <d v="2023-10-07T00:00:00"/>
    <s v=" $24.08 "/>
    <n v="5"/>
    <n v="28"/>
    <s v="Beauty"/>
    <s v="Bluetooth Speaker"/>
    <x v="4"/>
    <x v="1"/>
    <n v="120.4"/>
    <s v="Misaligned"/>
    <x v="2"/>
    <s v="High Value Tier"/>
    <x v="0"/>
  </r>
  <r>
    <s v="ORD5073"/>
    <s v="CUST1073"/>
    <n v="57"/>
    <s v="PROD273"/>
    <x v="2"/>
    <x v="72"/>
    <s v="10/20/2022"/>
    <n v="0"/>
    <x v="1"/>
    <s v="7/21/2025"/>
    <s v=" $167.47 "/>
    <n v="5"/>
    <n v="13"/>
    <s v="Sports"/>
    <s v="Sofa"/>
    <x v="1"/>
    <x v="1"/>
    <n v="837.35"/>
    <s v="Misaligned"/>
    <x v="1"/>
    <s v="High Value Tier"/>
    <x v="0"/>
  </r>
  <r>
    <s v="ORD5074"/>
    <s v="CUST1074"/>
    <n v="21"/>
    <s v="PROD274"/>
    <x v="3"/>
    <x v="31"/>
    <s v="5/21/2025"/>
    <n v="2"/>
    <x v="0"/>
    <d v="2022-11-09T00:00:00"/>
    <s v=" $44.36 "/>
    <n v="6"/>
    <n v="27"/>
    <s v="Sports"/>
    <s v="Bluetooth Speaker"/>
    <x v="4"/>
    <x v="0"/>
    <n v="266.16000000000003"/>
    <s v="Misaligned"/>
    <x v="3"/>
    <s v="High Value Tier"/>
    <x v="0"/>
  </r>
  <r>
    <s v="ORD5075"/>
    <s v="CUST1075"/>
    <n v="43"/>
    <s v="PROD275"/>
    <x v="1"/>
    <x v="73"/>
    <s v="2/20/2024"/>
    <n v="1"/>
    <x v="1"/>
    <s v="8/16/2023"/>
    <s v=" $157.70 "/>
    <n v="5"/>
    <n v="32"/>
    <s v="Home"/>
    <s v="Dumbbells"/>
    <x v="0"/>
    <x v="0"/>
    <n v="788.5"/>
    <s v="Misaligned"/>
    <x v="0"/>
    <s v="High Value Tier"/>
    <x v="0"/>
  </r>
  <r>
    <s v="ORD5076"/>
    <s v="CUST1076"/>
    <n v="63"/>
    <s v="PROD276"/>
    <x v="1"/>
    <x v="74"/>
    <d v="2022-06-08T00:00:00"/>
    <n v="5"/>
    <x v="1"/>
    <s v="7/30/2025"/>
    <s v=" $244.50 "/>
    <n v="6"/>
    <n v="19"/>
    <s v="Clothing"/>
    <s v="Blender"/>
    <x v="1"/>
    <x v="1"/>
    <n v="1467"/>
    <s v="Misaligned"/>
    <x v="1"/>
    <s v="High Value Tier"/>
    <x v="0"/>
  </r>
  <r>
    <s v="ORD5077"/>
    <s v="CUST1077"/>
    <n v="35"/>
    <s v="PROD277"/>
    <x v="5"/>
    <x v="75"/>
    <d v="2024-08-12T00:00:00"/>
    <n v="2"/>
    <x v="1"/>
    <s v="10/28/2024"/>
    <s v=" $1,519.11 "/>
    <n v="1"/>
    <n v="47"/>
    <s v="Sports"/>
    <s v="Tablet"/>
    <x v="4"/>
    <x v="0"/>
    <n v="1519.11"/>
    <s v="Misaligned"/>
    <x v="0"/>
    <s v="High Value Tier"/>
    <x v="0"/>
  </r>
  <r>
    <s v="ORD5078"/>
    <s v="CUST1078"/>
    <n v="55"/>
    <s v="PROD278"/>
    <x v="5"/>
    <x v="76"/>
    <s v="12/29/2023"/>
    <n v="2"/>
    <x v="1"/>
    <d v="2024-06-08T00:00:00"/>
    <s v=" $160.26 "/>
    <n v="8"/>
    <n v="44"/>
    <s v="Beauty"/>
    <s v="Face Wash"/>
    <x v="3"/>
    <x v="0"/>
    <n v="1282.08"/>
    <s v="Aligned"/>
    <x v="1"/>
    <s v="High Value Tier"/>
    <x v="0"/>
  </r>
  <r>
    <s v="ORD5079"/>
    <s v="CUST1079"/>
    <n v="54"/>
    <s v="PROD279"/>
    <x v="4"/>
    <x v="52"/>
    <s v="5/21/2025"/>
    <n v="5"/>
    <x v="0"/>
    <d v="2024-06-04T00:00:00"/>
    <s v=" $154.00 "/>
    <n v="7"/>
    <n v="21"/>
    <s v="Sports"/>
    <s v="Foundation"/>
    <x v="3"/>
    <x v="1"/>
    <n v="1078"/>
    <s v="Misaligned"/>
    <x v="1"/>
    <s v="High Value Tier"/>
    <x v="3"/>
  </r>
  <r>
    <s v="ORD5080"/>
    <s v="CUST1080"/>
    <n v="53"/>
    <s v="PROD280"/>
    <x v="4"/>
    <x v="77"/>
    <d v="2023-10-10T00:00:00"/>
    <n v="0"/>
    <x v="0"/>
    <d v="2024-02-10T00:00:00"/>
    <s v=" $119.16 "/>
    <n v="7"/>
    <n v="4"/>
    <s v="Electronics"/>
    <s v="Perfume"/>
    <x v="3"/>
    <x v="1"/>
    <n v="834.12"/>
    <s v="Misaligned"/>
    <x v="1"/>
    <s v="High Value Tier"/>
    <x v="0"/>
  </r>
  <r>
    <s v="ORD5081"/>
    <s v="CUST1081"/>
    <n v="20"/>
    <s v="PROD281"/>
    <x v="1"/>
    <x v="78"/>
    <s v="12/18/2023"/>
    <n v="5"/>
    <x v="0"/>
    <s v="2/16/2025"/>
    <s v=" $68.21 "/>
    <n v="5"/>
    <n v="8"/>
    <s v="Home"/>
    <s v="Refrigerator"/>
    <x v="1"/>
    <x v="1"/>
    <n v="341.05"/>
    <s v="Aligned"/>
    <x v="3"/>
    <s v="High Value Tier"/>
    <x v="3"/>
  </r>
  <r>
    <s v="ORD5082"/>
    <s v="CUST1082"/>
    <n v="18"/>
    <s v="PROD282"/>
    <x v="5"/>
    <x v="79"/>
    <s v="2/20/2022"/>
    <n v="0"/>
    <x v="0"/>
    <d v="2025-07-06T00:00:00"/>
    <s v=" $112.63 "/>
    <n v="7"/>
    <n v="20"/>
    <s v="Electronics"/>
    <s v="Headphones"/>
    <x v="4"/>
    <x v="1"/>
    <n v="788.41"/>
    <s v="Aligned"/>
    <x v="3"/>
    <s v="High Value Tier"/>
    <x v="0"/>
  </r>
  <r>
    <s v="ORD5083"/>
    <s v="CUST1083"/>
    <n v="44"/>
    <s v="PROD283"/>
    <x v="5"/>
    <x v="80"/>
    <d v="2023-08-11T00:00:00"/>
    <n v="0"/>
    <x v="0"/>
    <s v="4/23/2022"/>
    <s v=" $269.36 "/>
    <n v="6"/>
    <n v="16"/>
    <s v="Beauty"/>
    <s v="Basketball"/>
    <x v="0"/>
    <x v="0"/>
    <n v="1616.16"/>
    <s v="Misaligned"/>
    <x v="0"/>
    <s v="High Value Tier"/>
    <x v="0"/>
  </r>
  <r>
    <s v="ORD5084"/>
    <s v="CUST1084"/>
    <n v="20"/>
    <s v="PROD284"/>
    <x v="2"/>
    <x v="81"/>
    <s v="4/26/2025"/>
    <n v="0"/>
    <x v="0"/>
    <s v="12/14/2023"/>
    <s v=" $1,032.49 "/>
    <n v="1"/>
    <n v="1"/>
    <s v="Sports"/>
    <s v="Dress"/>
    <x v="2"/>
    <x v="1"/>
    <n v="1032.49"/>
    <s v="Misaligned"/>
    <x v="3"/>
    <s v="Core Tier"/>
    <x v="0"/>
  </r>
  <r>
    <s v="ORD5085"/>
    <s v="CUST1085"/>
    <n v="51"/>
    <s v="PROD285"/>
    <x v="4"/>
    <x v="82"/>
    <s v="11/27/2023"/>
    <n v="0"/>
    <x v="0"/>
    <d v="2022-01-09T00:00:00"/>
    <s v=" $253.07 "/>
    <n v="2"/>
    <n v="7"/>
    <s v="Sports"/>
    <s v="Tablet"/>
    <x v="4"/>
    <x v="0"/>
    <n v="506.14"/>
    <s v="Misaligned"/>
    <x v="1"/>
    <s v="High Value Tier"/>
    <x v="0"/>
  </r>
  <r>
    <s v="ORD5086"/>
    <s v="CUST1086"/>
    <n v="55"/>
    <s v="PROD286"/>
    <x v="4"/>
    <x v="83"/>
    <s v="6/21/2024"/>
    <n v="1"/>
    <x v="0"/>
    <s v="8/25/2021"/>
    <s v=" $189.41 "/>
    <n v="8"/>
    <n v="3"/>
    <s v="Home"/>
    <s v="Laptop"/>
    <x v="4"/>
    <x v="0"/>
    <n v="1515.28"/>
    <s v="Misaligned"/>
    <x v="1"/>
    <s v="High Value Tier"/>
    <x v="0"/>
  </r>
  <r>
    <s v="ORD5087"/>
    <s v="CUST1087"/>
    <n v="52"/>
    <s v="PROD287"/>
    <x v="2"/>
    <x v="84"/>
    <s v="6/20/2023"/>
    <n v="1"/>
    <x v="1"/>
    <s v="3/27/2024"/>
    <s v=" $1,495.51 "/>
    <n v="1"/>
    <n v="45"/>
    <s v="Home"/>
    <s v="Refrigerator"/>
    <x v="1"/>
    <x v="0"/>
    <n v="1495.51"/>
    <s v="Aligned"/>
    <x v="1"/>
    <s v="High Value Tier"/>
    <x v="0"/>
  </r>
  <r>
    <s v="ORD5088"/>
    <s v="CUST1088"/>
    <n v="31"/>
    <s v="PROD288"/>
    <x v="4"/>
    <x v="85"/>
    <d v="2022-08-11T00:00:00"/>
    <n v="4"/>
    <x v="1"/>
    <d v="2024-07-12T00:00:00"/>
    <s v=" $384.70 "/>
    <n v="2"/>
    <n v="38"/>
    <s v="Home"/>
    <s v="Gaming Console"/>
    <x v="4"/>
    <x v="0"/>
    <n v="769.4"/>
    <s v="Misaligned"/>
    <x v="2"/>
    <s v="High Value Tier"/>
    <x v="0"/>
  </r>
  <r>
    <s v="ORD5089"/>
    <s v="CUST1089"/>
    <n v="46"/>
    <s v="PROD289"/>
    <x v="3"/>
    <x v="86"/>
    <d v="2023-07-09T00:00:00"/>
    <n v="5"/>
    <x v="0"/>
    <s v="1/16/2024"/>
    <s v=" $256.40 "/>
    <n v="6"/>
    <n v="29"/>
    <s v="Home"/>
    <s v="Sofa"/>
    <x v="1"/>
    <x v="1"/>
    <n v="1538.4"/>
    <s v="Aligned"/>
    <x v="0"/>
    <s v="High Value Tier"/>
    <x v="3"/>
  </r>
  <r>
    <s v="ORD5090"/>
    <s v="CUST1090"/>
    <n v="61"/>
    <s v="PROD290"/>
    <x v="2"/>
    <x v="87"/>
    <d v="2023-08-08T00:00:00"/>
    <n v="0"/>
    <x v="0"/>
    <s v="7/14/2025"/>
    <s v=" $289.70 "/>
    <n v="4"/>
    <n v="14"/>
    <s v="Clothing"/>
    <s v="Chair"/>
    <x v="1"/>
    <x v="0"/>
    <n v="1158.8"/>
    <s v="Misaligned"/>
    <x v="1"/>
    <s v="High Value Tier"/>
    <x v="0"/>
  </r>
  <r>
    <s v="ORD5091"/>
    <s v="CUST1091"/>
    <n v="30"/>
    <s v="PROD291"/>
    <x v="0"/>
    <x v="14"/>
    <s v="6/26/2023"/>
    <n v="2"/>
    <x v="0"/>
    <s v="2/25/2024"/>
    <s v=" $27.00 "/>
    <n v="5"/>
    <n v="8"/>
    <s v="Electronics"/>
    <s v="Dining Table"/>
    <x v="1"/>
    <x v="0"/>
    <n v="135"/>
    <s v="Misaligned"/>
    <x v="2"/>
    <s v="Core Tier"/>
    <x v="0"/>
  </r>
  <r>
    <s v="ORD5092"/>
    <s v="CUST1092"/>
    <n v="56"/>
    <s v="PROD292"/>
    <x v="0"/>
    <x v="88"/>
    <s v="5/22/2022"/>
    <n v="2"/>
    <x v="0"/>
    <s v="11/29/2024"/>
    <s v=" $279.83 "/>
    <n v="3"/>
    <n v="28"/>
    <s v="Clothing"/>
    <s v="Moisturizer"/>
    <x v="3"/>
    <x v="0"/>
    <n v="839.49"/>
    <s v="Misaligned"/>
    <x v="1"/>
    <s v="High Value Tier"/>
    <x v="0"/>
  </r>
  <r>
    <s v="ORD5093"/>
    <s v="CUST1093"/>
    <n v="24"/>
    <s v="PROD293"/>
    <x v="0"/>
    <x v="89"/>
    <s v="6/28/2024"/>
    <n v="0"/>
    <x v="2"/>
    <s v="10/22/2024"/>
    <s v=" $290.29 "/>
    <n v="5"/>
    <n v="30"/>
    <s v="Sports"/>
    <s v="Headphones"/>
    <x v="4"/>
    <x v="1"/>
    <n v="1451.45"/>
    <s v="Misaligned"/>
    <x v="3"/>
    <s v="High Value Tier"/>
    <x v="1"/>
  </r>
  <r>
    <s v="ORD5094"/>
    <s v="CUST1094"/>
    <n v="68"/>
    <s v="PROD294"/>
    <x v="2"/>
    <x v="90"/>
    <s v="12/25/2024"/>
    <n v="2"/>
    <x v="0"/>
    <d v="2024-05-07T00:00:00"/>
    <s v=" $259.26 "/>
    <n v="6"/>
    <n v="38"/>
    <s v="Home"/>
    <s v="Yoga Mat"/>
    <x v="0"/>
    <x v="0"/>
    <n v="1555.56"/>
    <s v="Misaligned"/>
    <x v="4"/>
    <s v="High Value Tier"/>
    <x v="0"/>
  </r>
  <r>
    <s v="ORD5095"/>
    <s v="CUST1095"/>
    <n v="52"/>
    <s v="PROD295"/>
    <x v="0"/>
    <x v="91"/>
    <d v="2024-11-11T00:00:00"/>
    <n v="5"/>
    <x v="1"/>
    <d v="2025-09-07T00:00:00"/>
    <s v=" $159.25 "/>
    <n v="5"/>
    <n v="40"/>
    <s v="Sports"/>
    <s v="Gaming Console"/>
    <x v="4"/>
    <x v="1"/>
    <n v="796.25"/>
    <s v="Misaligned"/>
    <x v="1"/>
    <s v="High Value Tier"/>
    <x v="0"/>
  </r>
  <r>
    <s v="ORD5096"/>
    <s v="CUST1096"/>
    <n v="43"/>
    <s v="PROD296"/>
    <x v="1"/>
    <x v="92"/>
    <s v="10/19/2021"/>
    <n v="0"/>
    <x v="0"/>
    <s v="1/25/2025"/>
    <s v=" $62.41 "/>
    <n v="3"/>
    <n v="30"/>
    <s v="Sports"/>
    <s v="Tennis Racket"/>
    <x v="0"/>
    <x v="0"/>
    <n v="187.23"/>
    <s v="Aligned"/>
    <x v="0"/>
    <s v="High Value Tier"/>
    <x v="0"/>
  </r>
  <r>
    <s v="ORD5097"/>
    <s v="CUST1097"/>
    <n v="35"/>
    <s v="PROD297"/>
    <x v="2"/>
    <x v="93"/>
    <s v="11/21/2022"/>
    <n v="4"/>
    <x v="0"/>
    <s v="5/22/2022"/>
    <s v=" $107.73 "/>
    <n v="5"/>
    <n v="26"/>
    <s v="Home"/>
    <s v="Smartwatch"/>
    <x v="4"/>
    <x v="1"/>
    <n v="538.65"/>
    <s v="Misaligned"/>
    <x v="0"/>
    <s v="High Value Tier"/>
    <x v="3"/>
  </r>
  <r>
    <s v="ORD5098"/>
    <s v="CUST1098"/>
    <n v="66"/>
    <s v="PROD298"/>
    <x v="4"/>
    <x v="94"/>
    <d v="2022-07-08T00:00:00"/>
    <n v="5"/>
    <x v="2"/>
    <s v="5/28/2022"/>
    <s v=" $556.57 "/>
    <n v="2"/>
    <n v="40"/>
    <s v="Sports"/>
    <s v="T-Shirt"/>
    <x v="2"/>
    <x v="1"/>
    <n v="1113.1400000000001"/>
    <s v="Misaligned"/>
    <x v="4"/>
    <s v="High Value Tier"/>
    <x v="1"/>
  </r>
  <r>
    <s v="ORD5099"/>
    <s v="CUST1099"/>
    <n v="32"/>
    <s v="PROD299"/>
    <x v="5"/>
    <x v="95"/>
    <s v="4/15/2022"/>
    <n v="2"/>
    <x v="0"/>
    <s v="1/19/2022"/>
    <s v=" $990.57 "/>
    <n v="1"/>
    <n v="5"/>
    <s v="Sports"/>
    <s v="Headphones"/>
    <x v="4"/>
    <x v="0"/>
    <n v="990.57"/>
    <s v="Misaligned"/>
    <x v="2"/>
    <s v="High Value Tier"/>
    <x v="0"/>
  </r>
  <r>
    <s v="ORD5100"/>
    <s v="CUST1100"/>
    <n v="57"/>
    <s v="PROD300"/>
    <x v="5"/>
    <x v="96"/>
    <s v="1/20/2024"/>
    <n v="2"/>
    <x v="1"/>
    <d v="2022-10-03T00:00:00"/>
    <s v=" $140.71 "/>
    <n v="6"/>
    <n v="26"/>
    <s v="Home"/>
    <s v="Nail Polish"/>
    <x v="3"/>
    <x v="0"/>
    <n v="844.26"/>
    <s v="Misaligned"/>
    <x v="1"/>
    <s v="High Value Tier"/>
    <x v="0"/>
  </r>
  <r>
    <s v="ORD5101"/>
    <s v="CUST1101"/>
    <n v="49"/>
    <s v="PROD301"/>
    <x v="1"/>
    <x v="97"/>
    <s v="9/20/2024"/>
    <n v="2"/>
    <x v="0"/>
    <d v="2025-09-03T00:00:00"/>
    <s v=" $38.59 "/>
    <n v="9"/>
    <n v="48"/>
    <s v="Sports"/>
    <s v="Yoga Mat"/>
    <x v="0"/>
    <x v="1"/>
    <n v="347.31"/>
    <s v="Aligned"/>
    <x v="0"/>
    <s v="High Value Tier"/>
    <x v="0"/>
  </r>
  <r>
    <s v="ORD5102"/>
    <s v="CUST1102"/>
    <n v="62"/>
    <s v="PROD302"/>
    <x v="1"/>
    <x v="98"/>
    <d v="2024-08-07T00:00:00"/>
    <n v="1"/>
    <x v="0"/>
    <s v="5/18/2025"/>
    <s v=" $196.79 "/>
    <n v="8"/>
    <n v="35"/>
    <s v="Clothing"/>
    <s v="Moisturizer"/>
    <x v="3"/>
    <x v="0"/>
    <n v="1574.32"/>
    <s v="Misaligned"/>
    <x v="1"/>
    <s v="High Value Tier"/>
    <x v="0"/>
  </r>
  <r>
    <s v="ORD5103"/>
    <s v="CUST1103"/>
    <n v="36"/>
    <s v="PROD303"/>
    <x v="4"/>
    <x v="99"/>
    <d v="2025-06-04T00:00:00"/>
    <n v="4"/>
    <x v="0"/>
    <s v="1/27/2024"/>
    <s v=" $84.34 "/>
    <n v="5"/>
    <n v="41"/>
    <s v="Sports"/>
    <s v="Basketball"/>
    <x v="0"/>
    <x v="0"/>
    <n v="421.7"/>
    <s v="Aligned"/>
    <x v="0"/>
    <s v="High Value Tier"/>
    <x v="3"/>
  </r>
  <r>
    <s v="ORD5104"/>
    <s v="CUST1104"/>
    <n v="51"/>
    <s v="PROD304"/>
    <x v="1"/>
    <x v="100"/>
    <s v="10/17/2023"/>
    <n v="2"/>
    <x v="2"/>
    <d v="2025-04-01T00:00:00"/>
    <s v=" $760.96 "/>
    <n v="1"/>
    <n v="13"/>
    <s v="Electronics"/>
    <s v="Foundation"/>
    <x v="3"/>
    <x v="1"/>
    <n v="760.96"/>
    <s v="Misaligned"/>
    <x v="1"/>
    <s v="High Value Tier"/>
    <x v="1"/>
  </r>
  <r>
    <s v="ORD5105"/>
    <s v="CUST1105"/>
    <n v="54"/>
    <s v="PROD305"/>
    <x v="3"/>
    <x v="101"/>
    <d v="2024-10-11T00:00:00"/>
    <n v="4"/>
    <x v="0"/>
    <d v="2024-12-03T00:00:00"/>
    <s v=" $716.30 "/>
    <n v="2"/>
    <n v="24"/>
    <s v="Home"/>
    <s v="Smartphone"/>
    <x v="4"/>
    <x v="0"/>
    <n v="1432.6"/>
    <s v="Misaligned"/>
    <x v="1"/>
    <s v="High Value Tier"/>
    <x v="3"/>
  </r>
  <r>
    <s v="ORD5106"/>
    <s v="CUST1106"/>
    <n v="27"/>
    <s v="PROD306"/>
    <x v="5"/>
    <x v="102"/>
    <s v="2/21/2025"/>
    <n v="0"/>
    <x v="1"/>
    <s v="6/28/2025"/>
    <s v=" $396.36 "/>
    <n v="5"/>
    <n v="34"/>
    <s v="Sports"/>
    <s v="Chair"/>
    <x v="1"/>
    <x v="0"/>
    <n v="1981.8"/>
    <s v="Misaligned"/>
    <x v="2"/>
    <s v="High Value Tier"/>
    <x v="0"/>
  </r>
  <r>
    <s v="ORD5107"/>
    <s v="CUST1107"/>
    <n v="42"/>
    <s v="PROD307"/>
    <x v="4"/>
    <x v="103"/>
    <d v="2022-08-03T00:00:00"/>
    <n v="0"/>
    <x v="0"/>
    <d v="2021-04-07T00:00:00"/>
    <s v=" $805.84 "/>
    <n v="2"/>
    <n v="39"/>
    <s v="Home"/>
    <s v="Cycling Helmet"/>
    <x v="0"/>
    <x v="0"/>
    <n v="1611.68"/>
    <s v="Misaligned"/>
    <x v="0"/>
    <s v="High Value Tier"/>
    <x v="0"/>
  </r>
  <r>
    <s v="ORD5108"/>
    <s v="CUST1108"/>
    <n v="51"/>
    <s v="PROD308"/>
    <x v="3"/>
    <x v="104"/>
    <d v="2024-11-11T00:00:00"/>
    <n v="3"/>
    <x v="1"/>
    <s v="7/23/2024"/>
    <s v=" $107.67 "/>
    <n v="4"/>
    <n v="26"/>
    <s v="Clothing"/>
    <s v="Vacuum Cleaner"/>
    <x v="1"/>
    <x v="2"/>
    <n v="430.68"/>
    <s v="Misaligned"/>
    <x v="1"/>
    <s v="High Value Tier"/>
    <x v="0"/>
  </r>
  <r>
    <s v="ORD5109"/>
    <s v="CUST1109"/>
    <n v="39"/>
    <s v="PROD309"/>
    <x v="3"/>
    <x v="105"/>
    <d v="2024-05-04T00:00:00"/>
    <n v="1"/>
    <x v="1"/>
    <s v="9/14/2024"/>
    <s v=" $233.34 "/>
    <n v="6"/>
    <n v="44"/>
    <s v="Clothing"/>
    <s v="Perfume"/>
    <x v="3"/>
    <x v="1"/>
    <n v="1400.04"/>
    <s v="Misaligned"/>
    <x v="0"/>
    <s v="High Value Tier"/>
    <x v="0"/>
  </r>
  <r>
    <s v="ORD5110"/>
    <s v="CUST1110"/>
    <n v="23"/>
    <s v="PROD310"/>
    <x v="0"/>
    <x v="106"/>
    <s v="8/21/2023"/>
    <n v="1"/>
    <x v="0"/>
    <d v="2024-05-04T00:00:00"/>
    <s v=" $353.80 "/>
    <n v="3"/>
    <n v="11"/>
    <s v="Electronics"/>
    <s v="Perfume"/>
    <x v="3"/>
    <x v="0"/>
    <n v="1061.4000000000001"/>
    <s v="Misaligned"/>
    <x v="3"/>
    <s v="High Value Tier"/>
    <x v="0"/>
  </r>
  <r>
    <s v="ORD5111"/>
    <s v="CUST1111"/>
    <n v="59"/>
    <s v="PROD311"/>
    <x v="3"/>
    <x v="107"/>
    <s v="12/26/2023"/>
    <n v="0"/>
    <x v="2"/>
    <d v="2025-11-01T00:00:00"/>
    <s v=" $221.28 "/>
    <n v="8"/>
    <n v="41"/>
    <s v="Clothing"/>
    <s v="Jeans"/>
    <x v="2"/>
    <x v="0"/>
    <n v="1770.24"/>
    <s v="Aligned"/>
    <x v="1"/>
    <s v="High Value Tier"/>
    <x v="1"/>
  </r>
  <r>
    <s v="ORD5112"/>
    <s v="CUST1112"/>
    <n v="29"/>
    <s v="PROD312"/>
    <x v="0"/>
    <x v="108"/>
    <d v="2023-05-10T00:00:00"/>
    <n v="4"/>
    <x v="2"/>
    <s v="11/27/2024"/>
    <s v=" $247.78 "/>
    <n v="8"/>
    <n v="28"/>
    <s v="Electronics"/>
    <s v="Lipstick"/>
    <x v="3"/>
    <x v="0"/>
    <n v="1982.24"/>
    <s v="Misaligned"/>
    <x v="2"/>
    <s v="High Value Tier"/>
    <x v="1"/>
  </r>
  <r>
    <s v="ORD5113"/>
    <s v="CUST1113"/>
    <n v="50"/>
    <s v="PROD313"/>
    <x v="3"/>
    <x v="109"/>
    <d v="2025-07-03T00:00:00"/>
    <n v="0"/>
    <x v="1"/>
    <s v="10/26/2023"/>
    <s v=" $1,810.76 "/>
    <n v="1"/>
    <n v="13"/>
    <s v="Clothing"/>
    <s v="Yoga Mat"/>
    <x v="0"/>
    <x v="1"/>
    <n v="1810.76"/>
    <s v="Misaligned"/>
    <x v="1"/>
    <s v="High Value Tier"/>
    <x v="0"/>
  </r>
  <r>
    <s v="ORD5114"/>
    <s v="CUST1114"/>
    <n v="31"/>
    <s v="PROD314"/>
    <x v="2"/>
    <x v="110"/>
    <s v="5/27/2023"/>
    <n v="3"/>
    <x v="0"/>
    <d v="2023-01-11T00:00:00"/>
    <s v=" $164.62 "/>
    <n v="6"/>
    <n v="15"/>
    <s v="Sports"/>
    <s v="Sofa"/>
    <x v="1"/>
    <x v="0"/>
    <n v="987.72"/>
    <s v="Misaligned"/>
    <x v="2"/>
    <s v="High Value Tier"/>
    <x v="0"/>
  </r>
  <r>
    <s v="ORD5115"/>
    <s v="CUST1115"/>
    <n v="65"/>
    <s v="PROD315"/>
    <x v="0"/>
    <x v="111"/>
    <d v="2022-01-10T00:00:00"/>
    <n v="3"/>
    <x v="0"/>
    <s v="6/15/2023"/>
    <s v=" $57.48 "/>
    <n v="5"/>
    <n v="42"/>
    <s v="Beauty"/>
    <s v="Tablet"/>
    <x v="4"/>
    <x v="0"/>
    <n v="287.39999999999998"/>
    <s v="Misaligned"/>
    <x v="4"/>
    <s v="High Value Tier"/>
    <x v="0"/>
  </r>
  <r>
    <s v="ORD5116"/>
    <s v="CUST1116"/>
    <n v="28"/>
    <s v="PROD316"/>
    <x v="0"/>
    <x v="112"/>
    <s v="9/28/2024"/>
    <n v="0"/>
    <x v="0"/>
    <s v="5/16/2024"/>
    <s v=" $431.26 "/>
    <n v="3"/>
    <n v="3"/>
    <s v="Electronics"/>
    <s v="Vacuum Cleaner"/>
    <x v="1"/>
    <x v="0"/>
    <n v="1293.78"/>
    <s v="Misaligned"/>
    <x v="2"/>
    <s v="High Value Tier"/>
    <x v="0"/>
  </r>
  <r>
    <s v="ORD5117"/>
    <s v="CUST1117"/>
    <n v="31"/>
    <s v="PROD317"/>
    <x v="4"/>
    <x v="113"/>
    <d v="2021-09-06T00:00:00"/>
    <n v="0"/>
    <x v="1"/>
    <d v="2023-02-03T00:00:00"/>
    <s v=" $205.69 "/>
    <n v="8"/>
    <n v="7"/>
    <s v="Clothing"/>
    <s v="Dress"/>
    <x v="2"/>
    <x v="1"/>
    <n v="1645.52"/>
    <s v="Aligned"/>
    <x v="2"/>
    <s v="High Value Tier"/>
    <x v="0"/>
  </r>
  <r>
    <s v="ORD5118"/>
    <s v="CUST1118"/>
    <n v="45"/>
    <s v="PROD318"/>
    <x v="0"/>
    <x v="114"/>
    <s v="9/17/2024"/>
    <n v="1"/>
    <x v="0"/>
    <s v="8/22/2022"/>
    <s v=" $338.72 "/>
    <n v="1"/>
    <n v="22"/>
    <s v="Home"/>
    <s v="Hoodie"/>
    <x v="2"/>
    <x v="1"/>
    <n v="338.72"/>
    <s v="Misaligned"/>
    <x v="0"/>
    <s v="High Value Tier"/>
    <x v="0"/>
  </r>
  <r>
    <s v="ORD5119"/>
    <s v="CUST1119"/>
    <n v="19"/>
    <s v="PROD319"/>
    <x v="1"/>
    <x v="115"/>
    <s v="6/28/2024"/>
    <n v="1"/>
    <x v="0"/>
    <s v="10/24/2022"/>
    <s v=" $174.49 "/>
    <n v="9"/>
    <n v="25"/>
    <s v="Clothing"/>
    <s v="Lipstick"/>
    <x v="3"/>
    <x v="0"/>
    <n v="1570.41"/>
    <s v="Misaligned"/>
    <x v="3"/>
    <s v="High Value Tier"/>
    <x v="0"/>
  </r>
  <r>
    <s v="ORD5120"/>
    <s v="CUST1120"/>
    <n v="64"/>
    <s v="PROD320"/>
    <x v="2"/>
    <x v="64"/>
    <d v="2022-06-08T00:00:00"/>
    <n v="5"/>
    <x v="1"/>
    <d v="2024-06-07T00:00:00"/>
    <s v=" $102.01 "/>
    <n v="6"/>
    <n v="1"/>
    <s v="Electronics"/>
    <s v="Tablet"/>
    <x v="4"/>
    <x v="1"/>
    <n v="612.05999999999995"/>
    <s v="Aligned"/>
    <x v="1"/>
    <s v="Value Tier"/>
    <x v="0"/>
  </r>
  <r>
    <s v="ORD5121"/>
    <s v="CUST1121"/>
    <n v="23"/>
    <s v="PROD321"/>
    <x v="5"/>
    <x v="116"/>
    <s v="4/27/2024"/>
    <n v="5"/>
    <x v="0"/>
    <s v="2/18/2023"/>
    <s v=" $389.99 "/>
    <n v="5"/>
    <n v="3"/>
    <s v="Home"/>
    <s v="Shirt"/>
    <x v="2"/>
    <x v="1"/>
    <n v="1949.95"/>
    <s v="Misaligned"/>
    <x v="3"/>
    <s v="High Value Tier"/>
    <x v="3"/>
  </r>
  <r>
    <s v="ORD5122"/>
    <s v="CUST1122"/>
    <n v="22"/>
    <s v="PROD322"/>
    <x v="5"/>
    <x v="117"/>
    <s v="12/19/2024"/>
    <n v="2"/>
    <x v="1"/>
    <d v="2022-07-12T00:00:00"/>
    <s v=" $21.57 "/>
    <n v="6"/>
    <n v="49"/>
    <s v="Sports"/>
    <s v="Face Wash"/>
    <x v="3"/>
    <x v="1"/>
    <n v="129.41999999999999"/>
    <s v="Misaligned"/>
    <x v="3"/>
    <s v="High Value Tier"/>
    <x v="0"/>
  </r>
  <r>
    <s v="ORD5123"/>
    <s v="CUST1123"/>
    <n v="68"/>
    <s v="PROD323"/>
    <x v="1"/>
    <x v="118"/>
    <s v="9/24/2024"/>
    <n v="1"/>
    <x v="1"/>
    <s v="3/26/2025"/>
    <s v=" $649.18 "/>
    <n v="2"/>
    <n v="38"/>
    <s v="Electronics"/>
    <s v="Gaming Console"/>
    <x v="4"/>
    <x v="1"/>
    <n v="1298.3599999999999"/>
    <s v="Aligned"/>
    <x v="4"/>
    <s v="High Value Tier"/>
    <x v="0"/>
  </r>
  <r>
    <s v="ORD5124"/>
    <s v="CUST1124"/>
    <n v="61"/>
    <s v="PROD324"/>
    <x v="0"/>
    <x v="119"/>
    <s v="4/23/2025"/>
    <n v="3"/>
    <x v="1"/>
    <s v="7/29/2025"/>
    <s v=" $964.88 "/>
    <n v="2"/>
    <n v="5"/>
    <s v="Clothing"/>
    <s v="Running Shoes"/>
    <x v="0"/>
    <x v="0"/>
    <n v="1929.76"/>
    <s v="Misaligned"/>
    <x v="1"/>
    <s v="High Value Tier"/>
    <x v="0"/>
  </r>
  <r>
    <s v="ORD5125"/>
    <s v="CUST1125"/>
    <n v="52"/>
    <s v="PROD325"/>
    <x v="5"/>
    <x v="120"/>
    <d v="2024-08-02T00:00:00"/>
    <n v="0"/>
    <x v="0"/>
    <d v="2025-11-05T00:00:00"/>
    <s v=" $201.06 "/>
    <n v="8"/>
    <n v="28"/>
    <s v="Home"/>
    <s v="Lamp"/>
    <x v="1"/>
    <x v="1"/>
    <n v="1608.48"/>
    <s v="Aligned"/>
    <x v="1"/>
    <s v="High Value Tier"/>
    <x v="0"/>
  </r>
  <r>
    <s v="ORD5126"/>
    <s v="CUST1126"/>
    <n v="35"/>
    <s v="PROD326"/>
    <x v="5"/>
    <x v="121"/>
    <s v="10/18/2024"/>
    <n v="1"/>
    <x v="0"/>
    <s v="5/31/2022"/>
    <s v=" $178.81 "/>
    <n v="1"/>
    <n v="41"/>
    <s v="Electronics"/>
    <s v="Smartwatch"/>
    <x v="4"/>
    <x v="0"/>
    <n v="178.81"/>
    <s v="Aligned"/>
    <x v="0"/>
    <s v="High Value Tier"/>
    <x v="0"/>
  </r>
  <r>
    <s v="ORD5127"/>
    <s v="CUST1127"/>
    <n v="45"/>
    <s v="PROD327"/>
    <x v="4"/>
    <x v="122"/>
    <s v="2/27/2023"/>
    <n v="2"/>
    <x v="1"/>
    <s v="11/14/2023"/>
    <s v=" $167.69 "/>
    <n v="5"/>
    <n v="49"/>
    <s v="Electronics"/>
    <s v="Headphones"/>
    <x v="4"/>
    <x v="0"/>
    <n v="838.45"/>
    <s v="Aligned"/>
    <x v="0"/>
    <s v="High Value Tier"/>
    <x v="0"/>
  </r>
  <r>
    <s v="ORD5128"/>
    <s v="CUST1128"/>
    <n v="49"/>
    <s v="PROD328"/>
    <x v="4"/>
    <x v="123"/>
    <d v="2022-12-10T00:00:00"/>
    <n v="2"/>
    <x v="0"/>
    <d v="2024-03-03T00:00:00"/>
    <s v=" $19.56 "/>
    <n v="6"/>
    <n v="43"/>
    <s v="Beauty"/>
    <s v="Bluetooth Speaker"/>
    <x v="4"/>
    <x v="0"/>
    <n v="117.36"/>
    <s v="Misaligned"/>
    <x v="0"/>
    <s v="High Value Tier"/>
    <x v="0"/>
  </r>
  <r>
    <s v="ORD5129"/>
    <s v="CUST1129"/>
    <n v="31"/>
    <s v="PROD329"/>
    <x v="5"/>
    <x v="124"/>
    <d v="2024-10-01T00:00:00"/>
    <n v="0"/>
    <x v="0"/>
    <d v="2023-04-08T00:00:00"/>
    <s v=" $170.27 "/>
    <n v="3"/>
    <n v="34"/>
    <s v="Electronics"/>
    <s v="Shampoo"/>
    <x v="3"/>
    <x v="1"/>
    <n v="510.81"/>
    <s v="Misaligned"/>
    <x v="2"/>
    <s v="High Value Tier"/>
    <x v="0"/>
  </r>
  <r>
    <s v="ORD5130"/>
    <s v="CUST1130"/>
    <n v="33"/>
    <s v="PROD330"/>
    <x v="4"/>
    <x v="91"/>
    <d v="2024-07-08T00:00:00"/>
    <n v="3"/>
    <x v="1"/>
    <s v="10/31/2022"/>
    <s v=" $968.05 "/>
    <n v="2"/>
    <n v="3"/>
    <s v="Clothing"/>
    <s v="Smartwatch"/>
    <x v="4"/>
    <x v="1"/>
    <n v="1936.1"/>
    <s v="Misaligned"/>
    <x v="2"/>
    <s v="High Value Tier"/>
    <x v="0"/>
  </r>
  <r>
    <s v="ORD5131"/>
    <s v="CUST1131"/>
    <n v="21"/>
    <s v="PROD331"/>
    <x v="5"/>
    <x v="125"/>
    <s v="1/25/2025"/>
    <n v="0"/>
    <x v="1"/>
    <s v="4/14/2025"/>
    <s v=" $184.34 "/>
    <n v="6"/>
    <n v="13"/>
    <s v="Home"/>
    <s v="Tablet"/>
    <x v="4"/>
    <x v="0"/>
    <n v="1106.04"/>
    <s v="Misaligned"/>
    <x v="3"/>
    <s v="High Value Tier"/>
    <x v="0"/>
  </r>
  <r>
    <s v="ORD5132"/>
    <s v="CUST1132"/>
    <n v="59"/>
    <s v="PROD332"/>
    <x v="1"/>
    <x v="126"/>
    <d v="2023-12-06T00:00:00"/>
    <n v="3"/>
    <x v="0"/>
    <d v="2025-08-08T00:00:00"/>
    <s v=" $332.14 "/>
    <n v="4"/>
    <n v="3"/>
    <s v="Electronics"/>
    <s v="Skirt"/>
    <x v="2"/>
    <x v="0"/>
    <n v="1328.56"/>
    <s v="Misaligned"/>
    <x v="1"/>
    <s v="High Value Tier"/>
    <x v="0"/>
  </r>
  <r>
    <s v="ORD5133"/>
    <s v="CUST1133"/>
    <n v="46"/>
    <s v="PROD333"/>
    <x v="4"/>
    <x v="127"/>
    <d v="2022-04-11T00:00:00"/>
    <n v="2"/>
    <x v="0"/>
    <d v="2025-02-06T00:00:00"/>
    <s v=" $42.65 "/>
    <n v="5"/>
    <n v="34"/>
    <s v="Home"/>
    <s v="Tennis Racket"/>
    <x v="0"/>
    <x v="0"/>
    <n v="213.25"/>
    <s v="Misaligned"/>
    <x v="0"/>
    <s v="High Value Tier"/>
    <x v="0"/>
  </r>
  <r>
    <s v="ORD5134"/>
    <s v="CUST1134"/>
    <n v="35"/>
    <s v="PROD334"/>
    <x v="5"/>
    <x v="128"/>
    <s v="11/18/2024"/>
    <n v="1"/>
    <x v="0"/>
    <s v="11/28/2022"/>
    <s v=" $21.30 "/>
    <n v="9"/>
    <n v="43"/>
    <s v="Beauty"/>
    <s v="Cycling Helmet"/>
    <x v="0"/>
    <x v="1"/>
    <n v="191.7"/>
    <s v="Misaligned"/>
    <x v="0"/>
    <s v="High Value Tier"/>
    <x v="0"/>
  </r>
  <r>
    <s v="ORD5135"/>
    <s v="CUST1135"/>
    <n v="51"/>
    <s v="PROD335"/>
    <x v="1"/>
    <x v="120"/>
    <s v="5/17/2024"/>
    <n v="5"/>
    <x v="1"/>
    <s v="6/25/2024"/>
    <s v=" $111.78 "/>
    <n v="7"/>
    <n v="28"/>
    <s v="Clothing"/>
    <s v="Microwave"/>
    <x v="1"/>
    <x v="1"/>
    <n v="782.46"/>
    <s v="Misaligned"/>
    <x v="1"/>
    <s v="High Value Tier"/>
    <x v="0"/>
  </r>
  <r>
    <s v="ORD5136"/>
    <s v="CUST1136"/>
    <n v="51"/>
    <s v="PROD336"/>
    <x v="3"/>
    <x v="129"/>
    <d v="2022-08-07T00:00:00"/>
    <n v="1"/>
    <x v="0"/>
    <d v="2023-06-04T00:00:00"/>
    <s v=" $103.26 "/>
    <n v="7"/>
    <n v="25"/>
    <s v="Beauty"/>
    <s v="Face Wash"/>
    <x v="3"/>
    <x v="0"/>
    <n v="722.82"/>
    <s v="Aligned"/>
    <x v="1"/>
    <s v="High Value Tier"/>
    <x v="0"/>
  </r>
  <r>
    <s v="ORD5137"/>
    <s v="CUST1137"/>
    <n v="39"/>
    <s v="PROD337"/>
    <x v="1"/>
    <x v="130"/>
    <d v="2024-11-07T00:00:00"/>
    <n v="3"/>
    <x v="0"/>
    <s v="6/30/2025"/>
    <s v=" $5.48 "/>
    <n v="9"/>
    <n v="11"/>
    <s v="Electronics"/>
    <s v="Headphones"/>
    <x v="4"/>
    <x v="0"/>
    <n v="49.32"/>
    <s v="Aligned"/>
    <x v="0"/>
    <s v="Value Tier"/>
    <x v="0"/>
  </r>
  <r>
    <s v="ORD5138"/>
    <s v="CUST1138"/>
    <n v="36"/>
    <s v="PROD338"/>
    <x v="4"/>
    <x v="131"/>
    <d v="2023-09-05T00:00:00"/>
    <n v="3"/>
    <x v="0"/>
    <d v="2025-11-07T00:00:00"/>
    <s v=" $151.96 "/>
    <n v="5"/>
    <n v="16"/>
    <s v="Sports"/>
    <s v="Cycling Helmet"/>
    <x v="0"/>
    <x v="0"/>
    <n v="759.8"/>
    <s v="Aligned"/>
    <x v="0"/>
    <s v="High Value Tier"/>
    <x v="0"/>
  </r>
  <r>
    <s v="ORD5139"/>
    <s v="CUST1139"/>
    <n v="49"/>
    <s v="PROD339"/>
    <x v="2"/>
    <x v="132"/>
    <s v="7/19/2023"/>
    <n v="3"/>
    <x v="0"/>
    <s v="3/23/2025"/>
    <s v=" $152.78 "/>
    <n v="9"/>
    <n v="12"/>
    <s v="Electronics"/>
    <s v="Sneakers"/>
    <x v="2"/>
    <x v="0"/>
    <n v="1375.02"/>
    <s v="Misaligned"/>
    <x v="0"/>
    <s v="High Value Tier"/>
    <x v="0"/>
  </r>
  <r>
    <s v="ORD5140"/>
    <s v="CUST1140"/>
    <n v="55"/>
    <s v="PROD340"/>
    <x v="5"/>
    <x v="133"/>
    <s v="2/25/2024"/>
    <n v="2"/>
    <x v="0"/>
    <d v="2024-05-12T00:00:00"/>
    <s v=" $179.86 "/>
    <n v="7"/>
    <n v="3"/>
    <s v="Clothing"/>
    <s v="Cycling Helmet"/>
    <x v="0"/>
    <x v="1"/>
    <n v="1259.02"/>
    <s v="Misaligned"/>
    <x v="1"/>
    <s v="High Value Tier"/>
    <x v="0"/>
  </r>
  <r>
    <s v="ORD5141"/>
    <s v="CUST1141"/>
    <n v="19"/>
    <s v="PROD341"/>
    <x v="4"/>
    <x v="134"/>
    <d v="2024-03-11T00:00:00"/>
    <n v="4"/>
    <x v="1"/>
    <s v="12/30/2023"/>
    <s v=" $218.72 "/>
    <n v="8"/>
    <n v="9"/>
    <s v="Clothing"/>
    <s v="Sneakers"/>
    <x v="2"/>
    <x v="0"/>
    <n v="1749.76"/>
    <s v="Aligned"/>
    <x v="3"/>
    <s v="High Value Tier"/>
    <x v="0"/>
  </r>
  <r>
    <s v="ORD5142"/>
    <s v="CUST1142"/>
    <n v="47"/>
    <s v="PROD342"/>
    <x v="5"/>
    <x v="135"/>
    <s v="3/28/2025"/>
    <n v="0"/>
    <x v="1"/>
    <s v="8/24/2023"/>
    <s v=" $177.72 "/>
    <n v="4"/>
    <n v="46"/>
    <s v="Clothing"/>
    <s v="T-Shirt"/>
    <x v="2"/>
    <x v="0"/>
    <n v="710.88"/>
    <s v="Aligned"/>
    <x v="0"/>
    <s v="High Value Tier"/>
    <x v="0"/>
  </r>
  <r>
    <s v="ORD5143"/>
    <s v="CUST1143"/>
    <n v="53"/>
    <s v="PROD343"/>
    <x v="3"/>
    <x v="136"/>
    <s v="4/26/2025"/>
    <n v="5"/>
    <x v="0"/>
    <s v="9/16/2024"/>
    <s v=" $224.37 "/>
    <n v="4"/>
    <n v="30"/>
    <s v="Electronics"/>
    <s v="Conditioner"/>
    <x v="3"/>
    <x v="0"/>
    <n v="897.48"/>
    <s v="Misaligned"/>
    <x v="1"/>
    <s v="High Value Tier"/>
    <x v="3"/>
  </r>
  <r>
    <s v="ORD5144"/>
    <s v="CUST1144"/>
    <n v="46"/>
    <s v="PROD344"/>
    <x v="3"/>
    <x v="137"/>
    <s v="6/26/2024"/>
    <n v="3"/>
    <x v="0"/>
    <s v="8/19/2025"/>
    <s v=" $283.60 "/>
    <n v="7"/>
    <n v="18"/>
    <s v="Electronics"/>
    <s v="Dress"/>
    <x v="2"/>
    <x v="0"/>
    <n v="1985.2"/>
    <s v="Misaligned"/>
    <x v="0"/>
    <s v="High Value Tier"/>
    <x v="0"/>
  </r>
  <r>
    <s v="ORD5145"/>
    <s v="CUST1145"/>
    <n v="48"/>
    <s v="PROD345"/>
    <x v="4"/>
    <x v="138"/>
    <d v="2024-05-09T00:00:00"/>
    <n v="2"/>
    <x v="1"/>
    <d v="2023-06-07T00:00:00"/>
    <s v=" $167.00 "/>
    <n v="9"/>
    <n v="23"/>
    <s v="Clothing"/>
    <s v="Skirt"/>
    <x v="2"/>
    <x v="1"/>
    <n v="1503"/>
    <s v="Aligned"/>
    <x v="0"/>
    <s v="High Value Tier"/>
    <x v="0"/>
  </r>
  <r>
    <s v="ORD5146"/>
    <s v="CUST1146"/>
    <n v="47"/>
    <s v="PROD346"/>
    <x v="1"/>
    <x v="139"/>
    <s v="10/30/2023"/>
    <n v="1"/>
    <x v="0"/>
    <s v="1/25/2023"/>
    <s v=" $121.06 "/>
    <n v="6"/>
    <n v="24"/>
    <s v="Beauty"/>
    <s v="Jeans"/>
    <x v="2"/>
    <x v="0"/>
    <n v="726.36"/>
    <s v="Misaligned"/>
    <x v="0"/>
    <s v="High Value Tier"/>
    <x v="0"/>
  </r>
  <r>
    <s v="ORD5147"/>
    <s v="CUST1147"/>
    <n v="26"/>
    <s v="PROD347"/>
    <x v="4"/>
    <x v="140"/>
    <s v="2/28/2025"/>
    <n v="5"/>
    <x v="0"/>
    <s v="7/19/2025"/>
    <s v=" $433.59 "/>
    <n v="3"/>
    <n v="28"/>
    <s v="Beauty"/>
    <s v="Headphones"/>
    <x v="4"/>
    <x v="2"/>
    <n v="1300.77"/>
    <s v="Misaligned"/>
    <x v="2"/>
    <s v="High Value Tier"/>
    <x v="3"/>
  </r>
  <r>
    <s v="ORD5148"/>
    <s v="CUST1148"/>
    <n v="20"/>
    <s v="PROD348"/>
    <x v="3"/>
    <x v="141"/>
    <s v="7/25/2024"/>
    <n v="1"/>
    <x v="0"/>
    <s v="2/16/2025"/>
    <s v=" $230.28 "/>
    <n v="5"/>
    <n v="17"/>
    <s v="Beauty"/>
    <s v="Lamp"/>
    <x v="1"/>
    <x v="1"/>
    <n v="1151.4000000000001"/>
    <s v="Misaligned"/>
    <x v="3"/>
    <s v="High Value Tier"/>
    <x v="0"/>
  </r>
  <r>
    <s v="ORD5149"/>
    <s v="CUST1149"/>
    <n v="51"/>
    <s v="PROD349"/>
    <x v="4"/>
    <x v="79"/>
    <d v="2024-05-02T00:00:00"/>
    <n v="2"/>
    <x v="1"/>
    <s v="1/24/2024"/>
    <s v=" $8.24 "/>
    <n v="6"/>
    <n v="37"/>
    <s v="Clothing"/>
    <s v="Nail Polish"/>
    <x v="3"/>
    <x v="1"/>
    <n v="49.44"/>
    <s v="Misaligned"/>
    <x v="1"/>
    <s v="Core Tier"/>
    <x v="0"/>
  </r>
  <r>
    <s v="ORD5150"/>
    <s v="CUST1150"/>
    <n v="20"/>
    <s v="PROD350"/>
    <x v="4"/>
    <x v="142"/>
    <d v="2022-07-10T00:00:00"/>
    <n v="3"/>
    <x v="1"/>
    <d v="2024-05-05T00:00:00"/>
    <s v=" $634.46 "/>
    <n v="3"/>
    <n v="40"/>
    <s v="Clothing"/>
    <s v="Shirt"/>
    <x v="2"/>
    <x v="1"/>
    <n v="1903.38"/>
    <s v="Aligned"/>
    <x v="3"/>
    <s v="High Value Tier"/>
    <x v="0"/>
  </r>
  <r>
    <s v="ORD5151"/>
    <s v="CUST1151"/>
    <n v="49"/>
    <s v="PROD351"/>
    <x v="1"/>
    <x v="143"/>
    <d v="2022-01-05T00:00:00"/>
    <n v="3"/>
    <x v="0"/>
    <s v="5/16/2021"/>
    <s v=" $156.77 "/>
    <n v="8"/>
    <n v="40"/>
    <s v="Sports"/>
    <s v="Nail Polish"/>
    <x v="3"/>
    <x v="0"/>
    <n v="1254.1600000000001"/>
    <s v="Misaligned"/>
    <x v="0"/>
    <s v="High Value Tier"/>
    <x v="0"/>
  </r>
  <r>
    <s v="ORD5152"/>
    <s v="CUST1152"/>
    <n v="27"/>
    <s v="PROD352"/>
    <x v="2"/>
    <x v="144"/>
    <s v="1/18/2023"/>
    <n v="5"/>
    <x v="0"/>
    <s v="1/25/2024"/>
    <s v=" $172.17 "/>
    <n v="7"/>
    <n v="41"/>
    <s v="Home"/>
    <s v="Microwave"/>
    <x v="1"/>
    <x v="0"/>
    <n v="1205.19"/>
    <s v="Aligned"/>
    <x v="2"/>
    <s v="High Value Tier"/>
    <x v="3"/>
  </r>
  <r>
    <s v="ORD5153"/>
    <s v="CUST1153"/>
    <n v="52"/>
    <s v="PROD353"/>
    <x v="3"/>
    <x v="100"/>
    <d v="2024-08-07T00:00:00"/>
    <n v="2"/>
    <x v="0"/>
    <s v="9/15/2022"/>
    <s v=" $1,308.29 "/>
    <n v="1"/>
    <n v="18"/>
    <s v="Clothing"/>
    <s v="Jacket"/>
    <x v="2"/>
    <x v="0"/>
    <n v="1308.29"/>
    <s v="Aligned"/>
    <x v="1"/>
    <s v="High Value Tier"/>
    <x v="0"/>
  </r>
  <r>
    <s v="ORD5154"/>
    <s v="CUST1154"/>
    <n v="24"/>
    <s v="PROD354"/>
    <x v="5"/>
    <x v="145"/>
    <s v="12/20/2024"/>
    <n v="1"/>
    <x v="1"/>
    <s v="3/17/2021"/>
    <s v=" $773.00 "/>
    <n v="2"/>
    <n v="42"/>
    <s v="Home"/>
    <s v="Face Wash"/>
    <x v="3"/>
    <x v="2"/>
    <n v="1546"/>
    <s v="Misaligned"/>
    <x v="3"/>
    <s v="High Value Tier"/>
    <x v="0"/>
  </r>
  <r>
    <s v="ORD5155"/>
    <s v="CUST1155"/>
    <n v="54"/>
    <s v="PROD355"/>
    <x v="5"/>
    <x v="146"/>
    <s v="1/30/2025"/>
    <n v="1"/>
    <x v="1"/>
    <s v="7/28/2023"/>
    <s v=" $37.35 "/>
    <n v="1"/>
    <n v="7"/>
    <s v="Home"/>
    <s v="Sneakers"/>
    <x v="2"/>
    <x v="0"/>
    <n v="37.35"/>
    <s v="Misaligned"/>
    <x v="1"/>
    <s v="Value Tier"/>
    <x v="0"/>
  </r>
  <r>
    <s v="ORD5156"/>
    <s v="CUST1156"/>
    <n v="42"/>
    <s v="PROD356"/>
    <x v="2"/>
    <x v="147"/>
    <d v="2024-12-08T00:00:00"/>
    <n v="0"/>
    <x v="0"/>
    <s v="9/18/2022"/>
    <s v=" $210.51 "/>
    <n v="2"/>
    <n v="1"/>
    <s v="Home"/>
    <s v="Jacket"/>
    <x v="2"/>
    <x v="1"/>
    <n v="421.02"/>
    <s v="Misaligned"/>
    <x v="0"/>
    <s v="Value Tier"/>
    <x v="0"/>
  </r>
  <r>
    <s v="ORD5157"/>
    <s v="CUST1157"/>
    <n v="55"/>
    <s v="PROD357"/>
    <x v="0"/>
    <x v="148"/>
    <d v="2024-07-02T00:00:00"/>
    <n v="4"/>
    <x v="1"/>
    <s v="7/29/2022"/>
    <s v=" $184.94 "/>
    <n v="7"/>
    <n v="45"/>
    <s v="Home"/>
    <s v="Hoodie"/>
    <x v="2"/>
    <x v="1"/>
    <n v="1294.58"/>
    <s v="Misaligned"/>
    <x v="1"/>
    <s v="High Value Tier"/>
    <x v="0"/>
  </r>
  <r>
    <s v="ORD5158"/>
    <s v="CUST1158"/>
    <n v="35"/>
    <s v="PROD358"/>
    <x v="2"/>
    <x v="149"/>
    <s v="10/14/2021"/>
    <n v="4"/>
    <x v="0"/>
    <d v="2021-09-04T00:00:00"/>
    <s v=" $34.88 "/>
    <n v="5"/>
    <n v="24"/>
    <s v="Beauty"/>
    <s v="Lamp"/>
    <x v="1"/>
    <x v="0"/>
    <n v="174.4"/>
    <s v="Misaligned"/>
    <x v="0"/>
    <s v="High Value Tier"/>
    <x v="3"/>
  </r>
  <r>
    <s v="ORD5159"/>
    <s v="CUST1159"/>
    <n v="31"/>
    <s v="PROD359"/>
    <x v="2"/>
    <x v="54"/>
    <d v="2024-09-08T00:00:00"/>
    <n v="3"/>
    <x v="0"/>
    <s v="5/17/2024"/>
    <s v=" $23.82 "/>
    <n v="9"/>
    <n v="1"/>
    <s v="Clothing"/>
    <s v="Foundation"/>
    <x v="3"/>
    <x v="1"/>
    <n v="214.38"/>
    <s v="Misaligned"/>
    <x v="2"/>
    <s v="Value Tier"/>
    <x v="0"/>
  </r>
  <r>
    <s v="ORD5160"/>
    <s v="CUST1160"/>
    <n v="21"/>
    <s v="PROD360"/>
    <x v="4"/>
    <x v="150"/>
    <d v="2022-02-11T00:00:00"/>
    <n v="1"/>
    <x v="0"/>
    <d v="2022-07-08T00:00:00"/>
    <s v=" $241.30 "/>
    <n v="6"/>
    <n v="21"/>
    <s v="Clothing"/>
    <s v="Yoga Mat"/>
    <x v="0"/>
    <x v="1"/>
    <n v="1447.8"/>
    <s v="Misaligned"/>
    <x v="3"/>
    <s v="High Value Tier"/>
    <x v="0"/>
  </r>
  <r>
    <s v="ORD5161"/>
    <s v="CUST1161"/>
    <n v="65"/>
    <s v="PROD361"/>
    <x v="0"/>
    <x v="151"/>
    <s v="8/13/2022"/>
    <n v="5"/>
    <x v="0"/>
    <s v="7/27/2025"/>
    <s v=" $292.25 "/>
    <n v="3"/>
    <n v="24"/>
    <s v="Beauty"/>
    <s v="Tennis Racket"/>
    <x v="0"/>
    <x v="0"/>
    <n v="876.75"/>
    <s v="Misaligned"/>
    <x v="4"/>
    <s v="High Value Tier"/>
    <x v="3"/>
  </r>
  <r>
    <s v="ORD5162"/>
    <s v="CUST1162"/>
    <n v="30"/>
    <s v="PROD362"/>
    <x v="0"/>
    <x v="152"/>
    <s v="9/30/2023"/>
    <n v="4"/>
    <x v="1"/>
    <d v="2022-04-03T00:00:00"/>
    <s v=" $139.58 "/>
    <n v="6"/>
    <n v="44"/>
    <s v="Clothing"/>
    <s v="Blender"/>
    <x v="1"/>
    <x v="0"/>
    <n v="837.48"/>
    <s v="Misaligned"/>
    <x v="2"/>
    <s v="High Value Tier"/>
    <x v="0"/>
  </r>
  <r>
    <s v="ORD5163"/>
    <s v="CUST1163"/>
    <n v="38"/>
    <s v="PROD363"/>
    <x v="2"/>
    <x v="153"/>
    <s v="12/21/2024"/>
    <n v="4"/>
    <x v="1"/>
    <s v="10/16/2023"/>
    <s v=" $400.08 "/>
    <n v="4"/>
    <n v="38"/>
    <s v="Clothing"/>
    <s v="Running Shoes"/>
    <x v="0"/>
    <x v="0"/>
    <n v="1600.32"/>
    <s v="Misaligned"/>
    <x v="0"/>
    <s v="High Value Tier"/>
    <x v="0"/>
  </r>
  <r>
    <s v="ORD5164"/>
    <s v="CUST1164"/>
    <n v="64"/>
    <s v="PROD364"/>
    <x v="4"/>
    <x v="154"/>
    <s v="3/14/2023"/>
    <n v="3"/>
    <x v="2"/>
    <d v="2023-01-08T00:00:00"/>
    <s v=" $901.20 "/>
    <n v="2"/>
    <n v="34"/>
    <s v="Electronics"/>
    <s v="Vacuum Cleaner"/>
    <x v="1"/>
    <x v="1"/>
    <n v="1802.4"/>
    <s v="Misaligned"/>
    <x v="1"/>
    <s v="High Value Tier"/>
    <x v="1"/>
  </r>
  <r>
    <s v="ORD5165"/>
    <s v="CUST1165"/>
    <n v="45"/>
    <s v="PROD365"/>
    <x v="4"/>
    <x v="155"/>
    <d v="2024-10-08T00:00:00"/>
    <n v="5"/>
    <x v="0"/>
    <d v="2025-11-06T00:00:00"/>
    <s v=" $597.67 "/>
    <n v="3"/>
    <n v="9"/>
    <s v="Electronics"/>
    <s v="Blender"/>
    <x v="1"/>
    <x v="1"/>
    <n v="1793.01"/>
    <s v="Misaligned"/>
    <x v="0"/>
    <s v="High Value Tier"/>
    <x v="3"/>
  </r>
  <r>
    <s v="ORD5166"/>
    <s v="CUST1166"/>
    <n v="41"/>
    <s v="PROD366"/>
    <x v="5"/>
    <x v="156"/>
    <s v="11/23/2024"/>
    <n v="2"/>
    <x v="1"/>
    <d v="2023-04-02T00:00:00"/>
    <s v=" $77.76 "/>
    <n v="3"/>
    <n v="3"/>
    <s v="Electronics"/>
    <s v="Running Shoes"/>
    <x v="0"/>
    <x v="1"/>
    <n v="233.28"/>
    <s v="Misaligned"/>
    <x v="0"/>
    <s v="Value Tier"/>
    <x v="0"/>
  </r>
  <r>
    <s v="ORD5167"/>
    <s v="CUST1167"/>
    <n v="38"/>
    <s v="PROD367"/>
    <x v="2"/>
    <x v="157"/>
    <s v="6/13/2023"/>
    <n v="1"/>
    <x v="1"/>
    <d v="2022-02-12T00:00:00"/>
    <s v=" $15.80 "/>
    <n v="6"/>
    <n v="8"/>
    <s v="Home"/>
    <s v="Cricket Bat"/>
    <x v="0"/>
    <x v="1"/>
    <n v="94.8"/>
    <s v="Misaligned"/>
    <x v="0"/>
    <s v="Core Tier"/>
    <x v="0"/>
  </r>
  <r>
    <s v="ORD5168"/>
    <s v="CUST1168"/>
    <n v="62"/>
    <s v="PROD368"/>
    <x v="4"/>
    <x v="158"/>
    <d v="2023-04-01T00:00:00"/>
    <n v="2"/>
    <x v="0"/>
    <d v="2023-09-08T00:00:00"/>
    <s v=" $151.98 "/>
    <n v="5"/>
    <n v="36"/>
    <s v="Home"/>
    <s v="Running Shoes"/>
    <x v="0"/>
    <x v="2"/>
    <n v="759.9"/>
    <s v="Misaligned"/>
    <x v="1"/>
    <s v="High Value Tier"/>
    <x v="0"/>
  </r>
  <r>
    <s v="ORD5169"/>
    <s v="CUST1169"/>
    <n v="47"/>
    <s v="PROD369"/>
    <x v="3"/>
    <x v="130"/>
    <s v="10/28/2022"/>
    <n v="5"/>
    <x v="0"/>
    <s v="5/16/2021"/>
    <s v=" $35.32 "/>
    <n v="6"/>
    <n v="49"/>
    <s v="Sports"/>
    <s v="Shirt"/>
    <x v="2"/>
    <x v="1"/>
    <n v="211.92"/>
    <s v="Misaligned"/>
    <x v="0"/>
    <s v="High Value Tier"/>
    <x v="3"/>
  </r>
  <r>
    <s v="ORD5170"/>
    <s v="CUST1170"/>
    <n v="65"/>
    <s v="PROD370"/>
    <x v="5"/>
    <x v="159"/>
    <d v="2024-01-05T00:00:00"/>
    <n v="5"/>
    <x v="0"/>
    <s v="2/27/2025"/>
    <s v=" $161.03 "/>
    <n v="9"/>
    <n v="47"/>
    <s v="Electronics"/>
    <s v="Basketball"/>
    <x v="0"/>
    <x v="0"/>
    <n v="1449.27"/>
    <s v="Misaligned"/>
    <x v="4"/>
    <s v="High Value Tier"/>
    <x v="3"/>
  </r>
  <r>
    <s v="ORD5171"/>
    <s v="CUST1171"/>
    <n v="36"/>
    <s v="PROD371"/>
    <x v="5"/>
    <x v="160"/>
    <d v="2024-12-06T00:00:00"/>
    <n v="1"/>
    <x v="1"/>
    <s v="9/17/2022"/>
    <s v=" $621.17 "/>
    <n v="2"/>
    <n v="2"/>
    <s v="Home"/>
    <s v="Sneakers"/>
    <x v="2"/>
    <x v="0"/>
    <n v="1242.3399999999999"/>
    <s v="Misaligned"/>
    <x v="0"/>
    <s v="Core Tier"/>
    <x v="0"/>
  </r>
  <r>
    <s v="ORD5172"/>
    <s v="CUST1172"/>
    <n v="64"/>
    <s v="PROD372"/>
    <x v="0"/>
    <x v="161"/>
    <s v="4/15/2023"/>
    <n v="0"/>
    <x v="1"/>
    <s v="2/28/2024"/>
    <s v=" $261.65 "/>
    <n v="5"/>
    <n v="28"/>
    <s v="Sports"/>
    <s v="Skirt"/>
    <x v="2"/>
    <x v="0"/>
    <n v="1308.25"/>
    <s v="Misaligned"/>
    <x v="1"/>
    <s v="High Value Tier"/>
    <x v="0"/>
  </r>
  <r>
    <s v="ORD5173"/>
    <s v="CUST1173"/>
    <n v="38"/>
    <s v="PROD373"/>
    <x v="2"/>
    <x v="162"/>
    <d v="2024-02-12T00:00:00"/>
    <n v="5"/>
    <x v="1"/>
    <d v="2025-11-05T00:00:00"/>
    <s v=" $332.86 "/>
    <n v="5"/>
    <n v="42"/>
    <s v="Beauty"/>
    <s v="Lamp"/>
    <x v="1"/>
    <x v="1"/>
    <n v="1664.3"/>
    <s v="Misaligned"/>
    <x v="0"/>
    <s v="High Value Tier"/>
    <x v="0"/>
  </r>
  <r>
    <s v="ORD5174"/>
    <s v="CUST1174"/>
    <n v="51"/>
    <s v="PROD374"/>
    <x v="4"/>
    <x v="163"/>
    <s v="11/15/2024"/>
    <n v="4"/>
    <x v="0"/>
    <d v="2025-09-05T00:00:00"/>
    <s v=" $68.45 "/>
    <n v="3"/>
    <n v="39"/>
    <s v="Beauty"/>
    <s v="Shampoo"/>
    <x v="3"/>
    <x v="1"/>
    <n v="205.35"/>
    <s v="Aligned"/>
    <x v="1"/>
    <s v="High Value Tier"/>
    <x v="3"/>
  </r>
  <r>
    <s v="ORD5175"/>
    <s v="CUST1175"/>
    <n v="62"/>
    <s v="PROD375"/>
    <x v="2"/>
    <x v="94"/>
    <s v="2/19/2024"/>
    <n v="5"/>
    <x v="0"/>
    <s v="9/20/2024"/>
    <s v=" $274.96 "/>
    <n v="4"/>
    <n v="26"/>
    <s v="Sports"/>
    <s v="Smartphone"/>
    <x v="4"/>
    <x v="1"/>
    <n v="1099.8399999999999"/>
    <s v="Misaligned"/>
    <x v="1"/>
    <s v="High Value Tier"/>
    <x v="3"/>
  </r>
  <r>
    <s v="ORD5176"/>
    <s v="CUST1176"/>
    <n v="20"/>
    <s v="PROD376"/>
    <x v="2"/>
    <x v="164"/>
    <s v="7/13/2024"/>
    <n v="3"/>
    <x v="1"/>
    <s v="9/29/2024"/>
    <s v=" $859.40 "/>
    <n v="2"/>
    <n v="17"/>
    <s v="Sports"/>
    <s v="Bluetooth Speaker"/>
    <x v="4"/>
    <x v="1"/>
    <n v="1718.8"/>
    <s v="Misaligned"/>
    <x v="3"/>
    <s v="High Value Tier"/>
    <x v="0"/>
  </r>
  <r>
    <s v="ORD5177"/>
    <s v="CUST1177"/>
    <n v="21"/>
    <s v="PROD377"/>
    <x v="0"/>
    <x v="165"/>
    <d v="2022-04-11T00:00:00"/>
    <n v="4"/>
    <x v="2"/>
    <s v="10/28/2022"/>
    <s v=" $103.64 "/>
    <n v="9"/>
    <n v="34"/>
    <s v="Sports"/>
    <s v="Cricket Bat"/>
    <x v="0"/>
    <x v="0"/>
    <n v="932.76"/>
    <s v="Aligned"/>
    <x v="3"/>
    <s v="High Value Tier"/>
    <x v="1"/>
  </r>
  <r>
    <s v="ORD5178"/>
    <s v="CUST1178"/>
    <n v="45"/>
    <s v="PROD378"/>
    <x v="0"/>
    <x v="166"/>
    <s v="7/19/2022"/>
    <n v="3"/>
    <x v="1"/>
    <d v="2023-06-09T00:00:00"/>
    <s v=" $993.48 "/>
    <n v="2"/>
    <n v="18"/>
    <s v="Beauty"/>
    <s v="Perfume"/>
    <x v="3"/>
    <x v="0"/>
    <n v="1986.96"/>
    <s v="Aligned"/>
    <x v="0"/>
    <s v="High Value Tier"/>
    <x v="0"/>
  </r>
  <r>
    <s v="ORD5179"/>
    <s v="CUST1179"/>
    <n v="48"/>
    <s v="PROD379"/>
    <x v="4"/>
    <x v="167"/>
    <d v="2021-06-10T00:00:00"/>
    <n v="2"/>
    <x v="0"/>
    <d v="2022-10-04T00:00:00"/>
    <s v=" $348.34 "/>
    <n v="2"/>
    <n v="15"/>
    <s v="Sports"/>
    <s v="Lipstick"/>
    <x v="3"/>
    <x v="1"/>
    <n v="696.68"/>
    <s v="Misaligned"/>
    <x v="0"/>
    <s v="High Value Tier"/>
    <x v="0"/>
  </r>
  <r>
    <s v="ORD5180"/>
    <s v="CUST1180"/>
    <n v="48"/>
    <s v="PROD380"/>
    <x v="2"/>
    <x v="6"/>
    <d v="2024-01-05T00:00:00"/>
    <n v="0"/>
    <x v="0"/>
    <s v="7/18/2025"/>
    <s v=" $18.70 "/>
    <n v="6"/>
    <n v="33"/>
    <s v="Beauty"/>
    <s v="Microwave"/>
    <x v="1"/>
    <x v="1"/>
    <n v="112.2"/>
    <s v="Misaligned"/>
    <x v="0"/>
    <s v="High Value Tier"/>
    <x v="0"/>
  </r>
  <r>
    <s v="ORD5181"/>
    <s v="CUST1181"/>
    <n v="33"/>
    <s v="PROD381"/>
    <x v="2"/>
    <x v="46"/>
    <s v="4/17/2024"/>
    <n v="3"/>
    <x v="1"/>
    <d v="2025-11-05T00:00:00"/>
    <s v=" $1,543.22 "/>
    <n v="1"/>
    <n v="42"/>
    <s v="Sports"/>
    <s v="T-Shirt"/>
    <x v="2"/>
    <x v="1"/>
    <n v="1543.22"/>
    <s v="Misaligned"/>
    <x v="2"/>
    <s v="High Value Tier"/>
    <x v="0"/>
  </r>
  <r>
    <s v="ORD5182"/>
    <s v="CUST1182"/>
    <n v="37"/>
    <s v="PROD382"/>
    <x v="3"/>
    <x v="168"/>
    <s v="7/28/2025"/>
    <n v="0"/>
    <x v="0"/>
    <s v="4/21/2024"/>
    <s v=" $183.20 "/>
    <n v="8"/>
    <n v="5"/>
    <s v="Beauty"/>
    <s v="Headphones"/>
    <x v="4"/>
    <x v="1"/>
    <n v="1465.6"/>
    <s v="Misaligned"/>
    <x v="0"/>
    <s v="High Value Tier"/>
    <x v="0"/>
  </r>
  <r>
    <s v="ORD5183"/>
    <s v="CUST1183"/>
    <n v="59"/>
    <s v="PROD383"/>
    <x v="0"/>
    <x v="30"/>
    <s v="10/14/2022"/>
    <n v="2"/>
    <x v="0"/>
    <s v="8/17/2024"/>
    <s v=" $215.88 "/>
    <n v="8"/>
    <n v="23"/>
    <s v="Clothing"/>
    <s v="Smartwatch"/>
    <x v="4"/>
    <x v="1"/>
    <n v="1727.04"/>
    <s v="Misaligned"/>
    <x v="1"/>
    <s v="High Value Tier"/>
    <x v="0"/>
  </r>
  <r>
    <s v="ORD5184"/>
    <s v="CUST1184"/>
    <n v="37"/>
    <s v="PROD384"/>
    <x v="1"/>
    <x v="169"/>
    <d v="2025-07-03T00:00:00"/>
    <n v="3"/>
    <x v="0"/>
    <s v="10/31/2024"/>
    <s v=" $1,071.13 "/>
    <n v="1"/>
    <n v="33"/>
    <s v="Electronics"/>
    <s v="Running Shoes"/>
    <x v="0"/>
    <x v="1"/>
    <n v="1071.1300000000001"/>
    <s v="Misaligned"/>
    <x v="0"/>
    <s v="High Value Tier"/>
    <x v="0"/>
  </r>
  <r>
    <s v="ORD5185"/>
    <s v="CUST1185"/>
    <n v="47"/>
    <s v="PROD385"/>
    <x v="0"/>
    <x v="170"/>
    <s v="2/17/2025"/>
    <n v="2"/>
    <x v="0"/>
    <s v="2/28/2025"/>
    <s v=" $22.07 "/>
    <n v="9"/>
    <n v="9"/>
    <s v="Home"/>
    <s v="Cricket Bat"/>
    <x v="0"/>
    <x v="0"/>
    <n v="198.63"/>
    <s v="Misaligned"/>
    <x v="0"/>
    <s v="Core Tier"/>
    <x v="0"/>
  </r>
  <r>
    <s v="ORD5186"/>
    <s v="CUST1186"/>
    <n v="62"/>
    <s v="PROD386"/>
    <x v="0"/>
    <x v="171"/>
    <d v="2025-12-07T00:00:00"/>
    <n v="5"/>
    <x v="0"/>
    <s v="10/14/2022"/>
    <s v=" $200.21 "/>
    <n v="4"/>
    <n v="10"/>
    <s v="Beauty"/>
    <s v="Jacket"/>
    <x v="2"/>
    <x v="0"/>
    <n v="800.84"/>
    <s v="Misaligned"/>
    <x v="1"/>
    <s v="High Value Tier"/>
    <x v="3"/>
  </r>
  <r>
    <s v="ORD5187"/>
    <s v="CUST1187"/>
    <n v="26"/>
    <s v="PROD387"/>
    <x v="3"/>
    <x v="172"/>
    <s v="3/24/2025"/>
    <n v="1"/>
    <x v="1"/>
    <s v="4/14/2025"/>
    <s v=" $678.67 "/>
    <n v="2"/>
    <n v="39"/>
    <s v="Home"/>
    <s v="Tennis Racket"/>
    <x v="0"/>
    <x v="0"/>
    <n v="1357.34"/>
    <s v="Misaligned"/>
    <x v="2"/>
    <s v="High Value Tier"/>
    <x v="0"/>
  </r>
  <r>
    <s v="ORD5188"/>
    <s v="CUST1188"/>
    <n v="20"/>
    <s v="PROD388"/>
    <x v="2"/>
    <x v="173"/>
    <d v="2024-10-10T00:00:00"/>
    <n v="0"/>
    <x v="0"/>
    <s v="9/14/2024"/>
    <s v=" $689.37 "/>
    <n v="2"/>
    <n v="34"/>
    <s v="Beauty"/>
    <s v="Microwave"/>
    <x v="1"/>
    <x v="0"/>
    <n v="1378.74"/>
    <s v="Misaligned"/>
    <x v="3"/>
    <s v="High Value Tier"/>
    <x v="0"/>
  </r>
  <r>
    <s v="ORD5189"/>
    <s v="CUST1189"/>
    <n v="40"/>
    <s v="PROD389"/>
    <x v="4"/>
    <x v="174"/>
    <s v="2/26/2023"/>
    <n v="5"/>
    <x v="0"/>
    <d v="2025-04-08T00:00:00"/>
    <s v=" $180.98 "/>
    <n v="6"/>
    <n v="40"/>
    <s v="Electronics"/>
    <s v="Skirt"/>
    <x v="2"/>
    <x v="1"/>
    <n v="1085.8800000000001"/>
    <s v="Misaligned"/>
    <x v="0"/>
    <s v="High Value Tier"/>
    <x v="3"/>
  </r>
  <r>
    <s v="ORD5190"/>
    <s v="CUST1190"/>
    <n v="49"/>
    <s v="PROD390"/>
    <x v="2"/>
    <x v="175"/>
    <d v="2023-02-01T00:00:00"/>
    <n v="4"/>
    <x v="1"/>
    <d v="2025-04-06T00:00:00"/>
    <s v=" $148.34 "/>
    <n v="5"/>
    <n v="7"/>
    <s v="Electronics"/>
    <s v="Camera"/>
    <x v="4"/>
    <x v="0"/>
    <n v="741.7"/>
    <s v="Aligned"/>
    <x v="0"/>
    <s v="High Value Tier"/>
    <x v="0"/>
  </r>
  <r>
    <s v="ORD5191"/>
    <s v="CUST1191"/>
    <n v="33"/>
    <s v="PROD391"/>
    <x v="5"/>
    <x v="176"/>
    <s v="10/25/2022"/>
    <n v="4"/>
    <x v="1"/>
    <d v="2022-02-05T00:00:00"/>
    <s v=" $127.83 "/>
    <n v="7"/>
    <n v="9"/>
    <s v="Electronics"/>
    <s v="Bluetooth Speaker"/>
    <x v="4"/>
    <x v="1"/>
    <n v="894.81"/>
    <s v="Aligned"/>
    <x v="2"/>
    <s v="High Value Tier"/>
    <x v="0"/>
  </r>
  <r>
    <s v="ORD5192"/>
    <s v="CUST1192"/>
    <n v="54"/>
    <s v="PROD392"/>
    <x v="2"/>
    <x v="80"/>
    <s v="2/14/2024"/>
    <n v="2"/>
    <x v="0"/>
    <d v="2025-02-01T00:00:00"/>
    <s v=" $187.02 "/>
    <n v="8"/>
    <n v="29"/>
    <s v="Clothing"/>
    <s v="Lipstick"/>
    <x v="3"/>
    <x v="2"/>
    <n v="1496.16"/>
    <s v="Misaligned"/>
    <x v="1"/>
    <s v="High Value Tier"/>
    <x v="0"/>
  </r>
  <r>
    <s v="ORD5193"/>
    <s v="CUST1193"/>
    <n v="28"/>
    <s v="PROD393"/>
    <x v="0"/>
    <x v="177"/>
    <d v="2023-02-06T00:00:00"/>
    <n v="5"/>
    <x v="0"/>
    <d v="2024-07-05T00:00:00"/>
    <s v=" $175.71 "/>
    <n v="7"/>
    <n v="26"/>
    <s v="Home"/>
    <s v="T-Shirt"/>
    <x v="2"/>
    <x v="1"/>
    <n v="1229.97"/>
    <s v="Misaligned"/>
    <x v="2"/>
    <s v="High Value Tier"/>
    <x v="3"/>
  </r>
  <r>
    <s v="ORD5194"/>
    <s v="CUST1194"/>
    <n v="36"/>
    <s v="PROD394"/>
    <x v="0"/>
    <x v="178"/>
    <s v="2/18/2022"/>
    <n v="2"/>
    <x v="1"/>
    <d v="2021-01-07T00:00:00"/>
    <s v=" $39.74 "/>
    <n v="9"/>
    <n v="10"/>
    <s v="Home"/>
    <s v="Conditioner"/>
    <x v="3"/>
    <x v="0"/>
    <n v="357.66"/>
    <s v="Misaligned"/>
    <x v="0"/>
    <s v="High Value Tier"/>
    <x v="0"/>
  </r>
  <r>
    <s v="ORD5195"/>
    <s v="CUST1195"/>
    <n v="57"/>
    <s v="PROD395"/>
    <x v="3"/>
    <x v="179"/>
    <s v="8/21/2024"/>
    <n v="0"/>
    <x v="0"/>
    <s v="1/14/2025"/>
    <s v=" $199.73 "/>
    <n v="6"/>
    <n v="46"/>
    <s v="Electronics"/>
    <s v="Dumbbells"/>
    <x v="0"/>
    <x v="1"/>
    <n v="1198.3800000000001"/>
    <s v="Misaligned"/>
    <x v="1"/>
    <s v="High Value Tier"/>
    <x v="0"/>
  </r>
  <r>
    <s v="ORD5196"/>
    <s v="CUST1196"/>
    <n v="36"/>
    <s v="PROD396"/>
    <x v="3"/>
    <x v="180"/>
    <s v="12/19/2022"/>
    <n v="3"/>
    <x v="0"/>
    <s v="5/22/2022"/>
    <s v=" $30.76 "/>
    <n v="9"/>
    <n v="49"/>
    <s v="Beauty"/>
    <s v="Jeans"/>
    <x v="2"/>
    <x v="1"/>
    <n v="276.83999999999997"/>
    <s v="Misaligned"/>
    <x v="0"/>
    <s v="High Value Tier"/>
    <x v="0"/>
  </r>
  <r>
    <s v="ORD5197"/>
    <s v="CUST1197"/>
    <n v="34"/>
    <s v="PROD397"/>
    <x v="1"/>
    <x v="101"/>
    <d v="2023-03-03T00:00:00"/>
    <n v="2"/>
    <x v="0"/>
    <s v="3/20/2023"/>
    <s v=" $429.25 "/>
    <n v="4"/>
    <n v="45"/>
    <s v="Electronics"/>
    <s v="Headphones"/>
    <x v="4"/>
    <x v="1"/>
    <n v="1717"/>
    <s v="Aligned"/>
    <x v="2"/>
    <s v="High Value Tier"/>
    <x v="0"/>
  </r>
  <r>
    <s v="ORD5198"/>
    <s v="CUST1198"/>
    <n v="39"/>
    <s v="PROD398"/>
    <x v="1"/>
    <x v="181"/>
    <d v="2024-06-03T00:00:00"/>
    <n v="4"/>
    <x v="1"/>
    <s v="11/20/2022"/>
    <s v=" $122.72 "/>
    <n v="9"/>
    <n v="35"/>
    <s v="Electronics"/>
    <s v="Shirt"/>
    <x v="2"/>
    <x v="0"/>
    <n v="1104.48"/>
    <s v="Misaligned"/>
    <x v="0"/>
    <s v="High Value Tier"/>
    <x v="0"/>
  </r>
  <r>
    <s v="ORD5199"/>
    <s v="CUST1199"/>
    <n v="32"/>
    <s v="PROD399"/>
    <x v="2"/>
    <x v="182"/>
    <s v="3/29/2023"/>
    <n v="4"/>
    <x v="0"/>
    <d v="2024-05-05T00:00:00"/>
    <s v=" $504.16 "/>
    <n v="3"/>
    <n v="43"/>
    <s v="Electronics"/>
    <s v="Hoodie"/>
    <x v="2"/>
    <x v="1"/>
    <n v="1512.48"/>
    <s v="Misaligned"/>
    <x v="2"/>
    <s v="High Value Tier"/>
    <x v="3"/>
  </r>
  <r>
    <s v="ORD5200"/>
    <s v="CUST1200"/>
    <n v="69"/>
    <s v="PROD400"/>
    <x v="4"/>
    <x v="35"/>
    <s v="9/19/2023"/>
    <n v="2"/>
    <x v="1"/>
    <d v="2021-09-09T00:00:00"/>
    <s v=" $483.12 "/>
    <n v="4"/>
    <n v="23"/>
    <s v="Sports"/>
    <s v="Shampoo"/>
    <x v="3"/>
    <x v="0"/>
    <n v="1932.48"/>
    <s v="Misaligned"/>
    <x v="4"/>
    <s v="High Value Tier"/>
    <x v="0"/>
  </r>
  <r>
    <s v="ORD5201"/>
    <s v="CUST1201"/>
    <n v="61"/>
    <s v="PROD401"/>
    <x v="3"/>
    <x v="183"/>
    <d v="2025-02-06T00:00:00"/>
    <n v="0"/>
    <x v="1"/>
    <s v="4/21/2023"/>
    <s v=" $138.92 "/>
    <n v="6"/>
    <n v="47"/>
    <s v="Electronics"/>
    <s v="Shirt"/>
    <x v="2"/>
    <x v="1"/>
    <n v="833.52"/>
    <s v="Misaligned"/>
    <x v="1"/>
    <s v="High Value Tier"/>
    <x v="0"/>
  </r>
  <r>
    <s v="ORD5202"/>
    <s v="CUST1202"/>
    <n v="68"/>
    <s v="PROD402"/>
    <x v="5"/>
    <x v="184"/>
    <s v="12/27/2022"/>
    <n v="4"/>
    <x v="0"/>
    <s v="4/17/2025"/>
    <s v=" $299.78 "/>
    <n v="6"/>
    <n v="13"/>
    <s v="Home"/>
    <s v="Vacuum Cleaner"/>
    <x v="1"/>
    <x v="0"/>
    <n v="1798.68"/>
    <s v="Aligned"/>
    <x v="4"/>
    <s v="High Value Tier"/>
    <x v="3"/>
  </r>
  <r>
    <s v="ORD5203"/>
    <s v="CUST1203"/>
    <n v="61"/>
    <s v="PROD403"/>
    <x v="4"/>
    <x v="185"/>
    <s v="3/15/2023"/>
    <n v="4"/>
    <x v="1"/>
    <d v="2022-04-09T00:00:00"/>
    <s v=" $296.68 "/>
    <n v="6"/>
    <n v="6"/>
    <s v="Clothing"/>
    <s v="Dress"/>
    <x v="2"/>
    <x v="2"/>
    <n v="1780.08"/>
    <s v="Aligned"/>
    <x v="1"/>
    <s v="High Value Tier"/>
    <x v="0"/>
  </r>
  <r>
    <s v="ORD5204"/>
    <s v="CUST1204"/>
    <n v="22"/>
    <s v="PROD404"/>
    <x v="1"/>
    <x v="186"/>
    <s v="10/25/2023"/>
    <n v="0"/>
    <x v="0"/>
    <d v="2024-06-09T00:00:00"/>
    <s v=" $63.16 "/>
    <n v="2"/>
    <n v="13"/>
    <s v="Clothing"/>
    <s v="Bluetooth Speaker"/>
    <x v="4"/>
    <x v="0"/>
    <n v="126.32"/>
    <s v="Misaligned"/>
    <x v="3"/>
    <s v="Core Tier"/>
    <x v="0"/>
  </r>
  <r>
    <s v="ORD5205"/>
    <s v="CUST1205"/>
    <n v="58"/>
    <s v="PROD405"/>
    <x v="3"/>
    <x v="187"/>
    <s v="4/22/2025"/>
    <n v="2"/>
    <x v="1"/>
    <s v="1/30/2024"/>
    <s v=" $1,484.80 "/>
    <n v="1"/>
    <n v="13"/>
    <s v="Clothing"/>
    <s v="Headphones"/>
    <x v="4"/>
    <x v="1"/>
    <n v="1484.8"/>
    <s v="Misaligned"/>
    <x v="1"/>
    <s v="High Value Tier"/>
    <x v="0"/>
  </r>
  <r>
    <s v="ORD5206"/>
    <s v="CUST1206"/>
    <n v="59"/>
    <s v="PROD406"/>
    <x v="4"/>
    <x v="188"/>
    <d v="2023-11-12T00:00:00"/>
    <n v="1"/>
    <x v="0"/>
    <d v="2024-08-06T00:00:00"/>
    <s v=" $263.02 "/>
    <n v="6"/>
    <n v="26"/>
    <s v="Beauty"/>
    <s v="Yoga Mat"/>
    <x v="0"/>
    <x v="0"/>
    <n v="1578.12"/>
    <s v="Misaligned"/>
    <x v="1"/>
    <s v="High Value Tier"/>
    <x v="0"/>
  </r>
  <r>
    <s v="ORD5207"/>
    <s v="CUST1207"/>
    <n v="32"/>
    <s v="PROD407"/>
    <x v="3"/>
    <x v="189"/>
    <d v="2023-03-12T00:00:00"/>
    <n v="1"/>
    <x v="0"/>
    <s v="8/18/2024"/>
    <s v=" $1,212.26 "/>
    <n v="1"/>
    <n v="38"/>
    <s v="Clothing"/>
    <s v="Vacuum Cleaner"/>
    <x v="1"/>
    <x v="1"/>
    <n v="1212.26"/>
    <s v="Misaligned"/>
    <x v="2"/>
    <s v="High Value Tier"/>
    <x v="0"/>
  </r>
  <r>
    <s v="ORD5208"/>
    <s v="CUST1208"/>
    <n v="37"/>
    <s v="PROD408"/>
    <x v="3"/>
    <x v="190"/>
    <s v="8/17/2023"/>
    <n v="0"/>
    <x v="0"/>
    <s v="2/18/2023"/>
    <s v=" $1,790.40 "/>
    <n v="1"/>
    <n v="33"/>
    <s v="Beauty"/>
    <s v="Shirt"/>
    <x v="2"/>
    <x v="1"/>
    <n v="1790.4"/>
    <s v="Misaligned"/>
    <x v="0"/>
    <s v="High Value Tier"/>
    <x v="0"/>
  </r>
  <r>
    <s v="ORD5209"/>
    <s v="CUST1209"/>
    <n v="30"/>
    <s v="PROD409"/>
    <x v="2"/>
    <x v="191"/>
    <s v="9/14/2024"/>
    <n v="2"/>
    <x v="0"/>
    <s v="11/28/2022"/>
    <s v=" $582.62 "/>
    <n v="2"/>
    <n v="6"/>
    <s v="Clothing"/>
    <s v="Sneakers"/>
    <x v="2"/>
    <x v="1"/>
    <n v="1165.24"/>
    <s v="Aligned"/>
    <x v="2"/>
    <s v="High Value Tier"/>
    <x v="0"/>
  </r>
  <r>
    <s v="ORD5210"/>
    <s v="CUST1210"/>
    <n v="30"/>
    <s v="PROD410"/>
    <x v="5"/>
    <x v="192"/>
    <s v="2/14/2023"/>
    <n v="0"/>
    <x v="0"/>
    <d v="2022-01-07T00:00:00"/>
    <s v=" $181.32 "/>
    <n v="2"/>
    <n v="40"/>
    <s v="Home"/>
    <s v="Moisturizer"/>
    <x v="3"/>
    <x v="0"/>
    <n v="362.64"/>
    <s v="Misaligned"/>
    <x v="2"/>
    <s v="High Value Tier"/>
    <x v="0"/>
  </r>
  <r>
    <s v="ORD5211"/>
    <s v="CUST1211"/>
    <n v="65"/>
    <s v="PROD411"/>
    <x v="5"/>
    <x v="193"/>
    <s v="2/18/2023"/>
    <n v="2"/>
    <x v="2"/>
    <s v="5/15/2025"/>
    <s v=" $174.87 "/>
    <n v="9"/>
    <n v="34"/>
    <s v="Sports"/>
    <s v="Cricket Bat"/>
    <x v="0"/>
    <x v="1"/>
    <n v="1573.83"/>
    <s v="Aligned"/>
    <x v="4"/>
    <s v="High Value Tier"/>
    <x v="1"/>
  </r>
  <r>
    <s v="ORD5212"/>
    <s v="CUST1212"/>
    <n v="48"/>
    <s v="PROD412"/>
    <x v="0"/>
    <x v="194"/>
    <d v="2024-11-02T00:00:00"/>
    <n v="4"/>
    <x v="1"/>
    <d v="2023-12-06T00:00:00"/>
    <s v=" $462.90 "/>
    <n v="3"/>
    <n v="45"/>
    <s v="Clothing"/>
    <s v="Refrigerator"/>
    <x v="1"/>
    <x v="0"/>
    <n v="1388.7"/>
    <s v="Misaligned"/>
    <x v="0"/>
    <s v="High Value Tier"/>
    <x v="0"/>
  </r>
  <r>
    <s v="ORD5213"/>
    <s v="CUST1213"/>
    <n v="56"/>
    <s v="PROD413"/>
    <x v="2"/>
    <x v="195"/>
    <s v="7/26/2024"/>
    <n v="2"/>
    <x v="1"/>
    <s v="4/14/2025"/>
    <s v=" $490.01 "/>
    <n v="3"/>
    <n v="40"/>
    <s v="Sports"/>
    <s v="Headphones"/>
    <x v="4"/>
    <x v="0"/>
    <n v="1470.03"/>
    <s v="Misaligned"/>
    <x v="1"/>
    <s v="High Value Tier"/>
    <x v="0"/>
  </r>
  <r>
    <s v="ORD5214"/>
    <s v="CUST1214"/>
    <n v="29"/>
    <s v="PROD414"/>
    <x v="4"/>
    <x v="196"/>
    <s v="12/14/2023"/>
    <n v="0"/>
    <x v="1"/>
    <s v="1/14/2024"/>
    <s v=" $1,068.34 "/>
    <n v="1"/>
    <n v="36"/>
    <s v="Home"/>
    <s v="Chair"/>
    <x v="1"/>
    <x v="0"/>
    <n v="1068.3399999999999"/>
    <s v="Aligned"/>
    <x v="2"/>
    <s v="High Value Tier"/>
    <x v="0"/>
  </r>
  <r>
    <s v="ORD5215"/>
    <s v="CUST1215"/>
    <n v="64"/>
    <s v="PROD415"/>
    <x v="3"/>
    <x v="197"/>
    <s v="5/19/2023"/>
    <n v="4"/>
    <x v="0"/>
    <d v="2024-04-05T00:00:00"/>
    <s v=" $151.03 "/>
    <n v="8"/>
    <n v="30"/>
    <s v="Beauty"/>
    <s v="Smartphone"/>
    <x v="4"/>
    <x v="1"/>
    <n v="1208.24"/>
    <s v="Misaligned"/>
    <x v="1"/>
    <s v="High Value Tier"/>
    <x v="3"/>
  </r>
  <r>
    <s v="ORD5216"/>
    <s v="CUST1216"/>
    <n v="48"/>
    <s v="PROD416"/>
    <x v="2"/>
    <x v="105"/>
    <s v="12/24/2022"/>
    <n v="3"/>
    <x v="0"/>
    <d v="2023-09-08T00:00:00"/>
    <s v=" $152.35 "/>
    <n v="8"/>
    <n v="32"/>
    <s v="Sports"/>
    <s v="Refrigerator"/>
    <x v="1"/>
    <x v="0"/>
    <n v="1218.8"/>
    <s v="Misaligned"/>
    <x v="0"/>
    <s v="High Value Tier"/>
    <x v="0"/>
  </r>
  <r>
    <s v="ORD5217"/>
    <s v="CUST1217"/>
    <n v="59"/>
    <s v="PROD417"/>
    <x v="4"/>
    <x v="198"/>
    <d v="2023-04-12T00:00:00"/>
    <n v="5"/>
    <x v="0"/>
    <d v="2023-05-09T00:00:00"/>
    <s v=" $277.17 "/>
    <n v="7"/>
    <n v="3"/>
    <s v="Electronics"/>
    <s v="Lipstick"/>
    <x v="3"/>
    <x v="1"/>
    <n v="1940.19"/>
    <s v="Misaligned"/>
    <x v="1"/>
    <s v="High Value Tier"/>
    <x v="3"/>
  </r>
  <r>
    <s v="ORD5218"/>
    <s v="CUST1218"/>
    <n v="36"/>
    <s v="PROD418"/>
    <x v="0"/>
    <x v="199"/>
    <s v="2/28/2025"/>
    <n v="5"/>
    <x v="0"/>
    <s v="8/26/2023"/>
    <s v=" $90.95 "/>
    <n v="1"/>
    <n v="30"/>
    <s v="Sports"/>
    <s v="Moisturizer"/>
    <x v="3"/>
    <x v="0"/>
    <n v="90.95"/>
    <s v="Misaligned"/>
    <x v="0"/>
    <s v="High Value Tier"/>
    <x v="3"/>
  </r>
  <r>
    <s v="ORD5219"/>
    <s v="CUST1219"/>
    <n v="20"/>
    <s v="PROD419"/>
    <x v="0"/>
    <x v="200"/>
    <s v="12/29/2023"/>
    <n v="4"/>
    <x v="0"/>
    <d v="2025-08-06T00:00:00"/>
    <s v=" $813.90 "/>
    <n v="2"/>
    <n v="38"/>
    <s v="Sports"/>
    <s v="Cricket Bat"/>
    <x v="0"/>
    <x v="0"/>
    <n v="1627.8"/>
    <s v="Aligned"/>
    <x v="3"/>
    <s v="High Value Tier"/>
    <x v="3"/>
  </r>
  <r>
    <s v="ORD5220"/>
    <s v="CUST1220"/>
    <n v="51"/>
    <s v="PROD420"/>
    <x v="2"/>
    <x v="201"/>
    <d v="2023-12-07T00:00:00"/>
    <n v="3"/>
    <x v="2"/>
    <s v="7/28/2025"/>
    <s v=" $262.87 "/>
    <n v="3"/>
    <n v="27"/>
    <s v="Home"/>
    <s v="Shampoo"/>
    <x v="3"/>
    <x v="0"/>
    <n v="788.61"/>
    <s v="Misaligned"/>
    <x v="1"/>
    <s v="High Value Tier"/>
    <x v="1"/>
  </r>
  <r>
    <s v="ORD5221"/>
    <s v="CUST1221"/>
    <n v="49"/>
    <s v="PROD421"/>
    <x v="1"/>
    <x v="202"/>
    <s v="5/16/2025"/>
    <n v="2"/>
    <x v="0"/>
    <d v="2023-07-05T00:00:00"/>
    <s v=" $173.20 "/>
    <n v="8"/>
    <n v="45"/>
    <s v="Sports"/>
    <s v="Running Shoes"/>
    <x v="0"/>
    <x v="0"/>
    <n v="1385.6"/>
    <s v="Aligned"/>
    <x v="0"/>
    <s v="High Value Tier"/>
    <x v="0"/>
  </r>
  <r>
    <s v="ORD5222"/>
    <s v="CUST1222"/>
    <n v="46"/>
    <s v="PROD422"/>
    <x v="0"/>
    <x v="194"/>
    <s v="5/31/2024"/>
    <n v="1"/>
    <x v="0"/>
    <s v="5/19/2024"/>
    <s v=" $398.18 "/>
    <n v="5"/>
    <n v="12"/>
    <s v="Sports"/>
    <s v="Perfume"/>
    <x v="3"/>
    <x v="0"/>
    <n v="1990.9"/>
    <s v="Misaligned"/>
    <x v="0"/>
    <s v="High Value Tier"/>
    <x v="0"/>
  </r>
  <r>
    <s v="ORD5223"/>
    <s v="CUST1223"/>
    <n v="25"/>
    <s v="PROD423"/>
    <x v="2"/>
    <x v="203"/>
    <s v="10/20/2024"/>
    <n v="0"/>
    <x v="0"/>
    <d v="2023-01-05T00:00:00"/>
    <s v=" $211.82 "/>
    <n v="8"/>
    <n v="32"/>
    <s v="Home"/>
    <s v="Moisturizer"/>
    <x v="3"/>
    <x v="0"/>
    <n v="1694.56"/>
    <s v="Misaligned"/>
    <x v="2"/>
    <s v="High Value Tier"/>
    <x v="0"/>
  </r>
  <r>
    <s v="ORD5224"/>
    <s v="CUST1224"/>
    <n v="19"/>
    <s v="PROD424"/>
    <x v="1"/>
    <x v="204"/>
    <d v="2024-09-11T00:00:00"/>
    <n v="1"/>
    <x v="0"/>
    <s v="10/17/2024"/>
    <s v=" $255.77 "/>
    <n v="6"/>
    <n v="21"/>
    <s v="Beauty"/>
    <s v="Dumbbells"/>
    <x v="0"/>
    <x v="0"/>
    <n v="1534.62"/>
    <s v="Misaligned"/>
    <x v="3"/>
    <s v="High Value Tier"/>
    <x v="0"/>
  </r>
  <r>
    <s v="ORD5225"/>
    <s v="CUST1225"/>
    <n v="62"/>
    <s v="PROD425"/>
    <x v="5"/>
    <x v="56"/>
    <d v="2024-02-09T00:00:00"/>
    <n v="5"/>
    <x v="0"/>
    <d v="2024-08-05T00:00:00"/>
    <s v=" $63.52 "/>
    <n v="8"/>
    <n v="7"/>
    <s v="Beauty"/>
    <s v="Dumbbells"/>
    <x v="0"/>
    <x v="0"/>
    <n v="508.16"/>
    <s v="Misaligned"/>
    <x v="1"/>
    <s v="High Value Tier"/>
    <x v="3"/>
  </r>
  <r>
    <s v="ORD5226"/>
    <s v="CUST1226"/>
    <n v="52"/>
    <s v="PROD426"/>
    <x v="4"/>
    <x v="205"/>
    <d v="2022-12-09T00:00:00"/>
    <n v="2"/>
    <x v="0"/>
    <d v="2023-06-02T00:00:00"/>
    <s v=" $317.31 "/>
    <n v="5"/>
    <n v="45"/>
    <s v="Electronics"/>
    <s v="Cricket Bat"/>
    <x v="0"/>
    <x v="0"/>
    <n v="1586.55"/>
    <s v="Misaligned"/>
    <x v="1"/>
    <s v="High Value Tier"/>
    <x v="0"/>
  </r>
  <r>
    <s v="ORD5227"/>
    <s v="CUST1227"/>
    <n v="52"/>
    <s v="PROD427"/>
    <x v="4"/>
    <x v="17"/>
    <s v="5/26/2025"/>
    <n v="5"/>
    <x v="0"/>
    <s v="9/23/2023"/>
    <s v=" $436.16 "/>
    <n v="2"/>
    <n v="11"/>
    <s v="Sports"/>
    <s v="Cycling Helmet"/>
    <x v="0"/>
    <x v="2"/>
    <n v="872.32"/>
    <s v="Aligned"/>
    <x v="1"/>
    <s v="High Value Tier"/>
    <x v="3"/>
  </r>
  <r>
    <s v="ORD5228"/>
    <s v="CUST1228"/>
    <n v="47"/>
    <s v="PROD428"/>
    <x v="4"/>
    <x v="206"/>
    <s v="2/19/2023"/>
    <n v="0"/>
    <x v="0"/>
    <s v="5/29/2023"/>
    <s v=" $366.64 "/>
    <n v="4"/>
    <n v="13"/>
    <s v="Sports"/>
    <s v="Cycling Helmet"/>
    <x v="0"/>
    <x v="0"/>
    <n v="1466.56"/>
    <s v="Aligned"/>
    <x v="0"/>
    <s v="High Value Tier"/>
    <x v="0"/>
  </r>
  <r>
    <s v="ORD5229"/>
    <s v="CUST1229"/>
    <n v="46"/>
    <s v="PROD429"/>
    <x v="5"/>
    <x v="122"/>
    <s v="1/15/2025"/>
    <n v="2"/>
    <x v="0"/>
    <s v="8/25/2023"/>
    <s v=" $347.76 "/>
    <n v="4"/>
    <n v="27"/>
    <s v="Beauty"/>
    <s v="Shirt"/>
    <x v="2"/>
    <x v="1"/>
    <n v="1391.04"/>
    <s v="Misaligned"/>
    <x v="0"/>
    <s v="High Value Tier"/>
    <x v="0"/>
  </r>
  <r>
    <s v="ORD5230"/>
    <s v="CUST1230"/>
    <n v="18"/>
    <s v="PROD430"/>
    <x v="3"/>
    <x v="207"/>
    <s v="5/26/2023"/>
    <n v="1"/>
    <x v="0"/>
    <s v="11/29/2023"/>
    <s v=" $220.93 "/>
    <n v="8"/>
    <n v="38"/>
    <s v="Home"/>
    <s v="Basketball"/>
    <x v="0"/>
    <x v="0"/>
    <n v="1767.44"/>
    <s v="Misaligned"/>
    <x v="3"/>
    <s v="High Value Tier"/>
    <x v="0"/>
  </r>
  <r>
    <s v="ORD5231"/>
    <s v="CUST1231"/>
    <n v="66"/>
    <s v="PROD431"/>
    <x v="2"/>
    <x v="208"/>
    <d v="2025-01-06T00:00:00"/>
    <n v="5"/>
    <x v="0"/>
    <d v="2025-07-06T00:00:00"/>
    <s v=" $1,331.03 "/>
    <n v="1"/>
    <n v="33"/>
    <s v="Sports"/>
    <s v="Sofa"/>
    <x v="1"/>
    <x v="0"/>
    <n v="1331.03"/>
    <s v="Misaligned"/>
    <x v="4"/>
    <s v="High Value Tier"/>
    <x v="3"/>
  </r>
  <r>
    <s v="ORD5232"/>
    <s v="CUST1232"/>
    <n v="54"/>
    <s v="PROD432"/>
    <x v="5"/>
    <x v="90"/>
    <d v="2023-06-10T00:00:00"/>
    <n v="4"/>
    <x v="1"/>
    <d v="2024-11-04T00:00:00"/>
    <s v=" $134.40 "/>
    <n v="5"/>
    <n v="30"/>
    <s v="Electronics"/>
    <s v="Chair"/>
    <x v="1"/>
    <x v="2"/>
    <n v="672"/>
    <s v="Misaligned"/>
    <x v="1"/>
    <s v="High Value Tier"/>
    <x v="0"/>
  </r>
  <r>
    <s v="ORD5233"/>
    <s v="CUST1233"/>
    <n v="35"/>
    <s v="PROD433"/>
    <x v="3"/>
    <x v="209"/>
    <d v="2024-02-06T00:00:00"/>
    <n v="1"/>
    <x v="0"/>
    <s v="11/24/2023"/>
    <s v=" $133.25 "/>
    <n v="9"/>
    <n v="26"/>
    <s v="Electronics"/>
    <s v="Sofa"/>
    <x v="1"/>
    <x v="0"/>
    <n v="1199.25"/>
    <s v="Misaligned"/>
    <x v="0"/>
    <s v="High Value Tier"/>
    <x v="0"/>
  </r>
  <r>
    <s v="ORD5234"/>
    <s v="CUST1234"/>
    <n v="65"/>
    <s v="PROD434"/>
    <x v="1"/>
    <x v="210"/>
    <d v="2025-05-01T00:00:00"/>
    <n v="1"/>
    <x v="1"/>
    <s v="5/15/2022"/>
    <s v=" $210.26 "/>
    <n v="9"/>
    <n v="15"/>
    <s v="Sports"/>
    <s v="Cycling Helmet"/>
    <x v="0"/>
    <x v="1"/>
    <n v="1892.34"/>
    <s v="Aligned"/>
    <x v="4"/>
    <s v="High Value Tier"/>
    <x v="0"/>
  </r>
  <r>
    <s v="ORD5235"/>
    <s v="CUST1235"/>
    <n v="22"/>
    <s v="PROD435"/>
    <x v="2"/>
    <x v="211"/>
    <s v="10/31/2022"/>
    <n v="0"/>
    <x v="1"/>
    <s v="1/21/2022"/>
    <s v=" $80.21 "/>
    <n v="8"/>
    <n v="47"/>
    <s v="Clothing"/>
    <s v="Vacuum Cleaner"/>
    <x v="1"/>
    <x v="0"/>
    <n v="641.67999999999995"/>
    <s v="Misaligned"/>
    <x v="3"/>
    <s v="High Value Tier"/>
    <x v="0"/>
  </r>
  <r>
    <s v="ORD5236"/>
    <s v="CUST1236"/>
    <n v="60"/>
    <s v="PROD436"/>
    <x v="2"/>
    <x v="79"/>
    <s v="7/16/2022"/>
    <n v="2"/>
    <x v="0"/>
    <d v="2023-11-09T00:00:00"/>
    <s v=" $133.84 "/>
    <n v="4"/>
    <n v="11"/>
    <s v="Home"/>
    <s v="T-Shirt"/>
    <x v="2"/>
    <x v="0"/>
    <n v="535.36"/>
    <s v="Misaligned"/>
    <x v="1"/>
    <s v="High Value Tier"/>
    <x v="0"/>
  </r>
  <r>
    <s v="ORD5237"/>
    <s v="CUST1237"/>
    <n v="57"/>
    <s v="PROD437"/>
    <x v="4"/>
    <x v="212"/>
    <d v="2023-07-10T00:00:00"/>
    <n v="1"/>
    <x v="1"/>
    <s v="7/26/2023"/>
    <s v=" $286.69 "/>
    <n v="4"/>
    <n v="28"/>
    <s v="Electronics"/>
    <s v="Perfume"/>
    <x v="3"/>
    <x v="0"/>
    <n v="1146.76"/>
    <s v="Misaligned"/>
    <x v="1"/>
    <s v="High Value Tier"/>
    <x v="0"/>
  </r>
  <r>
    <s v="ORD5238"/>
    <s v="CUST1238"/>
    <n v="37"/>
    <s v="PROD438"/>
    <x v="0"/>
    <x v="213"/>
    <s v="1/26/2023"/>
    <n v="2"/>
    <x v="0"/>
    <s v="5/28/2025"/>
    <s v=" $55.18 "/>
    <n v="8"/>
    <n v="3"/>
    <s v="Electronics"/>
    <s v="Smartphone"/>
    <x v="4"/>
    <x v="0"/>
    <n v="441.44"/>
    <s v="Aligned"/>
    <x v="0"/>
    <s v="Core Tier"/>
    <x v="0"/>
  </r>
  <r>
    <s v="ORD5239"/>
    <s v="CUST1239"/>
    <n v="50"/>
    <s v="PROD439"/>
    <x v="1"/>
    <x v="214"/>
    <s v="2/26/2025"/>
    <n v="5"/>
    <x v="0"/>
    <d v="2025-04-02T00:00:00"/>
    <s v=" $25.75 "/>
    <n v="7"/>
    <n v="8"/>
    <s v="Clothing"/>
    <s v="Tennis Racket"/>
    <x v="0"/>
    <x v="0"/>
    <n v="180.25"/>
    <s v="Misaligned"/>
    <x v="1"/>
    <s v="Core Tier"/>
    <x v="3"/>
  </r>
  <r>
    <s v="ORD5240"/>
    <s v="CUST1240"/>
    <n v="22"/>
    <s v="PROD440"/>
    <x v="4"/>
    <x v="215"/>
    <d v="2023-09-04T00:00:00"/>
    <n v="5"/>
    <x v="0"/>
    <s v="5/30/2022"/>
    <s v=" $7.42 "/>
    <n v="6"/>
    <n v="22"/>
    <s v="Electronics"/>
    <s v="Lamp"/>
    <x v="1"/>
    <x v="0"/>
    <n v="44.52"/>
    <s v="Misaligned"/>
    <x v="3"/>
    <s v="Core Tier"/>
    <x v="3"/>
  </r>
  <r>
    <s v="ORD5241"/>
    <s v="CUST1241"/>
    <n v="46"/>
    <s v="PROD441"/>
    <x v="0"/>
    <x v="216"/>
    <s v="1/23/2022"/>
    <n v="0"/>
    <x v="0"/>
    <s v="10/19/2024"/>
    <s v=" $430.28 "/>
    <n v="4"/>
    <n v="39"/>
    <s v="Sports"/>
    <s v="Jeans"/>
    <x v="2"/>
    <x v="0"/>
    <n v="1721.12"/>
    <s v="Misaligned"/>
    <x v="0"/>
    <s v="High Value Tier"/>
    <x v="0"/>
  </r>
  <r>
    <s v="ORD5242"/>
    <s v="CUST1242"/>
    <n v="59"/>
    <s v="PROD442"/>
    <x v="3"/>
    <x v="159"/>
    <d v="2025-03-05T00:00:00"/>
    <n v="2"/>
    <x v="0"/>
    <s v="4/24/2023"/>
    <s v=" $307.95 "/>
    <n v="3"/>
    <n v="40"/>
    <s v="Clothing"/>
    <s v="Bluetooth Speaker"/>
    <x v="4"/>
    <x v="1"/>
    <n v="923.85"/>
    <s v="Misaligned"/>
    <x v="1"/>
    <s v="High Value Tier"/>
    <x v="0"/>
  </r>
  <r>
    <s v="ORD5243"/>
    <s v="CUST1243"/>
    <n v="53"/>
    <s v="PROD443"/>
    <x v="4"/>
    <x v="217"/>
    <d v="2022-12-07T00:00:00"/>
    <n v="2"/>
    <x v="0"/>
    <s v="10/24/2023"/>
    <s v=" $235.70 "/>
    <n v="1"/>
    <n v="5"/>
    <s v="Beauty"/>
    <s v="Lipstick"/>
    <x v="3"/>
    <x v="0"/>
    <n v="235.7"/>
    <s v="Aligned"/>
    <x v="1"/>
    <s v="Core Tier"/>
    <x v="0"/>
  </r>
  <r>
    <s v="ORD5244"/>
    <s v="CUST1244"/>
    <n v="40"/>
    <s v="PROD444"/>
    <x v="1"/>
    <x v="218"/>
    <s v="3/28/2024"/>
    <n v="5"/>
    <x v="0"/>
    <d v="2023-03-04T00:00:00"/>
    <s v=" $174.95 "/>
    <n v="8"/>
    <n v="23"/>
    <s v="Home"/>
    <s v="Cycling Helmet"/>
    <x v="0"/>
    <x v="0"/>
    <n v="1399.6"/>
    <s v="Misaligned"/>
    <x v="0"/>
    <s v="High Value Tier"/>
    <x v="3"/>
  </r>
  <r>
    <s v="ORD5245"/>
    <s v="CUST1245"/>
    <n v="67"/>
    <s v="PROD445"/>
    <x v="5"/>
    <x v="219"/>
    <s v="7/23/2021"/>
    <n v="0"/>
    <x v="0"/>
    <d v="2025-06-07T00:00:00"/>
    <s v=" $232.39 "/>
    <n v="4"/>
    <n v="40"/>
    <s v="Beauty"/>
    <s v="Conditioner"/>
    <x v="3"/>
    <x v="0"/>
    <n v="929.56"/>
    <s v="Aligned"/>
    <x v="4"/>
    <s v="High Value Tier"/>
    <x v="0"/>
  </r>
  <r>
    <s v="ORD5246"/>
    <s v="CUST1246"/>
    <n v="26"/>
    <s v="PROD446"/>
    <x v="4"/>
    <x v="220"/>
    <s v="3/16/2024"/>
    <n v="2"/>
    <x v="0"/>
    <d v="2024-03-05T00:00:00"/>
    <s v=" $266.75 "/>
    <n v="4"/>
    <n v="23"/>
    <s v="Electronics"/>
    <s v="Vacuum Cleaner"/>
    <x v="1"/>
    <x v="1"/>
    <n v="1067"/>
    <s v="Misaligned"/>
    <x v="2"/>
    <s v="High Value Tier"/>
    <x v="0"/>
  </r>
  <r>
    <s v="ORD5247"/>
    <s v="CUST1247"/>
    <n v="67"/>
    <s v="PROD447"/>
    <x v="5"/>
    <x v="221"/>
    <s v="3/23/2025"/>
    <n v="5"/>
    <x v="0"/>
    <s v="9/30/2023"/>
    <s v=" $32.82 "/>
    <n v="2"/>
    <n v="39"/>
    <s v="Beauty"/>
    <s v="Gaming Console"/>
    <x v="4"/>
    <x v="0"/>
    <n v="65.64"/>
    <s v="Misaligned"/>
    <x v="4"/>
    <s v="High Value Tier"/>
    <x v="3"/>
  </r>
  <r>
    <s v="ORD5248"/>
    <s v="CUST1248"/>
    <n v="23"/>
    <s v="PROD448"/>
    <x v="1"/>
    <x v="222"/>
    <s v="11/21/2021"/>
    <n v="2"/>
    <x v="2"/>
    <s v="4/30/2022"/>
    <s v=" $597.36 "/>
    <n v="3"/>
    <n v="11"/>
    <s v="Electronics"/>
    <s v="Conditioner"/>
    <x v="3"/>
    <x v="1"/>
    <n v="1792.08"/>
    <s v="Misaligned"/>
    <x v="3"/>
    <s v="High Value Tier"/>
    <x v="1"/>
  </r>
  <r>
    <s v="ORD5249"/>
    <s v="CUST1249"/>
    <n v="51"/>
    <s v="PROD449"/>
    <x v="3"/>
    <x v="223"/>
    <d v="2024-07-12T00:00:00"/>
    <n v="1"/>
    <x v="1"/>
    <s v="9/14/2024"/>
    <s v=" $147.45 "/>
    <n v="8"/>
    <n v="18"/>
    <s v="Beauty"/>
    <s v="Conditioner"/>
    <x v="3"/>
    <x v="0"/>
    <n v="1179.5999999999999"/>
    <s v="Aligned"/>
    <x v="1"/>
    <s v="High Value Tier"/>
    <x v="0"/>
  </r>
  <r>
    <s v="ORD5250"/>
    <s v="CUST1250"/>
    <n v="64"/>
    <s v="PROD450"/>
    <x v="3"/>
    <x v="224"/>
    <s v="11/16/2024"/>
    <n v="2"/>
    <x v="0"/>
    <d v="2022-12-01T00:00:00"/>
    <s v=" $91.92 "/>
    <n v="7"/>
    <n v="39"/>
    <s v="Electronics"/>
    <s v="Running Shoes"/>
    <x v="0"/>
    <x v="0"/>
    <n v="643.44000000000005"/>
    <s v="Misaligned"/>
    <x v="1"/>
    <s v="High Value Tier"/>
    <x v="0"/>
  </r>
  <r>
    <s v="ORD5251"/>
    <s v="CUST1251"/>
    <n v="42"/>
    <s v="PROD451"/>
    <x v="4"/>
    <x v="120"/>
    <d v="2024-08-11T00:00:00"/>
    <n v="2"/>
    <x v="0"/>
    <d v="2023-09-10T00:00:00"/>
    <s v=" $89.68 "/>
    <n v="6"/>
    <n v="39"/>
    <s v="Home"/>
    <s v="Skirt"/>
    <x v="2"/>
    <x v="0"/>
    <n v="538.08000000000004"/>
    <s v="Misaligned"/>
    <x v="0"/>
    <s v="High Value Tier"/>
    <x v="0"/>
  </r>
  <r>
    <s v="ORD5252"/>
    <s v="CUST1252"/>
    <n v="23"/>
    <s v="PROD452"/>
    <x v="2"/>
    <x v="225"/>
    <s v="4/17/2024"/>
    <n v="1"/>
    <x v="2"/>
    <d v="2022-02-02T00:00:00"/>
    <s v=" $269.62 "/>
    <n v="5"/>
    <n v="6"/>
    <s v="Sports"/>
    <s v="Blender"/>
    <x v="1"/>
    <x v="1"/>
    <n v="1348.1"/>
    <s v="Misaligned"/>
    <x v="3"/>
    <s v="High Value Tier"/>
    <x v="1"/>
  </r>
  <r>
    <s v="ORD5253"/>
    <s v="CUST1253"/>
    <n v="57"/>
    <s v="PROD453"/>
    <x v="3"/>
    <x v="226"/>
    <d v="2021-11-05T00:00:00"/>
    <n v="0"/>
    <x v="0"/>
    <d v="2022-10-12T00:00:00"/>
    <s v=" $214.01 "/>
    <n v="1"/>
    <n v="37"/>
    <s v="Clothing"/>
    <s v="Jeans"/>
    <x v="2"/>
    <x v="0"/>
    <n v="214.01"/>
    <s v="Aligned"/>
    <x v="1"/>
    <s v="High Value Tier"/>
    <x v="0"/>
  </r>
  <r>
    <s v="ORD5254"/>
    <s v="CUST1254"/>
    <n v="29"/>
    <s v="PROD454"/>
    <x v="3"/>
    <x v="190"/>
    <s v="3/28/2025"/>
    <n v="0"/>
    <x v="0"/>
    <d v="2024-05-03T00:00:00"/>
    <s v=" $368.20 "/>
    <n v="2"/>
    <n v="24"/>
    <s v="Sports"/>
    <s v="Headphones"/>
    <x v="4"/>
    <x v="1"/>
    <n v="736.4"/>
    <s v="Misaligned"/>
    <x v="2"/>
    <s v="High Value Tier"/>
    <x v="0"/>
  </r>
  <r>
    <s v="ORD5255"/>
    <s v="CUST1255"/>
    <n v="60"/>
    <s v="PROD455"/>
    <x v="1"/>
    <x v="227"/>
    <s v="12/18/2023"/>
    <n v="5"/>
    <x v="2"/>
    <s v="8/15/2024"/>
    <s v=" $560.24 "/>
    <n v="2"/>
    <n v="40"/>
    <s v="Clothing"/>
    <s v="Cricket Bat"/>
    <x v="0"/>
    <x v="0"/>
    <n v="1120.48"/>
    <s v="Misaligned"/>
    <x v="1"/>
    <s v="High Value Tier"/>
    <x v="1"/>
  </r>
  <r>
    <s v="ORD5256"/>
    <s v="CUST1256"/>
    <n v="22"/>
    <s v="PROD456"/>
    <x v="4"/>
    <x v="228"/>
    <d v="2024-10-09T00:00:00"/>
    <n v="2"/>
    <x v="0"/>
    <s v="2/20/2023"/>
    <s v=" $262.89 "/>
    <n v="1"/>
    <n v="44"/>
    <s v="Home"/>
    <s v="Dumbbells"/>
    <x v="0"/>
    <x v="0"/>
    <n v="262.89"/>
    <s v="Misaligned"/>
    <x v="3"/>
    <s v="High Value Tier"/>
    <x v="0"/>
  </r>
  <r>
    <s v="ORD5257"/>
    <s v="CUST1257"/>
    <n v="56"/>
    <s v="PROD457"/>
    <x v="0"/>
    <x v="229"/>
    <s v="1/24/2025"/>
    <n v="2"/>
    <x v="1"/>
    <s v="8/31/2023"/>
    <s v=" $113.52 "/>
    <n v="8"/>
    <n v="14"/>
    <s v="Beauty"/>
    <s v="Football"/>
    <x v="0"/>
    <x v="1"/>
    <n v="908.16"/>
    <s v="Misaligned"/>
    <x v="1"/>
    <s v="High Value Tier"/>
    <x v="0"/>
  </r>
  <r>
    <s v="ORD5258"/>
    <s v="CUST1258"/>
    <n v="65"/>
    <s v="PROD458"/>
    <x v="3"/>
    <x v="230"/>
    <s v="4/20/2025"/>
    <n v="2"/>
    <x v="0"/>
    <s v="8/14/2023"/>
    <s v=" $78.71 "/>
    <n v="7"/>
    <n v="35"/>
    <s v="Beauty"/>
    <s v="Dining Table"/>
    <x v="1"/>
    <x v="0"/>
    <n v="550.97"/>
    <s v="Misaligned"/>
    <x v="4"/>
    <s v="High Value Tier"/>
    <x v="0"/>
  </r>
  <r>
    <s v="ORD5259"/>
    <s v="CUST1259"/>
    <n v="40"/>
    <s v="PROD459"/>
    <x v="1"/>
    <x v="231"/>
    <s v="4/17/2025"/>
    <n v="0"/>
    <x v="0"/>
    <d v="2021-02-10T00:00:00"/>
    <s v=" $283.52 "/>
    <n v="3"/>
    <n v="48"/>
    <s v="Home"/>
    <s v="Smartphone"/>
    <x v="4"/>
    <x v="1"/>
    <n v="850.56"/>
    <s v="Misaligned"/>
    <x v="0"/>
    <s v="High Value Tier"/>
    <x v="0"/>
  </r>
  <r>
    <s v="ORD5260"/>
    <s v="CUST1260"/>
    <n v="34"/>
    <s v="PROD460"/>
    <x v="5"/>
    <x v="232"/>
    <d v="2023-06-08T00:00:00"/>
    <n v="1"/>
    <x v="0"/>
    <s v="2/23/2023"/>
    <s v=" $174.45 "/>
    <n v="9"/>
    <n v="14"/>
    <s v="Clothing"/>
    <s v="Headphones"/>
    <x v="4"/>
    <x v="0"/>
    <n v="1570.05"/>
    <s v="Misaligned"/>
    <x v="2"/>
    <s v="High Value Tier"/>
    <x v="0"/>
  </r>
  <r>
    <s v="ORD5261"/>
    <s v="CUST1261"/>
    <n v="36"/>
    <s v="PROD461"/>
    <x v="5"/>
    <x v="233"/>
    <d v="2025-01-08T00:00:00"/>
    <n v="5"/>
    <x v="2"/>
    <s v="5/28/2023"/>
    <s v=" $165.34 "/>
    <n v="6"/>
    <n v="8"/>
    <s v="Home"/>
    <s v="Skirt"/>
    <x v="2"/>
    <x v="0"/>
    <n v="992.04"/>
    <s v="Misaligned"/>
    <x v="0"/>
    <s v="High Value Tier"/>
    <x v="1"/>
  </r>
  <r>
    <s v="ORD5262"/>
    <s v="CUST1262"/>
    <n v="46"/>
    <s v="PROD462"/>
    <x v="3"/>
    <x v="234"/>
    <s v="9/29/2023"/>
    <n v="1"/>
    <x v="0"/>
    <s v="5/17/2024"/>
    <s v=" $274.67 "/>
    <n v="4"/>
    <n v="25"/>
    <s v="Home"/>
    <s v="Conditioner"/>
    <x v="3"/>
    <x v="0"/>
    <n v="1098.68"/>
    <s v="Misaligned"/>
    <x v="0"/>
    <s v="High Value Tier"/>
    <x v="0"/>
  </r>
  <r>
    <s v="ORD5263"/>
    <s v="CUST1263"/>
    <n v="65"/>
    <s v="PROD463"/>
    <x v="5"/>
    <x v="230"/>
    <d v="2023-05-03T00:00:00"/>
    <n v="5"/>
    <x v="2"/>
    <s v="10/26/2020"/>
    <s v=" $73.91 "/>
    <n v="5"/>
    <n v="28"/>
    <s v="Clothing"/>
    <s v="Smartwatch"/>
    <x v="4"/>
    <x v="1"/>
    <n v="369.55"/>
    <s v="Misaligned"/>
    <x v="4"/>
    <s v="High Value Tier"/>
    <x v="1"/>
  </r>
  <r>
    <s v="ORD5264"/>
    <s v="CUST1264"/>
    <n v="31"/>
    <s v="PROD464"/>
    <x v="2"/>
    <x v="235"/>
    <s v="5/30/2024"/>
    <n v="3"/>
    <x v="1"/>
    <s v="7/20/2024"/>
    <s v=" $330.52 "/>
    <n v="2"/>
    <n v="37"/>
    <s v="Clothing"/>
    <s v="Foundation"/>
    <x v="3"/>
    <x v="0"/>
    <n v="661.04"/>
    <s v="Misaligned"/>
    <x v="2"/>
    <s v="High Value Tier"/>
    <x v="0"/>
  </r>
  <r>
    <s v="ORD5265"/>
    <s v="CUST1265"/>
    <n v="57"/>
    <s v="PROD465"/>
    <x v="4"/>
    <x v="56"/>
    <s v="11/18/2024"/>
    <n v="3"/>
    <x v="1"/>
    <s v="12/25/2023"/>
    <s v=" $1,865.18 "/>
    <n v="1"/>
    <n v="47"/>
    <s v="Electronics"/>
    <s v="Lipstick"/>
    <x v="3"/>
    <x v="0"/>
    <n v="1865.18"/>
    <s v="Misaligned"/>
    <x v="1"/>
    <s v="High Value Tier"/>
    <x v="0"/>
  </r>
  <r>
    <s v="ORD5266"/>
    <s v="CUST1266"/>
    <n v="32"/>
    <s v="PROD466"/>
    <x v="2"/>
    <x v="118"/>
    <d v="2024-07-03T00:00:00"/>
    <n v="1"/>
    <x v="2"/>
    <s v="9/15/2024"/>
    <s v=" $1,624.53 "/>
    <n v="1"/>
    <n v="16"/>
    <s v="Home"/>
    <s v="Skirt"/>
    <x v="2"/>
    <x v="1"/>
    <n v="1624.53"/>
    <s v="Misaligned"/>
    <x v="2"/>
    <s v="High Value Tier"/>
    <x v="1"/>
  </r>
  <r>
    <s v="ORD5267"/>
    <s v="CUST1267"/>
    <n v="47"/>
    <s v="PROD467"/>
    <x v="3"/>
    <x v="236"/>
    <s v="1/19/2024"/>
    <n v="2"/>
    <x v="0"/>
    <s v="10/26/2024"/>
    <s v=" $222.38 "/>
    <n v="3"/>
    <n v="12"/>
    <s v="Sports"/>
    <s v="Lamp"/>
    <x v="1"/>
    <x v="1"/>
    <n v="667.14"/>
    <s v="Misaligned"/>
    <x v="0"/>
    <s v="High Value Tier"/>
    <x v="0"/>
  </r>
  <r>
    <s v="ORD5268"/>
    <s v="CUST1268"/>
    <n v="28"/>
    <s v="PROD468"/>
    <x v="1"/>
    <x v="106"/>
    <d v="2025-02-03T00:00:00"/>
    <n v="3"/>
    <x v="0"/>
    <d v="2023-09-12T00:00:00"/>
    <s v=" $190.60 "/>
    <n v="8"/>
    <n v="1"/>
    <s v="Clothing"/>
    <s v="Jeans"/>
    <x v="2"/>
    <x v="1"/>
    <n v="1524.8"/>
    <s v="Aligned"/>
    <x v="2"/>
    <s v="Core Tier"/>
    <x v="0"/>
  </r>
  <r>
    <s v="ORD5269"/>
    <s v="CUST1269"/>
    <n v="58"/>
    <s v="PROD469"/>
    <x v="5"/>
    <x v="237"/>
    <s v="9/19/2022"/>
    <n v="3"/>
    <x v="1"/>
    <d v="2025-09-07T00:00:00"/>
    <s v=" $157.40 "/>
    <n v="4"/>
    <n v="45"/>
    <s v="Sports"/>
    <s v="Blender"/>
    <x v="1"/>
    <x v="0"/>
    <n v="629.6"/>
    <s v="Misaligned"/>
    <x v="1"/>
    <s v="High Value Tier"/>
    <x v="0"/>
  </r>
  <r>
    <s v="ORD5270"/>
    <s v="CUST1270"/>
    <n v="27"/>
    <s v="PROD470"/>
    <x v="4"/>
    <x v="23"/>
    <s v="11/14/2022"/>
    <n v="1"/>
    <x v="1"/>
    <d v="2022-05-11T00:00:00"/>
    <s v=" $97.56 "/>
    <n v="7"/>
    <n v="17"/>
    <s v="Electronics"/>
    <s v="Dress"/>
    <x v="2"/>
    <x v="0"/>
    <n v="682.92"/>
    <s v="Misaligned"/>
    <x v="2"/>
    <s v="High Value Tier"/>
    <x v="0"/>
  </r>
  <r>
    <s v="ORD5271"/>
    <s v="CUST1271"/>
    <n v="52"/>
    <s v="PROD471"/>
    <x v="3"/>
    <x v="184"/>
    <d v="2025-05-03T00:00:00"/>
    <n v="4"/>
    <x v="2"/>
    <s v="9/30/2022"/>
    <s v=" $43.76 "/>
    <n v="8"/>
    <n v="38"/>
    <s v="Sports"/>
    <s v="Skirt"/>
    <x v="2"/>
    <x v="0"/>
    <n v="350.08"/>
    <s v="Misaligned"/>
    <x v="1"/>
    <s v="High Value Tier"/>
    <x v="1"/>
  </r>
  <r>
    <s v="ORD5272"/>
    <s v="CUST1272"/>
    <n v="28"/>
    <s v="PROD472"/>
    <x v="1"/>
    <x v="238"/>
    <s v="3/27/2023"/>
    <n v="3"/>
    <x v="0"/>
    <d v="2024-07-05T00:00:00"/>
    <s v=" $238.30 "/>
    <n v="8"/>
    <n v="41"/>
    <s v="Clothing"/>
    <s v="Vacuum Cleaner"/>
    <x v="1"/>
    <x v="0"/>
    <n v="1906.4"/>
    <s v="Misaligned"/>
    <x v="2"/>
    <s v="High Value Tier"/>
    <x v="0"/>
  </r>
  <r>
    <s v="ORD5273"/>
    <s v="CUST1273"/>
    <n v="53"/>
    <s v="PROD473"/>
    <x v="2"/>
    <x v="239"/>
    <d v="2023-06-03T00:00:00"/>
    <n v="1"/>
    <x v="0"/>
    <s v="8/18/2023"/>
    <s v=" $247.28 "/>
    <n v="6"/>
    <n v="49"/>
    <s v="Sports"/>
    <s v="Moisturizer"/>
    <x v="3"/>
    <x v="0"/>
    <n v="1483.68"/>
    <s v="Misaligned"/>
    <x v="1"/>
    <s v="High Value Tier"/>
    <x v="0"/>
  </r>
  <r>
    <s v="ORD5274"/>
    <s v="CUST1274"/>
    <n v="61"/>
    <s v="PROD474"/>
    <x v="1"/>
    <x v="240"/>
    <s v="2/18/2022"/>
    <n v="0"/>
    <x v="0"/>
    <s v="12/29/2022"/>
    <s v=" $341.04 "/>
    <n v="3"/>
    <n v="1"/>
    <s v="Beauty"/>
    <s v="Dining Table"/>
    <x v="1"/>
    <x v="0"/>
    <n v="1023.12"/>
    <s v="Misaligned"/>
    <x v="1"/>
    <s v="Core Tier"/>
    <x v="0"/>
  </r>
  <r>
    <s v="ORD5275"/>
    <s v="CUST1275"/>
    <n v="53"/>
    <s v="PROD475"/>
    <x v="4"/>
    <x v="241"/>
    <s v="4/21/2022"/>
    <n v="3"/>
    <x v="0"/>
    <d v="2022-06-09T00:00:00"/>
    <s v=" $730.44 "/>
    <n v="2"/>
    <n v="46"/>
    <s v="Clothing"/>
    <s v="Moisturizer"/>
    <x v="3"/>
    <x v="0"/>
    <n v="1460.88"/>
    <s v="Misaligned"/>
    <x v="1"/>
    <s v="High Value Tier"/>
    <x v="0"/>
  </r>
  <r>
    <s v="ORD5276"/>
    <s v="CUST1276"/>
    <n v="59"/>
    <s v="PROD476"/>
    <x v="5"/>
    <x v="242"/>
    <s v="8/22/2024"/>
    <n v="3"/>
    <x v="1"/>
    <s v="2/13/2023"/>
    <s v=" $14.55 "/>
    <n v="8"/>
    <n v="12"/>
    <s v="Home"/>
    <s v="Headphones"/>
    <x v="4"/>
    <x v="0"/>
    <n v="116.4"/>
    <s v="Misaligned"/>
    <x v="1"/>
    <s v="Core Tier"/>
    <x v="0"/>
  </r>
  <r>
    <s v="ORD5277"/>
    <s v="CUST1277"/>
    <n v="33"/>
    <s v="PROD477"/>
    <x v="3"/>
    <x v="243"/>
    <s v="5/18/2024"/>
    <n v="4"/>
    <x v="0"/>
    <s v="1/23/2025"/>
    <s v=" $224.89 "/>
    <n v="6"/>
    <n v="30"/>
    <s v="Electronics"/>
    <s v="Dining Table"/>
    <x v="1"/>
    <x v="0"/>
    <n v="1349.34"/>
    <s v="Misaligned"/>
    <x v="2"/>
    <s v="High Value Tier"/>
    <x v="3"/>
  </r>
  <r>
    <s v="ORD5278"/>
    <s v="CUST1278"/>
    <n v="53"/>
    <s v="PROD478"/>
    <x v="5"/>
    <x v="172"/>
    <s v="4/18/2025"/>
    <n v="0"/>
    <x v="2"/>
    <d v="2024-05-09T00:00:00"/>
    <s v=" $244.49 "/>
    <n v="7"/>
    <n v="41"/>
    <s v="Sports"/>
    <s v="Bluetooth Speaker"/>
    <x v="4"/>
    <x v="0"/>
    <n v="1711.43"/>
    <s v="Misaligned"/>
    <x v="1"/>
    <s v="High Value Tier"/>
    <x v="1"/>
  </r>
  <r>
    <s v="ORD5279"/>
    <s v="CUST1279"/>
    <n v="47"/>
    <s v="PROD479"/>
    <x v="4"/>
    <x v="244"/>
    <d v="2023-09-09T00:00:00"/>
    <n v="4"/>
    <x v="1"/>
    <s v="12/22/2023"/>
    <s v=" $284.09 "/>
    <n v="2"/>
    <n v="49"/>
    <s v="Sports"/>
    <s v="Running Shoes"/>
    <x v="0"/>
    <x v="1"/>
    <n v="568.17999999999995"/>
    <s v="Aligned"/>
    <x v="0"/>
    <s v="High Value Tier"/>
    <x v="0"/>
  </r>
  <r>
    <s v="ORD5280"/>
    <s v="CUST1280"/>
    <n v="52"/>
    <s v="PROD480"/>
    <x v="0"/>
    <x v="91"/>
    <d v="2023-05-06T00:00:00"/>
    <n v="5"/>
    <x v="0"/>
    <s v="7/15/2023"/>
    <s v=" $239.57 "/>
    <n v="4"/>
    <n v="14"/>
    <s v="Clothing"/>
    <s v="Bluetooth Speaker"/>
    <x v="4"/>
    <x v="1"/>
    <n v="958.28"/>
    <s v="Misaligned"/>
    <x v="1"/>
    <s v="High Value Tier"/>
    <x v="3"/>
  </r>
  <r>
    <s v="ORD5281"/>
    <s v="CUST1281"/>
    <n v="59"/>
    <s v="PROD481"/>
    <x v="5"/>
    <x v="82"/>
    <d v="2021-03-08T00:00:00"/>
    <n v="0"/>
    <x v="1"/>
    <s v="8/16/2021"/>
    <s v=" $102.62 "/>
    <n v="3"/>
    <n v="23"/>
    <s v="Home"/>
    <s v="Yoga Mat"/>
    <x v="0"/>
    <x v="0"/>
    <n v="307.86"/>
    <s v="Misaligned"/>
    <x v="1"/>
    <s v="High Value Tier"/>
    <x v="0"/>
  </r>
  <r>
    <s v="ORD5282"/>
    <s v="CUST1282"/>
    <n v="63"/>
    <s v="PROD482"/>
    <x v="2"/>
    <x v="26"/>
    <d v="2025-09-08T00:00:00"/>
    <n v="2"/>
    <x v="0"/>
    <d v="2023-12-06T00:00:00"/>
    <s v=" $26.61 "/>
    <n v="8"/>
    <n v="28"/>
    <s v="Sports"/>
    <s v="Headphones"/>
    <x v="4"/>
    <x v="1"/>
    <n v="212.88"/>
    <s v="Misaligned"/>
    <x v="1"/>
    <s v="High Value Tier"/>
    <x v="0"/>
  </r>
  <r>
    <s v="ORD5283"/>
    <s v="CUST1283"/>
    <n v="29"/>
    <s v="PROD483"/>
    <x v="0"/>
    <x v="245"/>
    <s v="10/23/2021"/>
    <n v="4"/>
    <x v="0"/>
    <d v="2024-08-02T00:00:00"/>
    <s v=" $281.71 "/>
    <n v="5"/>
    <n v="28"/>
    <s v="Sports"/>
    <s v="Camera"/>
    <x v="4"/>
    <x v="1"/>
    <n v="1408.55"/>
    <s v="Misaligned"/>
    <x v="2"/>
    <s v="High Value Tier"/>
    <x v="3"/>
  </r>
  <r>
    <s v="ORD5284"/>
    <s v="CUST1284"/>
    <n v="45"/>
    <s v="PROD484"/>
    <x v="4"/>
    <x v="246"/>
    <d v="2025-10-08T00:00:00"/>
    <n v="1"/>
    <x v="2"/>
    <d v="2021-03-01T00:00:00"/>
    <s v=" $498.41 "/>
    <n v="3"/>
    <n v="23"/>
    <s v="Clothing"/>
    <s v="Hoodie"/>
    <x v="2"/>
    <x v="1"/>
    <n v="1495.23"/>
    <s v="Aligned"/>
    <x v="0"/>
    <s v="High Value Tier"/>
    <x v="1"/>
  </r>
  <r>
    <s v="ORD5285"/>
    <s v="CUST1285"/>
    <n v="54"/>
    <s v="PROD485"/>
    <x v="3"/>
    <x v="247"/>
    <s v="5/29/2023"/>
    <n v="3"/>
    <x v="1"/>
    <d v="2023-09-10T00:00:00"/>
    <s v=" $150.77 "/>
    <n v="7"/>
    <n v="39"/>
    <s v="Clothing"/>
    <s v="Jacket"/>
    <x v="2"/>
    <x v="0"/>
    <n v="1055.3900000000001"/>
    <s v="Aligned"/>
    <x v="1"/>
    <s v="High Value Tier"/>
    <x v="0"/>
  </r>
  <r>
    <s v="ORD5286"/>
    <s v="CUST1286"/>
    <n v="28"/>
    <s v="PROD486"/>
    <x v="5"/>
    <x v="248"/>
    <d v="2024-07-01T00:00:00"/>
    <n v="2"/>
    <x v="2"/>
    <s v="7/13/2025"/>
    <s v=" $112.52 "/>
    <n v="7"/>
    <n v="24"/>
    <s v="Home"/>
    <s v="Jacket"/>
    <x v="2"/>
    <x v="1"/>
    <n v="787.64"/>
    <s v="Misaligned"/>
    <x v="2"/>
    <s v="High Value Tier"/>
    <x v="1"/>
  </r>
  <r>
    <s v="ORD5287"/>
    <s v="CUST1287"/>
    <n v="45"/>
    <s v="PROD487"/>
    <x v="5"/>
    <x v="54"/>
    <s v="7/29/2025"/>
    <n v="3"/>
    <x v="0"/>
    <d v="2022-09-09T00:00:00"/>
    <s v=" $194.81 "/>
    <n v="9"/>
    <n v="15"/>
    <s v="Electronics"/>
    <s v="Vacuum Cleaner"/>
    <x v="1"/>
    <x v="0"/>
    <n v="1753.29"/>
    <s v="Misaligned"/>
    <x v="0"/>
    <s v="High Value Tier"/>
    <x v="0"/>
  </r>
  <r>
    <s v="ORD5288"/>
    <s v="CUST1288"/>
    <n v="28"/>
    <s v="PROD488"/>
    <x v="2"/>
    <x v="11"/>
    <d v="2024-07-04T00:00:00"/>
    <n v="1"/>
    <x v="0"/>
    <d v="2025-11-01T00:00:00"/>
    <s v=" $209.41 "/>
    <n v="5"/>
    <n v="8"/>
    <s v="Sports"/>
    <s v="Perfume"/>
    <x v="3"/>
    <x v="1"/>
    <n v="1047.05"/>
    <s v="Misaligned"/>
    <x v="2"/>
    <s v="High Value Tier"/>
    <x v="0"/>
  </r>
  <r>
    <s v="ORD5289"/>
    <s v="CUST1289"/>
    <n v="29"/>
    <s v="PROD489"/>
    <x v="1"/>
    <x v="249"/>
    <s v="12/23/2021"/>
    <n v="0"/>
    <x v="1"/>
    <s v="12/15/2021"/>
    <s v=" $494.41 "/>
    <n v="2"/>
    <n v="22"/>
    <s v="Electronics"/>
    <s v="Shampoo"/>
    <x v="3"/>
    <x v="2"/>
    <n v="988.82"/>
    <s v="Misaligned"/>
    <x v="2"/>
    <s v="High Value Tier"/>
    <x v="0"/>
  </r>
  <r>
    <s v="ORD5290"/>
    <s v="CUST1290"/>
    <n v="47"/>
    <s v="PROD490"/>
    <x v="2"/>
    <x v="250"/>
    <d v="2025-05-04T00:00:00"/>
    <n v="2"/>
    <x v="0"/>
    <d v="2023-01-04T00:00:00"/>
    <s v=" $187.03 "/>
    <n v="5"/>
    <n v="7"/>
    <s v="Beauty"/>
    <s v="Lamp"/>
    <x v="1"/>
    <x v="1"/>
    <n v="935.15"/>
    <s v="Misaligned"/>
    <x v="0"/>
    <s v="High Value Tier"/>
    <x v="0"/>
  </r>
  <r>
    <s v="ORD5291"/>
    <s v="CUST1291"/>
    <n v="41"/>
    <s v="PROD491"/>
    <x v="4"/>
    <x v="251"/>
    <s v="7/28/2023"/>
    <n v="4"/>
    <x v="0"/>
    <s v="10/29/2024"/>
    <s v=" $314.88 "/>
    <n v="4"/>
    <n v="47"/>
    <s v="Sports"/>
    <s v="Football"/>
    <x v="0"/>
    <x v="0"/>
    <n v="1259.52"/>
    <s v="Aligned"/>
    <x v="0"/>
    <s v="High Value Tier"/>
    <x v="3"/>
  </r>
  <r>
    <s v="ORD5292"/>
    <s v="CUST1292"/>
    <n v="37"/>
    <s v="PROD492"/>
    <x v="3"/>
    <x v="252"/>
    <s v="12/16/2021"/>
    <n v="5"/>
    <x v="1"/>
    <d v="2024-01-07T00:00:00"/>
    <s v=" $233.87 "/>
    <n v="5"/>
    <n v="19"/>
    <s v="Clothing"/>
    <s v="Laptop"/>
    <x v="4"/>
    <x v="1"/>
    <n v="1169.3499999999999"/>
    <s v="Misaligned"/>
    <x v="0"/>
    <s v="High Value Tier"/>
    <x v="0"/>
  </r>
  <r>
    <s v="ORD5293"/>
    <s v="CUST1293"/>
    <n v="58"/>
    <s v="PROD493"/>
    <x v="5"/>
    <x v="203"/>
    <s v="1/16/2023"/>
    <n v="4"/>
    <x v="0"/>
    <s v="4/23/2023"/>
    <s v=" $171.07 "/>
    <n v="6"/>
    <n v="6"/>
    <s v="Sports"/>
    <s v="Cycling Helmet"/>
    <x v="0"/>
    <x v="1"/>
    <n v="1026.42"/>
    <s v="Aligned"/>
    <x v="1"/>
    <s v="High Value Tier"/>
    <x v="3"/>
  </r>
  <r>
    <s v="ORD5294"/>
    <s v="CUST1294"/>
    <n v="38"/>
    <s v="PROD494"/>
    <x v="0"/>
    <x v="52"/>
    <d v="2021-08-09T00:00:00"/>
    <n v="5"/>
    <x v="0"/>
    <s v="6/20/2025"/>
    <s v=" $155.44 "/>
    <n v="5"/>
    <n v="29"/>
    <s v="Electronics"/>
    <s v="Moisturizer"/>
    <x v="3"/>
    <x v="1"/>
    <n v="777.2"/>
    <s v="Misaligned"/>
    <x v="0"/>
    <s v="High Value Tier"/>
    <x v="3"/>
  </r>
  <r>
    <s v="ORD5295"/>
    <s v="CUST1295"/>
    <n v="68"/>
    <s v="PROD495"/>
    <x v="5"/>
    <x v="253"/>
    <d v="2025-06-05T00:00:00"/>
    <n v="0"/>
    <x v="0"/>
    <s v="7/23/2023"/>
    <s v=" $789.50 "/>
    <n v="2"/>
    <n v="14"/>
    <s v="Beauty"/>
    <s v="Shampoo"/>
    <x v="3"/>
    <x v="1"/>
    <n v="1579"/>
    <s v="Aligned"/>
    <x v="4"/>
    <s v="High Value Tier"/>
    <x v="0"/>
  </r>
  <r>
    <s v="ORD5296"/>
    <s v="CUST1296"/>
    <n v="38"/>
    <s v="PROD496"/>
    <x v="5"/>
    <x v="22"/>
    <d v="2025-09-06T00:00:00"/>
    <n v="2"/>
    <x v="0"/>
    <s v="1/25/2024"/>
    <s v=" $232.75 "/>
    <n v="8"/>
    <n v="5"/>
    <s v="Beauty"/>
    <s v="Smartwatch"/>
    <x v="4"/>
    <x v="0"/>
    <n v="1862"/>
    <s v="Misaligned"/>
    <x v="0"/>
    <s v="High Value Tier"/>
    <x v="0"/>
  </r>
  <r>
    <s v="ORD5297"/>
    <s v="CUST1297"/>
    <n v="66"/>
    <s v="PROD497"/>
    <x v="2"/>
    <x v="197"/>
    <s v="8/21/2024"/>
    <n v="5"/>
    <x v="2"/>
    <s v="11/16/2022"/>
    <s v=" $1,786.22 "/>
    <n v="1"/>
    <n v="2"/>
    <s v="Home"/>
    <s v="Dress"/>
    <x v="2"/>
    <x v="1"/>
    <n v="1786.22"/>
    <s v="Misaligned"/>
    <x v="4"/>
    <s v="High Value Tier"/>
    <x v="1"/>
  </r>
  <r>
    <s v="ORD5298"/>
    <s v="CUST1298"/>
    <n v="42"/>
    <s v="PROD498"/>
    <x v="1"/>
    <x v="254"/>
    <d v="2023-12-05T00:00:00"/>
    <n v="3"/>
    <x v="1"/>
    <d v="2023-09-08T00:00:00"/>
    <s v=" $216.99 "/>
    <n v="8"/>
    <n v="15"/>
    <s v="Clothing"/>
    <s v="T-Shirt"/>
    <x v="2"/>
    <x v="0"/>
    <n v="1735.92"/>
    <s v="Aligned"/>
    <x v="0"/>
    <s v="High Value Tier"/>
    <x v="0"/>
  </r>
  <r>
    <s v="ORD5299"/>
    <s v="CUST1299"/>
    <n v="45"/>
    <s v="PROD499"/>
    <x v="2"/>
    <x v="255"/>
    <s v="12/31/2023"/>
    <n v="5"/>
    <x v="1"/>
    <s v="4/16/2025"/>
    <s v=" $10.88 "/>
    <n v="9"/>
    <n v="38"/>
    <s v="Electronics"/>
    <s v="Camera"/>
    <x v="4"/>
    <x v="1"/>
    <n v="97.92"/>
    <s v="Aligned"/>
    <x v="0"/>
    <s v="High Value Tier"/>
    <x v="0"/>
  </r>
  <r>
    <s v="ORD5300"/>
    <s v="CUST1300"/>
    <n v="19"/>
    <s v="PROD500"/>
    <x v="0"/>
    <x v="98"/>
    <d v="2024-02-11T00:00:00"/>
    <n v="1"/>
    <x v="0"/>
    <d v="2023-05-11T00:00:00"/>
    <s v=" $1,226.18 "/>
    <n v="1"/>
    <n v="25"/>
    <s v="Sports"/>
    <s v="Conditioner"/>
    <x v="3"/>
    <x v="0"/>
    <n v="1226.18"/>
    <s v="Misaligned"/>
    <x v="3"/>
    <s v="High Value Tier"/>
    <x v="0"/>
  </r>
  <r>
    <s v="ORD5301"/>
    <s v="CUST1301"/>
    <n v="65"/>
    <s v="PROD501"/>
    <x v="1"/>
    <x v="256"/>
    <s v="3/26/2024"/>
    <n v="2"/>
    <x v="0"/>
    <s v="12/15/2024"/>
    <s v=" $460.02 "/>
    <n v="4"/>
    <n v="7"/>
    <s v="Electronics"/>
    <s v="Sofa"/>
    <x v="1"/>
    <x v="0"/>
    <n v="1840.08"/>
    <s v="Misaligned"/>
    <x v="4"/>
    <s v="High Value Tier"/>
    <x v="0"/>
  </r>
  <r>
    <s v="ORD5302"/>
    <s v="CUST1302"/>
    <n v="55"/>
    <s v="PROD502"/>
    <x v="1"/>
    <x v="257"/>
    <s v="8/28/2023"/>
    <n v="3"/>
    <x v="2"/>
    <s v="3/22/2025"/>
    <s v=" $217.30 "/>
    <n v="7"/>
    <n v="21"/>
    <s v="Home"/>
    <s v="Cricket Bat"/>
    <x v="0"/>
    <x v="0"/>
    <n v="1521.1"/>
    <s v="Misaligned"/>
    <x v="1"/>
    <s v="High Value Tier"/>
    <x v="1"/>
  </r>
  <r>
    <s v="ORD5303"/>
    <s v="CUST1303"/>
    <n v="45"/>
    <s v="PROD503"/>
    <x v="4"/>
    <x v="190"/>
    <s v="6/28/2024"/>
    <n v="1"/>
    <x v="1"/>
    <s v="8/19/2024"/>
    <s v=" $120.62 "/>
    <n v="5"/>
    <n v="11"/>
    <s v="Electronics"/>
    <s v="Gaming Console"/>
    <x v="4"/>
    <x v="0"/>
    <n v="603.1"/>
    <s v="Aligned"/>
    <x v="0"/>
    <s v="High Value Tier"/>
    <x v="0"/>
  </r>
  <r>
    <s v="ORD5304"/>
    <s v="CUST1304"/>
    <n v="35"/>
    <s v="PROD504"/>
    <x v="3"/>
    <x v="258"/>
    <d v="2023-08-06T00:00:00"/>
    <n v="5"/>
    <x v="0"/>
    <s v="7/15/2022"/>
    <s v=" $90.23 "/>
    <n v="4"/>
    <n v="6"/>
    <s v="Electronics"/>
    <s v="Smartwatch"/>
    <x v="4"/>
    <x v="1"/>
    <n v="360.92"/>
    <s v="Aligned"/>
    <x v="0"/>
    <s v="Core Tier"/>
    <x v="3"/>
  </r>
  <r>
    <s v="ORD5305"/>
    <s v="CUST1305"/>
    <n v="26"/>
    <s v="PROD505"/>
    <x v="4"/>
    <x v="259"/>
    <s v="10/30/2022"/>
    <n v="3"/>
    <x v="0"/>
    <s v="9/21/2024"/>
    <s v=" $737.62 "/>
    <n v="2"/>
    <n v="31"/>
    <s v="Sports"/>
    <s v="Smartwatch"/>
    <x v="4"/>
    <x v="1"/>
    <n v="1475.24"/>
    <s v="Misaligned"/>
    <x v="2"/>
    <s v="High Value Tier"/>
    <x v="0"/>
  </r>
  <r>
    <s v="ORD5306"/>
    <s v="CUST1306"/>
    <n v="56"/>
    <s v="PROD506"/>
    <x v="1"/>
    <x v="260"/>
    <s v="4/29/2023"/>
    <n v="4"/>
    <x v="0"/>
    <s v="8/22/2023"/>
    <s v=" $658.94 "/>
    <n v="2"/>
    <n v="47"/>
    <s v="Electronics"/>
    <s v="Smartphone"/>
    <x v="4"/>
    <x v="0"/>
    <n v="1317.88"/>
    <s v="Aligned"/>
    <x v="1"/>
    <s v="High Value Tier"/>
    <x v="3"/>
  </r>
  <r>
    <s v="ORD5307"/>
    <s v="CUST1307"/>
    <n v="40"/>
    <s v="PROD507"/>
    <x v="0"/>
    <x v="261"/>
    <d v="2022-05-06T00:00:00"/>
    <n v="0"/>
    <x v="2"/>
    <s v="8/21/2024"/>
    <s v=" $121.19 "/>
    <n v="3"/>
    <n v="20"/>
    <s v="Clothing"/>
    <s v="Face Wash"/>
    <x v="3"/>
    <x v="1"/>
    <n v="363.57"/>
    <s v="Misaligned"/>
    <x v="0"/>
    <s v="High Value Tier"/>
    <x v="1"/>
  </r>
  <r>
    <s v="ORD5308"/>
    <s v="CUST1308"/>
    <n v="57"/>
    <s v="PROD508"/>
    <x v="4"/>
    <x v="249"/>
    <s v="12/14/2021"/>
    <n v="4"/>
    <x v="0"/>
    <d v="2024-01-01T00:00:00"/>
    <s v=" $583.41 "/>
    <n v="3"/>
    <n v="49"/>
    <s v="Home"/>
    <s v="Dumbbells"/>
    <x v="0"/>
    <x v="1"/>
    <n v="1750.23"/>
    <s v="Misaligned"/>
    <x v="1"/>
    <s v="High Value Tier"/>
    <x v="3"/>
  </r>
  <r>
    <s v="ORD5309"/>
    <s v="CUST1309"/>
    <n v="57"/>
    <s v="PROD509"/>
    <x v="5"/>
    <x v="262"/>
    <s v="10/26/2024"/>
    <n v="3"/>
    <x v="0"/>
    <s v="4/29/2023"/>
    <s v=" $242.39 "/>
    <n v="6"/>
    <n v="20"/>
    <s v="Clothing"/>
    <s v="Cricket Bat"/>
    <x v="0"/>
    <x v="0"/>
    <n v="1454.34"/>
    <s v="Misaligned"/>
    <x v="1"/>
    <s v="High Value Tier"/>
    <x v="0"/>
  </r>
  <r>
    <s v="ORD5310"/>
    <s v="CUST1310"/>
    <n v="21"/>
    <s v="PROD510"/>
    <x v="4"/>
    <x v="263"/>
    <s v="1/22/2023"/>
    <n v="4"/>
    <x v="1"/>
    <s v="10/16/2023"/>
    <s v=" $84.73 "/>
    <n v="7"/>
    <n v="6"/>
    <s v="Sports"/>
    <s v="Camera"/>
    <x v="4"/>
    <x v="0"/>
    <n v="593.11"/>
    <s v="Misaligned"/>
    <x v="3"/>
    <s v="High Value Tier"/>
    <x v="0"/>
  </r>
  <r>
    <s v="ORD5311"/>
    <s v="CUST1311"/>
    <n v="31"/>
    <s v="PROD511"/>
    <x v="4"/>
    <x v="264"/>
    <s v="8/28/2021"/>
    <n v="3"/>
    <x v="2"/>
    <s v="6/21/2024"/>
    <s v=" $399.32 "/>
    <n v="4"/>
    <n v="25"/>
    <s v="Sports"/>
    <s v="Cricket Bat"/>
    <x v="0"/>
    <x v="0"/>
    <n v="1597.28"/>
    <s v="Aligned"/>
    <x v="2"/>
    <s v="High Value Tier"/>
    <x v="1"/>
  </r>
  <r>
    <s v="ORD5312"/>
    <s v="CUST1312"/>
    <n v="52"/>
    <s v="PROD512"/>
    <x v="5"/>
    <x v="265"/>
    <s v="10/27/2024"/>
    <n v="0"/>
    <x v="0"/>
    <d v="2023-05-09T00:00:00"/>
    <s v=" $96.56 "/>
    <n v="7"/>
    <n v="49"/>
    <s v="Home"/>
    <s v="Microwave"/>
    <x v="1"/>
    <x v="0"/>
    <n v="675.92"/>
    <s v="Aligned"/>
    <x v="1"/>
    <s v="High Value Tier"/>
    <x v="0"/>
  </r>
  <r>
    <s v="ORD5313"/>
    <s v="CUST1313"/>
    <n v="27"/>
    <s v="PROD513"/>
    <x v="2"/>
    <x v="266"/>
    <s v="10/29/2023"/>
    <n v="4"/>
    <x v="0"/>
    <s v="11/25/2023"/>
    <s v=" $211.81 "/>
    <n v="6"/>
    <n v="30"/>
    <s v="Clothing"/>
    <s v="Shirt"/>
    <x v="2"/>
    <x v="2"/>
    <n v="1270.8599999999999"/>
    <s v="Aligned"/>
    <x v="2"/>
    <s v="High Value Tier"/>
    <x v="3"/>
  </r>
  <r>
    <s v="ORD5314"/>
    <s v="CUST1314"/>
    <n v="32"/>
    <s v="PROD514"/>
    <x v="0"/>
    <x v="267"/>
    <d v="2025-03-02T00:00:00"/>
    <n v="1"/>
    <x v="0"/>
    <s v="8/25/2024"/>
    <s v=" $227.67 "/>
    <n v="5"/>
    <n v="15"/>
    <s v="Clothing"/>
    <s v="Smartwatch"/>
    <x v="4"/>
    <x v="1"/>
    <n v="1138.3499999999999"/>
    <s v="Misaligned"/>
    <x v="2"/>
    <s v="High Value Tier"/>
    <x v="0"/>
  </r>
  <r>
    <s v="ORD5315"/>
    <s v="CUST1315"/>
    <n v="55"/>
    <s v="PROD515"/>
    <x v="2"/>
    <x v="268"/>
    <s v="8/28/2024"/>
    <n v="5"/>
    <x v="1"/>
    <s v="12/27/2022"/>
    <s v=" $65.36 "/>
    <n v="3"/>
    <n v="49"/>
    <s v="Clothing"/>
    <s v="Perfume"/>
    <x v="3"/>
    <x v="1"/>
    <n v="196.08"/>
    <s v="Misaligned"/>
    <x v="1"/>
    <s v="High Value Tier"/>
    <x v="0"/>
  </r>
  <r>
    <s v="ORD5316"/>
    <s v="CUST1316"/>
    <n v="37"/>
    <s v="PROD516"/>
    <x v="0"/>
    <x v="269"/>
    <s v="10/23/2023"/>
    <n v="2"/>
    <x v="1"/>
    <s v="9/18/2022"/>
    <s v=" $51.02 "/>
    <n v="6"/>
    <n v="32"/>
    <s v="Sports"/>
    <s v="Nail Polish"/>
    <x v="3"/>
    <x v="0"/>
    <n v="306.12"/>
    <s v="Misaligned"/>
    <x v="0"/>
    <s v="High Value Tier"/>
    <x v="0"/>
  </r>
  <r>
    <s v="ORD5317"/>
    <s v="CUST1317"/>
    <n v="19"/>
    <s v="PROD517"/>
    <x v="4"/>
    <x v="40"/>
    <s v="9/16/2023"/>
    <n v="4"/>
    <x v="0"/>
    <s v="8/27/2024"/>
    <s v=" $462.30 "/>
    <n v="2"/>
    <n v="6"/>
    <s v="Sports"/>
    <s v="Blender"/>
    <x v="1"/>
    <x v="0"/>
    <n v="924.6"/>
    <s v="Misaligned"/>
    <x v="3"/>
    <s v="High Value Tier"/>
    <x v="3"/>
  </r>
  <r>
    <s v="ORD5318"/>
    <s v="CUST1318"/>
    <n v="59"/>
    <s v="PROD518"/>
    <x v="1"/>
    <x v="270"/>
    <d v="2023-09-12T00:00:00"/>
    <n v="1"/>
    <x v="1"/>
    <s v="4/27/2023"/>
    <s v=" $126.46 "/>
    <n v="9"/>
    <n v="48"/>
    <s v="Sports"/>
    <s v="Perfume"/>
    <x v="3"/>
    <x v="0"/>
    <n v="1138.1400000000001"/>
    <s v="Misaligned"/>
    <x v="1"/>
    <s v="High Value Tier"/>
    <x v="0"/>
  </r>
  <r>
    <s v="ORD5319"/>
    <s v="CUST1319"/>
    <n v="67"/>
    <s v="PROD519"/>
    <x v="3"/>
    <x v="200"/>
    <s v="7/22/2024"/>
    <n v="4"/>
    <x v="1"/>
    <s v="10/27/2024"/>
    <s v=" $65.20 "/>
    <n v="5"/>
    <n v="32"/>
    <s v="Sports"/>
    <s v="Dining Table"/>
    <x v="1"/>
    <x v="1"/>
    <n v="326"/>
    <s v="Misaligned"/>
    <x v="4"/>
    <s v="High Value Tier"/>
    <x v="0"/>
  </r>
  <r>
    <s v="ORD5320"/>
    <s v="CUST1320"/>
    <n v="31"/>
    <s v="PROD520"/>
    <x v="4"/>
    <x v="271"/>
    <s v="9/24/2023"/>
    <n v="2"/>
    <x v="2"/>
    <s v="12/27/2024"/>
    <s v=" $116.64 "/>
    <n v="4"/>
    <n v="46"/>
    <s v="Clothing"/>
    <s v="Cricket Bat"/>
    <x v="0"/>
    <x v="0"/>
    <n v="466.56"/>
    <s v="Misaligned"/>
    <x v="2"/>
    <s v="High Value Tier"/>
    <x v="1"/>
  </r>
  <r>
    <s v="ORD5321"/>
    <s v="CUST1321"/>
    <n v="19"/>
    <s v="PROD521"/>
    <x v="1"/>
    <x v="131"/>
    <d v="2024-05-10T00:00:00"/>
    <n v="0"/>
    <x v="0"/>
    <d v="2023-01-12T00:00:00"/>
    <s v=" $140.63 "/>
    <n v="6"/>
    <n v="23"/>
    <s v="Electronics"/>
    <s v="Microwave"/>
    <x v="1"/>
    <x v="1"/>
    <n v="843.78"/>
    <s v="Misaligned"/>
    <x v="3"/>
    <s v="High Value Tier"/>
    <x v="0"/>
  </r>
  <r>
    <s v="ORD5322"/>
    <s v="CUST1322"/>
    <n v="41"/>
    <s v="PROD522"/>
    <x v="3"/>
    <x v="272"/>
    <d v="2022-04-12T00:00:00"/>
    <n v="5"/>
    <x v="1"/>
    <d v="2025-03-04T00:00:00"/>
    <s v=" $152.53 "/>
    <n v="4"/>
    <n v="49"/>
    <s v="Clothing"/>
    <s v="Bluetooth Speaker"/>
    <x v="4"/>
    <x v="0"/>
    <n v="610.12"/>
    <s v="Misaligned"/>
    <x v="0"/>
    <s v="High Value Tier"/>
    <x v="0"/>
  </r>
  <r>
    <s v="ORD5323"/>
    <s v="CUST1323"/>
    <n v="59"/>
    <s v="PROD523"/>
    <x v="2"/>
    <x v="273"/>
    <s v="8/19/2024"/>
    <n v="3"/>
    <x v="0"/>
    <s v="3/30/2024"/>
    <s v=" $285.44 "/>
    <n v="7"/>
    <n v="46"/>
    <s v="Home"/>
    <s v="Dumbbells"/>
    <x v="0"/>
    <x v="0"/>
    <n v="1998.08"/>
    <s v="Misaligned"/>
    <x v="1"/>
    <s v="High Value Tier"/>
    <x v="0"/>
  </r>
  <r>
    <s v="ORD5324"/>
    <s v="CUST1324"/>
    <n v="61"/>
    <s v="PROD524"/>
    <x v="3"/>
    <x v="274"/>
    <s v="8/20/2023"/>
    <n v="5"/>
    <x v="0"/>
    <d v="2024-11-01T00:00:00"/>
    <s v=" $136.30 "/>
    <n v="3"/>
    <n v="29"/>
    <s v="Beauty"/>
    <s v="Perfume"/>
    <x v="3"/>
    <x v="1"/>
    <n v="408.9"/>
    <s v="Aligned"/>
    <x v="1"/>
    <s v="High Value Tier"/>
    <x v="3"/>
  </r>
  <r>
    <s v="ORD5325"/>
    <s v="CUST1325"/>
    <n v="46"/>
    <s v="PROD525"/>
    <x v="0"/>
    <x v="275"/>
    <d v="2024-01-10T00:00:00"/>
    <n v="4"/>
    <x v="1"/>
    <s v="4/28/2025"/>
    <s v=" $556.70 "/>
    <n v="2"/>
    <n v="39"/>
    <s v="Clothing"/>
    <s v="Gaming Console"/>
    <x v="4"/>
    <x v="2"/>
    <n v="1113.4000000000001"/>
    <s v="Misaligned"/>
    <x v="0"/>
    <s v="High Value Tier"/>
    <x v="0"/>
  </r>
  <r>
    <s v="ORD5326"/>
    <s v="CUST1326"/>
    <n v="19"/>
    <s v="PROD526"/>
    <x v="5"/>
    <x v="276"/>
    <s v="10/26/2024"/>
    <n v="2"/>
    <x v="0"/>
    <d v="2024-03-09T00:00:00"/>
    <s v=" $231.25 "/>
    <n v="6"/>
    <n v="39"/>
    <s v="Electronics"/>
    <s v="Jeans"/>
    <x v="2"/>
    <x v="0"/>
    <n v="1387.5"/>
    <s v="Misaligned"/>
    <x v="3"/>
    <s v="High Value Tier"/>
    <x v="0"/>
  </r>
  <r>
    <s v="ORD5327"/>
    <s v="CUST1327"/>
    <n v="44"/>
    <s v="PROD527"/>
    <x v="2"/>
    <x v="77"/>
    <s v="7/18/2022"/>
    <n v="4"/>
    <x v="0"/>
    <s v="4/15/2025"/>
    <s v=" $105.05 "/>
    <n v="6"/>
    <n v="15"/>
    <s v="Sports"/>
    <s v="Shampoo"/>
    <x v="3"/>
    <x v="0"/>
    <n v="630.29999999999995"/>
    <s v="Misaligned"/>
    <x v="0"/>
    <s v="High Value Tier"/>
    <x v="3"/>
  </r>
  <r>
    <s v="ORD5328"/>
    <s v="CUST1328"/>
    <n v="64"/>
    <s v="PROD528"/>
    <x v="2"/>
    <x v="277"/>
    <s v="8/30/2022"/>
    <n v="1"/>
    <x v="0"/>
    <s v="8/13/2025"/>
    <s v=" $11.73 "/>
    <n v="5"/>
    <n v="49"/>
    <s v="Home"/>
    <s v="Smartwatch"/>
    <x v="4"/>
    <x v="1"/>
    <n v="58.65"/>
    <s v="Misaligned"/>
    <x v="1"/>
    <s v="High Value Tier"/>
    <x v="0"/>
  </r>
  <r>
    <s v="ORD5329"/>
    <s v="CUST1329"/>
    <n v="66"/>
    <s v="PROD529"/>
    <x v="3"/>
    <x v="115"/>
    <s v="5/19/2022"/>
    <n v="0"/>
    <x v="0"/>
    <s v="9/25/2021"/>
    <s v=" $230.61 "/>
    <n v="8"/>
    <n v="9"/>
    <s v="Electronics"/>
    <s v="Basketball"/>
    <x v="0"/>
    <x v="0"/>
    <n v="1844.88"/>
    <s v="Misaligned"/>
    <x v="4"/>
    <s v="High Value Tier"/>
    <x v="0"/>
  </r>
  <r>
    <s v="ORD5330"/>
    <s v="CUST1330"/>
    <n v="60"/>
    <s v="PROD530"/>
    <x v="4"/>
    <x v="278"/>
    <d v="2023-08-04T00:00:00"/>
    <n v="2"/>
    <x v="0"/>
    <s v="7/17/2023"/>
    <s v=" $188.23 "/>
    <n v="8"/>
    <n v="13"/>
    <s v="Home"/>
    <s v="Tablet"/>
    <x v="4"/>
    <x v="0"/>
    <n v="1505.84"/>
    <s v="Misaligned"/>
    <x v="1"/>
    <s v="High Value Tier"/>
    <x v="0"/>
  </r>
  <r>
    <s v="ORD5331"/>
    <s v="CUST1331"/>
    <n v="36"/>
    <s v="PROD531"/>
    <x v="0"/>
    <x v="279"/>
    <s v="11/16/2023"/>
    <n v="0"/>
    <x v="0"/>
    <d v="2024-09-12T00:00:00"/>
    <s v=" $28.65 "/>
    <n v="6"/>
    <n v="27"/>
    <s v="Clothing"/>
    <s v="Vacuum Cleaner"/>
    <x v="1"/>
    <x v="0"/>
    <n v="171.9"/>
    <s v="Misaligned"/>
    <x v="0"/>
    <s v="High Value Tier"/>
    <x v="0"/>
  </r>
  <r>
    <s v="ORD5332"/>
    <s v="CUST1332"/>
    <n v="49"/>
    <s v="PROD532"/>
    <x v="0"/>
    <x v="280"/>
    <d v="2024-08-12T00:00:00"/>
    <n v="2"/>
    <x v="0"/>
    <s v="1/22/2024"/>
    <s v=" $175.42 "/>
    <n v="8"/>
    <n v="2"/>
    <s v="Home"/>
    <s v="Smartwatch"/>
    <x v="4"/>
    <x v="1"/>
    <n v="1403.36"/>
    <s v="Misaligned"/>
    <x v="0"/>
    <s v="High Value Tier"/>
    <x v="0"/>
  </r>
  <r>
    <s v="ORD5333"/>
    <s v="CUST1333"/>
    <n v="45"/>
    <s v="PROD533"/>
    <x v="2"/>
    <x v="164"/>
    <s v="2/19/2025"/>
    <n v="4"/>
    <x v="0"/>
    <s v="8/20/2023"/>
    <s v=" $180.09 "/>
    <n v="8"/>
    <n v="25"/>
    <s v="Beauty"/>
    <s v="Foundation"/>
    <x v="3"/>
    <x v="0"/>
    <n v="1440.72"/>
    <s v="Aligned"/>
    <x v="0"/>
    <s v="High Value Tier"/>
    <x v="3"/>
  </r>
  <r>
    <s v="ORD5334"/>
    <s v="CUST1334"/>
    <n v="54"/>
    <s v="PROD534"/>
    <x v="5"/>
    <x v="281"/>
    <s v="11/20/2024"/>
    <n v="4"/>
    <x v="0"/>
    <d v="2025-06-05T00:00:00"/>
    <s v=" $284.73 "/>
    <n v="7"/>
    <n v="47"/>
    <s v="Home"/>
    <s v="Blender"/>
    <x v="1"/>
    <x v="1"/>
    <n v="1993.11"/>
    <s v="Aligned"/>
    <x v="1"/>
    <s v="High Value Tier"/>
    <x v="3"/>
  </r>
  <r>
    <s v="ORD5335"/>
    <s v="CUST1335"/>
    <n v="22"/>
    <s v="PROD535"/>
    <x v="4"/>
    <x v="282"/>
    <s v="5/15/2022"/>
    <n v="0"/>
    <x v="1"/>
    <d v="2025-03-07T00:00:00"/>
    <s v=" $231.43 "/>
    <n v="3"/>
    <n v="38"/>
    <s v="Sports"/>
    <s v="Basketball"/>
    <x v="0"/>
    <x v="0"/>
    <n v="694.29"/>
    <s v="Aligned"/>
    <x v="3"/>
    <s v="High Value Tier"/>
    <x v="0"/>
  </r>
  <r>
    <s v="ORD5336"/>
    <s v="CUST1336"/>
    <n v="22"/>
    <s v="PROD536"/>
    <x v="5"/>
    <x v="283"/>
    <d v="2025-08-01T00:00:00"/>
    <n v="5"/>
    <x v="0"/>
    <d v="2023-07-09T00:00:00"/>
    <s v=" $137.29 "/>
    <n v="7"/>
    <n v="2"/>
    <s v="Clothing"/>
    <s v="Cricket Bat"/>
    <x v="0"/>
    <x v="0"/>
    <n v="961.03"/>
    <s v="Misaligned"/>
    <x v="3"/>
    <s v="Core Tier"/>
    <x v="3"/>
  </r>
  <r>
    <s v="ORD5337"/>
    <s v="CUST1337"/>
    <n v="22"/>
    <s v="PROD537"/>
    <x v="1"/>
    <x v="179"/>
    <d v="2024-04-12T00:00:00"/>
    <n v="0"/>
    <x v="2"/>
    <s v="2/21/2025"/>
    <s v=" $210.01 "/>
    <n v="7"/>
    <n v="9"/>
    <s v="Home"/>
    <s v="Shirt"/>
    <x v="2"/>
    <x v="0"/>
    <n v="1470.07"/>
    <s v="Misaligned"/>
    <x v="3"/>
    <s v="High Value Tier"/>
    <x v="1"/>
  </r>
  <r>
    <s v="ORD5338"/>
    <s v="CUST1338"/>
    <n v="45"/>
    <s v="PROD538"/>
    <x v="5"/>
    <x v="284"/>
    <s v="5/15/2024"/>
    <n v="3"/>
    <x v="2"/>
    <d v="2025-12-08T00:00:00"/>
    <s v=" $348.76 "/>
    <n v="4"/>
    <n v="16"/>
    <s v="Sports"/>
    <s v="Gaming Console"/>
    <x v="4"/>
    <x v="0"/>
    <n v="1395.04"/>
    <s v="Misaligned"/>
    <x v="0"/>
    <s v="High Value Tier"/>
    <x v="1"/>
  </r>
  <r>
    <s v="ORD5339"/>
    <s v="CUST1339"/>
    <n v="40"/>
    <s v="PROD539"/>
    <x v="5"/>
    <x v="285"/>
    <d v="2023-10-11T00:00:00"/>
    <n v="2"/>
    <x v="0"/>
    <s v="3/26/2023"/>
    <s v=" $219.21 "/>
    <n v="4"/>
    <n v="23"/>
    <s v="Home"/>
    <s v="Laptop"/>
    <x v="4"/>
    <x v="0"/>
    <n v="876.84"/>
    <s v="Misaligned"/>
    <x v="0"/>
    <s v="High Value Tier"/>
    <x v="0"/>
  </r>
  <r>
    <s v="ORD5340"/>
    <s v="CUST1340"/>
    <n v="21"/>
    <s v="PROD540"/>
    <x v="0"/>
    <x v="286"/>
    <s v="3/27/2025"/>
    <n v="1"/>
    <x v="0"/>
    <d v="2023-06-09T00:00:00"/>
    <s v=" $104.03 "/>
    <n v="7"/>
    <n v="27"/>
    <s v="Sports"/>
    <s v="Vacuum Cleaner"/>
    <x v="1"/>
    <x v="0"/>
    <n v="728.21"/>
    <s v="Misaligned"/>
    <x v="3"/>
    <s v="High Value Tier"/>
    <x v="0"/>
  </r>
  <r>
    <s v="ORD5341"/>
    <s v="CUST1341"/>
    <n v="27"/>
    <s v="PROD541"/>
    <x v="2"/>
    <x v="287"/>
    <s v="5/30/2022"/>
    <n v="2"/>
    <x v="0"/>
    <s v="6/14/2024"/>
    <s v=" $360.74 "/>
    <n v="5"/>
    <n v="10"/>
    <s v="Beauty"/>
    <s v="Face Wash"/>
    <x v="3"/>
    <x v="1"/>
    <n v="1803.7"/>
    <s v="Aligned"/>
    <x v="2"/>
    <s v="High Value Tier"/>
    <x v="0"/>
  </r>
  <r>
    <s v="ORD5342"/>
    <s v="CUST1342"/>
    <n v="57"/>
    <s v="PROD542"/>
    <x v="0"/>
    <x v="288"/>
    <s v="2/16/2022"/>
    <n v="1"/>
    <x v="0"/>
    <s v="10/26/2022"/>
    <s v=" $208.01 "/>
    <n v="8"/>
    <n v="44"/>
    <s v="Home"/>
    <s v="Blender"/>
    <x v="1"/>
    <x v="1"/>
    <n v="1664.08"/>
    <s v="Aligned"/>
    <x v="1"/>
    <s v="High Value Tier"/>
    <x v="0"/>
  </r>
  <r>
    <s v="ORD5343"/>
    <s v="CUST1343"/>
    <n v="59"/>
    <s v="PROD543"/>
    <x v="0"/>
    <x v="289"/>
    <s v="7/30/2023"/>
    <n v="5"/>
    <x v="0"/>
    <d v="2023-03-06T00:00:00"/>
    <s v=" $235.36 "/>
    <n v="5"/>
    <n v="30"/>
    <s v="Beauty"/>
    <s v="Camera"/>
    <x v="4"/>
    <x v="1"/>
    <n v="1176.8"/>
    <s v="Misaligned"/>
    <x v="1"/>
    <s v="High Value Tier"/>
    <x v="3"/>
  </r>
  <r>
    <s v="ORD5344"/>
    <s v="CUST1344"/>
    <n v="21"/>
    <s v="PROD544"/>
    <x v="1"/>
    <x v="290"/>
    <s v="6/23/2025"/>
    <n v="0"/>
    <x v="0"/>
    <s v="7/14/2025"/>
    <s v=" $6.45 "/>
    <n v="7"/>
    <n v="37"/>
    <s v="Clothing"/>
    <s v="Conditioner"/>
    <x v="3"/>
    <x v="1"/>
    <n v="45.15"/>
    <s v="Misaligned"/>
    <x v="3"/>
    <s v="Core Tier"/>
    <x v="0"/>
  </r>
  <r>
    <s v="ORD5345"/>
    <s v="CUST1345"/>
    <n v="35"/>
    <s v="PROD545"/>
    <x v="5"/>
    <x v="291"/>
    <d v="2022-09-12T00:00:00"/>
    <n v="4"/>
    <x v="0"/>
    <s v="12/30/2023"/>
    <s v=" $205.55 "/>
    <n v="2"/>
    <n v="15"/>
    <s v="Electronics"/>
    <s v="Laptop"/>
    <x v="4"/>
    <x v="1"/>
    <n v="411.1"/>
    <s v="Aligned"/>
    <x v="0"/>
    <s v="High Value Tier"/>
    <x v="3"/>
  </r>
  <r>
    <s v="ORD5346"/>
    <s v="CUST1346"/>
    <n v="37"/>
    <s v="PROD546"/>
    <x v="4"/>
    <x v="258"/>
    <d v="2022-05-12T00:00:00"/>
    <n v="2"/>
    <x v="0"/>
    <s v="12/23/2024"/>
    <s v=" $224.15 "/>
    <n v="1"/>
    <n v="7"/>
    <s v="Home"/>
    <s v="Smartwatch"/>
    <x v="4"/>
    <x v="0"/>
    <n v="224.15"/>
    <s v="Misaligned"/>
    <x v="0"/>
    <s v="Core Tier"/>
    <x v="0"/>
  </r>
  <r>
    <s v="ORD5347"/>
    <s v="CUST1347"/>
    <n v="26"/>
    <s v="PROD547"/>
    <x v="2"/>
    <x v="292"/>
    <d v="2024-02-01T00:00:00"/>
    <n v="1"/>
    <x v="0"/>
    <s v="4/26/2022"/>
    <s v=" $115.98 "/>
    <n v="2"/>
    <n v="4"/>
    <s v="Clothing"/>
    <s v="Blender"/>
    <x v="1"/>
    <x v="0"/>
    <n v="231.96"/>
    <s v="Misaligned"/>
    <x v="2"/>
    <s v="Core Tier"/>
    <x v="0"/>
  </r>
  <r>
    <s v="ORD5348"/>
    <s v="CUST1348"/>
    <n v="41"/>
    <s v="PROD548"/>
    <x v="4"/>
    <x v="293"/>
    <s v="8/19/2023"/>
    <n v="0"/>
    <x v="1"/>
    <s v="9/21/2023"/>
    <s v=" $26.33 "/>
    <n v="1"/>
    <n v="11"/>
    <s v="Sports"/>
    <s v="Laptop"/>
    <x v="4"/>
    <x v="1"/>
    <n v="26.33"/>
    <s v="Misaligned"/>
    <x v="0"/>
    <s v="Value Tier"/>
    <x v="0"/>
  </r>
  <r>
    <s v="ORD5349"/>
    <s v="CUST1349"/>
    <n v="43"/>
    <s v="PROD549"/>
    <x v="0"/>
    <x v="294"/>
    <s v="11/25/2024"/>
    <n v="1"/>
    <x v="0"/>
    <s v="9/14/2023"/>
    <s v=" $172.30 "/>
    <n v="6"/>
    <n v="8"/>
    <s v="Electronics"/>
    <s v="Basketball"/>
    <x v="0"/>
    <x v="1"/>
    <n v="1033.8"/>
    <s v="Misaligned"/>
    <x v="0"/>
    <s v="High Value Tier"/>
    <x v="0"/>
  </r>
  <r>
    <s v="ORD5350"/>
    <s v="CUST1350"/>
    <n v="61"/>
    <s v="PROD550"/>
    <x v="5"/>
    <x v="295"/>
    <s v="1/22/2024"/>
    <n v="3"/>
    <x v="0"/>
    <s v="3/16/2025"/>
    <s v=" $374.37 "/>
    <n v="5"/>
    <n v="36"/>
    <s v="Electronics"/>
    <s v="Blender"/>
    <x v="1"/>
    <x v="0"/>
    <n v="1871.85"/>
    <s v="Misaligned"/>
    <x v="1"/>
    <s v="High Value Tier"/>
    <x v="0"/>
  </r>
  <r>
    <s v="ORD5351"/>
    <s v="CUST1351"/>
    <n v="51"/>
    <s v="PROD551"/>
    <x v="2"/>
    <x v="296"/>
    <s v="2/17/2022"/>
    <n v="0"/>
    <x v="1"/>
    <s v="8/14/2025"/>
    <s v=" $296.71 "/>
    <n v="6"/>
    <n v="2"/>
    <s v="Beauty"/>
    <s v="Jeans"/>
    <x v="2"/>
    <x v="0"/>
    <n v="1780.26"/>
    <s v="Misaligned"/>
    <x v="1"/>
    <s v="High Value Tier"/>
    <x v="0"/>
  </r>
  <r>
    <s v="ORD5352"/>
    <s v="CUST1352"/>
    <n v="57"/>
    <s v="PROD552"/>
    <x v="1"/>
    <x v="297"/>
    <s v="8/14/2025"/>
    <n v="4"/>
    <x v="1"/>
    <s v="11/29/2024"/>
    <s v=" $575.92 "/>
    <n v="3"/>
    <n v="14"/>
    <s v="Clothing"/>
    <s v="Skirt"/>
    <x v="2"/>
    <x v="0"/>
    <n v="1727.76"/>
    <s v="Aligned"/>
    <x v="1"/>
    <s v="High Value Tier"/>
    <x v="0"/>
  </r>
  <r>
    <s v="ORD5353"/>
    <s v="CUST1353"/>
    <n v="34"/>
    <s v="PROD553"/>
    <x v="4"/>
    <x v="298"/>
    <d v="2022-09-09T00:00:00"/>
    <n v="2"/>
    <x v="1"/>
    <s v="4/28/2021"/>
    <s v=" $214.73 "/>
    <n v="7"/>
    <n v="49"/>
    <s v="Electronics"/>
    <s v="Tablet"/>
    <x v="4"/>
    <x v="0"/>
    <n v="1503.11"/>
    <s v="Aligned"/>
    <x v="2"/>
    <s v="High Value Tier"/>
    <x v="0"/>
  </r>
  <r>
    <s v="ORD5354"/>
    <s v="CUST1354"/>
    <n v="22"/>
    <s v="PROD554"/>
    <x v="5"/>
    <x v="223"/>
    <d v="2024-10-07T00:00:00"/>
    <n v="4"/>
    <x v="1"/>
    <s v="8/24/2024"/>
    <s v=" $416.03 "/>
    <n v="3"/>
    <n v="8"/>
    <s v="Beauty"/>
    <s v="Dining Table"/>
    <x v="1"/>
    <x v="0"/>
    <n v="1248.0899999999999"/>
    <s v="Misaligned"/>
    <x v="3"/>
    <s v="High Value Tier"/>
    <x v="0"/>
  </r>
  <r>
    <s v="ORD5355"/>
    <s v="CUST1355"/>
    <n v="50"/>
    <s v="PROD555"/>
    <x v="2"/>
    <x v="165"/>
    <s v="11/28/2022"/>
    <n v="0"/>
    <x v="1"/>
    <s v="6/24/2024"/>
    <s v=" $219.47 "/>
    <n v="6"/>
    <n v="38"/>
    <s v="Electronics"/>
    <s v="Football"/>
    <x v="0"/>
    <x v="1"/>
    <n v="1316.82"/>
    <s v="Misaligned"/>
    <x v="1"/>
    <s v="High Value Tier"/>
    <x v="0"/>
  </r>
  <r>
    <s v="ORD5356"/>
    <s v="CUST1356"/>
    <n v="66"/>
    <s v="PROD556"/>
    <x v="5"/>
    <x v="299"/>
    <d v="2025-11-03T00:00:00"/>
    <n v="0"/>
    <x v="0"/>
    <d v="2024-09-04T00:00:00"/>
    <s v=" $34.42 "/>
    <n v="7"/>
    <n v="29"/>
    <s v="Electronics"/>
    <s v="Lipstick"/>
    <x v="3"/>
    <x v="0"/>
    <n v="240.94"/>
    <s v="Misaligned"/>
    <x v="4"/>
    <s v="High Value Tier"/>
    <x v="0"/>
  </r>
  <r>
    <s v="ORD5357"/>
    <s v="CUST1357"/>
    <n v="66"/>
    <s v="PROD557"/>
    <x v="5"/>
    <x v="300"/>
    <s v="2/15/2023"/>
    <n v="3"/>
    <x v="0"/>
    <s v="2/26/2022"/>
    <s v=" $128.99 "/>
    <n v="9"/>
    <n v="29"/>
    <s v="Beauty"/>
    <s v="Blender"/>
    <x v="1"/>
    <x v="1"/>
    <n v="1160.9100000000001"/>
    <s v="Misaligned"/>
    <x v="4"/>
    <s v="High Value Tier"/>
    <x v="0"/>
  </r>
  <r>
    <s v="ORD5358"/>
    <s v="CUST1358"/>
    <n v="47"/>
    <s v="PROD558"/>
    <x v="0"/>
    <x v="301"/>
    <s v="2/14/2023"/>
    <n v="0"/>
    <x v="0"/>
    <s v="7/23/2024"/>
    <s v=" $148.19 "/>
    <n v="8"/>
    <n v="26"/>
    <s v="Sports"/>
    <s v="Dress"/>
    <x v="2"/>
    <x v="0"/>
    <n v="1185.52"/>
    <s v="Misaligned"/>
    <x v="0"/>
    <s v="High Value Tier"/>
    <x v="0"/>
  </r>
  <r>
    <s v="ORD5359"/>
    <s v="CUST1359"/>
    <n v="39"/>
    <s v="PROD559"/>
    <x v="3"/>
    <x v="302"/>
    <s v="5/28/2025"/>
    <n v="5"/>
    <x v="1"/>
    <s v="12/21/2021"/>
    <s v=" $343.33 "/>
    <n v="5"/>
    <n v="44"/>
    <s v="Beauty"/>
    <s v="Running Shoes"/>
    <x v="0"/>
    <x v="0"/>
    <n v="1716.65"/>
    <s v="Misaligned"/>
    <x v="0"/>
    <s v="High Value Tier"/>
    <x v="0"/>
  </r>
  <r>
    <s v="ORD5360"/>
    <s v="CUST1360"/>
    <n v="48"/>
    <s v="PROD560"/>
    <x v="3"/>
    <x v="303"/>
    <s v="7/31/2024"/>
    <n v="5"/>
    <x v="0"/>
    <s v="6/29/2024"/>
    <s v=" $146.28 "/>
    <n v="4"/>
    <n v="36"/>
    <s v="Beauty"/>
    <s v="Sneakers"/>
    <x v="2"/>
    <x v="0"/>
    <n v="585.12"/>
    <s v="Misaligned"/>
    <x v="0"/>
    <s v="High Value Tier"/>
    <x v="3"/>
  </r>
  <r>
    <s v="ORD5361"/>
    <s v="CUST1361"/>
    <n v="23"/>
    <s v="PROD561"/>
    <x v="3"/>
    <x v="304"/>
    <s v="10/30/2022"/>
    <n v="1"/>
    <x v="1"/>
    <s v="10/16/2023"/>
    <s v=" $165.06 "/>
    <n v="9"/>
    <n v="48"/>
    <s v="Beauty"/>
    <s v="Sneakers"/>
    <x v="2"/>
    <x v="1"/>
    <n v="1485.54"/>
    <s v="Misaligned"/>
    <x v="3"/>
    <s v="High Value Tier"/>
    <x v="0"/>
  </r>
  <r>
    <s v="ORD5362"/>
    <s v="CUST1362"/>
    <n v="18"/>
    <s v="PROD562"/>
    <x v="4"/>
    <x v="305"/>
    <s v="10/24/2021"/>
    <n v="1"/>
    <x v="0"/>
    <s v="9/26/2022"/>
    <s v=" $222.30 "/>
    <n v="8"/>
    <n v="3"/>
    <s v="Electronics"/>
    <s v="Vacuum Cleaner"/>
    <x v="1"/>
    <x v="0"/>
    <n v="1778.4"/>
    <s v="Misaligned"/>
    <x v="3"/>
    <s v="High Value Tier"/>
    <x v="0"/>
  </r>
  <r>
    <s v="ORD5363"/>
    <s v="CUST1363"/>
    <n v="29"/>
    <s v="PROD563"/>
    <x v="5"/>
    <x v="306"/>
    <s v="10/21/2023"/>
    <n v="4"/>
    <x v="1"/>
    <s v="1/22/2024"/>
    <s v=" $662.89 "/>
    <n v="3"/>
    <n v="9"/>
    <s v="Sports"/>
    <s v="Vacuum Cleaner"/>
    <x v="1"/>
    <x v="0"/>
    <n v="1988.67"/>
    <s v="Misaligned"/>
    <x v="2"/>
    <s v="High Value Tier"/>
    <x v="0"/>
  </r>
  <r>
    <s v="ORD5364"/>
    <s v="CUST1364"/>
    <n v="21"/>
    <s v="PROD564"/>
    <x v="4"/>
    <x v="307"/>
    <s v="1/29/2021"/>
    <n v="5"/>
    <x v="1"/>
    <d v="2022-11-04T00:00:00"/>
    <s v=" $134.18 "/>
    <n v="9"/>
    <n v="41"/>
    <s v="Home"/>
    <s v="Shampoo"/>
    <x v="3"/>
    <x v="0"/>
    <n v="1207.6199999999999"/>
    <s v="Misaligned"/>
    <x v="3"/>
    <s v="High Value Tier"/>
    <x v="0"/>
  </r>
  <r>
    <s v="ORD5365"/>
    <s v="CUST1365"/>
    <n v="32"/>
    <s v="PROD565"/>
    <x v="2"/>
    <x v="308"/>
    <s v="10/15/2022"/>
    <n v="4"/>
    <x v="0"/>
    <s v="1/29/2024"/>
    <s v=" $57.06 "/>
    <n v="4"/>
    <n v="21"/>
    <s v="Beauty"/>
    <s v="Camera"/>
    <x v="4"/>
    <x v="1"/>
    <n v="228.24"/>
    <s v="Misaligned"/>
    <x v="2"/>
    <s v="High Value Tier"/>
    <x v="3"/>
  </r>
  <r>
    <s v="ORD5366"/>
    <s v="CUST1366"/>
    <n v="60"/>
    <s v="PROD566"/>
    <x v="3"/>
    <x v="309"/>
    <s v="10/20/2023"/>
    <n v="3"/>
    <x v="0"/>
    <d v="2023-03-01T00:00:00"/>
    <s v=" $668.04 "/>
    <n v="2"/>
    <n v="17"/>
    <s v="Electronics"/>
    <s v="Smartphone"/>
    <x v="4"/>
    <x v="0"/>
    <n v="1336.08"/>
    <s v="Aligned"/>
    <x v="1"/>
    <s v="High Value Tier"/>
    <x v="0"/>
  </r>
  <r>
    <s v="ORD5367"/>
    <s v="CUST1367"/>
    <n v="27"/>
    <s v="PROD567"/>
    <x v="2"/>
    <x v="226"/>
    <s v="7/23/2024"/>
    <n v="3"/>
    <x v="0"/>
    <s v="4/28/2024"/>
    <s v=" $348.12 "/>
    <n v="4"/>
    <n v="24"/>
    <s v="Beauty"/>
    <s v="Lamp"/>
    <x v="1"/>
    <x v="0"/>
    <n v="1392.48"/>
    <s v="Misaligned"/>
    <x v="2"/>
    <s v="High Value Tier"/>
    <x v="0"/>
  </r>
  <r>
    <s v="ORD5368"/>
    <s v="CUST1368"/>
    <n v="66"/>
    <s v="PROD568"/>
    <x v="1"/>
    <x v="172"/>
    <s v="6/27/2025"/>
    <n v="3"/>
    <x v="1"/>
    <s v="1/14/2024"/>
    <s v=" $76.13 "/>
    <n v="7"/>
    <n v="7"/>
    <s v="Beauty"/>
    <s v="Skirt"/>
    <x v="2"/>
    <x v="1"/>
    <n v="532.91"/>
    <s v="Misaligned"/>
    <x v="4"/>
    <s v="High Value Tier"/>
    <x v="0"/>
  </r>
  <r>
    <s v="ORD5369"/>
    <s v="CUST1369"/>
    <n v="27"/>
    <s v="PROD569"/>
    <x v="1"/>
    <x v="159"/>
    <s v="4/18/2023"/>
    <n v="4"/>
    <x v="0"/>
    <d v="2024-07-01T00:00:00"/>
    <s v=" $89.75 "/>
    <n v="7"/>
    <n v="22"/>
    <s v="Clothing"/>
    <s v="Sneakers"/>
    <x v="2"/>
    <x v="0"/>
    <n v="628.25"/>
    <s v="Aligned"/>
    <x v="2"/>
    <s v="High Value Tier"/>
    <x v="3"/>
  </r>
  <r>
    <s v="ORD5370"/>
    <s v="CUST1370"/>
    <n v="37"/>
    <s v="PROD570"/>
    <x v="5"/>
    <x v="310"/>
    <s v="9/23/2024"/>
    <n v="1"/>
    <x v="0"/>
    <d v="2024-02-07T00:00:00"/>
    <s v=" $390.53 "/>
    <n v="5"/>
    <n v="16"/>
    <s v="Clothing"/>
    <s v="Basketball"/>
    <x v="0"/>
    <x v="1"/>
    <n v="1952.65"/>
    <s v="Misaligned"/>
    <x v="0"/>
    <s v="High Value Tier"/>
    <x v="0"/>
  </r>
  <r>
    <s v="ORD5371"/>
    <s v="CUST1371"/>
    <n v="43"/>
    <s v="PROD571"/>
    <x v="0"/>
    <x v="311"/>
    <s v="6/20/2025"/>
    <n v="5"/>
    <x v="0"/>
    <d v="2025-02-05T00:00:00"/>
    <s v=" $725.84 "/>
    <n v="2"/>
    <n v="24"/>
    <s v="Clothing"/>
    <s v="Vacuum Cleaner"/>
    <x v="1"/>
    <x v="0"/>
    <n v="1451.68"/>
    <s v="Misaligned"/>
    <x v="0"/>
    <s v="High Value Tier"/>
    <x v="3"/>
  </r>
  <r>
    <s v="ORD5372"/>
    <s v="CUST1372"/>
    <n v="63"/>
    <s v="PROD572"/>
    <x v="4"/>
    <x v="312"/>
    <d v="2024-02-12T00:00:00"/>
    <n v="4"/>
    <x v="0"/>
    <s v="2/19/2023"/>
    <s v=" $604.52 "/>
    <n v="3"/>
    <n v="7"/>
    <s v="Sports"/>
    <s v="Camera"/>
    <x v="4"/>
    <x v="1"/>
    <n v="1813.56"/>
    <s v="Misaligned"/>
    <x v="1"/>
    <s v="High Value Tier"/>
    <x v="3"/>
  </r>
  <r>
    <s v="ORD5373"/>
    <s v="CUST1373"/>
    <n v="64"/>
    <s v="PROD573"/>
    <x v="4"/>
    <x v="136"/>
    <s v="4/23/2024"/>
    <n v="2"/>
    <x v="0"/>
    <s v="1/28/2025"/>
    <s v=" $316.46 "/>
    <n v="6"/>
    <n v="37"/>
    <s v="Sports"/>
    <s v="Dumbbells"/>
    <x v="0"/>
    <x v="0"/>
    <n v="1898.76"/>
    <s v="Aligned"/>
    <x v="1"/>
    <s v="High Value Tier"/>
    <x v="0"/>
  </r>
  <r>
    <s v="ORD5374"/>
    <s v="CUST1374"/>
    <n v="19"/>
    <s v="PROD574"/>
    <x v="3"/>
    <x v="290"/>
    <s v="11/16/2023"/>
    <n v="4"/>
    <x v="1"/>
    <d v="2021-05-11T00:00:00"/>
    <s v=" $75.21 "/>
    <n v="6"/>
    <n v="38"/>
    <s v="Clothing"/>
    <s v="Microwave"/>
    <x v="1"/>
    <x v="1"/>
    <n v="451.26"/>
    <s v="Misaligned"/>
    <x v="3"/>
    <s v="High Value Tier"/>
    <x v="0"/>
  </r>
  <r>
    <s v="ORD5375"/>
    <s v="CUST1375"/>
    <n v="63"/>
    <s v="PROD575"/>
    <x v="4"/>
    <x v="242"/>
    <d v="2023-01-09T00:00:00"/>
    <n v="5"/>
    <x v="2"/>
    <s v="3/23/2024"/>
    <s v=" $399.54 "/>
    <n v="4"/>
    <n v="17"/>
    <s v="Beauty"/>
    <s v="Face Wash"/>
    <x v="3"/>
    <x v="1"/>
    <n v="1598.16"/>
    <s v="Aligned"/>
    <x v="1"/>
    <s v="High Value Tier"/>
    <x v="1"/>
  </r>
  <r>
    <s v="ORD5376"/>
    <s v="CUST1376"/>
    <n v="56"/>
    <s v="PROD576"/>
    <x v="4"/>
    <x v="313"/>
    <d v="2024-07-02T00:00:00"/>
    <n v="5"/>
    <x v="0"/>
    <d v="2023-02-06T00:00:00"/>
    <s v=" $12.03 "/>
    <n v="7"/>
    <n v="42"/>
    <s v="Beauty"/>
    <s v="T-Shirt"/>
    <x v="2"/>
    <x v="0"/>
    <n v="84.21"/>
    <s v="Misaligned"/>
    <x v="1"/>
    <s v="High Value Tier"/>
    <x v="3"/>
  </r>
  <r>
    <s v="ORD5377"/>
    <s v="CUST1377"/>
    <n v="33"/>
    <s v="PROD577"/>
    <x v="4"/>
    <x v="259"/>
    <d v="2024-08-10T00:00:00"/>
    <n v="3"/>
    <x v="0"/>
    <s v="3/28/2023"/>
    <s v=" $54.72 "/>
    <n v="4"/>
    <n v="34"/>
    <s v="Sports"/>
    <s v="Dining Table"/>
    <x v="1"/>
    <x v="1"/>
    <n v="218.88"/>
    <s v="Misaligned"/>
    <x v="2"/>
    <s v="High Value Tier"/>
    <x v="0"/>
  </r>
  <r>
    <s v="ORD5378"/>
    <s v="CUST1378"/>
    <n v="48"/>
    <s v="PROD578"/>
    <x v="0"/>
    <x v="314"/>
    <d v="2024-03-12T00:00:00"/>
    <n v="1"/>
    <x v="0"/>
    <d v="2024-08-03T00:00:00"/>
    <s v=" $122.74 "/>
    <n v="5"/>
    <n v="40"/>
    <s v="Sports"/>
    <s v="Tablet"/>
    <x v="4"/>
    <x v="1"/>
    <n v="613.70000000000005"/>
    <s v="Misaligned"/>
    <x v="0"/>
    <s v="High Value Tier"/>
    <x v="0"/>
  </r>
  <r>
    <s v="ORD5379"/>
    <s v="CUST1379"/>
    <n v="47"/>
    <s v="PROD579"/>
    <x v="4"/>
    <x v="315"/>
    <d v="2023-01-03T00:00:00"/>
    <n v="1"/>
    <x v="2"/>
    <d v="2022-08-05T00:00:00"/>
    <s v=" $23.70 "/>
    <n v="6"/>
    <n v="48"/>
    <s v="Electronics"/>
    <s v="Headphones"/>
    <x v="4"/>
    <x v="0"/>
    <n v="142.19999999999999"/>
    <s v="Aligned"/>
    <x v="0"/>
    <s v="High Value Tier"/>
    <x v="1"/>
  </r>
  <r>
    <s v="ORD5380"/>
    <s v="CUST1380"/>
    <n v="46"/>
    <s v="PROD580"/>
    <x v="3"/>
    <x v="316"/>
    <d v="2023-08-10T00:00:00"/>
    <n v="1"/>
    <x v="2"/>
    <s v="1/19/2025"/>
    <s v=" $181.50 "/>
    <n v="3"/>
    <n v="20"/>
    <s v="Beauty"/>
    <s v="Refrigerator"/>
    <x v="1"/>
    <x v="1"/>
    <n v="544.5"/>
    <s v="Misaligned"/>
    <x v="0"/>
    <s v="High Value Tier"/>
    <x v="1"/>
  </r>
  <r>
    <s v="ORD5381"/>
    <s v="CUST1381"/>
    <n v="66"/>
    <s v="PROD581"/>
    <x v="4"/>
    <x v="317"/>
    <s v="7/28/2025"/>
    <n v="3"/>
    <x v="0"/>
    <d v="2025-01-03T00:00:00"/>
    <s v=" $195.60 "/>
    <n v="2"/>
    <n v="45"/>
    <s v="Clothing"/>
    <s v="Conditioner"/>
    <x v="3"/>
    <x v="0"/>
    <n v="391.2"/>
    <s v="Misaligned"/>
    <x v="4"/>
    <s v="High Value Tier"/>
    <x v="0"/>
  </r>
  <r>
    <s v="ORD5382"/>
    <s v="CUST1382"/>
    <n v="60"/>
    <s v="PROD582"/>
    <x v="2"/>
    <x v="220"/>
    <s v="5/15/2025"/>
    <n v="5"/>
    <x v="1"/>
    <d v="2021-11-12T00:00:00"/>
    <s v=" $107.92 "/>
    <n v="9"/>
    <n v="14"/>
    <s v="Beauty"/>
    <s v="Lipstick"/>
    <x v="3"/>
    <x v="0"/>
    <n v="971.28"/>
    <s v="Aligned"/>
    <x v="1"/>
    <s v="High Value Tier"/>
    <x v="0"/>
  </r>
  <r>
    <s v="ORD5383"/>
    <s v="CUST1383"/>
    <n v="39"/>
    <s v="PROD583"/>
    <x v="5"/>
    <x v="318"/>
    <s v="7/25/2024"/>
    <n v="2"/>
    <x v="0"/>
    <d v="2023-01-09T00:00:00"/>
    <s v=" $577.66 "/>
    <n v="3"/>
    <n v="18"/>
    <s v="Sports"/>
    <s v="Camera"/>
    <x v="4"/>
    <x v="0"/>
    <n v="1732.98"/>
    <s v="Misaligned"/>
    <x v="0"/>
    <s v="High Value Tier"/>
    <x v="0"/>
  </r>
  <r>
    <s v="ORD5384"/>
    <s v="CUST1384"/>
    <n v="31"/>
    <s v="PROD584"/>
    <x v="2"/>
    <x v="319"/>
    <d v="2024-09-05T00:00:00"/>
    <n v="5"/>
    <x v="0"/>
    <s v="7/16/2023"/>
    <s v=" $81.15 "/>
    <n v="7"/>
    <n v="41"/>
    <s v="Beauty"/>
    <s v="Basketball"/>
    <x v="0"/>
    <x v="1"/>
    <n v="568.04999999999995"/>
    <s v="Misaligned"/>
    <x v="2"/>
    <s v="High Value Tier"/>
    <x v="3"/>
  </r>
  <r>
    <s v="ORD5385"/>
    <s v="CUST1385"/>
    <n v="26"/>
    <s v="PROD585"/>
    <x v="5"/>
    <x v="320"/>
    <d v="2024-04-03T00:00:00"/>
    <n v="4"/>
    <x v="2"/>
    <s v="6/24/2024"/>
    <s v=" $68.54 "/>
    <n v="8"/>
    <n v="18"/>
    <s v="Sports"/>
    <s v="Gaming Console"/>
    <x v="4"/>
    <x v="0"/>
    <n v="548.32000000000005"/>
    <s v="Misaligned"/>
    <x v="2"/>
    <s v="High Value Tier"/>
    <x v="1"/>
  </r>
  <r>
    <s v="ORD5386"/>
    <s v="CUST1386"/>
    <n v="34"/>
    <s v="PROD586"/>
    <x v="3"/>
    <x v="321"/>
    <d v="2023-03-03T00:00:00"/>
    <n v="3"/>
    <x v="1"/>
    <s v="2/13/2024"/>
    <s v=" $193.43 "/>
    <n v="8"/>
    <n v="23"/>
    <s v="Sports"/>
    <s v="Running Shoes"/>
    <x v="0"/>
    <x v="1"/>
    <n v="1547.44"/>
    <s v="Aligned"/>
    <x v="2"/>
    <s v="High Value Tier"/>
    <x v="0"/>
  </r>
  <r>
    <s v="ORD5387"/>
    <s v="CUST1387"/>
    <n v="44"/>
    <s v="PROD587"/>
    <x v="5"/>
    <x v="322"/>
    <s v="5/15/2022"/>
    <n v="5"/>
    <x v="0"/>
    <s v="1/22/2022"/>
    <s v=" $276.70 "/>
    <n v="6"/>
    <n v="22"/>
    <s v="Home"/>
    <s v="Blender"/>
    <x v="1"/>
    <x v="1"/>
    <n v="1660.2"/>
    <s v="Aligned"/>
    <x v="0"/>
    <s v="High Value Tier"/>
    <x v="3"/>
  </r>
  <r>
    <s v="ORD5388"/>
    <s v="CUST1388"/>
    <n v="61"/>
    <s v="PROD588"/>
    <x v="4"/>
    <x v="15"/>
    <s v="3/30/2022"/>
    <n v="0"/>
    <x v="1"/>
    <s v="6/13/2025"/>
    <s v=" $51.83 "/>
    <n v="2"/>
    <n v="12"/>
    <s v="Electronics"/>
    <s v="Basketball"/>
    <x v="0"/>
    <x v="1"/>
    <n v="103.66"/>
    <s v="Misaligned"/>
    <x v="1"/>
    <s v="Core Tier"/>
    <x v="0"/>
  </r>
  <r>
    <s v="ORD5389"/>
    <s v="CUST1389"/>
    <n v="46"/>
    <s v="PROD589"/>
    <x v="5"/>
    <x v="323"/>
    <s v="3/31/2021"/>
    <n v="1"/>
    <x v="0"/>
    <s v="7/17/2022"/>
    <s v=" $133.73 "/>
    <n v="8"/>
    <n v="33"/>
    <s v="Sports"/>
    <s v="Vacuum Cleaner"/>
    <x v="1"/>
    <x v="0"/>
    <n v="1069.8399999999999"/>
    <s v="Misaligned"/>
    <x v="0"/>
    <s v="High Value Tier"/>
    <x v="0"/>
  </r>
  <r>
    <s v="ORD5390"/>
    <s v="CUST1390"/>
    <n v="64"/>
    <s v="PROD590"/>
    <x v="5"/>
    <x v="324"/>
    <d v="2025-05-06T00:00:00"/>
    <n v="4"/>
    <x v="2"/>
    <d v="2023-11-11T00:00:00"/>
    <s v=" $52.44 "/>
    <n v="4"/>
    <n v="34"/>
    <s v="Clothing"/>
    <s v="Smartphone"/>
    <x v="4"/>
    <x v="1"/>
    <n v="209.76"/>
    <s v="Misaligned"/>
    <x v="1"/>
    <s v="High Value Tier"/>
    <x v="1"/>
  </r>
  <r>
    <s v="ORD5391"/>
    <s v="CUST1391"/>
    <n v="60"/>
    <s v="PROD591"/>
    <x v="3"/>
    <x v="325"/>
    <d v="2024-05-01T00:00:00"/>
    <n v="0"/>
    <x v="0"/>
    <d v="2023-10-07T00:00:00"/>
    <s v=" $1,499.71 "/>
    <n v="1"/>
    <n v="29"/>
    <s v="Clothing"/>
    <s v="Cricket Bat"/>
    <x v="0"/>
    <x v="0"/>
    <n v="1499.71"/>
    <s v="Misaligned"/>
    <x v="1"/>
    <s v="High Value Tier"/>
    <x v="0"/>
  </r>
  <r>
    <s v="ORD5392"/>
    <s v="CUST1392"/>
    <n v="66"/>
    <s v="PROD592"/>
    <x v="0"/>
    <x v="193"/>
    <s v="4/26/2024"/>
    <n v="1"/>
    <x v="2"/>
    <s v="3/23/2025"/>
    <s v=" $562.84 "/>
    <n v="3"/>
    <n v="26"/>
    <s v="Beauty"/>
    <s v="Foundation"/>
    <x v="3"/>
    <x v="1"/>
    <n v="1688.52"/>
    <s v="Aligned"/>
    <x v="4"/>
    <s v="High Value Tier"/>
    <x v="1"/>
  </r>
  <r>
    <s v="ORD5393"/>
    <s v="CUST1393"/>
    <n v="62"/>
    <s v="PROD593"/>
    <x v="3"/>
    <x v="326"/>
    <s v="4/19/2021"/>
    <n v="0"/>
    <x v="0"/>
    <s v="1/20/2024"/>
    <s v=" $1,366.86 "/>
    <n v="1"/>
    <n v="45"/>
    <s v="Beauty"/>
    <s v="Lamp"/>
    <x v="1"/>
    <x v="0"/>
    <n v="1366.86"/>
    <s v="Misaligned"/>
    <x v="1"/>
    <s v="High Value Tier"/>
    <x v="0"/>
  </r>
  <r>
    <s v="ORD5394"/>
    <s v="CUST1394"/>
    <n v="43"/>
    <s v="PROD594"/>
    <x v="1"/>
    <x v="327"/>
    <s v="5/28/2022"/>
    <n v="3"/>
    <x v="0"/>
    <s v="5/27/2025"/>
    <s v=" $290.28 "/>
    <n v="6"/>
    <n v="38"/>
    <s v="Sports"/>
    <s v="Smartphone"/>
    <x v="4"/>
    <x v="0"/>
    <n v="1741.68"/>
    <s v="Misaligned"/>
    <x v="0"/>
    <s v="High Value Tier"/>
    <x v="0"/>
  </r>
  <r>
    <s v="ORD5395"/>
    <s v="CUST1395"/>
    <n v="60"/>
    <s v="PROD595"/>
    <x v="3"/>
    <x v="328"/>
    <s v="7/31/2023"/>
    <n v="1"/>
    <x v="0"/>
    <d v="2024-02-04T00:00:00"/>
    <s v=" $134.53 "/>
    <n v="9"/>
    <n v="45"/>
    <s v="Electronics"/>
    <s v="Dumbbells"/>
    <x v="0"/>
    <x v="1"/>
    <n v="1210.77"/>
    <s v="Misaligned"/>
    <x v="1"/>
    <s v="High Value Tier"/>
    <x v="0"/>
  </r>
  <r>
    <s v="ORD5396"/>
    <s v="CUST1396"/>
    <n v="52"/>
    <s v="PROD596"/>
    <x v="3"/>
    <x v="329"/>
    <s v="11/24/2021"/>
    <n v="0"/>
    <x v="0"/>
    <s v="1/26/2023"/>
    <s v=" $434.16 "/>
    <n v="2"/>
    <n v="43"/>
    <s v="Sports"/>
    <s v="Dumbbells"/>
    <x v="0"/>
    <x v="0"/>
    <n v="868.32"/>
    <s v="Aligned"/>
    <x v="1"/>
    <s v="High Value Tier"/>
    <x v="0"/>
  </r>
  <r>
    <s v="ORD5397"/>
    <s v="CUST1397"/>
    <n v="55"/>
    <s v="PROD597"/>
    <x v="0"/>
    <x v="158"/>
    <s v="9/24/2022"/>
    <n v="0"/>
    <x v="2"/>
    <s v="2/24/2024"/>
    <s v=" $44.89 "/>
    <n v="7"/>
    <n v="2"/>
    <s v="Clothing"/>
    <s v="Perfume"/>
    <x v="3"/>
    <x v="0"/>
    <n v="314.23"/>
    <s v="Misaligned"/>
    <x v="1"/>
    <s v="Value Tier"/>
    <x v="1"/>
  </r>
  <r>
    <s v="ORD5398"/>
    <s v="CUST1398"/>
    <n v="63"/>
    <s v="PROD598"/>
    <x v="2"/>
    <x v="330"/>
    <s v="3/25/2025"/>
    <n v="0"/>
    <x v="2"/>
    <s v="3/27/2022"/>
    <s v=" $158.19 "/>
    <n v="7"/>
    <n v="15"/>
    <s v="Clothing"/>
    <s v="Face Wash"/>
    <x v="3"/>
    <x v="2"/>
    <n v="1107.33"/>
    <s v="Misaligned"/>
    <x v="1"/>
    <s v="High Value Tier"/>
    <x v="1"/>
  </r>
  <r>
    <s v="ORD5399"/>
    <s v="CUST1399"/>
    <n v="43"/>
    <s v="PROD599"/>
    <x v="2"/>
    <x v="331"/>
    <s v="1/23/2024"/>
    <n v="3"/>
    <x v="1"/>
    <s v="12/16/2023"/>
    <s v=" $130.46 "/>
    <n v="7"/>
    <n v="17"/>
    <s v="Sports"/>
    <s v="Yoga Mat"/>
    <x v="0"/>
    <x v="0"/>
    <n v="913.22"/>
    <s v="Aligned"/>
    <x v="0"/>
    <s v="High Value Tier"/>
    <x v="0"/>
  </r>
  <r>
    <s v="ORD5400"/>
    <s v="CUST1400"/>
    <n v="68"/>
    <s v="PROD600"/>
    <x v="4"/>
    <x v="332"/>
    <s v="8/14/2024"/>
    <n v="5"/>
    <x v="0"/>
    <s v="3/22/2025"/>
    <s v=" $90.50 "/>
    <n v="4"/>
    <n v="32"/>
    <s v="Beauty"/>
    <s v="Gaming Console"/>
    <x v="4"/>
    <x v="0"/>
    <n v="362"/>
    <s v="Misaligned"/>
    <x v="4"/>
    <s v="High Value Tier"/>
    <x v="3"/>
  </r>
  <r>
    <s v="ORD5401"/>
    <s v="CUST1401"/>
    <n v="60"/>
    <s v="PROD601"/>
    <x v="2"/>
    <x v="333"/>
    <s v="2/22/2024"/>
    <n v="0"/>
    <x v="1"/>
    <d v="2025-04-08T00:00:00"/>
    <s v=" $132.55 "/>
    <n v="3"/>
    <n v="25"/>
    <s v="Sports"/>
    <s v="Sneakers"/>
    <x v="2"/>
    <x v="1"/>
    <n v="397.65"/>
    <s v="Misaligned"/>
    <x v="1"/>
    <s v="High Value Tier"/>
    <x v="0"/>
  </r>
  <r>
    <s v="ORD5402"/>
    <s v="CUST1402"/>
    <n v="27"/>
    <s v="PROD602"/>
    <x v="4"/>
    <x v="186"/>
    <d v="2023-07-08T00:00:00"/>
    <n v="2"/>
    <x v="1"/>
    <s v="8/28/2022"/>
    <s v=" $315.00 "/>
    <n v="2"/>
    <n v="25"/>
    <s v="Beauty"/>
    <s v="Laptop"/>
    <x v="4"/>
    <x v="0"/>
    <n v="630"/>
    <s v="Misaligned"/>
    <x v="2"/>
    <s v="High Value Tier"/>
    <x v="0"/>
  </r>
  <r>
    <s v="ORD5403"/>
    <s v="CUST1403"/>
    <n v="31"/>
    <s v="PROD603"/>
    <x v="3"/>
    <x v="334"/>
    <d v="2022-12-11T00:00:00"/>
    <n v="0"/>
    <x v="0"/>
    <d v="2024-08-11T00:00:00"/>
    <s v=" $19.50 "/>
    <n v="6"/>
    <n v="14"/>
    <s v="Electronics"/>
    <s v="Microwave"/>
    <x v="1"/>
    <x v="1"/>
    <n v="117"/>
    <s v="Misaligned"/>
    <x v="2"/>
    <s v="Core Tier"/>
    <x v="0"/>
  </r>
  <r>
    <s v="ORD5404"/>
    <s v="CUST1404"/>
    <n v="52"/>
    <s v="PROD604"/>
    <x v="3"/>
    <x v="182"/>
    <s v="9/19/2023"/>
    <n v="5"/>
    <x v="0"/>
    <s v="3/24/2025"/>
    <s v=" $74.49 "/>
    <n v="7"/>
    <n v="4"/>
    <s v="Home"/>
    <s v="Headphones"/>
    <x v="4"/>
    <x v="0"/>
    <n v="521.42999999999995"/>
    <s v="Misaligned"/>
    <x v="1"/>
    <s v="Core Tier"/>
    <x v="3"/>
  </r>
  <r>
    <s v="ORD5405"/>
    <s v="CUST1405"/>
    <n v="40"/>
    <s v="PROD605"/>
    <x v="3"/>
    <x v="335"/>
    <s v="6/26/2024"/>
    <n v="0"/>
    <x v="2"/>
    <s v="4/24/2021"/>
    <s v=" $539.41 "/>
    <n v="3"/>
    <n v="33"/>
    <s v="Clothing"/>
    <s v="Skirt"/>
    <x v="2"/>
    <x v="1"/>
    <n v="1618.23"/>
    <s v="Aligned"/>
    <x v="0"/>
    <s v="High Value Tier"/>
    <x v="1"/>
  </r>
  <r>
    <s v="ORD5406"/>
    <s v="CUST1406"/>
    <n v="66"/>
    <s v="PROD606"/>
    <x v="1"/>
    <x v="109"/>
    <d v="2025-04-03T00:00:00"/>
    <n v="2"/>
    <x v="0"/>
    <d v="2024-11-04T00:00:00"/>
    <s v=" $101.02 "/>
    <n v="7"/>
    <n v="19"/>
    <s v="Home"/>
    <s v="T-Shirt"/>
    <x v="2"/>
    <x v="0"/>
    <n v="707.14"/>
    <s v="Misaligned"/>
    <x v="4"/>
    <s v="High Value Tier"/>
    <x v="0"/>
  </r>
  <r>
    <s v="ORD5407"/>
    <s v="CUST1407"/>
    <n v="22"/>
    <s v="PROD607"/>
    <x v="5"/>
    <x v="44"/>
    <s v="8/23/2023"/>
    <n v="2"/>
    <x v="1"/>
    <s v="5/20/2023"/>
    <s v=" $1,263.80 "/>
    <n v="1"/>
    <n v="6"/>
    <s v="Beauty"/>
    <s v="Lipstick"/>
    <x v="3"/>
    <x v="0"/>
    <n v="1263.8"/>
    <s v="Aligned"/>
    <x v="3"/>
    <s v="High Value Tier"/>
    <x v="0"/>
  </r>
  <r>
    <s v="ORD5408"/>
    <s v="CUST1408"/>
    <n v="56"/>
    <s v="PROD608"/>
    <x v="1"/>
    <x v="336"/>
    <s v="7/26/2024"/>
    <n v="0"/>
    <x v="0"/>
    <s v="7/23/2023"/>
    <s v=" $643.24 "/>
    <n v="3"/>
    <n v="44"/>
    <s v="Home"/>
    <s v="Face Wash"/>
    <x v="3"/>
    <x v="1"/>
    <n v="1929.72"/>
    <s v="Misaligned"/>
    <x v="1"/>
    <s v="High Value Tier"/>
    <x v="0"/>
  </r>
  <r>
    <s v="ORD5409"/>
    <s v="CUST1409"/>
    <n v="61"/>
    <s v="PROD609"/>
    <x v="1"/>
    <x v="337"/>
    <d v="2025-07-02T00:00:00"/>
    <n v="5"/>
    <x v="2"/>
    <s v="10/30/2024"/>
    <s v=" $217.29 "/>
    <n v="8"/>
    <n v="7"/>
    <s v="Electronics"/>
    <s v="Lamp"/>
    <x v="1"/>
    <x v="0"/>
    <n v="1738.32"/>
    <s v="Misaligned"/>
    <x v="1"/>
    <s v="High Value Tier"/>
    <x v="1"/>
  </r>
  <r>
    <s v="ORD5410"/>
    <s v="CUST1410"/>
    <n v="61"/>
    <s v="PROD610"/>
    <x v="4"/>
    <x v="338"/>
    <d v="2022-01-10T00:00:00"/>
    <n v="5"/>
    <x v="0"/>
    <s v="6/27/2022"/>
    <s v=" $94.79 "/>
    <n v="8"/>
    <n v="1"/>
    <s v="Sports"/>
    <s v="Moisturizer"/>
    <x v="3"/>
    <x v="1"/>
    <n v="758.32"/>
    <s v="Misaligned"/>
    <x v="1"/>
    <s v="Core Tier"/>
    <x v="3"/>
  </r>
  <r>
    <s v="ORD5411"/>
    <s v="CUST1411"/>
    <n v="64"/>
    <s v="PROD611"/>
    <x v="4"/>
    <x v="339"/>
    <d v="2025-12-08T00:00:00"/>
    <n v="0"/>
    <x v="0"/>
    <d v="2024-11-08T00:00:00"/>
    <s v=" $305.80 "/>
    <n v="5"/>
    <n v="23"/>
    <s v="Beauty"/>
    <s v="Tablet"/>
    <x v="4"/>
    <x v="0"/>
    <n v="1529"/>
    <s v="Misaligned"/>
    <x v="1"/>
    <s v="High Value Tier"/>
    <x v="0"/>
  </r>
  <r>
    <s v="ORD5412"/>
    <s v="CUST1412"/>
    <n v="65"/>
    <s v="PROD612"/>
    <x v="2"/>
    <x v="340"/>
    <d v="2025-07-08T00:00:00"/>
    <n v="3"/>
    <x v="0"/>
    <s v="4/22/2021"/>
    <s v=" $41.08 "/>
    <n v="4"/>
    <n v="18"/>
    <s v="Sports"/>
    <s v="Headphones"/>
    <x v="4"/>
    <x v="0"/>
    <n v="164.32"/>
    <s v="Misaligned"/>
    <x v="4"/>
    <s v="High Value Tier"/>
    <x v="0"/>
  </r>
  <r>
    <s v="ORD5413"/>
    <s v="CUST1413"/>
    <n v="58"/>
    <s v="PROD613"/>
    <x v="3"/>
    <x v="341"/>
    <d v="2024-04-11T00:00:00"/>
    <n v="1"/>
    <x v="0"/>
    <d v="2023-11-04T00:00:00"/>
    <s v=" $155.84 "/>
    <n v="8"/>
    <n v="29"/>
    <s v="Sports"/>
    <s v="Tennis Racket"/>
    <x v="0"/>
    <x v="1"/>
    <n v="1246.72"/>
    <s v="Aligned"/>
    <x v="1"/>
    <s v="High Value Tier"/>
    <x v="0"/>
  </r>
  <r>
    <s v="ORD5414"/>
    <s v="CUST1414"/>
    <n v="33"/>
    <s v="PROD614"/>
    <x v="5"/>
    <x v="342"/>
    <s v="10/25/2024"/>
    <n v="2"/>
    <x v="0"/>
    <s v="3/17/2025"/>
    <s v=" $410.16 "/>
    <n v="3"/>
    <n v="31"/>
    <s v="Electronics"/>
    <s v="Jacket"/>
    <x v="2"/>
    <x v="1"/>
    <n v="1230.48"/>
    <s v="Misaligned"/>
    <x v="2"/>
    <s v="High Value Tier"/>
    <x v="0"/>
  </r>
  <r>
    <s v="ORD5415"/>
    <s v="CUST1415"/>
    <n v="24"/>
    <s v="PROD615"/>
    <x v="4"/>
    <x v="343"/>
    <d v="2024-11-06T00:00:00"/>
    <n v="1"/>
    <x v="0"/>
    <d v="2023-10-12T00:00:00"/>
    <s v=" $350.48 "/>
    <n v="3"/>
    <n v="32"/>
    <s v="Clothing"/>
    <s v="Sneakers"/>
    <x v="2"/>
    <x v="0"/>
    <n v="1051.44"/>
    <s v="Aligned"/>
    <x v="3"/>
    <s v="High Value Tier"/>
    <x v="0"/>
  </r>
  <r>
    <s v="ORD5416"/>
    <s v="CUST1416"/>
    <n v="62"/>
    <s v="PROD616"/>
    <x v="2"/>
    <x v="344"/>
    <d v="2024-10-01T00:00:00"/>
    <n v="0"/>
    <x v="0"/>
    <d v="2023-08-03T00:00:00"/>
    <s v=" $216.64 "/>
    <n v="8"/>
    <n v="32"/>
    <s v="Clothing"/>
    <s v="Face Wash"/>
    <x v="3"/>
    <x v="1"/>
    <n v="1733.12"/>
    <s v="Misaligned"/>
    <x v="1"/>
    <s v="High Value Tier"/>
    <x v="0"/>
  </r>
  <r>
    <s v="ORD5417"/>
    <s v="CUST1417"/>
    <n v="42"/>
    <s v="PROD617"/>
    <x v="3"/>
    <x v="345"/>
    <d v="2025-09-07T00:00:00"/>
    <n v="4"/>
    <x v="0"/>
    <s v="3/13/2024"/>
    <s v=" $75.20 "/>
    <n v="6"/>
    <n v="11"/>
    <s v="Beauty"/>
    <s v="Perfume"/>
    <x v="3"/>
    <x v="1"/>
    <n v="451.2"/>
    <s v="Aligned"/>
    <x v="0"/>
    <s v="High Value Tier"/>
    <x v="3"/>
  </r>
  <r>
    <s v="ORD5418"/>
    <s v="CUST1418"/>
    <n v="22"/>
    <s v="PROD618"/>
    <x v="5"/>
    <x v="131"/>
    <d v="2025-08-07T00:00:00"/>
    <n v="3"/>
    <x v="0"/>
    <d v="2024-04-12T00:00:00"/>
    <s v=" $17.09 "/>
    <n v="7"/>
    <n v="4"/>
    <s v="Home"/>
    <s v="Shampoo"/>
    <x v="3"/>
    <x v="0"/>
    <n v="119.63"/>
    <s v="Misaligned"/>
    <x v="3"/>
    <s v="Value Tier"/>
    <x v="0"/>
  </r>
  <r>
    <s v="ORD5419"/>
    <s v="CUST1419"/>
    <n v="65"/>
    <s v="PROD619"/>
    <x v="0"/>
    <x v="346"/>
    <s v="12/17/2023"/>
    <n v="1"/>
    <x v="2"/>
    <d v="2025-08-03T00:00:00"/>
    <s v=" $4.22 "/>
    <n v="9"/>
    <n v="31"/>
    <s v="Home"/>
    <s v="Sneakers"/>
    <x v="2"/>
    <x v="0"/>
    <n v="37.979999999999997"/>
    <s v="Misaligned"/>
    <x v="4"/>
    <s v="Core Tier"/>
    <x v="1"/>
  </r>
  <r>
    <s v="ORD5420"/>
    <s v="CUST1420"/>
    <n v="39"/>
    <s v="PROD620"/>
    <x v="0"/>
    <x v="347"/>
    <s v="1/19/2024"/>
    <n v="4"/>
    <x v="2"/>
    <s v="3/23/2023"/>
    <s v=" $89.67 "/>
    <n v="2"/>
    <n v="35"/>
    <s v="Clothing"/>
    <s v="Lipstick"/>
    <x v="3"/>
    <x v="2"/>
    <n v="179.34"/>
    <s v="Misaligned"/>
    <x v="0"/>
    <s v="High Value Tier"/>
    <x v="1"/>
  </r>
  <r>
    <s v="ORD5421"/>
    <s v="CUST1421"/>
    <n v="37"/>
    <s v="PROD621"/>
    <x v="1"/>
    <x v="348"/>
    <s v="1/16/2025"/>
    <n v="2"/>
    <x v="0"/>
    <s v="7/17/2025"/>
    <s v=" $57.72 "/>
    <n v="4"/>
    <n v="11"/>
    <s v="Beauty"/>
    <s v="Vacuum Cleaner"/>
    <x v="1"/>
    <x v="1"/>
    <n v="230.88"/>
    <s v="Misaligned"/>
    <x v="0"/>
    <s v="High Value Tier"/>
    <x v="0"/>
  </r>
  <r>
    <s v="ORD5422"/>
    <s v="CUST1422"/>
    <n v="40"/>
    <s v="PROD622"/>
    <x v="4"/>
    <x v="349"/>
    <s v="9/26/2024"/>
    <n v="1"/>
    <x v="0"/>
    <d v="2023-09-10T00:00:00"/>
    <s v=" $288.26 "/>
    <n v="5"/>
    <n v="32"/>
    <s v="Clothing"/>
    <s v="Jacket"/>
    <x v="2"/>
    <x v="0"/>
    <n v="1441.3"/>
    <s v="Aligned"/>
    <x v="0"/>
    <s v="High Value Tier"/>
    <x v="0"/>
  </r>
  <r>
    <s v="ORD5423"/>
    <s v="CUST1423"/>
    <n v="21"/>
    <s v="PROD623"/>
    <x v="2"/>
    <x v="350"/>
    <s v="2/20/2025"/>
    <n v="2"/>
    <x v="0"/>
    <s v="3/27/2025"/>
    <s v=" $37.13 "/>
    <n v="8"/>
    <n v="9"/>
    <s v="Beauty"/>
    <s v="Skirt"/>
    <x v="2"/>
    <x v="1"/>
    <n v="297.04000000000002"/>
    <s v="Misaligned"/>
    <x v="3"/>
    <s v="High Value Tier"/>
    <x v="0"/>
  </r>
  <r>
    <s v="ORD5424"/>
    <s v="CUST1424"/>
    <n v="55"/>
    <s v="PROD624"/>
    <x v="0"/>
    <x v="351"/>
    <s v="9/22/2024"/>
    <n v="5"/>
    <x v="1"/>
    <s v="11/30/2022"/>
    <s v=" $1,799.69 "/>
    <n v="1"/>
    <n v="39"/>
    <s v="Sports"/>
    <s v="Smartphone"/>
    <x v="4"/>
    <x v="0"/>
    <n v="1799.69"/>
    <s v="Misaligned"/>
    <x v="1"/>
    <s v="High Value Tier"/>
    <x v="0"/>
  </r>
  <r>
    <s v="ORD5425"/>
    <s v="CUST1425"/>
    <n v="26"/>
    <s v="PROD625"/>
    <x v="0"/>
    <x v="352"/>
    <s v="12/19/2023"/>
    <n v="1"/>
    <x v="0"/>
    <s v="7/17/2024"/>
    <s v=" $367.19 "/>
    <n v="3"/>
    <n v="49"/>
    <s v="Home"/>
    <s v="Headphones"/>
    <x v="4"/>
    <x v="1"/>
    <n v="1101.57"/>
    <s v="Misaligned"/>
    <x v="2"/>
    <s v="High Value Tier"/>
    <x v="0"/>
  </r>
  <r>
    <s v="ORD5426"/>
    <s v="CUST1426"/>
    <n v="27"/>
    <s v="PROD626"/>
    <x v="5"/>
    <x v="40"/>
    <s v="9/15/2024"/>
    <n v="4"/>
    <x v="2"/>
    <d v="2024-11-08T00:00:00"/>
    <s v=" $174.10 "/>
    <n v="7"/>
    <n v="40"/>
    <s v="Home"/>
    <s v="Shirt"/>
    <x v="2"/>
    <x v="0"/>
    <n v="1218.7"/>
    <s v="Misaligned"/>
    <x v="2"/>
    <s v="High Value Tier"/>
    <x v="1"/>
  </r>
  <r>
    <s v="ORD5427"/>
    <s v="CUST1427"/>
    <n v="35"/>
    <s v="PROD627"/>
    <x v="1"/>
    <x v="7"/>
    <s v="12/22/2024"/>
    <n v="3"/>
    <x v="1"/>
    <s v="8/28/2024"/>
    <s v=" $208.23 "/>
    <n v="7"/>
    <n v="3"/>
    <s v="Home"/>
    <s v="Laptop"/>
    <x v="4"/>
    <x v="0"/>
    <n v="1457.61"/>
    <s v="Misaligned"/>
    <x v="0"/>
    <s v="High Value Tier"/>
    <x v="0"/>
  </r>
  <r>
    <s v="ORD5428"/>
    <s v="CUST1428"/>
    <n v="19"/>
    <s v="PROD628"/>
    <x v="1"/>
    <x v="104"/>
    <s v="1/17/2025"/>
    <n v="2"/>
    <x v="0"/>
    <s v="5/22/2023"/>
    <s v=" $106.21 "/>
    <n v="8"/>
    <n v="40"/>
    <s v="Beauty"/>
    <s v="Conditioner"/>
    <x v="3"/>
    <x v="1"/>
    <n v="849.68"/>
    <s v="Aligned"/>
    <x v="3"/>
    <s v="High Value Tier"/>
    <x v="0"/>
  </r>
  <r>
    <s v="ORD5429"/>
    <s v="CUST1429"/>
    <n v="54"/>
    <s v="PROD629"/>
    <x v="4"/>
    <x v="353"/>
    <d v="2024-10-01T00:00:00"/>
    <n v="5"/>
    <x v="1"/>
    <s v="11/13/2023"/>
    <s v=" $93.51 "/>
    <n v="9"/>
    <n v="19"/>
    <s v="Beauty"/>
    <s v="Moisturizer"/>
    <x v="3"/>
    <x v="0"/>
    <n v="841.59"/>
    <s v="Aligned"/>
    <x v="1"/>
    <s v="High Value Tier"/>
    <x v="0"/>
  </r>
  <r>
    <s v="ORD5430"/>
    <s v="CUST1430"/>
    <n v="57"/>
    <s v="PROD630"/>
    <x v="3"/>
    <x v="354"/>
    <s v="12/13/2024"/>
    <n v="0"/>
    <x v="1"/>
    <s v="2/22/2022"/>
    <s v=" $409.61 "/>
    <n v="3"/>
    <n v="41"/>
    <s v="Home"/>
    <s v="Basketball"/>
    <x v="0"/>
    <x v="0"/>
    <n v="1228.83"/>
    <s v="Misaligned"/>
    <x v="1"/>
    <s v="High Value Tier"/>
    <x v="0"/>
  </r>
  <r>
    <s v="ORD5431"/>
    <s v="CUST1431"/>
    <n v="41"/>
    <s v="PROD631"/>
    <x v="5"/>
    <x v="140"/>
    <s v="12/19/2023"/>
    <n v="5"/>
    <x v="0"/>
    <d v="2023-01-03T00:00:00"/>
    <s v=" $397.50 "/>
    <n v="2"/>
    <n v="23"/>
    <s v="Sports"/>
    <s v="Moisturizer"/>
    <x v="3"/>
    <x v="0"/>
    <n v="795"/>
    <s v="Misaligned"/>
    <x v="0"/>
    <s v="High Value Tier"/>
    <x v="3"/>
  </r>
  <r>
    <s v="ORD5432"/>
    <s v="CUST1432"/>
    <n v="25"/>
    <s v="PROD632"/>
    <x v="3"/>
    <x v="355"/>
    <d v="2023-07-06T00:00:00"/>
    <n v="4"/>
    <x v="1"/>
    <d v="2024-12-04T00:00:00"/>
    <s v=" $65.33 "/>
    <n v="6"/>
    <n v="15"/>
    <s v="Electronics"/>
    <s v="Shirt"/>
    <x v="2"/>
    <x v="1"/>
    <n v="391.98"/>
    <s v="Misaligned"/>
    <x v="2"/>
    <s v="High Value Tier"/>
    <x v="0"/>
  </r>
  <r>
    <s v="ORD5433"/>
    <s v="CUST1433"/>
    <n v="48"/>
    <s v="PROD633"/>
    <x v="2"/>
    <x v="324"/>
    <d v="2022-03-12T00:00:00"/>
    <n v="3"/>
    <x v="0"/>
    <s v="6/29/2024"/>
    <s v=" $83.72 "/>
    <n v="5"/>
    <n v="40"/>
    <s v="Electronics"/>
    <s v="Dumbbells"/>
    <x v="0"/>
    <x v="0"/>
    <n v="418.6"/>
    <s v="Misaligned"/>
    <x v="0"/>
    <s v="High Value Tier"/>
    <x v="0"/>
  </r>
  <r>
    <s v="ORD5434"/>
    <s v="CUST1434"/>
    <n v="43"/>
    <s v="PROD634"/>
    <x v="4"/>
    <x v="222"/>
    <s v="4/28/2023"/>
    <n v="0"/>
    <x v="1"/>
    <d v="2025-01-01T00:00:00"/>
    <s v=" $368.73 "/>
    <n v="3"/>
    <n v="5"/>
    <s v="Sports"/>
    <s v="Chair"/>
    <x v="1"/>
    <x v="1"/>
    <n v="1106.19"/>
    <s v="Misaligned"/>
    <x v="0"/>
    <s v="High Value Tier"/>
    <x v="0"/>
  </r>
  <r>
    <s v="ORD5435"/>
    <s v="CUST1435"/>
    <n v="54"/>
    <s v="PROD635"/>
    <x v="4"/>
    <x v="356"/>
    <s v="11/26/2023"/>
    <n v="5"/>
    <x v="2"/>
    <s v="12/31/2024"/>
    <s v=" $148.77 "/>
    <n v="9"/>
    <n v="48"/>
    <s v="Beauty"/>
    <s v="Sneakers"/>
    <x v="2"/>
    <x v="1"/>
    <n v="1338.93"/>
    <s v="Misaligned"/>
    <x v="1"/>
    <s v="High Value Tier"/>
    <x v="1"/>
  </r>
  <r>
    <s v="ORD5436"/>
    <s v="CUST1436"/>
    <n v="50"/>
    <s v="PROD636"/>
    <x v="2"/>
    <x v="357"/>
    <d v="2024-02-04T00:00:00"/>
    <n v="1"/>
    <x v="0"/>
    <d v="2023-04-03T00:00:00"/>
    <s v=" $302.58 "/>
    <n v="6"/>
    <n v="37"/>
    <s v="Beauty"/>
    <s v="Shampoo"/>
    <x v="3"/>
    <x v="1"/>
    <n v="1815.48"/>
    <s v="Aligned"/>
    <x v="1"/>
    <s v="High Value Tier"/>
    <x v="0"/>
  </r>
  <r>
    <s v="ORD5437"/>
    <s v="CUST1437"/>
    <n v="54"/>
    <s v="PROD637"/>
    <x v="2"/>
    <x v="358"/>
    <d v="2024-10-07T00:00:00"/>
    <n v="0"/>
    <x v="0"/>
    <s v="8/14/2024"/>
    <s v=" $34.76 "/>
    <n v="8"/>
    <n v="13"/>
    <s v="Beauty"/>
    <s v="Skirt"/>
    <x v="2"/>
    <x v="0"/>
    <n v="278.08"/>
    <s v="Misaligned"/>
    <x v="1"/>
    <s v="High Value Tier"/>
    <x v="0"/>
  </r>
  <r>
    <s v="ORD5438"/>
    <s v="CUST1438"/>
    <n v="59"/>
    <s v="PROD638"/>
    <x v="2"/>
    <x v="163"/>
    <d v="2024-05-03T00:00:00"/>
    <n v="3"/>
    <x v="1"/>
    <s v="8/21/2024"/>
    <s v=" $347.58 "/>
    <n v="4"/>
    <n v="11"/>
    <s v="Beauty"/>
    <s v="Moisturizer"/>
    <x v="3"/>
    <x v="2"/>
    <n v="1390.32"/>
    <s v="Aligned"/>
    <x v="1"/>
    <s v="High Value Tier"/>
    <x v="0"/>
  </r>
  <r>
    <s v="ORD5439"/>
    <s v="CUST1439"/>
    <n v="32"/>
    <s v="PROD639"/>
    <x v="1"/>
    <x v="359"/>
    <s v="4/28/2024"/>
    <n v="1"/>
    <x v="0"/>
    <s v="7/25/2025"/>
    <s v=" $43.74 "/>
    <n v="4"/>
    <n v="31"/>
    <s v="Home"/>
    <s v="Dining Table"/>
    <x v="1"/>
    <x v="1"/>
    <n v="174.96"/>
    <s v="Aligned"/>
    <x v="2"/>
    <s v="High Value Tier"/>
    <x v="0"/>
  </r>
  <r>
    <s v="ORD5440"/>
    <s v="CUST1440"/>
    <n v="34"/>
    <s v="PROD640"/>
    <x v="1"/>
    <x v="348"/>
    <d v="2025-12-01T00:00:00"/>
    <n v="5"/>
    <x v="0"/>
    <d v="2024-04-12T00:00:00"/>
    <s v=" $123.64 "/>
    <n v="1"/>
    <n v="36"/>
    <s v="Home"/>
    <s v="Skirt"/>
    <x v="2"/>
    <x v="0"/>
    <n v="123.64"/>
    <s v="Misaligned"/>
    <x v="2"/>
    <s v="High Value Tier"/>
    <x v="3"/>
  </r>
  <r>
    <s v="ORD5441"/>
    <s v="CUST1441"/>
    <n v="67"/>
    <s v="PROD641"/>
    <x v="3"/>
    <x v="360"/>
    <s v="2/15/2023"/>
    <n v="1"/>
    <x v="0"/>
    <s v="11/17/2023"/>
    <s v=" $96.80 "/>
    <n v="6"/>
    <n v="18"/>
    <s v="Beauty"/>
    <s v="Headphones"/>
    <x v="4"/>
    <x v="1"/>
    <n v="580.79999999999995"/>
    <s v="Misaligned"/>
    <x v="4"/>
    <s v="High Value Tier"/>
    <x v="0"/>
  </r>
  <r>
    <s v="ORD5442"/>
    <s v="CUST1442"/>
    <n v="67"/>
    <s v="PROD642"/>
    <x v="2"/>
    <x v="361"/>
    <d v="2025-09-02T00:00:00"/>
    <n v="2"/>
    <x v="0"/>
    <d v="2023-06-04T00:00:00"/>
    <s v=" $64.18 "/>
    <n v="3"/>
    <n v="10"/>
    <s v="Clothing"/>
    <s v="Headphones"/>
    <x v="4"/>
    <x v="0"/>
    <n v="192.54"/>
    <s v="Misaligned"/>
    <x v="4"/>
    <s v="Core Tier"/>
    <x v="0"/>
  </r>
  <r>
    <s v="ORD5443"/>
    <s v="CUST1443"/>
    <n v="39"/>
    <s v="PROD643"/>
    <x v="5"/>
    <x v="294"/>
    <s v="8/17/2023"/>
    <n v="2"/>
    <x v="0"/>
    <s v="12/27/2023"/>
    <s v=" $1,409.68 "/>
    <n v="1"/>
    <n v="20"/>
    <s v="Beauty"/>
    <s v="Running Shoes"/>
    <x v="0"/>
    <x v="0"/>
    <n v="1409.68"/>
    <s v="Misaligned"/>
    <x v="0"/>
    <s v="High Value Tier"/>
    <x v="0"/>
  </r>
  <r>
    <s v="ORD5444"/>
    <s v="CUST1444"/>
    <n v="31"/>
    <s v="PROD644"/>
    <x v="3"/>
    <x v="362"/>
    <d v="2025-10-01T00:00:00"/>
    <n v="5"/>
    <x v="0"/>
    <s v="9/18/2024"/>
    <s v=" $276.06 "/>
    <n v="6"/>
    <n v="19"/>
    <s v="Home"/>
    <s v="Sofa"/>
    <x v="1"/>
    <x v="1"/>
    <n v="1656.36"/>
    <s v="Aligned"/>
    <x v="2"/>
    <s v="High Value Tier"/>
    <x v="3"/>
  </r>
  <r>
    <s v="ORD5445"/>
    <s v="CUST1445"/>
    <n v="56"/>
    <s v="PROD645"/>
    <x v="5"/>
    <x v="363"/>
    <d v="2024-07-05T00:00:00"/>
    <n v="0"/>
    <x v="0"/>
    <d v="2023-11-08T00:00:00"/>
    <s v=" $104.88 "/>
    <n v="8"/>
    <n v="49"/>
    <s v="Sports"/>
    <s v="Camera"/>
    <x v="4"/>
    <x v="1"/>
    <n v="839.04"/>
    <s v="Misaligned"/>
    <x v="1"/>
    <s v="High Value Tier"/>
    <x v="0"/>
  </r>
  <r>
    <s v="ORD5446"/>
    <s v="CUST1446"/>
    <n v="39"/>
    <s v="PROD646"/>
    <x v="2"/>
    <x v="303"/>
    <d v="2023-07-09T00:00:00"/>
    <n v="0"/>
    <x v="1"/>
    <s v="6/20/2024"/>
    <s v=" $552.26 "/>
    <n v="1"/>
    <n v="18"/>
    <s v="Beauty"/>
    <s v="Camera"/>
    <x v="4"/>
    <x v="0"/>
    <n v="552.26"/>
    <s v="Misaligned"/>
    <x v="0"/>
    <s v="High Value Tier"/>
    <x v="0"/>
  </r>
  <r>
    <s v="ORD5447"/>
    <s v="CUST1447"/>
    <n v="61"/>
    <s v="PROD647"/>
    <x v="2"/>
    <x v="364"/>
    <s v="10/29/2022"/>
    <n v="0"/>
    <x v="0"/>
    <d v="2023-09-03T00:00:00"/>
    <s v=" $1,510.04 "/>
    <n v="1"/>
    <n v="30"/>
    <s v="Home"/>
    <s v="Blender"/>
    <x v="1"/>
    <x v="0"/>
    <n v="1510.04"/>
    <s v="Aligned"/>
    <x v="1"/>
    <s v="High Value Tier"/>
    <x v="0"/>
  </r>
  <r>
    <s v="ORD5448"/>
    <s v="CUST1448"/>
    <n v="29"/>
    <s v="PROD648"/>
    <x v="4"/>
    <x v="365"/>
    <d v="2024-06-11T00:00:00"/>
    <n v="5"/>
    <x v="0"/>
    <s v="2/26/2023"/>
    <s v=" $300.19 "/>
    <n v="3"/>
    <n v="4"/>
    <s v="Sports"/>
    <s v="Smartwatch"/>
    <x v="4"/>
    <x v="0"/>
    <n v="900.57"/>
    <s v="Misaligned"/>
    <x v="2"/>
    <s v="High Value Tier"/>
    <x v="3"/>
  </r>
  <r>
    <s v="ORD5449"/>
    <s v="CUST1449"/>
    <n v="38"/>
    <s v="PROD649"/>
    <x v="5"/>
    <x v="366"/>
    <d v="2024-10-04T00:00:00"/>
    <n v="3"/>
    <x v="2"/>
    <s v="10/26/2021"/>
    <s v=" $90.89 "/>
    <n v="9"/>
    <n v="32"/>
    <s v="Electronics"/>
    <s v="Cricket Bat"/>
    <x v="0"/>
    <x v="1"/>
    <n v="818.01"/>
    <s v="Misaligned"/>
    <x v="0"/>
    <s v="High Value Tier"/>
    <x v="1"/>
  </r>
  <r>
    <s v="ORD5450"/>
    <s v="CUST1450"/>
    <n v="34"/>
    <s v="PROD650"/>
    <x v="4"/>
    <x v="367"/>
    <d v="2022-12-10T00:00:00"/>
    <n v="0"/>
    <x v="0"/>
    <s v="12/24/2022"/>
    <s v=" $260.15 "/>
    <n v="1"/>
    <n v="45"/>
    <s v="Clothing"/>
    <s v="Jeans"/>
    <x v="2"/>
    <x v="1"/>
    <n v="260.14999999999998"/>
    <s v="Aligned"/>
    <x v="2"/>
    <s v="High Value Tier"/>
    <x v="0"/>
  </r>
  <r>
    <s v="ORD5451"/>
    <s v="CUST1451"/>
    <n v="25"/>
    <s v="PROD651"/>
    <x v="2"/>
    <x v="368"/>
    <s v="10/21/2024"/>
    <n v="1"/>
    <x v="0"/>
    <s v="12/20/2024"/>
    <s v=" $38.72 "/>
    <n v="8"/>
    <n v="32"/>
    <s v="Electronics"/>
    <s v="Shampoo"/>
    <x v="3"/>
    <x v="1"/>
    <n v="309.76"/>
    <s v="Misaligned"/>
    <x v="2"/>
    <s v="High Value Tier"/>
    <x v="0"/>
  </r>
  <r>
    <s v="ORD5452"/>
    <s v="CUST1452"/>
    <n v="22"/>
    <s v="PROD652"/>
    <x v="3"/>
    <x v="369"/>
    <s v="8/25/2022"/>
    <n v="4"/>
    <x v="2"/>
    <s v="9/25/2023"/>
    <s v=" $178.02 "/>
    <n v="6"/>
    <n v="48"/>
    <s v="Clothing"/>
    <s v="Chair"/>
    <x v="1"/>
    <x v="1"/>
    <n v="1068.1199999999999"/>
    <s v="Misaligned"/>
    <x v="3"/>
    <s v="High Value Tier"/>
    <x v="1"/>
  </r>
  <r>
    <s v="ORD5453"/>
    <s v="CUST1453"/>
    <n v="44"/>
    <s v="PROD653"/>
    <x v="4"/>
    <x v="370"/>
    <d v="2024-11-07T00:00:00"/>
    <n v="4"/>
    <x v="2"/>
    <s v="12/19/2023"/>
    <s v=" $388.51 "/>
    <n v="2"/>
    <n v="32"/>
    <s v="Beauty"/>
    <s v="Dumbbells"/>
    <x v="0"/>
    <x v="0"/>
    <n v="777.02"/>
    <s v="Misaligned"/>
    <x v="0"/>
    <s v="High Value Tier"/>
    <x v="1"/>
  </r>
  <r>
    <s v="ORD5454"/>
    <s v="CUST1454"/>
    <n v="45"/>
    <s v="PROD654"/>
    <x v="2"/>
    <x v="371"/>
    <s v="5/26/2023"/>
    <n v="2"/>
    <x v="1"/>
    <d v="2025-07-08T00:00:00"/>
    <s v=" $191.94 "/>
    <n v="9"/>
    <n v="40"/>
    <s v="Clothing"/>
    <s v="Blender"/>
    <x v="1"/>
    <x v="0"/>
    <n v="1727.46"/>
    <s v="Misaligned"/>
    <x v="0"/>
    <s v="High Value Tier"/>
    <x v="0"/>
  </r>
  <r>
    <s v="ORD5455"/>
    <s v="CUST1455"/>
    <n v="65"/>
    <s v="PROD655"/>
    <x v="3"/>
    <x v="372"/>
    <d v="2024-05-10T00:00:00"/>
    <n v="4"/>
    <x v="0"/>
    <s v="8/31/2024"/>
    <s v=" $48.20 "/>
    <n v="9"/>
    <n v="32"/>
    <s v="Electronics"/>
    <s v="Shirt"/>
    <x v="2"/>
    <x v="0"/>
    <n v="433.8"/>
    <s v="Misaligned"/>
    <x v="4"/>
    <s v="High Value Tier"/>
    <x v="3"/>
  </r>
  <r>
    <s v="ORD5456"/>
    <s v="CUST1456"/>
    <n v="64"/>
    <s v="PROD656"/>
    <x v="3"/>
    <x v="56"/>
    <d v="2024-11-04T00:00:00"/>
    <n v="2"/>
    <x v="0"/>
    <s v="8/21/2023"/>
    <s v=" $25.98 "/>
    <n v="6"/>
    <n v="44"/>
    <s v="Clothing"/>
    <s v="Dining Table"/>
    <x v="1"/>
    <x v="0"/>
    <n v="155.88"/>
    <s v="Misaligned"/>
    <x v="1"/>
    <s v="High Value Tier"/>
    <x v="0"/>
  </r>
  <r>
    <s v="ORD5457"/>
    <s v="CUST1457"/>
    <n v="52"/>
    <s v="PROD657"/>
    <x v="1"/>
    <x v="373"/>
    <d v="2024-10-06T00:00:00"/>
    <n v="2"/>
    <x v="0"/>
    <s v="5/15/2024"/>
    <s v=" $391.53 "/>
    <n v="3"/>
    <n v="2"/>
    <s v="Home"/>
    <s v="Nail Polish"/>
    <x v="3"/>
    <x v="1"/>
    <n v="1174.5899999999999"/>
    <s v="Misaligned"/>
    <x v="1"/>
    <s v="Core Tier"/>
    <x v="0"/>
  </r>
  <r>
    <s v="ORD5458"/>
    <s v="CUST1458"/>
    <n v="25"/>
    <s v="PROD658"/>
    <x v="2"/>
    <x v="374"/>
    <s v="4/29/2025"/>
    <n v="1"/>
    <x v="0"/>
    <d v="2024-10-05T00:00:00"/>
    <s v=" $455.29 "/>
    <n v="3"/>
    <n v="41"/>
    <s v="Beauty"/>
    <s v="Dumbbells"/>
    <x v="0"/>
    <x v="0"/>
    <n v="1365.87"/>
    <s v="Misaligned"/>
    <x v="2"/>
    <s v="High Value Tier"/>
    <x v="0"/>
  </r>
  <r>
    <s v="ORD5459"/>
    <s v="CUST1459"/>
    <n v="50"/>
    <s v="PROD659"/>
    <x v="2"/>
    <x v="375"/>
    <s v="8/21/2022"/>
    <n v="2"/>
    <x v="0"/>
    <d v="2023-10-02T00:00:00"/>
    <s v=" $1,137.99 "/>
    <n v="1"/>
    <n v="16"/>
    <s v="Beauty"/>
    <s v="Lamp"/>
    <x v="1"/>
    <x v="0"/>
    <n v="1137.99"/>
    <s v="Misaligned"/>
    <x v="1"/>
    <s v="High Value Tier"/>
    <x v="0"/>
  </r>
  <r>
    <s v="ORD5460"/>
    <s v="CUST1460"/>
    <n v="66"/>
    <s v="PROD660"/>
    <x v="3"/>
    <x v="376"/>
    <d v="2024-05-03T00:00:00"/>
    <n v="4"/>
    <x v="0"/>
    <s v="1/31/2024"/>
    <s v=" $207.28 "/>
    <n v="8"/>
    <n v="14"/>
    <s v="Beauty"/>
    <s v="Foundation"/>
    <x v="3"/>
    <x v="0"/>
    <n v="1658.24"/>
    <s v="Aligned"/>
    <x v="4"/>
    <s v="High Value Tier"/>
    <x v="3"/>
  </r>
  <r>
    <s v="ORD5461"/>
    <s v="CUST1461"/>
    <n v="66"/>
    <s v="PROD661"/>
    <x v="3"/>
    <x v="377"/>
    <s v="5/16/2024"/>
    <n v="5"/>
    <x v="1"/>
    <d v="2023-08-07T00:00:00"/>
    <s v=" $324.54 "/>
    <n v="6"/>
    <n v="40"/>
    <s v="Electronics"/>
    <s v="Refrigerator"/>
    <x v="1"/>
    <x v="0"/>
    <n v="1947.24"/>
    <s v="Misaligned"/>
    <x v="4"/>
    <s v="High Value Tier"/>
    <x v="0"/>
  </r>
  <r>
    <s v="ORD5462"/>
    <s v="CUST1462"/>
    <n v="24"/>
    <s v="PROD662"/>
    <x v="0"/>
    <x v="378"/>
    <s v="2/22/2021"/>
    <n v="0"/>
    <x v="0"/>
    <s v="5/28/2025"/>
    <s v=" $206.15 "/>
    <n v="5"/>
    <n v="10"/>
    <s v="Electronics"/>
    <s v="Shampoo"/>
    <x v="3"/>
    <x v="0"/>
    <n v="1030.75"/>
    <s v="Misaligned"/>
    <x v="3"/>
    <s v="High Value Tier"/>
    <x v="0"/>
  </r>
  <r>
    <s v="ORD5463"/>
    <s v="CUST1463"/>
    <n v="46"/>
    <s v="PROD663"/>
    <x v="0"/>
    <x v="379"/>
    <d v="2023-05-06T00:00:00"/>
    <n v="1"/>
    <x v="2"/>
    <s v="11/23/2023"/>
    <s v=" $1,493.98 "/>
    <n v="1"/>
    <n v="21"/>
    <s v="Beauty"/>
    <s v="Smartphone"/>
    <x v="4"/>
    <x v="1"/>
    <n v="1493.98"/>
    <s v="Misaligned"/>
    <x v="0"/>
    <s v="High Value Tier"/>
    <x v="1"/>
  </r>
  <r>
    <s v="ORD5464"/>
    <s v="CUST1464"/>
    <n v="39"/>
    <s v="PROD664"/>
    <x v="3"/>
    <x v="380"/>
    <d v="2025-07-05T00:00:00"/>
    <n v="5"/>
    <x v="2"/>
    <s v="4/16/2022"/>
    <s v=" $553.36 "/>
    <n v="2"/>
    <n v="10"/>
    <s v="Beauty"/>
    <s v="Sneakers"/>
    <x v="2"/>
    <x v="1"/>
    <n v="1106.72"/>
    <s v="Misaligned"/>
    <x v="0"/>
    <s v="High Value Tier"/>
    <x v="1"/>
  </r>
  <r>
    <s v="ORD5465"/>
    <s v="CUST1465"/>
    <n v="26"/>
    <s v="PROD665"/>
    <x v="2"/>
    <x v="381"/>
    <d v="2022-07-02T00:00:00"/>
    <n v="3"/>
    <x v="0"/>
    <s v="3/20/2025"/>
    <s v=" $178.28 "/>
    <n v="6"/>
    <n v="41"/>
    <s v="Electronics"/>
    <s v="Vacuum Cleaner"/>
    <x v="1"/>
    <x v="0"/>
    <n v="1069.68"/>
    <s v="Misaligned"/>
    <x v="2"/>
    <s v="High Value Tier"/>
    <x v="0"/>
  </r>
  <r>
    <s v="ORD5466"/>
    <s v="CUST1466"/>
    <n v="36"/>
    <s v="PROD666"/>
    <x v="3"/>
    <x v="382"/>
    <s v="1/16/2024"/>
    <n v="5"/>
    <x v="1"/>
    <s v="6/25/2024"/>
    <s v=" $638.11 "/>
    <n v="1"/>
    <n v="25"/>
    <s v="Electronics"/>
    <s v="Tablet"/>
    <x v="4"/>
    <x v="0"/>
    <n v="638.11"/>
    <s v="Aligned"/>
    <x v="0"/>
    <s v="High Value Tier"/>
    <x v="0"/>
  </r>
  <r>
    <s v="ORD5467"/>
    <s v="CUST1467"/>
    <n v="37"/>
    <s v="PROD667"/>
    <x v="3"/>
    <x v="383"/>
    <s v="12/14/2021"/>
    <n v="1"/>
    <x v="0"/>
    <s v="6/25/2022"/>
    <s v=" $225.32 "/>
    <n v="8"/>
    <n v="34"/>
    <s v="Beauty"/>
    <s v="Blender"/>
    <x v="1"/>
    <x v="0"/>
    <n v="1802.56"/>
    <s v="Misaligned"/>
    <x v="0"/>
    <s v="High Value Tier"/>
    <x v="0"/>
  </r>
  <r>
    <s v="ORD5468"/>
    <s v="CUST1468"/>
    <n v="35"/>
    <s v="PROD668"/>
    <x v="0"/>
    <x v="142"/>
    <d v="2023-09-02T00:00:00"/>
    <n v="2"/>
    <x v="0"/>
    <s v="1/25/2025"/>
    <s v=" $133.50 "/>
    <n v="9"/>
    <n v="49"/>
    <s v="Beauty"/>
    <s v="Basketball"/>
    <x v="0"/>
    <x v="0"/>
    <n v="1201.5"/>
    <s v="Misaligned"/>
    <x v="0"/>
    <s v="High Value Tier"/>
    <x v="0"/>
  </r>
  <r>
    <s v="ORD5469"/>
    <s v="CUST1469"/>
    <n v="44"/>
    <s v="PROD669"/>
    <x v="4"/>
    <x v="384"/>
    <s v="8/29/2023"/>
    <n v="2"/>
    <x v="1"/>
    <s v="4/18/2023"/>
    <s v=" $213.51 "/>
    <n v="6"/>
    <n v="19"/>
    <s v="Home"/>
    <s v="Football"/>
    <x v="0"/>
    <x v="1"/>
    <n v="1281.06"/>
    <s v="Misaligned"/>
    <x v="0"/>
    <s v="High Value Tier"/>
    <x v="0"/>
  </r>
  <r>
    <s v="ORD5470"/>
    <s v="CUST1470"/>
    <n v="51"/>
    <s v="PROD670"/>
    <x v="4"/>
    <x v="376"/>
    <s v="3/27/2023"/>
    <n v="0"/>
    <x v="0"/>
    <s v="4/29/2025"/>
    <s v=" $185.37 "/>
    <n v="8"/>
    <n v="36"/>
    <s v="Clothing"/>
    <s v="Conditioner"/>
    <x v="3"/>
    <x v="0"/>
    <n v="1482.96"/>
    <s v="Misaligned"/>
    <x v="1"/>
    <s v="High Value Tier"/>
    <x v="0"/>
  </r>
  <r>
    <s v="ORD5471"/>
    <s v="CUST1471"/>
    <n v="35"/>
    <s v="PROD671"/>
    <x v="1"/>
    <x v="385"/>
    <s v="6/22/2025"/>
    <n v="0"/>
    <x v="1"/>
    <d v="2024-04-04T00:00:00"/>
    <s v=" $87.80 "/>
    <n v="8"/>
    <n v="4"/>
    <s v="Home"/>
    <s v="Skirt"/>
    <x v="2"/>
    <x v="0"/>
    <n v="702.4"/>
    <s v="Misaligned"/>
    <x v="0"/>
    <s v="High Value Tier"/>
    <x v="0"/>
  </r>
  <r>
    <s v="ORD5472"/>
    <s v="CUST1472"/>
    <n v="51"/>
    <s v="PROD672"/>
    <x v="5"/>
    <x v="386"/>
    <s v="1/14/2025"/>
    <n v="0"/>
    <x v="1"/>
    <s v="9/15/2024"/>
    <s v=" $97.78 "/>
    <n v="4"/>
    <n v="29"/>
    <s v="Home"/>
    <s v="Perfume"/>
    <x v="3"/>
    <x v="1"/>
    <n v="391.12"/>
    <s v="Misaligned"/>
    <x v="1"/>
    <s v="High Value Tier"/>
    <x v="0"/>
  </r>
  <r>
    <s v="ORD5473"/>
    <s v="CUST1473"/>
    <n v="56"/>
    <s v="PROD673"/>
    <x v="2"/>
    <x v="120"/>
    <d v="2023-02-06T00:00:00"/>
    <n v="2"/>
    <x v="0"/>
    <s v="7/18/2023"/>
    <s v=" $197.60 "/>
    <n v="9"/>
    <n v="38"/>
    <s v="Clothing"/>
    <s v="Dress"/>
    <x v="2"/>
    <x v="1"/>
    <n v="1778.4"/>
    <s v="Aligned"/>
    <x v="1"/>
    <s v="High Value Tier"/>
    <x v="0"/>
  </r>
  <r>
    <s v="ORD5474"/>
    <s v="CUST1474"/>
    <n v="37"/>
    <s v="PROD674"/>
    <x v="1"/>
    <x v="387"/>
    <s v="1/31/2023"/>
    <n v="0"/>
    <x v="0"/>
    <d v="2024-06-01T00:00:00"/>
    <s v=" $532.09 "/>
    <n v="2"/>
    <n v="46"/>
    <s v="Beauty"/>
    <s v="Dining Table"/>
    <x v="1"/>
    <x v="0"/>
    <n v="1064.18"/>
    <s v="Misaligned"/>
    <x v="0"/>
    <s v="High Value Tier"/>
    <x v="0"/>
  </r>
  <r>
    <s v="ORD5475"/>
    <s v="CUST1475"/>
    <n v="40"/>
    <s v="PROD675"/>
    <x v="0"/>
    <x v="4"/>
    <s v="3/30/2023"/>
    <n v="1"/>
    <x v="1"/>
    <d v="2024-10-08T00:00:00"/>
    <s v=" $196.12 "/>
    <n v="5"/>
    <n v="7"/>
    <s v="Beauty"/>
    <s v="Shirt"/>
    <x v="2"/>
    <x v="0"/>
    <n v="980.6"/>
    <s v="Misaligned"/>
    <x v="0"/>
    <s v="High Value Tier"/>
    <x v="0"/>
  </r>
  <r>
    <s v="ORD5476"/>
    <s v="CUST1476"/>
    <n v="40"/>
    <s v="PROD676"/>
    <x v="2"/>
    <x v="388"/>
    <s v="6/24/2024"/>
    <n v="5"/>
    <x v="1"/>
    <s v="9/20/2022"/>
    <s v=" $313.86 "/>
    <n v="6"/>
    <n v="12"/>
    <s v="Sports"/>
    <s v="Dumbbells"/>
    <x v="0"/>
    <x v="0"/>
    <n v="1883.16"/>
    <s v="Aligned"/>
    <x v="0"/>
    <s v="High Value Tier"/>
    <x v="0"/>
  </r>
  <r>
    <s v="ORD5477"/>
    <s v="CUST1477"/>
    <n v="31"/>
    <s v="PROD677"/>
    <x v="4"/>
    <x v="389"/>
    <s v="9/17/2023"/>
    <n v="1"/>
    <x v="1"/>
    <s v="11/20/2024"/>
    <s v=" $417.52 "/>
    <n v="2"/>
    <n v="34"/>
    <s v="Sports"/>
    <s v="T-Shirt"/>
    <x v="2"/>
    <x v="0"/>
    <n v="835.04"/>
    <s v="Misaligned"/>
    <x v="2"/>
    <s v="High Value Tier"/>
    <x v="0"/>
  </r>
  <r>
    <s v="ORD5478"/>
    <s v="CUST1478"/>
    <n v="23"/>
    <s v="PROD678"/>
    <x v="3"/>
    <x v="390"/>
    <s v="1/22/2025"/>
    <n v="3"/>
    <x v="0"/>
    <d v="2024-08-04T00:00:00"/>
    <s v=" $124.76 "/>
    <n v="8"/>
    <n v="27"/>
    <s v="Home"/>
    <s v="Jeans"/>
    <x v="2"/>
    <x v="0"/>
    <n v="998.08"/>
    <s v="Misaligned"/>
    <x v="3"/>
    <s v="High Value Tier"/>
    <x v="0"/>
  </r>
  <r>
    <s v="ORD5479"/>
    <s v="CUST1479"/>
    <n v="32"/>
    <s v="PROD679"/>
    <x v="3"/>
    <x v="391"/>
    <d v="2025-05-03T00:00:00"/>
    <n v="2"/>
    <x v="1"/>
    <s v="10/14/2024"/>
    <s v=" $90.21 "/>
    <n v="6"/>
    <n v="2"/>
    <s v="Clothing"/>
    <s v="Smartwatch"/>
    <x v="4"/>
    <x v="0"/>
    <n v="541.26"/>
    <s v="Misaligned"/>
    <x v="2"/>
    <s v="Core Tier"/>
    <x v="0"/>
  </r>
  <r>
    <s v="ORD5480"/>
    <s v="CUST1480"/>
    <n v="46"/>
    <s v="PROD680"/>
    <x v="2"/>
    <x v="392"/>
    <s v="7/23/2025"/>
    <n v="4"/>
    <x v="2"/>
    <s v="1/14/2023"/>
    <s v=" $277.47 "/>
    <n v="4"/>
    <n v="7"/>
    <s v="Beauty"/>
    <s v="Sneakers"/>
    <x v="2"/>
    <x v="2"/>
    <n v="1109.8800000000001"/>
    <s v="Misaligned"/>
    <x v="0"/>
    <s v="High Value Tier"/>
    <x v="1"/>
  </r>
  <r>
    <s v="ORD5481"/>
    <s v="CUST1481"/>
    <n v="65"/>
    <s v="PROD681"/>
    <x v="1"/>
    <x v="386"/>
    <s v="5/31/2023"/>
    <n v="0"/>
    <x v="1"/>
    <d v="2025-06-03T00:00:00"/>
    <s v=" $132.87 "/>
    <n v="5"/>
    <n v="2"/>
    <s v="Electronics"/>
    <s v="Laptop"/>
    <x v="4"/>
    <x v="1"/>
    <n v="664.35"/>
    <s v="Aligned"/>
    <x v="4"/>
    <s v="Core Tier"/>
    <x v="0"/>
  </r>
  <r>
    <s v="ORD5482"/>
    <s v="CUST1482"/>
    <n v="19"/>
    <s v="PROD682"/>
    <x v="2"/>
    <x v="356"/>
    <d v="2023-03-07T00:00:00"/>
    <n v="3"/>
    <x v="0"/>
    <s v="8/26/2023"/>
    <s v=" $132.82 "/>
    <n v="8"/>
    <n v="10"/>
    <s v="Clothing"/>
    <s v="Sneakers"/>
    <x v="2"/>
    <x v="0"/>
    <n v="1062.56"/>
    <s v="Aligned"/>
    <x v="3"/>
    <s v="High Value Tier"/>
    <x v="0"/>
  </r>
  <r>
    <s v="ORD5483"/>
    <s v="CUST1483"/>
    <n v="21"/>
    <s v="PROD683"/>
    <x v="5"/>
    <x v="39"/>
    <s v="12/21/2024"/>
    <n v="2"/>
    <x v="1"/>
    <d v="2024-04-04T00:00:00"/>
    <s v=" $554.08 "/>
    <n v="1"/>
    <n v="47"/>
    <s v="Clothing"/>
    <s v="Chair"/>
    <x v="1"/>
    <x v="1"/>
    <n v="554.08000000000004"/>
    <s v="Misaligned"/>
    <x v="3"/>
    <s v="High Value Tier"/>
    <x v="0"/>
  </r>
  <r>
    <s v="ORD5484"/>
    <s v="CUST1484"/>
    <n v="23"/>
    <s v="PROD684"/>
    <x v="1"/>
    <x v="393"/>
    <s v="3/27/2024"/>
    <n v="1"/>
    <x v="0"/>
    <s v="3/24/2024"/>
    <s v=" $190.43 "/>
    <n v="5"/>
    <n v="2"/>
    <s v="Home"/>
    <s v="Shampoo"/>
    <x v="3"/>
    <x v="1"/>
    <n v="952.15"/>
    <s v="Misaligned"/>
    <x v="3"/>
    <s v="Core Tier"/>
    <x v="0"/>
  </r>
  <r>
    <s v="ORD5485"/>
    <s v="CUST1485"/>
    <n v="59"/>
    <s v="PROD685"/>
    <x v="0"/>
    <x v="394"/>
    <s v="5/21/2023"/>
    <n v="0"/>
    <x v="0"/>
    <s v="1/23/2024"/>
    <s v=" $228.34 "/>
    <n v="7"/>
    <n v="16"/>
    <s v="Beauty"/>
    <s v="Tablet"/>
    <x v="4"/>
    <x v="0"/>
    <n v="1598.38"/>
    <s v="Misaligned"/>
    <x v="1"/>
    <s v="High Value Tier"/>
    <x v="0"/>
  </r>
  <r>
    <s v="ORD5486"/>
    <s v="CUST1486"/>
    <n v="28"/>
    <s v="PROD686"/>
    <x v="4"/>
    <x v="296"/>
    <s v="9/29/2022"/>
    <n v="3"/>
    <x v="0"/>
    <s v="9/23/2023"/>
    <s v=" $975.01 "/>
    <n v="1"/>
    <n v="4"/>
    <s v="Clothing"/>
    <s v="Tennis Racket"/>
    <x v="0"/>
    <x v="1"/>
    <n v="975.01"/>
    <s v="Misaligned"/>
    <x v="2"/>
    <s v="High Value Tier"/>
    <x v="0"/>
  </r>
  <r>
    <s v="ORD5487"/>
    <s v="CUST1487"/>
    <n v="40"/>
    <s v="PROD687"/>
    <x v="3"/>
    <x v="204"/>
    <s v="6/26/2025"/>
    <n v="3"/>
    <x v="0"/>
    <s v="3/15/2024"/>
    <s v=" $62.15 "/>
    <n v="3"/>
    <n v="31"/>
    <s v="Electronics"/>
    <s v="Conditioner"/>
    <x v="3"/>
    <x v="1"/>
    <n v="186.45"/>
    <s v="Misaligned"/>
    <x v="0"/>
    <s v="High Value Tier"/>
    <x v="0"/>
  </r>
  <r>
    <s v="ORD5488"/>
    <s v="CUST1488"/>
    <n v="49"/>
    <s v="PROD688"/>
    <x v="0"/>
    <x v="395"/>
    <s v="1/25/2024"/>
    <n v="1"/>
    <x v="0"/>
    <s v="4/22/2023"/>
    <s v=" $537.56 "/>
    <n v="2"/>
    <n v="11"/>
    <s v="Beauty"/>
    <s v="Shirt"/>
    <x v="2"/>
    <x v="0"/>
    <n v="1075.1199999999999"/>
    <s v="Misaligned"/>
    <x v="0"/>
    <s v="High Value Tier"/>
    <x v="0"/>
  </r>
  <r>
    <s v="ORD5489"/>
    <s v="CUST1489"/>
    <n v="46"/>
    <s v="PROD689"/>
    <x v="4"/>
    <x v="131"/>
    <s v="4/16/2025"/>
    <n v="2"/>
    <x v="0"/>
    <s v="6/20/2024"/>
    <s v=" $472.65 "/>
    <n v="4"/>
    <n v="11"/>
    <s v="Sports"/>
    <s v="Lamp"/>
    <x v="1"/>
    <x v="0"/>
    <n v="1890.6"/>
    <s v="Misaligned"/>
    <x v="0"/>
    <s v="High Value Tier"/>
    <x v="0"/>
  </r>
  <r>
    <s v="ORD5490"/>
    <s v="CUST1490"/>
    <n v="44"/>
    <s v="PROD690"/>
    <x v="4"/>
    <x v="374"/>
    <s v="1/28/2024"/>
    <n v="1"/>
    <x v="1"/>
    <d v="2025-03-05T00:00:00"/>
    <s v=" $109.16 "/>
    <n v="8"/>
    <n v="31"/>
    <s v="Clothing"/>
    <s v="Camera"/>
    <x v="4"/>
    <x v="0"/>
    <n v="873.28"/>
    <s v="Misaligned"/>
    <x v="0"/>
    <s v="High Value Tier"/>
    <x v="0"/>
  </r>
  <r>
    <s v="ORD5491"/>
    <s v="CUST1491"/>
    <n v="50"/>
    <s v="PROD691"/>
    <x v="1"/>
    <x v="396"/>
    <s v="12/23/2022"/>
    <n v="3"/>
    <x v="2"/>
    <s v="1/23/2023"/>
    <s v=" $261.49 "/>
    <n v="5"/>
    <n v="25"/>
    <s v="Sports"/>
    <s v="Bluetooth Speaker"/>
    <x v="4"/>
    <x v="1"/>
    <n v="1307.45"/>
    <s v="Misaligned"/>
    <x v="1"/>
    <s v="High Value Tier"/>
    <x v="1"/>
  </r>
  <r>
    <s v="ORD5492"/>
    <s v="CUST1492"/>
    <n v="49"/>
    <s v="PROD692"/>
    <x v="5"/>
    <x v="152"/>
    <s v="3/25/2024"/>
    <n v="5"/>
    <x v="0"/>
    <s v="7/16/2022"/>
    <s v=" $69.48 "/>
    <n v="7"/>
    <n v="41"/>
    <s v="Home"/>
    <s v="Cricket Bat"/>
    <x v="0"/>
    <x v="0"/>
    <n v="486.36"/>
    <s v="Misaligned"/>
    <x v="0"/>
    <s v="High Value Tier"/>
    <x v="3"/>
  </r>
  <r>
    <s v="ORD5493"/>
    <s v="CUST1493"/>
    <n v="38"/>
    <s v="PROD693"/>
    <x v="0"/>
    <x v="337"/>
    <s v="7/22/2025"/>
    <n v="2"/>
    <x v="0"/>
    <s v="2/22/2025"/>
    <s v=" $1,481.71 "/>
    <n v="1"/>
    <n v="37"/>
    <s v="Clothing"/>
    <s v="Shirt"/>
    <x v="2"/>
    <x v="0"/>
    <n v="1481.71"/>
    <s v="Aligned"/>
    <x v="0"/>
    <s v="High Value Tier"/>
    <x v="0"/>
  </r>
  <r>
    <s v="ORD5494"/>
    <s v="CUST1494"/>
    <n v="25"/>
    <s v="PROD694"/>
    <x v="0"/>
    <x v="397"/>
    <s v="10/13/2023"/>
    <n v="0"/>
    <x v="1"/>
    <s v="3/29/2024"/>
    <s v=" $189.21 "/>
    <n v="9"/>
    <n v="30"/>
    <s v="Clothing"/>
    <s v="Hoodie"/>
    <x v="2"/>
    <x v="1"/>
    <n v="1702.89"/>
    <s v="Aligned"/>
    <x v="2"/>
    <s v="High Value Tier"/>
    <x v="0"/>
  </r>
  <r>
    <s v="ORD5495"/>
    <s v="CUST1495"/>
    <n v="62"/>
    <s v="PROD695"/>
    <x v="3"/>
    <x v="398"/>
    <d v="2021-11-12T00:00:00"/>
    <n v="3"/>
    <x v="0"/>
    <d v="2023-06-06T00:00:00"/>
    <s v=" $271.14 "/>
    <n v="4"/>
    <n v="42"/>
    <s v="Sports"/>
    <s v="Face Wash"/>
    <x v="3"/>
    <x v="0"/>
    <n v="1084.56"/>
    <s v="Misaligned"/>
    <x v="1"/>
    <s v="High Value Tier"/>
    <x v="0"/>
  </r>
  <r>
    <s v="ORD5496"/>
    <s v="CUST1496"/>
    <n v="33"/>
    <s v="PROD696"/>
    <x v="0"/>
    <x v="399"/>
    <d v="2023-11-01T00:00:00"/>
    <n v="5"/>
    <x v="0"/>
    <s v="3/22/2025"/>
    <s v=" $396.81 "/>
    <n v="5"/>
    <n v="20"/>
    <s v="Clothing"/>
    <s v="Camera"/>
    <x v="4"/>
    <x v="0"/>
    <n v="1984.05"/>
    <s v="Misaligned"/>
    <x v="2"/>
    <s v="High Value Tier"/>
    <x v="3"/>
  </r>
  <r>
    <s v="ORD5497"/>
    <s v="CUST1497"/>
    <n v="20"/>
    <s v="PROD697"/>
    <x v="5"/>
    <x v="330"/>
    <s v="1/30/2025"/>
    <n v="0"/>
    <x v="1"/>
    <d v="2023-12-07T00:00:00"/>
    <s v=" $836.76 "/>
    <n v="2"/>
    <n v="47"/>
    <s v="Beauty"/>
    <s v="Skirt"/>
    <x v="2"/>
    <x v="1"/>
    <n v="1673.52"/>
    <s v="Misaligned"/>
    <x v="3"/>
    <s v="High Value Tier"/>
    <x v="0"/>
  </r>
  <r>
    <s v="ORD5498"/>
    <s v="CUST1498"/>
    <n v="29"/>
    <s v="PROD698"/>
    <x v="0"/>
    <x v="345"/>
    <d v="2022-06-03T00:00:00"/>
    <n v="1"/>
    <x v="0"/>
    <s v="8/15/2023"/>
    <s v=" $71.96 "/>
    <n v="2"/>
    <n v="7"/>
    <s v="Beauty"/>
    <s v="Lipstick"/>
    <x v="3"/>
    <x v="1"/>
    <n v="143.91999999999999"/>
    <s v="Aligned"/>
    <x v="2"/>
    <s v="Core Tier"/>
    <x v="0"/>
  </r>
  <r>
    <s v="ORD5499"/>
    <s v="CUST1499"/>
    <n v="45"/>
    <s v="PROD699"/>
    <x v="2"/>
    <x v="313"/>
    <s v="8/25/2022"/>
    <n v="3"/>
    <x v="0"/>
    <d v="2022-03-05T00:00:00"/>
    <s v=" $1,601.28 "/>
    <n v="1"/>
    <n v="33"/>
    <s v="Beauty"/>
    <s v="Shirt"/>
    <x v="2"/>
    <x v="1"/>
    <n v="1601.28"/>
    <s v="Misaligned"/>
    <x v="0"/>
    <s v="High Value Tier"/>
    <x v="0"/>
  </r>
  <r>
    <s v="ORD5500"/>
    <s v="CUST1500"/>
    <n v="49"/>
    <s v="PROD700"/>
    <x v="0"/>
    <x v="130"/>
    <s v="2/24/2022"/>
    <n v="3"/>
    <x v="2"/>
    <s v="7/15/2022"/>
    <s v=" $582.99 "/>
    <n v="3"/>
    <n v="3"/>
    <s v="Clothing"/>
    <s v="Perfume"/>
    <x v="3"/>
    <x v="0"/>
    <n v="1748.97"/>
    <s v="Misaligned"/>
    <x v="0"/>
    <s v="High Value Tier"/>
    <x v="1"/>
  </r>
  <r>
    <s v="ORD5501"/>
    <s v="CUST1501"/>
    <n v="51"/>
    <s v="PROD701"/>
    <x v="2"/>
    <x v="101"/>
    <s v="5/27/2023"/>
    <n v="3"/>
    <x v="2"/>
    <s v="5/22/2024"/>
    <s v=" $307.14 "/>
    <n v="2"/>
    <n v="34"/>
    <s v="Home"/>
    <s v="Basketball"/>
    <x v="0"/>
    <x v="2"/>
    <n v="614.28"/>
    <s v="Misaligned"/>
    <x v="1"/>
    <s v="High Value Tier"/>
    <x v="1"/>
  </r>
  <r>
    <s v="ORD5502"/>
    <s v="CUST1502"/>
    <n v="66"/>
    <s v="PROD702"/>
    <x v="1"/>
    <x v="125"/>
    <s v="1/17/2025"/>
    <n v="4"/>
    <x v="2"/>
    <s v="3/24/2022"/>
    <s v=" $193.22 "/>
    <n v="8"/>
    <n v="32"/>
    <s v="Beauty"/>
    <s v="Shirt"/>
    <x v="2"/>
    <x v="1"/>
    <n v="1545.76"/>
    <s v="Misaligned"/>
    <x v="4"/>
    <s v="High Value Tier"/>
    <x v="1"/>
  </r>
  <r>
    <s v="ORD5503"/>
    <s v="CUST1503"/>
    <n v="58"/>
    <s v="PROD703"/>
    <x v="1"/>
    <x v="400"/>
    <s v="5/25/2024"/>
    <n v="1"/>
    <x v="1"/>
    <s v="4/27/2025"/>
    <s v=" $996.56 "/>
    <n v="2"/>
    <n v="32"/>
    <s v="Beauty"/>
    <s v="Camera"/>
    <x v="4"/>
    <x v="1"/>
    <n v="1993.12"/>
    <s v="Misaligned"/>
    <x v="1"/>
    <s v="High Value Tier"/>
    <x v="0"/>
  </r>
  <r>
    <s v="ORD5504"/>
    <s v="CUST1504"/>
    <n v="31"/>
    <s v="PROD704"/>
    <x v="2"/>
    <x v="353"/>
    <s v="3/29/2025"/>
    <n v="0"/>
    <x v="0"/>
    <s v="6/16/2024"/>
    <s v=" $965.67 "/>
    <n v="2"/>
    <n v="42"/>
    <s v="Clothing"/>
    <s v="Microwave"/>
    <x v="1"/>
    <x v="0"/>
    <n v="1931.34"/>
    <s v="Misaligned"/>
    <x v="2"/>
    <s v="High Value Tier"/>
    <x v="0"/>
  </r>
  <r>
    <s v="ORD5505"/>
    <s v="CUST1505"/>
    <n v="35"/>
    <s v="PROD705"/>
    <x v="0"/>
    <x v="317"/>
    <d v="2025-02-06T00:00:00"/>
    <n v="4"/>
    <x v="0"/>
    <s v="9/22/2024"/>
    <s v=" $134.86 "/>
    <n v="9"/>
    <n v="7"/>
    <s v="Electronics"/>
    <s v="Dress"/>
    <x v="2"/>
    <x v="1"/>
    <n v="1213.74"/>
    <s v="Misaligned"/>
    <x v="0"/>
    <s v="High Value Tier"/>
    <x v="3"/>
  </r>
  <r>
    <s v="ORD5506"/>
    <s v="CUST1506"/>
    <n v="48"/>
    <s v="PROD706"/>
    <x v="2"/>
    <x v="401"/>
    <d v="2022-06-06T00:00:00"/>
    <n v="2"/>
    <x v="0"/>
    <s v="10/21/2024"/>
    <s v=" $59.06 "/>
    <n v="8"/>
    <n v="27"/>
    <s v="Clothing"/>
    <s v="T-Shirt"/>
    <x v="2"/>
    <x v="0"/>
    <n v="472.48"/>
    <s v="Aligned"/>
    <x v="0"/>
    <s v="High Value Tier"/>
    <x v="0"/>
  </r>
  <r>
    <s v="ORD5507"/>
    <s v="CUST1507"/>
    <n v="34"/>
    <s v="PROD707"/>
    <x v="2"/>
    <x v="402"/>
    <s v="7/26/2025"/>
    <n v="0"/>
    <x v="1"/>
    <d v="2021-02-10T00:00:00"/>
    <s v=" $163.78 "/>
    <n v="5"/>
    <n v="14"/>
    <s v="Electronics"/>
    <s v="Gaming Console"/>
    <x v="4"/>
    <x v="1"/>
    <n v="818.9"/>
    <s v="Aligned"/>
    <x v="2"/>
    <s v="High Value Tier"/>
    <x v="0"/>
  </r>
  <r>
    <s v="ORD5508"/>
    <s v="CUST1508"/>
    <n v="57"/>
    <s v="PROD708"/>
    <x v="3"/>
    <x v="403"/>
    <d v="2024-04-01T00:00:00"/>
    <n v="3"/>
    <x v="2"/>
    <s v="4/24/2024"/>
    <s v=" $204.26 "/>
    <n v="9"/>
    <n v="38"/>
    <s v="Beauty"/>
    <s v="Dining Table"/>
    <x v="1"/>
    <x v="0"/>
    <n v="1838.34"/>
    <s v="Misaligned"/>
    <x v="1"/>
    <s v="High Value Tier"/>
    <x v="1"/>
  </r>
  <r>
    <s v="ORD5509"/>
    <s v="CUST1509"/>
    <n v="42"/>
    <s v="PROD709"/>
    <x v="4"/>
    <x v="404"/>
    <d v="2024-07-08T00:00:00"/>
    <n v="3"/>
    <x v="0"/>
    <s v="9/25/2023"/>
    <s v=" $162.05 "/>
    <n v="9"/>
    <n v="32"/>
    <s v="Electronics"/>
    <s v="Vacuum Cleaner"/>
    <x v="1"/>
    <x v="1"/>
    <n v="1458.45"/>
    <s v="Misaligned"/>
    <x v="0"/>
    <s v="High Value Tier"/>
    <x v="0"/>
  </r>
  <r>
    <s v="ORD5510"/>
    <s v="CUST1510"/>
    <n v="60"/>
    <s v="PROD710"/>
    <x v="4"/>
    <x v="405"/>
    <s v="7/19/2025"/>
    <n v="3"/>
    <x v="1"/>
    <s v="1/26/2024"/>
    <s v=" $124.82 "/>
    <n v="6"/>
    <n v="43"/>
    <s v="Home"/>
    <s v="Sneakers"/>
    <x v="2"/>
    <x v="0"/>
    <n v="748.92"/>
    <s v="Misaligned"/>
    <x v="1"/>
    <s v="High Value Tier"/>
    <x v="0"/>
  </r>
  <r>
    <s v="ORD5511"/>
    <s v="CUST1511"/>
    <n v="28"/>
    <s v="PROD711"/>
    <x v="0"/>
    <x v="406"/>
    <d v="2024-02-09T00:00:00"/>
    <n v="1"/>
    <x v="2"/>
    <d v="2024-07-03T00:00:00"/>
    <s v=" $81.49 "/>
    <n v="7"/>
    <n v="32"/>
    <s v="Beauty"/>
    <s v="Vacuum Cleaner"/>
    <x v="1"/>
    <x v="0"/>
    <n v="570.42999999999995"/>
    <s v="Misaligned"/>
    <x v="2"/>
    <s v="High Value Tier"/>
    <x v="1"/>
  </r>
  <r>
    <s v="ORD5512"/>
    <s v="CUST1512"/>
    <n v="34"/>
    <s v="PROD712"/>
    <x v="0"/>
    <x v="35"/>
    <s v="5/22/2025"/>
    <n v="0"/>
    <x v="2"/>
    <s v="7/25/2022"/>
    <s v=" $36.04 "/>
    <n v="3"/>
    <n v="23"/>
    <s v="Clothing"/>
    <s v="Face Wash"/>
    <x v="3"/>
    <x v="1"/>
    <n v="108.12"/>
    <s v="Misaligned"/>
    <x v="2"/>
    <s v="Core Tier"/>
    <x v="1"/>
  </r>
  <r>
    <s v="ORD5513"/>
    <s v="CUST1513"/>
    <n v="44"/>
    <s v="PROD713"/>
    <x v="4"/>
    <x v="407"/>
    <s v="5/26/2025"/>
    <n v="4"/>
    <x v="1"/>
    <d v="2024-05-01T00:00:00"/>
    <s v=" $243.55 "/>
    <n v="7"/>
    <n v="26"/>
    <s v="Beauty"/>
    <s v="Jeans"/>
    <x v="2"/>
    <x v="1"/>
    <n v="1704.85"/>
    <s v="Misaligned"/>
    <x v="0"/>
    <s v="High Value Tier"/>
    <x v="0"/>
  </r>
  <r>
    <s v="ORD5514"/>
    <s v="CUST1514"/>
    <n v="57"/>
    <s v="PROD714"/>
    <x v="3"/>
    <x v="298"/>
    <d v="2023-08-01T00:00:00"/>
    <n v="1"/>
    <x v="0"/>
    <s v="3/18/2023"/>
    <s v=" $428.54 "/>
    <n v="3"/>
    <n v="33"/>
    <s v="Home"/>
    <s v="Tablet"/>
    <x v="4"/>
    <x v="1"/>
    <n v="1285.6199999999999"/>
    <s v="Misaligned"/>
    <x v="1"/>
    <s v="High Value Tier"/>
    <x v="0"/>
  </r>
  <r>
    <s v="ORD5515"/>
    <s v="CUST1515"/>
    <n v="54"/>
    <s v="PROD715"/>
    <x v="3"/>
    <x v="408"/>
    <d v="2023-12-03T00:00:00"/>
    <n v="5"/>
    <x v="0"/>
    <d v="2025-09-04T00:00:00"/>
    <s v=" $234.67 "/>
    <n v="3"/>
    <n v="8"/>
    <s v="Home"/>
    <s v="Bluetooth Speaker"/>
    <x v="4"/>
    <x v="1"/>
    <n v="704.01"/>
    <s v="Misaligned"/>
    <x v="1"/>
    <s v="High Value Tier"/>
    <x v="3"/>
  </r>
  <r>
    <s v="ORD5516"/>
    <s v="CUST1516"/>
    <n v="51"/>
    <s v="PROD716"/>
    <x v="3"/>
    <x v="409"/>
    <s v="6/17/2023"/>
    <n v="1"/>
    <x v="1"/>
    <s v="7/18/2024"/>
    <s v=" $142.25 "/>
    <n v="9"/>
    <n v="40"/>
    <s v="Home"/>
    <s v="Dining Table"/>
    <x v="1"/>
    <x v="1"/>
    <n v="1280.25"/>
    <s v="Aligned"/>
    <x v="1"/>
    <s v="High Value Tier"/>
    <x v="0"/>
  </r>
  <r>
    <s v="ORD5517"/>
    <s v="CUST1517"/>
    <n v="41"/>
    <s v="PROD717"/>
    <x v="1"/>
    <x v="410"/>
    <d v="2023-05-09T00:00:00"/>
    <n v="3"/>
    <x v="1"/>
    <s v="11/14/2023"/>
    <s v=" $116.18 "/>
    <n v="6"/>
    <n v="20"/>
    <s v="Beauty"/>
    <s v="Dress"/>
    <x v="2"/>
    <x v="1"/>
    <n v="697.08"/>
    <s v="Misaligned"/>
    <x v="0"/>
    <s v="High Value Tier"/>
    <x v="0"/>
  </r>
  <r>
    <s v="ORD5518"/>
    <s v="CUST1518"/>
    <n v="47"/>
    <s v="PROD718"/>
    <x v="5"/>
    <x v="411"/>
    <s v="8/17/2022"/>
    <n v="5"/>
    <x v="0"/>
    <s v="2/15/2022"/>
    <s v=" $321.74 "/>
    <n v="6"/>
    <n v="15"/>
    <s v="Clothing"/>
    <s v="Sneakers"/>
    <x v="2"/>
    <x v="1"/>
    <n v="1930.44"/>
    <s v="Aligned"/>
    <x v="0"/>
    <s v="High Value Tier"/>
    <x v="3"/>
  </r>
  <r>
    <s v="ORD5519"/>
    <s v="CUST1519"/>
    <n v="26"/>
    <s v="PROD719"/>
    <x v="1"/>
    <x v="412"/>
    <s v="5/22/2022"/>
    <n v="1"/>
    <x v="0"/>
    <d v="2023-12-03T00:00:00"/>
    <s v=" $266.97 "/>
    <n v="5"/>
    <n v="9"/>
    <s v="Beauty"/>
    <s v="Smartphone"/>
    <x v="4"/>
    <x v="0"/>
    <n v="1334.85"/>
    <s v="Misaligned"/>
    <x v="2"/>
    <s v="High Value Tier"/>
    <x v="0"/>
  </r>
  <r>
    <s v="ORD5520"/>
    <s v="CUST1520"/>
    <n v="40"/>
    <s v="PROD720"/>
    <x v="0"/>
    <x v="174"/>
    <d v="2023-06-01T00:00:00"/>
    <n v="1"/>
    <x v="0"/>
    <s v="9/30/2024"/>
    <s v=" $283.96 "/>
    <n v="5"/>
    <n v="36"/>
    <s v="Home"/>
    <s v="Bluetooth Speaker"/>
    <x v="4"/>
    <x v="0"/>
    <n v="1419.8"/>
    <s v="Misaligned"/>
    <x v="0"/>
    <s v="High Value Tier"/>
    <x v="0"/>
  </r>
  <r>
    <s v="ORD5521"/>
    <s v="CUST1521"/>
    <n v="43"/>
    <s v="PROD721"/>
    <x v="3"/>
    <x v="14"/>
    <s v="7/30/2025"/>
    <n v="2"/>
    <x v="0"/>
    <d v="2025-06-06T00:00:00"/>
    <s v=" $382.28 "/>
    <n v="4"/>
    <n v="47"/>
    <s v="Sports"/>
    <s v="Dress"/>
    <x v="2"/>
    <x v="1"/>
    <n v="1529.12"/>
    <s v="Misaligned"/>
    <x v="0"/>
    <s v="High Value Tier"/>
    <x v="0"/>
  </r>
  <r>
    <s v="ORD5522"/>
    <s v="CUST1522"/>
    <n v="53"/>
    <s v="PROD722"/>
    <x v="1"/>
    <x v="413"/>
    <s v="5/27/2024"/>
    <n v="2"/>
    <x v="2"/>
    <d v="2024-09-07T00:00:00"/>
    <s v=" $217.42 "/>
    <n v="4"/>
    <n v="43"/>
    <s v="Home"/>
    <s v="Cycling Helmet"/>
    <x v="0"/>
    <x v="1"/>
    <n v="869.68"/>
    <s v="Misaligned"/>
    <x v="1"/>
    <s v="High Value Tier"/>
    <x v="1"/>
  </r>
  <r>
    <s v="ORD5523"/>
    <s v="CUST1523"/>
    <n v="63"/>
    <s v="PROD723"/>
    <x v="0"/>
    <x v="414"/>
    <s v="3/13/2022"/>
    <n v="3"/>
    <x v="0"/>
    <s v="11/18/2023"/>
    <s v=" $57.75 "/>
    <n v="8"/>
    <n v="5"/>
    <s v="Beauty"/>
    <s v="Lipstick"/>
    <x v="3"/>
    <x v="1"/>
    <n v="462"/>
    <s v="Aligned"/>
    <x v="1"/>
    <s v="Core Tier"/>
    <x v="0"/>
  </r>
  <r>
    <s v="ORD5524"/>
    <s v="CUST1524"/>
    <n v="43"/>
    <s v="PROD724"/>
    <x v="1"/>
    <x v="409"/>
    <d v="2022-08-07T00:00:00"/>
    <n v="5"/>
    <x v="0"/>
    <d v="2025-01-03T00:00:00"/>
    <s v=" $256.45 "/>
    <n v="4"/>
    <n v="29"/>
    <s v="Home"/>
    <s v="Camera"/>
    <x v="4"/>
    <x v="0"/>
    <n v="1025.8"/>
    <s v="Misaligned"/>
    <x v="0"/>
    <s v="High Value Tier"/>
    <x v="3"/>
  </r>
  <r>
    <s v="ORD5525"/>
    <s v="CUST1525"/>
    <n v="66"/>
    <s v="PROD725"/>
    <x v="5"/>
    <x v="132"/>
    <d v="2024-12-06T00:00:00"/>
    <n v="5"/>
    <x v="2"/>
    <s v="9/18/2023"/>
    <s v=" $300.55 "/>
    <n v="6"/>
    <n v="18"/>
    <s v="Electronics"/>
    <s v="Tablet"/>
    <x v="4"/>
    <x v="1"/>
    <n v="1803.3"/>
    <s v="Aligned"/>
    <x v="4"/>
    <s v="High Value Tier"/>
    <x v="1"/>
  </r>
  <r>
    <s v="ORD5526"/>
    <s v="CUST1526"/>
    <n v="54"/>
    <s v="PROD726"/>
    <x v="3"/>
    <x v="415"/>
    <s v="12/17/2021"/>
    <n v="3"/>
    <x v="2"/>
    <s v="7/14/2023"/>
    <s v=" $75.60 "/>
    <n v="8"/>
    <n v="26"/>
    <s v="Sports"/>
    <s v="Smartphone"/>
    <x v="4"/>
    <x v="1"/>
    <n v="604.79999999999995"/>
    <s v="Misaligned"/>
    <x v="1"/>
    <s v="High Value Tier"/>
    <x v="1"/>
  </r>
  <r>
    <s v="ORD5527"/>
    <s v="CUST1527"/>
    <n v="30"/>
    <s v="PROD727"/>
    <x v="3"/>
    <x v="45"/>
    <d v="2024-05-07T00:00:00"/>
    <n v="4"/>
    <x v="1"/>
    <s v="7/20/2024"/>
    <s v=" $1,582.47 "/>
    <n v="1"/>
    <n v="39"/>
    <s v="Beauty"/>
    <s v="Sofa"/>
    <x v="1"/>
    <x v="1"/>
    <n v="1582.47"/>
    <s v="Misaligned"/>
    <x v="2"/>
    <s v="High Value Tier"/>
    <x v="0"/>
  </r>
  <r>
    <s v="ORD5528"/>
    <s v="CUST1528"/>
    <n v="24"/>
    <s v="PROD728"/>
    <x v="1"/>
    <x v="416"/>
    <d v="2023-08-03T00:00:00"/>
    <n v="5"/>
    <x v="0"/>
    <d v="2023-05-07T00:00:00"/>
    <s v=" $199.61 "/>
    <n v="6"/>
    <n v="30"/>
    <s v="Beauty"/>
    <s v="Microwave"/>
    <x v="1"/>
    <x v="0"/>
    <n v="1197.6600000000001"/>
    <s v="Misaligned"/>
    <x v="3"/>
    <s v="High Value Tier"/>
    <x v="3"/>
  </r>
  <r>
    <s v="ORD5529"/>
    <s v="CUST1529"/>
    <n v="50"/>
    <s v="PROD729"/>
    <x v="5"/>
    <x v="402"/>
    <d v="2025-07-01T00:00:00"/>
    <n v="3"/>
    <x v="0"/>
    <d v="2022-05-04T00:00:00"/>
    <s v=" $75.76 "/>
    <n v="9"/>
    <n v="7"/>
    <s v="Electronics"/>
    <s v="Moisturizer"/>
    <x v="3"/>
    <x v="1"/>
    <n v="681.84"/>
    <s v="Misaligned"/>
    <x v="1"/>
    <s v="High Value Tier"/>
    <x v="0"/>
  </r>
  <r>
    <s v="ORD5530"/>
    <s v="CUST1530"/>
    <n v="26"/>
    <s v="PROD730"/>
    <x v="0"/>
    <x v="33"/>
    <s v="5/21/2024"/>
    <n v="1"/>
    <x v="0"/>
    <s v="9/24/2022"/>
    <s v=" $169.33 "/>
    <n v="3"/>
    <n v="19"/>
    <s v="Beauty"/>
    <s v="Lamp"/>
    <x v="1"/>
    <x v="1"/>
    <n v="507.99"/>
    <s v="Misaligned"/>
    <x v="2"/>
    <s v="High Value Tier"/>
    <x v="0"/>
  </r>
  <r>
    <s v="ORD5531"/>
    <s v="CUST1531"/>
    <n v="44"/>
    <s v="PROD731"/>
    <x v="0"/>
    <x v="417"/>
    <s v="7/23/2022"/>
    <n v="5"/>
    <x v="0"/>
    <s v="8/14/2022"/>
    <s v=" $279.79 "/>
    <n v="5"/>
    <n v="32"/>
    <s v="Home"/>
    <s v="Cricket Bat"/>
    <x v="0"/>
    <x v="0"/>
    <n v="1398.95"/>
    <s v="Misaligned"/>
    <x v="0"/>
    <s v="High Value Tier"/>
    <x v="3"/>
  </r>
  <r>
    <s v="ORD5532"/>
    <s v="CUST1532"/>
    <n v="40"/>
    <s v="PROD732"/>
    <x v="1"/>
    <x v="418"/>
    <d v="2023-12-04T00:00:00"/>
    <n v="3"/>
    <x v="0"/>
    <s v="8/27/2024"/>
    <s v=" $18.93 "/>
    <n v="4"/>
    <n v="45"/>
    <s v="Electronics"/>
    <s v="Blender"/>
    <x v="1"/>
    <x v="1"/>
    <n v="75.72"/>
    <s v="Misaligned"/>
    <x v="0"/>
    <s v="High Value Tier"/>
    <x v="0"/>
  </r>
  <r>
    <s v="ORD5533"/>
    <s v="CUST1533"/>
    <n v="41"/>
    <s v="PROD733"/>
    <x v="3"/>
    <x v="96"/>
    <d v="2024-06-06T00:00:00"/>
    <n v="2"/>
    <x v="0"/>
    <s v="9/15/2021"/>
    <s v=" $147.55 "/>
    <n v="8"/>
    <n v="32"/>
    <s v="Home"/>
    <s v="Lamp"/>
    <x v="1"/>
    <x v="1"/>
    <n v="1180.4000000000001"/>
    <s v="Aligned"/>
    <x v="0"/>
    <s v="High Value Tier"/>
    <x v="0"/>
  </r>
  <r>
    <s v="ORD5534"/>
    <s v="CUST1534"/>
    <n v="54"/>
    <s v="PROD734"/>
    <x v="5"/>
    <x v="419"/>
    <s v="11/14/2023"/>
    <n v="4"/>
    <x v="0"/>
    <d v="2023-10-07T00:00:00"/>
    <s v=" $82.68 "/>
    <n v="9"/>
    <n v="2"/>
    <s v="Clothing"/>
    <s v="Headphones"/>
    <x v="4"/>
    <x v="1"/>
    <n v="744.12"/>
    <s v="Misaligned"/>
    <x v="1"/>
    <s v="Core Tier"/>
    <x v="3"/>
  </r>
  <r>
    <s v="ORD5535"/>
    <s v="CUST1535"/>
    <n v="29"/>
    <s v="PROD735"/>
    <x v="2"/>
    <x v="420"/>
    <s v="12/17/2023"/>
    <n v="4"/>
    <x v="1"/>
    <d v="2023-06-10T00:00:00"/>
    <s v=" $178.63 "/>
    <n v="9"/>
    <n v="15"/>
    <s v="Beauty"/>
    <s v="Vacuum Cleaner"/>
    <x v="1"/>
    <x v="0"/>
    <n v="1607.67"/>
    <s v="Misaligned"/>
    <x v="2"/>
    <s v="High Value Tier"/>
    <x v="0"/>
  </r>
  <r>
    <s v="ORD5536"/>
    <s v="CUST1536"/>
    <n v="20"/>
    <s v="PROD736"/>
    <x v="2"/>
    <x v="253"/>
    <s v="2/14/2023"/>
    <n v="3"/>
    <x v="0"/>
    <d v="2024-03-10T00:00:00"/>
    <s v=" $22.44 "/>
    <n v="8"/>
    <n v="21"/>
    <s v="Home"/>
    <s v="Shirt"/>
    <x v="2"/>
    <x v="0"/>
    <n v="179.52"/>
    <s v="Misaligned"/>
    <x v="3"/>
    <s v="High Value Tier"/>
    <x v="0"/>
  </r>
  <r>
    <s v="ORD5537"/>
    <s v="CUST1537"/>
    <n v="59"/>
    <s v="PROD737"/>
    <x v="3"/>
    <x v="421"/>
    <d v="2024-09-10T00:00:00"/>
    <n v="0"/>
    <x v="0"/>
    <d v="2024-08-11T00:00:00"/>
    <s v=" $443.38 "/>
    <n v="4"/>
    <n v="8"/>
    <s v="Sports"/>
    <s v="Headphones"/>
    <x v="4"/>
    <x v="0"/>
    <n v="1773.52"/>
    <s v="Misaligned"/>
    <x v="1"/>
    <s v="High Value Tier"/>
    <x v="0"/>
  </r>
  <r>
    <s v="ORD5538"/>
    <s v="CUST1538"/>
    <n v="37"/>
    <s v="PROD738"/>
    <x v="0"/>
    <x v="422"/>
    <s v="6/30/2024"/>
    <n v="0"/>
    <x v="0"/>
    <s v="11/20/2022"/>
    <s v=" $189.41 "/>
    <n v="8"/>
    <n v="46"/>
    <s v="Electronics"/>
    <s v="Yoga Mat"/>
    <x v="0"/>
    <x v="1"/>
    <n v="1515.28"/>
    <s v="Misaligned"/>
    <x v="0"/>
    <s v="High Value Tier"/>
    <x v="0"/>
  </r>
  <r>
    <s v="ORD5539"/>
    <s v="CUST1539"/>
    <n v="61"/>
    <s v="PROD739"/>
    <x v="0"/>
    <x v="423"/>
    <s v="2/13/2025"/>
    <n v="4"/>
    <x v="0"/>
    <s v="6/27/2024"/>
    <s v=" $440.91 "/>
    <n v="3"/>
    <n v="33"/>
    <s v="Electronics"/>
    <s v="Perfume"/>
    <x v="3"/>
    <x v="0"/>
    <n v="1322.73"/>
    <s v="Misaligned"/>
    <x v="1"/>
    <s v="High Value Tier"/>
    <x v="3"/>
  </r>
  <r>
    <s v="ORD5540"/>
    <s v="CUST1540"/>
    <n v="50"/>
    <s v="PROD740"/>
    <x v="0"/>
    <x v="424"/>
    <s v="7/15/2022"/>
    <n v="5"/>
    <x v="0"/>
    <d v="2021-05-02T00:00:00"/>
    <s v=" $944.82 "/>
    <n v="2"/>
    <n v="29"/>
    <s v="Beauty"/>
    <s v="Smartwatch"/>
    <x v="4"/>
    <x v="0"/>
    <n v="1889.64"/>
    <s v="Misaligned"/>
    <x v="1"/>
    <s v="High Value Tier"/>
    <x v="3"/>
  </r>
  <r>
    <s v="ORD5541"/>
    <s v="CUST1541"/>
    <n v="67"/>
    <s v="PROD741"/>
    <x v="2"/>
    <x v="425"/>
    <s v="1/22/2025"/>
    <n v="0"/>
    <x v="2"/>
    <d v="2024-05-06T00:00:00"/>
    <s v=" $892.74 "/>
    <n v="2"/>
    <n v="49"/>
    <s v="Electronics"/>
    <s v="Blender"/>
    <x v="1"/>
    <x v="1"/>
    <n v="1785.48"/>
    <s v="Misaligned"/>
    <x v="4"/>
    <s v="High Value Tier"/>
    <x v="1"/>
  </r>
  <r>
    <s v="ORD5542"/>
    <s v="CUST1542"/>
    <n v="39"/>
    <s v="PROD742"/>
    <x v="5"/>
    <x v="426"/>
    <d v="2023-06-11T00:00:00"/>
    <n v="4"/>
    <x v="1"/>
    <s v="4/25/2023"/>
    <s v=" $589.28 "/>
    <n v="3"/>
    <n v="9"/>
    <s v="Home"/>
    <s v="Blender"/>
    <x v="1"/>
    <x v="0"/>
    <n v="1767.84"/>
    <s v="Aligned"/>
    <x v="0"/>
    <s v="High Value Tier"/>
    <x v="0"/>
  </r>
  <r>
    <s v="ORD5543"/>
    <s v="CUST1543"/>
    <n v="64"/>
    <s v="PROD743"/>
    <x v="2"/>
    <x v="252"/>
    <d v="2022-07-01T00:00:00"/>
    <n v="5"/>
    <x v="2"/>
    <d v="2023-07-03T00:00:00"/>
    <s v=" $233.33 "/>
    <n v="3"/>
    <n v="38"/>
    <s v="Clothing"/>
    <s v="Jacket"/>
    <x v="2"/>
    <x v="1"/>
    <n v="699.99"/>
    <s v="Aligned"/>
    <x v="1"/>
    <s v="High Value Tier"/>
    <x v="1"/>
  </r>
  <r>
    <s v="ORD5544"/>
    <s v="CUST1544"/>
    <n v="59"/>
    <s v="PROD744"/>
    <x v="5"/>
    <x v="427"/>
    <s v="6/25/2025"/>
    <n v="2"/>
    <x v="0"/>
    <d v="2025-11-05T00:00:00"/>
    <s v=" $168.05 "/>
    <n v="9"/>
    <n v="3"/>
    <s v="Electronics"/>
    <s v="Lipstick"/>
    <x v="3"/>
    <x v="0"/>
    <n v="1512.45"/>
    <s v="Misaligned"/>
    <x v="1"/>
    <s v="High Value Tier"/>
    <x v="0"/>
  </r>
  <r>
    <s v="ORD5545"/>
    <s v="CUST1545"/>
    <n v="40"/>
    <s v="PROD745"/>
    <x v="1"/>
    <x v="428"/>
    <d v="2024-11-02T00:00:00"/>
    <n v="2"/>
    <x v="0"/>
    <d v="2025-12-08T00:00:00"/>
    <s v=" $227.34 "/>
    <n v="5"/>
    <n v="17"/>
    <s v="Sports"/>
    <s v="Gaming Console"/>
    <x v="4"/>
    <x v="0"/>
    <n v="1136.7"/>
    <s v="Misaligned"/>
    <x v="0"/>
    <s v="High Value Tier"/>
    <x v="0"/>
  </r>
  <r>
    <s v="ORD5546"/>
    <s v="CUST1546"/>
    <n v="36"/>
    <s v="PROD746"/>
    <x v="5"/>
    <x v="429"/>
    <s v="12/26/2022"/>
    <n v="2"/>
    <x v="0"/>
    <d v="2025-09-01T00:00:00"/>
    <s v=" $164.42 "/>
    <n v="3"/>
    <n v="22"/>
    <s v="Clothing"/>
    <s v="Lamp"/>
    <x v="1"/>
    <x v="1"/>
    <n v="493.26"/>
    <s v="Misaligned"/>
    <x v="0"/>
    <s v="High Value Tier"/>
    <x v="0"/>
  </r>
  <r>
    <s v="ORD5547"/>
    <s v="CUST1547"/>
    <n v="49"/>
    <s v="PROD747"/>
    <x v="4"/>
    <x v="430"/>
    <d v="2025-10-07T00:00:00"/>
    <n v="2"/>
    <x v="0"/>
    <s v="10/23/2023"/>
    <s v=" $577.99 "/>
    <n v="1"/>
    <n v="12"/>
    <s v="Electronics"/>
    <s v="Tablet"/>
    <x v="4"/>
    <x v="0"/>
    <n v="577.99"/>
    <s v="Aligned"/>
    <x v="0"/>
    <s v="High Value Tier"/>
    <x v="0"/>
  </r>
  <r>
    <s v="ORD5548"/>
    <s v="CUST1548"/>
    <n v="35"/>
    <s v="PROD748"/>
    <x v="5"/>
    <x v="96"/>
    <s v="3/24/2025"/>
    <n v="4"/>
    <x v="2"/>
    <s v="3/24/2025"/>
    <s v=" $293.23 "/>
    <n v="4"/>
    <n v="6"/>
    <s v="Beauty"/>
    <s v="Refrigerator"/>
    <x v="1"/>
    <x v="0"/>
    <n v="1172.92"/>
    <s v="Misaligned"/>
    <x v="0"/>
    <s v="High Value Tier"/>
    <x v="1"/>
  </r>
  <r>
    <s v="ORD5549"/>
    <s v="CUST1549"/>
    <n v="56"/>
    <s v="PROD749"/>
    <x v="5"/>
    <x v="74"/>
    <s v="4/16/2022"/>
    <n v="1"/>
    <x v="0"/>
    <s v="1/24/2023"/>
    <s v=" $188.99 "/>
    <n v="6"/>
    <n v="20"/>
    <s v="Beauty"/>
    <s v="Yoga Mat"/>
    <x v="0"/>
    <x v="1"/>
    <n v="1133.94"/>
    <s v="Misaligned"/>
    <x v="1"/>
    <s v="High Value Tier"/>
    <x v="0"/>
  </r>
  <r>
    <s v="ORD5550"/>
    <s v="CUST1550"/>
    <n v="57"/>
    <s v="PROD750"/>
    <x v="0"/>
    <x v="431"/>
    <s v="4/13/2025"/>
    <n v="5"/>
    <x v="0"/>
    <s v="6/21/2025"/>
    <s v=" $904.56 "/>
    <n v="2"/>
    <n v="44"/>
    <s v="Clothing"/>
    <s v="Lipstick"/>
    <x v="3"/>
    <x v="1"/>
    <n v="1809.12"/>
    <s v="Misaligned"/>
    <x v="1"/>
    <s v="High Value Tier"/>
    <x v="3"/>
  </r>
  <r>
    <s v="ORD5551"/>
    <s v="CUST1551"/>
    <n v="63"/>
    <s v="PROD751"/>
    <x v="5"/>
    <x v="35"/>
    <s v="8/25/2023"/>
    <n v="0"/>
    <x v="0"/>
    <d v="2024-01-11T00:00:00"/>
    <s v=" $1,220.25 "/>
    <n v="1"/>
    <n v="9"/>
    <s v="Home"/>
    <s v="Skirt"/>
    <x v="2"/>
    <x v="0"/>
    <n v="1220.25"/>
    <s v="Misaligned"/>
    <x v="1"/>
    <s v="High Value Tier"/>
    <x v="0"/>
  </r>
  <r>
    <s v="ORD5552"/>
    <s v="CUST1552"/>
    <n v="29"/>
    <s v="PROD752"/>
    <x v="3"/>
    <x v="432"/>
    <s v="12/16/2022"/>
    <n v="2"/>
    <x v="0"/>
    <s v="4/20/2023"/>
    <s v=" $34.17 "/>
    <n v="6"/>
    <n v="35"/>
    <s v="Sports"/>
    <s v="Cycling Helmet"/>
    <x v="0"/>
    <x v="0"/>
    <n v="205.02"/>
    <s v="Aligned"/>
    <x v="2"/>
    <s v="High Value Tier"/>
    <x v="0"/>
  </r>
  <r>
    <s v="ORD5553"/>
    <s v="CUST1553"/>
    <n v="40"/>
    <s v="PROD753"/>
    <x v="1"/>
    <x v="433"/>
    <s v="6/19/2025"/>
    <n v="2"/>
    <x v="0"/>
    <s v="10/24/2024"/>
    <s v=" $152.91 "/>
    <n v="9"/>
    <n v="5"/>
    <s v="Beauty"/>
    <s v="Shampoo"/>
    <x v="3"/>
    <x v="0"/>
    <n v="1376.19"/>
    <s v="Aligned"/>
    <x v="0"/>
    <s v="High Value Tier"/>
    <x v="0"/>
  </r>
  <r>
    <s v="ORD5554"/>
    <s v="CUST1554"/>
    <n v="54"/>
    <s v="PROD754"/>
    <x v="4"/>
    <x v="313"/>
    <d v="2024-09-02T00:00:00"/>
    <n v="0"/>
    <x v="2"/>
    <d v="2022-05-12T00:00:00"/>
    <s v=" $28.96 "/>
    <n v="8"/>
    <n v="22"/>
    <s v="Home"/>
    <s v="Blender"/>
    <x v="1"/>
    <x v="0"/>
    <n v="231.68"/>
    <s v="Aligned"/>
    <x v="1"/>
    <s v="High Value Tier"/>
    <x v="1"/>
  </r>
  <r>
    <s v="ORD5555"/>
    <s v="CUST1555"/>
    <n v="52"/>
    <s v="PROD755"/>
    <x v="3"/>
    <x v="434"/>
    <s v="2/23/2024"/>
    <n v="3"/>
    <x v="0"/>
    <d v="2024-04-04T00:00:00"/>
    <s v=" $167.97 "/>
    <n v="7"/>
    <n v="6"/>
    <s v="Clothing"/>
    <s v="Jeans"/>
    <x v="2"/>
    <x v="1"/>
    <n v="1175.79"/>
    <s v="Aligned"/>
    <x v="1"/>
    <s v="High Value Tier"/>
    <x v="0"/>
  </r>
  <r>
    <s v="ORD5556"/>
    <s v="CUST1556"/>
    <n v="35"/>
    <s v="PROD756"/>
    <x v="3"/>
    <x v="435"/>
    <d v="2022-02-12T00:00:00"/>
    <n v="5"/>
    <x v="0"/>
    <s v="6/20/2023"/>
    <s v=" $329.43 "/>
    <n v="3"/>
    <n v="35"/>
    <s v="Electronics"/>
    <s v="Dress"/>
    <x v="2"/>
    <x v="0"/>
    <n v="988.29"/>
    <s v="Misaligned"/>
    <x v="0"/>
    <s v="High Value Tier"/>
    <x v="3"/>
  </r>
  <r>
    <s v="ORD5557"/>
    <s v="CUST1557"/>
    <n v="67"/>
    <s v="PROD757"/>
    <x v="1"/>
    <x v="436"/>
    <d v="2024-09-11T00:00:00"/>
    <n v="4"/>
    <x v="0"/>
    <d v="2024-06-01T00:00:00"/>
    <s v=" $1,543.19 "/>
    <n v="1"/>
    <n v="42"/>
    <s v="Beauty"/>
    <s v="Lamp"/>
    <x v="1"/>
    <x v="1"/>
    <n v="1543.19"/>
    <s v="Misaligned"/>
    <x v="4"/>
    <s v="High Value Tier"/>
    <x v="3"/>
  </r>
  <r>
    <s v="ORD5558"/>
    <s v="CUST1558"/>
    <n v="27"/>
    <s v="PROD758"/>
    <x v="5"/>
    <x v="278"/>
    <d v="2023-04-05T00:00:00"/>
    <n v="5"/>
    <x v="2"/>
    <d v="2025-06-01T00:00:00"/>
    <s v=" $524.51 "/>
    <n v="2"/>
    <n v="43"/>
    <s v="Beauty"/>
    <s v="Dining Table"/>
    <x v="1"/>
    <x v="0"/>
    <n v="1049.02"/>
    <s v="Misaligned"/>
    <x v="2"/>
    <s v="High Value Tier"/>
    <x v="1"/>
  </r>
  <r>
    <s v="ORD5559"/>
    <s v="CUST1559"/>
    <n v="38"/>
    <s v="PROD759"/>
    <x v="4"/>
    <x v="437"/>
    <s v="7/31/2021"/>
    <n v="4"/>
    <x v="0"/>
    <s v="6/22/2022"/>
    <s v=" $342.38 "/>
    <n v="4"/>
    <n v="41"/>
    <s v="Electronics"/>
    <s v="Jacket"/>
    <x v="2"/>
    <x v="0"/>
    <n v="1369.52"/>
    <s v="Misaligned"/>
    <x v="0"/>
    <s v="High Value Tier"/>
    <x v="3"/>
  </r>
  <r>
    <s v="ORD5560"/>
    <s v="CUST1560"/>
    <n v="41"/>
    <s v="PROD760"/>
    <x v="5"/>
    <x v="438"/>
    <d v="2025-02-02T00:00:00"/>
    <n v="3"/>
    <x v="1"/>
    <s v="1/25/2024"/>
    <s v=" $164.78 "/>
    <n v="9"/>
    <n v="22"/>
    <s v="Clothing"/>
    <s v="Face Wash"/>
    <x v="3"/>
    <x v="0"/>
    <n v="1483.02"/>
    <s v="Misaligned"/>
    <x v="0"/>
    <s v="High Value Tier"/>
    <x v="0"/>
  </r>
  <r>
    <s v="ORD5561"/>
    <s v="CUST1561"/>
    <n v="33"/>
    <s v="PROD761"/>
    <x v="3"/>
    <x v="439"/>
    <d v="2024-03-04T00:00:00"/>
    <n v="3"/>
    <x v="0"/>
    <s v="1/31/2024"/>
    <s v=" $159.26 "/>
    <n v="9"/>
    <n v="30"/>
    <s v="Home"/>
    <s v="Moisturizer"/>
    <x v="3"/>
    <x v="1"/>
    <n v="1433.34"/>
    <s v="Misaligned"/>
    <x v="2"/>
    <s v="High Value Tier"/>
    <x v="0"/>
  </r>
  <r>
    <s v="ORD5562"/>
    <s v="CUST1562"/>
    <n v="45"/>
    <s v="PROD762"/>
    <x v="1"/>
    <x v="436"/>
    <d v="2024-08-10T00:00:00"/>
    <n v="3"/>
    <x v="0"/>
    <d v="2024-05-01T00:00:00"/>
    <s v=" $33.22 "/>
    <n v="8"/>
    <n v="7"/>
    <s v="Clothing"/>
    <s v="Chair"/>
    <x v="1"/>
    <x v="0"/>
    <n v="265.76"/>
    <s v="Misaligned"/>
    <x v="0"/>
    <s v="Core Tier"/>
    <x v="0"/>
  </r>
  <r>
    <s v="ORD5563"/>
    <s v="CUST1563"/>
    <n v="28"/>
    <s v="PROD763"/>
    <x v="4"/>
    <x v="440"/>
    <s v="3/28/2024"/>
    <n v="4"/>
    <x v="1"/>
    <s v="2/26/2023"/>
    <s v=" $1,815.34 "/>
    <n v="1"/>
    <n v="19"/>
    <s v="Electronics"/>
    <s v="Blender"/>
    <x v="1"/>
    <x v="1"/>
    <n v="1815.34"/>
    <s v="Misaligned"/>
    <x v="2"/>
    <s v="High Value Tier"/>
    <x v="0"/>
  </r>
  <r>
    <s v="ORD5564"/>
    <s v="CUST1564"/>
    <n v="27"/>
    <s v="PROD764"/>
    <x v="4"/>
    <x v="121"/>
    <d v="2024-05-04T00:00:00"/>
    <n v="5"/>
    <x v="0"/>
    <s v="8/22/2021"/>
    <s v=" $17.00 "/>
    <n v="4"/>
    <n v="2"/>
    <s v="Clothing"/>
    <s v="Smartwatch"/>
    <x v="4"/>
    <x v="1"/>
    <n v="68"/>
    <s v="Misaligned"/>
    <x v="2"/>
    <s v="Value Tier"/>
    <x v="3"/>
  </r>
  <r>
    <s v="ORD5565"/>
    <s v="CUST1565"/>
    <n v="33"/>
    <s v="PROD765"/>
    <x v="2"/>
    <x v="441"/>
    <d v="2024-12-10T00:00:00"/>
    <n v="0"/>
    <x v="2"/>
    <s v="1/20/2024"/>
    <s v=" $108.08 "/>
    <n v="6"/>
    <n v="5"/>
    <s v="Sports"/>
    <s v="Camera"/>
    <x v="4"/>
    <x v="1"/>
    <n v="648.48"/>
    <s v="Misaligned"/>
    <x v="2"/>
    <s v="High Value Tier"/>
    <x v="1"/>
  </r>
  <r>
    <s v="ORD5566"/>
    <s v="CUST1566"/>
    <n v="28"/>
    <s v="PROD766"/>
    <x v="3"/>
    <x v="442"/>
    <s v="6/15/2022"/>
    <n v="4"/>
    <x v="0"/>
    <d v="2023-06-11T00:00:00"/>
    <s v=" $18.44 "/>
    <n v="6"/>
    <n v="5"/>
    <s v="Beauty"/>
    <s v="Jacket"/>
    <x v="2"/>
    <x v="1"/>
    <n v="110.64"/>
    <s v="Misaligned"/>
    <x v="2"/>
    <s v="Value Tier"/>
    <x v="3"/>
  </r>
  <r>
    <s v="ORD5567"/>
    <s v="CUST1567"/>
    <n v="58"/>
    <s v="PROD767"/>
    <x v="5"/>
    <x v="301"/>
    <s v="10/25/2021"/>
    <n v="1"/>
    <x v="2"/>
    <d v="2023-01-11T00:00:00"/>
    <s v=" $330.36 "/>
    <n v="4"/>
    <n v="49"/>
    <s v="Clothing"/>
    <s v="Running Shoes"/>
    <x v="0"/>
    <x v="0"/>
    <n v="1321.44"/>
    <s v="Misaligned"/>
    <x v="1"/>
    <s v="High Value Tier"/>
    <x v="1"/>
  </r>
  <r>
    <s v="ORD5568"/>
    <s v="CUST1568"/>
    <n v="34"/>
    <s v="PROD768"/>
    <x v="2"/>
    <x v="385"/>
    <s v="10/17/2023"/>
    <n v="2"/>
    <x v="0"/>
    <d v="2025-04-02T00:00:00"/>
    <s v=" $138.99 "/>
    <n v="7"/>
    <n v="36"/>
    <s v="Home"/>
    <s v="Moisturizer"/>
    <x v="3"/>
    <x v="0"/>
    <n v="972.93"/>
    <s v="Misaligned"/>
    <x v="2"/>
    <s v="High Value Tier"/>
    <x v="0"/>
  </r>
  <r>
    <s v="ORD5569"/>
    <s v="CUST1569"/>
    <n v="52"/>
    <s v="PROD769"/>
    <x v="0"/>
    <x v="378"/>
    <s v="8/25/2023"/>
    <n v="4"/>
    <x v="0"/>
    <s v="12/19/2024"/>
    <s v=" $45.15 "/>
    <n v="5"/>
    <n v="33"/>
    <s v="Sports"/>
    <s v="Laptop"/>
    <x v="4"/>
    <x v="0"/>
    <n v="225.75"/>
    <s v="Misaligned"/>
    <x v="1"/>
    <s v="High Value Tier"/>
    <x v="3"/>
  </r>
  <r>
    <s v="ORD5570"/>
    <s v="CUST1570"/>
    <n v="51"/>
    <s v="PROD770"/>
    <x v="1"/>
    <x v="1"/>
    <d v="2023-06-11T00:00:00"/>
    <n v="0"/>
    <x v="0"/>
    <s v="3/18/2023"/>
    <s v=" $266.24 "/>
    <n v="4"/>
    <n v="21"/>
    <s v="Beauty"/>
    <s v="Dining Table"/>
    <x v="1"/>
    <x v="1"/>
    <n v="1064.96"/>
    <s v="Misaligned"/>
    <x v="1"/>
    <s v="High Value Tier"/>
    <x v="0"/>
  </r>
  <r>
    <s v="ORD5571"/>
    <s v="CUST1571"/>
    <n v="38"/>
    <s v="PROD771"/>
    <x v="2"/>
    <x v="119"/>
    <d v="2023-10-04T00:00:00"/>
    <n v="5"/>
    <x v="0"/>
    <d v="2023-06-07T00:00:00"/>
    <s v=" $127.91 "/>
    <n v="9"/>
    <n v="29"/>
    <s v="Sports"/>
    <s v="Lamp"/>
    <x v="1"/>
    <x v="1"/>
    <n v="1151.19"/>
    <s v="Misaligned"/>
    <x v="0"/>
    <s v="High Value Tier"/>
    <x v="3"/>
  </r>
  <r>
    <s v="ORD5572"/>
    <s v="CUST1572"/>
    <n v="46"/>
    <s v="PROD772"/>
    <x v="5"/>
    <x v="120"/>
    <s v="4/14/2025"/>
    <n v="0"/>
    <x v="0"/>
    <s v="3/28/2024"/>
    <s v=" $49.35 "/>
    <n v="7"/>
    <n v="49"/>
    <s v="Clothing"/>
    <s v="Perfume"/>
    <x v="3"/>
    <x v="0"/>
    <n v="345.45"/>
    <s v="Misaligned"/>
    <x v="0"/>
    <s v="High Value Tier"/>
    <x v="0"/>
  </r>
  <r>
    <s v="ORD5573"/>
    <s v="CUST1573"/>
    <n v="35"/>
    <s v="PROD773"/>
    <x v="1"/>
    <x v="439"/>
    <d v="2023-04-11T00:00:00"/>
    <n v="4"/>
    <x v="0"/>
    <s v="9/15/2021"/>
    <s v=" $12.69 "/>
    <n v="9"/>
    <n v="14"/>
    <s v="Beauty"/>
    <s v="Camera"/>
    <x v="4"/>
    <x v="0"/>
    <n v="114.21"/>
    <s v="Misaligned"/>
    <x v="0"/>
    <s v="Core Tier"/>
    <x v="3"/>
  </r>
  <r>
    <s v="ORD5574"/>
    <s v="CUST1574"/>
    <n v="34"/>
    <s v="PROD774"/>
    <x v="2"/>
    <x v="443"/>
    <s v="5/27/2025"/>
    <n v="4"/>
    <x v="0"/>
    <s v="12/16/2024"/>
    <s v=" $55.16 "/>
    <n v="8"/>
    <n v="5"/>
    <s v="Beauty"/>
    <s v="Skirt"/>
    <x v="2"/>
    <x v="1"/>
    <n v="441.28"/>
    <s v="Misaligned"/>
    <x v="2"/>
    <s v="Core Tier"/>
    <x v="3"/>
  </r>
  <r>
    <s v="ORD5575"/>
    <s v="CUST1575"/>
    <n v="62"/>
    <s v="PROD775"/>
    <x v="4"/>
    <x v="167"/>
    <s v="5/28/2025"/>
    <n v="4"/>
    <x v="0"/>
    <d v="2024-09-08T00:00:00"/>
    <s v=" $228.64 "/>
    <n v="8"/>
    <n v="18"/>
    <s v="Sports"/>
    <s v="Smartphone"/>
    <x v="4"/>
    <x v="2"/>
    <n v="1829.12"/>
    <s v="Misaligned"/>
    <x v="1"/>
    <s v="High Value Tier"/>
    <x v="3"/>
  </r>
  <r>
    <s v="ORD5576"/>
    <s v="CUST1576"/>
    <n v="56"/>
    <s v="PROD776"/>
    <x v="1"/>
    <x v="444"/>
    <s v="4/16/2023"/>
    <n v="4"/>
    <x v="0"/>
    <d v="2025-01-07T00:00:00"/>
    <s v=" $554.17 "/>
    <n v="3"/>
    <n v="46"/>
    <s v="Clothing"/>
    <s v="Bluetooth Speaker"/>
    <x v="4"/>
    <x v="0"/>
    <n v="1662.51"/>
    <s v="Misaligned"/>
    <x v="1"/>
    <s v="High Value Tier"/>
    <x v="3"/>
  </r>
  <r>
    <s v="ORD5577"/>
    <s v="CUST1577"/>
    <n v="43"/>
    <s v="PROD777"/>
    <x v="5"/>
    <x v="409"/>
    <d v="2021-02-06T00:00:00"/>
    <n v="5"/>
    <x v="0"/>
    <d v="2022-05-12T00:00:00"/>
    <s v=" $559.72 "/>
    <n v="1"/>
    <n v="3"/>
    <s v="Beauty"/>
    <s v="Yoga Mat"/>
    <x v="0"/>
    <x v="0"/>
    <n v="559.72"/>
    <s v="Misaligned"/>
    <x v="0"/>
    <s v="Core Tier"/>
    <x v="3"/>
  </r>
  <r>
    <s v="ORD5578"/>
    <s v="CUST1578"/>
    <n v="43"/>
    <s v="PROD778"/>
    <x v="1"/>
    <x v="445"/>
    <s v="8/13/2023"/>
    <n v="4"/>
    <x v="0"/>
    <s v="7/16/2024"/>
    <s v=" $319.61 "/>
    <n v="3"/>
    <n v="18"/>
    <s v="Sports"/>
    <s v="Hoodie"/>
    <x v="2"/>
    <x v="1"/>
    <n v="958.83"/>
    <s v="Misaligned"/>
    <x v="0"/>
    <s v="High Value Tier"/>
    <x v="3"/>
  </r>
  <r>
    <s v="ORD5579"/>
    <s v="CUST1579"/>
    <n v="30"/>
    <s v="PROD779"/>
    <x v="4"/>
    <x v="355"/>
    <s v="11/26/2023"/>
    <n v="0"/>
    <x v="0"/>
    <s v="4/29/2023"/>
    <s v=" $71.54 "/>
    <n v="6"/>
    <n v="12"/>
    <s v="Electronics"/>
    <s v="Camera"/>
    <x v="4"/>
    <x v="2"/>
    <n v="429.24"/>
    <s v="Aligned"/>
    <x v="2"/>
    <s v="High Value Tier"/>
    <x v="0"/>
  </r>
  <r>
    <s v="ORD5580"/>
    <s v="CUST1580"/>
    <n v="46"/>
    <s v="PROD780"/>
    <x v="4"/>
    <x v="424"/>
    <s v="4/17/2023"/>
    <n v="4"/>
    <x v="0"/>
    <s v="3/22/2024"/>
    <s v=" $36.79 "/>
    <n v="8"/>
    <n v="17"/>
    <s v="Clothing"/>
    <s v="Jeans"/>
    <x v="2"/>
    <x v="1"/>
    <n v="294.32"/>
    <s v="Aligned"/>
    <x v="0"/>
    <s v="High Value Tier"/>
    <x v="3"/>
  </r>
  <r>
    <s v="ORD5581"/>
    <s v="CUST1581"/>
    <n v="65"/>
    <s v="PROD781"/>
    <x v="5"/>
    <x v="446"/>
    <s v="3/21/2023"/>
    <n v="1"/>
    <x v="0"/>
    <s v="7/16/2023"/>
    <s v=" $1,276.55 "/>
    <n v="1"/>
    <n v="48"/>
    <s v="Clothing"/>
    <s v="T-Shirt"/>
    <x v="2"/>
    <x v="1"/>
    <n v="1276.55"/>
    <s v="Aligned"/>
    <x v="4"/>
    <s v="High Value Tier"/>
    <x v="0"/>
  </r>
  <r>
    <s v="ORD5582"/>
    <s v="CUST1582"/>
    <n v="23"/>
    <s v="PROD782"/>
    <x v="5"/>
    <x v="12"/>
    <s v="11/14/2021"/>
    <n v="0"/>
    <x v="0"/>
    <s v="3/26/2021"/>
    <s v=" $683.35 "/>
    <n v="2"/>
    <n v="10"/>
    <s v="Electronics"/>
    <s v="Sneakers"/>
    <x v="2"/>
    <x v="1"/>
    <n v="1366.7"/>
    <s v="Misaligned"/>
    <x v="3"/>
    <s v="High Value Tier"/>
    <x v="0"/>
  </r>
  <r>
    <s v="ORD5583"/>
    <s v="CUST1583"/>
    <n v="56"/>
    <s v="PROD783"/>
    <x v="0"/>
    <x v="79"/>
    <s v="2/21/2024"/>
    <n v="5"/>
    <x v="1"/>
    <d v="2022-09-10T00:00:00"/>
    <s v=" $137.79 "/>
    <n v="5"/>
    <n v="12"/>
    <s v="Beauty"/>
    <s v="Lipstick"/>
    <x v="3"/>
    <x v="0"/>
    <n v="688.95"/>
    <s v="Aligned"/>
    <x v="1"/>
    <s v="High Value Tier"/>
    <x v="0"/>
  </r>
  <r>
    <s v="ORD5584"/>
    <s v="CUST1584"/>
    <n v="62"/>
    <s v="PROD784"/>
    <x v="1"/>
    <x v="447"/>
    <d v="2025-09-08T00:00:00"/>
    <n v="5"/>
    <x v="0"/>
    <s v="3/13/2024"/>
    <s v=" $309.26 "/>
    <n v="4"/>
    <n v="17"/>
    <s v="Home"/>
    <s v="Shampoo"/>
    <x v="3"/>
    <x v="0"/>
    <n v="1237.04"/>
    <s v="Misaligned"/>
    <x v="1"/>
    <s v="High Value Tier"/>
    <x v="3"/>
  </r>
  <r>
    <s v="ORD5585"/>
    <s v="CUST1585"/>
    <n v="31"/>
    <s v="PROD785"/>
    <x v="2"/>
    <x v="277"/>
    <s v="10/17/2024"/>
    <n v="2"/>
    <x v="1"/>
    <s v="8/25/2023"/>
    <s v=" $43.08 "/>
    <n v="5"/>
    <n v="22"/>
    <s v="Electronics"/>
    <s v="Nail Polish"/>
    <x v="3"/>
    <x v="0"/>
    <n v="215.4"/>
    <s v="Misaligned"/>
    <x v="2"/>
    <s v="High Value Tier"/>
    <x v="0"/>
  </r>
  <r>
    <s v="ORD5586"/>
    <s v="CUST1586"/>
    <n v="67"/>
    <s v="PROD786"/>
    <x v="4"/>
    <x v="448"/>
    <d v="2025-02-01T00:00:00"/>
    <n v="4"/>
    <x v="0"/>
    <s v="6/19/2024"/>
    <s v=" $659.12 "/>
    <n v="3"/>
    <n v="32"/>
    <s v="Home"/>
    <s v="Cricket Bat"/>
    <x v="0"/>
    <x v="0"/>
    <n v="1977.36"/>
    <s v="Misaligned"/>
    <x v="4"/>
    <s v="High Value Tier"/>
    <x v="3"/>
  </r>
  <r>
    <s v="ORD5587"/>
    <s v="CUST1587"/>
    <n v="69"/>
    <s v="PROD787"/>
    <x v="0"/>
    <x v="449"/>
    <d v="2022-08-11T00:00:00"/>
    <n v="5"/>
    <x v="0"/>
    <s v="11/20/2023"/>
    <s v=" $177.67 "/>
    <n v="7"/>
    <n v="28"/>
    <s v="Sports"/>
    <s v="Shirt"/>
    <x v="2"/>
    <x v="0"/>
    <n v="1243.69"/>
    <s v="Misaligned"/>
    <x v="4"/>
    <s v="High Value Tier"/>
    <x v="3"/>
  </r>
  <r>
    <s v="ORD5588"/>
    <s v="CUST1588"/>
    <n v="65"/>
    <s v="PROD788"/>
    <x v="1"/>
    <x v="379"/>
    <d v="2023-08-05T00:00:00"/>
    <n v="4"/>
    <x v="2"/>
    <d v="2022-08-02T00:00:00"/>
    <s v=" $215.02 "/>
    <n v="7"/>
    <n v="19"/>
    <s v="Electronics"/>
    <s v="Dress"/>
    <x v="2"/>
    <x v="1"/>
    <n v="1505.14"/>
    <s v="Misaligned"/>
    <x v="4"/>
    <s v="High Value Tier"/>
    <x v="1"/>
  </r>
  <r>
    <s v="ORD5589"/>
    <s v="CUST1589"/>
    <n v="51"/>
    <s v="PROD789"/>
    <x v="4"/>
    <x v="450"/>
    <d v="2025-09-07T00:00:00"/>
    <n v="4"/>
    <x v="2"/>
    <d v="2024-07-07T00:00:00"/>
    <s v=" $978.50 "/>
    <n v="1"/>
    <n v="14"/>
    <s v="Home"/>
    <s v="Face Wash"/>
    <x v="3"/>
    <x v="1"/>
    <n v="978.5"/>
    <s v="Misaligned"/>
    <x v="1"/>
    <s v="High Value Tier"/>
    <x v="1"/>
  </r>
  <r>
    <s v="ORD5590"/>
    <s v="CUST1590"/>
    <n v="43"/>
    <s v="PROD790"/>
    <x v="1"/>
    <x v="202"/>
    <d v="2024-11-10T00:00:00"/>
    <n v="0"/>
    <x v="0"/>
    <s v="4/27/2022"/>
    <s v=" $180.39 "/>
    <n v="2"/>
    <n v="44"/>
    <s v="Beauty"/>
    <s v="Chair"/>
    <x v="1"/>
    <x v="1"/>
    <n v="360.78"/>
    <s v="Misaligned"/>
    <x v="0"/>
    <s v="High Value Tier"/>
    <x v="0"/>
  </r>
  <r>
    <s v="ORD5591"/>
    <s v="CUST1591"/>
    <n v="56"/>
    <s v="PROD791"/>
    <x v="0"/>
    <x v="328"/>
    <d v="2023-05-12T00:00:00"/>
    <n v="5"/>
    <x v="1"/>
    <s v="8/17/2024"/>
    <s v=" $275.98 "/>
    <n v="4"/>
    <n v="21"/>
    <s v="Beauty"/>
    <s v="Microwave"/>
    <x v="1"/>
    <x v="0"/>
    <n v="1103.92"/>
    <s v="Misaligned"/>
    <x v="1"/>
    <s v="High Value Tier"/>
    <x v="0"/>
  </r>
  <r>
    <s v="ORD5592"/>
    <s v="CUST1592"/>
    <n v="30"/>
    <s v="PROD792"/>
    <x v="1"/>
    <x v="451"/>
    <s v="9/20/2024"/>
    <n v="0"/>
    <x v="0"/>
    <s v="12/15/2024"/>
    <s v=" $105.63 "/>
    <n v="7"/>
    <n v="36"/>
    <s v="Clothing"/>
    <s v="Laptop"/>
    <x v="4"/>
    <x v="0"/>
    <n v="739.41"/>
    <s v="Misaligned"/>
    <x v="2"/>
    <s v="High Value Tier"/>
    <x v="0"/>
  </r>
  <r>
    <s v="ORD5593"/>
    <s v="CUST1593"/>
    <n v="35"/>
    <s v="PROD793"/>
    <x v="3"/>
    <x v="452"/>
    <s v="1/23/2024"/>
    <n v="5"/>
    <x v="0"/>
    <s v="7/29/2023"/>
    <s v=" $427.02 "/>
    <n v="4"/>
    <n v="35"/>
    <s v="Beauty"/>
    <s v="Refrigerator"/>
    <x v="1"/>
    <x v="0"/>
    <n v="1708.08"/>
    <s v="Misaligned"/>
    <x v="0"/>
    <s v="High Value Tier"/>
    <x v="3"/>
  </r>
  <r>
    <s v="ORD5594"/>
    <s v="CUST1594"/>
    <n v="20"/>
    <s v="PROD794"/>
    <x v="4"/>
    <x v="453"/>
    <d v="2025-03-04T00:00:00"/>
    <n v="1"/>
    <x v="0"/>
    <s v="9/30/2022"/>
    <s v=" $93.14 "/>
    <n v="9"/>
    <n v="2"/>
    <s v="Sports"/>
    <s v="Microwave"/>
    <x v="1"/>
    <x v="0"/>
    <n v="838.26"/>
    <s v="Misaligned"/>
    <x v="3"/>
    <s v="Core Tier"/>
    <x v="0"/>
  </r>
  <r>
    <s v="ORD5595"/>
    <s v="CUST1595"/>
    <n v="59"/>
    <s v="PROD795"/>
    <x v="2"/>
    <x v="322"/>
    <d v="2023-03-10T00:00:00"/>
    <n v="4"/>
    <x v="2"/>
    <s v="9/20/2023"/>
    <s v=" $58.61 "/>
    <n v="3"/>
    <n v="47"/>
    <s v="Clothing"/>
    <s v="Dumbbells"/>
    <x v="0"/>
    <x v="2"/>
    <n v="175.83"/>
    <s v="Misaligned"/>
    <x v="1"/>
    <s v="High Value Tier"/>
    <x v="1"/>
  </r>
  <r>
    <s v="ORD5596"/>
    <s v="CUST1596"/>
    <n v="53"/>
    <s v="PROD796"/>
    <x v="2"/>
    <x v="454"/>
    <s v="2/14/2024"/>
    <n v="0"/>
    <x v="1"/>
    <s v="4/13/2025"/>
    <s v=" $261.37 "/>
    <n v="6"/>
    <n v="41"/>
    <s v="Electronics"/>
    <s v="Jacket"/>
    <x v="2"/>
    <x v="0"/>
    <n v="1568.22"/>
    <s v="Misaligned"/>
    <x v="1"/>
    <s v="High Value Tier"/>
    <x v="0"/>
  </r>
  <r>
    <s v="ORD5597"/>
    <s v="CUST1597"/>
    <n v="66"/>
    <s v="PROD797"/>
    <x v="0"/>
    <x v="455"/>
    <s v="1/28/2021"/>
    <n v="1"/>
    <x v="0"/>
    <d v="2023-04-12T00:00:00"/>
    <s v=" $697.60 "/>
    <n v="2"/>
    <n v="8"/>
    <s v="Electronics"/>
    <s v="Perfume"/>
    <x v="3"/>
    <x v="1"/>
    <n v="1395.2"/>
    <s v="Misaligned"/>
    <x v="4"/>
    <s v="High Value Tier"/>
    <x v="0"/>
  </r>
  <r>
    <s v="ORD5598"/>
    <s v="CUST1598"/>
    <n v="31"/>
    <s v="PROD798"/>
    <x v="2"/>
    <x v="0"/>
    <d v="2023-04-07T00:00:00"/>
    <n v="5"/>
    <x v="1"/>
    <s v="10/24/2021"/>
    <s v=" $612.55 "/>
    <n v="3"/>
    <n v="9"/>
    <s v="Home"/>
    <s v="Sofa"/>
    <x v="1"/>
    <x v="0"/>
    <n v="1837.65"/>
    <s v="Aligned"/>
    <x v="2"/>
    <s v="High Value Tier"/>
    <x v="0"/>
  </r>
  <r>
    <s v="ORD5599"/>
    <s v="CUST1599"/>
    <n v="59"/>
    <s v="PROD799"/>
    <x v="4"/>
    <x v="406"/>
    <s v="6/23/2024"/>
    <n v="0"/>
    <x v="0"/>
    <s v="12/14/2022"/>
    <s v=" $150.44 "/>
    <n v="2"/>
    <n v="47"/>
    <s v="Beauty"/>
    <s v="Cricket Bat"/>
    <x v="0"/>
    <x v="0"/>
    <n v="300.88"/>
    <s v="Misaligned"/>
    <x v="1"/>
    <s v="High Value Tier"/>
    <x v="0"/>
  </r>
  <r>
    <s v="ORD5600"/>
    <s v="CUST1600"/>
    <n v="18"/>
    <s v="PROD800"/>
    <x v="4"/>
    <x v="456"/>
    <d v="2025-02-04T00:00:00"/>
    <n v="5"/>
    <x v="0"/>
    <s v="7/19/2023"/>
    <s v=" $118.23 "/>
    <n v="9"/>
    <n v="40"/>
    <s v="Beauty"/>
    <s v="Dumbbells"/>
    <x v="0"/>
    <x v="2"/>
    <n v="1064.07"/>
    <s v="Misaligned"/>
    <x v="3"/>
    <s v="High Value Tier"/>
    <x v="3"/>
  </r>
  <r>
    <s v="ORD5601"/>
    <s v="CUST1601"/>
    <n v="57"/>
    <s v="PROD801"/>
    <x v="1"/>
    <x v="357"/>
    <d v="2024-11-04T00:00:00"/>
    <n v="4"/>
    <x v="0"/>
    <d v="2024-07-12T00:00:00"/>
    <s v=" $1,043.23 "/>
    <n v="1"/>
    <n v="9"/>
    <s v="Electronics"/>
    <s v="Microwave"/>
    <x v="1"/>
    <x v="1"/>
    <n v="1043.23"/>
    <s v="Misaligned"/>
    <x v="1"/>
    <s v="High Value Tier"/>
    <x v="3"/>
  </r>
  <r>
    <s v="ORD5602"/>
    <s v="CUST1602"/>
    <n v="61"/>
    <s v="PROD802"/>
    <x v="4"/>
    <x v="457"/>
    <d v="2024-01-11T00:00:00"/>
    <n v="0"/>
    <x v="2"/>
    <s v="4/28/2025"/>
    <s v=" $619.73 "/>
    <n v="3"/>
    <n v="11"/>
    <s v="Home"/>
    <s v="Cycling Helmet"/>
    <x v="0"/>
    <x v="0"/>
    <n v="1859.19"/>
    <s v="Misaligned"/>
    <x v="1"/>
    <s v="High Value Tier"/>
    <x v="1"/>
  </r>
  <r>
    <s v="ORD5603"/>
    <s v="CUST1603"/>
    <n v="58"/>
    <s v="PROD803"/>
    <x v="5"/>
    <x v="458"/>
    <d v="2025-06-08T00:00:00"/>
    <n v="1"/>
    <x v="0"/>
    <s v="7/18/2023"/>
    <s v=" $449.28 "/>
    <n v="3"/>
    <n v="47"/>
    <s v="Home"/>
    <s v="Skirt"/>
    <x v="2"/>
    <x v="0"/>
    <n v="1347.84"/>
    <s v="Misaligned"/>
    <x v="1"/>
    <s v="High Value Tier"/>
    <x v="0"/>
  </r>
  <r>
    <s v="ORD5604"/>
    <s v="CUST1604"/>
    <n v="22"/>
    <s v="PROD804"/>
    <x v="4"/>
    <x v="459"/>
    <d v="2025-06-06T00:00:00"/>
    <n v="2"/>
    <x v="0"/>
    <d v="2025-03-04T00:00:00"/>
    <s v=" $1,181.37 "/>
    <n v="1"/>
    <n v="17"/>
    <s v="Electronics"/>
    <s v="Dumbbells"/>
    <x v="0"/>
    <x v="0"/>
    <n v="1181.3699999999999"/>
    <s v="Misaligned"/>
    <x v="3"/>
    <s v="High Value Tier"/>
    <x v="0"/>
  </r>
  <r>
    <s v="ORD5605"/>
    <s v="CUST1605"/>
    <n v="53"/>
    <s v="PROD805"/>
    <x v="4"/>
    <x v="460"/>
    <s v="11/26/2024"/>
    <n v="3"/>
    <x v="0"/>
    <s v="3/19/2024"/>
    <s v=" $56.24 "/>
    <n v="9"/>
    <n v="31"/>
    <s v="Electronics"/>
    <s v="Sneakers"/>
    <x v="2"/>
    <x v="0"/>
    <n v="506.16"/>
    <s v="Misaligned"/>
    <x v="1"/>
    <s v="High Value Tier"/>
    <x v="0"/>
  </r>
  <r>
    <s v="ORD5606"/>
    <s v="CUST1606"/>
    <n v="42"/>
    <s v="PROD806"/>
    <x v="2"/>
    <x v="461"/>
    <s v="4/15/2023"/>
    <n v="1"/>
    <x v="0"/>
    <d v="2023-04-04T00:00:00"/>
    <s v=" $458.76 "/>
    <n v="4"/>
    <n v="16"/>
    <s v="Electronics"/>
    <s v="Moisturizer"/>
    <x v="3"/>
    <x v="1"/>
    <n v="1835.04"/>
    <s v="Misaligned"/>
    <x v="0"/>
    <s v="High Value Tier"/>
    <x v="0"/>
  </r>
  <r>
    <s v="ORD5607"/>
    <s v="CUST1607"/>
    <n v="57"/>
    <s v="PROD807"/>
    <x v="5"/>
    <x v="462"/>
    <d v="2022-01-10T00:00:00"/>
    <n v="0"/>
    <x v="1"/>
    <s v="7/18/2024"/>
    <s v=" $4.92 "/>
    <n v="8"/>
    <n v="40"/>
    <s v="Home"/>
    <s v="Yoga Mat"/>
    <x v="0"/>
    <x v="1"/>
    <n v="39.36"/>
    <s v="Misaligned"/>
    <x v="1"/>
    <s v="Core Tier"/>
    <x v="0"/>
  </r>
  <r>
    <s v="ORD5608"/>
    <s v="CUST1608"/>
    <n v="56"/>
    <s v="PROD808"/>
    <x v="5"/>
    <x v="463"/>
    <s v="1/17/2024"/>
    <n v="2"/>
    <x v="0"/>
    <s v="9/15/2024"/>
    <s v=" $314.80 "/>
    <n v="4"/>
    <n v="4"/>
    <s v="Electronics"/>
    <s v="Microwave"/>
    <x v="1"/>
    <x v="0"/>
    <n v="1259.2"/>
    <s v="Misaligned"/>
    <x v="1"/>
    <s v="High Value Tier"/>
    <x v="0"/>
  </r>
  <r>
    <s v="ORD5609"/>
    <s v="CUST1609"/>
    <n v="51"/>
    <s v="PROD809"/>
    <x v="2"/>
    <x v="418"/>
    <s v="5/20/2023"/>
    <n v="4"/>
    <x v="2"/>
    <s v="1/27/2023"/>
    <s v=" $475.45 "/>
    <n v="4"/>
    <n v="1"/>
    <s v="Clothing"/>
    <s v="Perfume"/>
    <x v="3"/>
    <x v="0"/>
    <n v="1901.8"/>
    <s v="Misaligned"/>
    <x v="1"/>
    <s v="Core Tier"/>
    <x v="1"/>
  </r>
  <r>
    <s v="ORD5610"/>
    <s v="CUST1610"/>
    <n v="51"/>
    <s v="PROD810"/>
    <x v="2"/>
    <x v="464"/>
    <d v="2022-09-05T00:00:00"/>
    <n v="2"/>
    <x v="0"/>
    <s v="5/30/2023"/>
    <s v=" $224.82 "/>
    <n v="2"/>
    <n v="28"/>
    <s v="Sports"/>
    <s v="Bluetooth Speaker"/>
    <x v="4"/>
    <x v="1"/>
    <n v="449.64"/>
    <s v="Misaligned"/>
    <x v="1"/>
    <s v="High Value Tier"/>
    <x v="0"/>
  </r>
  <r>
    <s v="ORD5611"/>
    <s v="CUST1611"/>
    <n v="20"/>
    <s v="PROD811"/>
    <x v="1"/>
    <x v="465"/>
    <s v="12/25/2021"/>
    <n v="3"/>
    <x v="0"/>
    <s v="10/22/2024"/>
    <s v=" $187.96 "/>
    <n v="2"/>
    <n v="32"/>
    <s v="Electronics"/>
    <s v="Shampoo"/>
    <x v="3"/>
    <x v="0"/>
    <n v="375.92"/>
    <s v="Misaligned"/>
    <x v="3"/>
    <s v="High Value Tier"/>
    <x v="0"/>
  </r>
  <r>
    <s v="ORD5612"/>
    <s v="CUST1612"/>
    <n v="26"/>
    <s v="PROD812"/>
    <x v="4"/>
    <x v="261"/>
    <d v="2023-03-11T00:00:00"/>
    <n v="4"/>
    <x v="0"/>
    <d v="2024-05-02T00:00:00"/>
    <s v=" $123.54 "/>
    <n v="8"/>
    <n v="18"/>
    <s v="Beauty"/>
    <s v="Jacket"/>
    <x v="2"/>
    <x v="1"/>
    <n v="988.32"/>
    <s v="Misaligned"/>
    <x v="2"/>
    <s v="High Value Tier"/>
    <x v="3"/>
  </r>
  <r>
    <s v="ORD5613"/>
    <s v="CUST1613"/>
    <n v="65"/>
    <s v="PROD813"/>
    <x v="3"/>
    <x v="7"/>
    <s v="4/25/2023"/>
    <n v="1"/>
    <x v="1"/>
    <d v="2024-01-10T00:00:00"/>
    <s v=" $384.32 "/>
    <n v="4"/>
    <n v="13"/>
    <s v="Clothing"/>
    <s v="Conditioner"/>
    <x v="3"/>
    <x v="1"/>
    <n v="1537.28"/>
    <s v="Misaligned"/>
    <x v="4"/>
    <s v="High Value Tier"/>
    <x v="0"/>
  </r>
  <r>
    <s v="ORD5614"/>
    <s v="CUST1614"/>
    <n v="53"/>
    <s v="PROD814"/>
    <x v="1"/>
    <x v="466"/>
    <s v="3/30/2024"/>
    <n v="5"/>
    <x v="1"/>
    <s v="7/30/2025"/>
    <s v=" $158.27 "/>
    <n v="4"/>
    <n v="40"/>
    <s v="Clothing"/>
    <s v="Laptop"/>
    <x v="4"/>
    <x v="1"/>
    <n v="633.08000000000004"/>
    <s v="Misaligned"/>
    <x v="1"/>
    <s v="High Value Tier"/>
    <x v="0"/>
  </r>
  <r>
    <s v="ORD5615"/>
    <s v="CUST1615"/>
    <n v="61"/>
    <s v="PROD815"/>
    <x v="2"/>
    <x v="389"/>
    <d v="2024-10-08T00:00:00"/>
    <n v="4"/>
    <x v="1"/>
    <s v="5/26/2023"/>
    <s v=" $252.11 "/>
    <n v="7"/>
    <n v="25"/>
    <s v="Clothing"/>
    <s v="Face Wash"/>
    <x v="3"/>
    <x v="1"/>
    <n v="1764.77"/>
    <s v="Misaligned"/>
    <x v="1"/>
    <s v="High Value Tier"/>
    <x v="0"/>
  </r>
  <r>
    <s v="ORD5616"/>
    <s v="CUST1616"/>
    <n v="26"/>
    <s v="PROD816"/>
    <x v="4"/>
    <x v="214"/>
    <s v="9/18/2024"/>
    <n v="1"/>
    <x v="0"/>
    <s v="6/15/2023"/>
    <s v=" $174.23 "/>
    <n v="1"/>
    <n v="11"/>
    <s v="Sports"/>
    <s v="Face Wash"/>
    <x v="3"/>
    <x v="1"/>
    <n v="174.23"/>
    <s v="Misaligned"/>
    <x v="2"/>
    <s v="Core Tier"/>
    <x v="0"/>
  </r>
  <r>
    <s v="ORD5617"/>
    <s v="CUST1617"/>
    <n v="36"/>
    <s v="PROD817"/>
    <x v="1"/>
    <x v="427"/>
    <d v="2025-02-03T00:00:00"/>
    <n v="1"/>
    <x v="0"/>
    <s v="6/27/2025"/>
    <s v=" $150.89 "/>
    <n v="6"/>
    <n v="28"/>
    <s v="Beauty"/>
    <s v="Blender"/>
    <x v="1"/>
    <x v="1"/>
    <n v="905.34"/>
    <s v="Misaligned"/>
    <x v="0"/>
    <s v="High Value Tier"/>
    <x v="0"/>
  </r>
  <r>
    <s v="ORD5618"/>
    <s v="CUST1618"/>
    <n v="56"/>
    <s v="PROD818"/>
    <x v="1"/>
    <x v="387"/>
    <s v="10/26/2024"/>
    <n v="2"/>
    <x v="1"/>
    <s v="12/26/2022"/>
    <s v=" $169.91 "/>
    <n v="8"/>
    <n v="24"/>
    <s v="Electronics"/>
    <s v="Smartphone"/>
    <x v="4"/>
    <x v="1"/>
    <n v="1359.28"/>
    <s v="Aligned"/>
    <x v="1"/>
    <s v="High Value Tier"/>
    <x v="0"/>
  </r>
  <r>
    <s v="ORD5619"/>
    <s v="CUST1619"/>
    <n v="57"/>
    <s v="PROD819"/>
    <x v="2"/>
    <x v="467"/>
    <s v="8/27/2021"/>
    <n v="2"/>
    <x v="0"/>
    <s v="10/19/2021"/>
    <s v=" $94.81 "/>
    <n v="4"/>
    <n v="33"/>
    <s v="Clothing"/>
    <s v="Laptop"/>
    <x v="4"/>
    <x v="1"/>
    <n v="379.24"/>
    <s v="Misaligned"/>
    <x v="1"/>
    <s v="High Value Tier"/>
    <x v="0"/>
  </r>
  <r>
    <s v="ORD5620"/>
    <s v="CUST1620"/>
    <n v="21"/>
    <s v="PROD820"/>
    <x v="5"/>
    <x v="468"/>
    <s v="9/19/2024"/>
    <n v="4"/>
    <x v="0"/>
    <d v="2023-04-12T00:00:00"/>
    <s v=" $168.81 "/>
    <n v="3"/>
    <n v="37"/>
    <s v="Home"/>
    <s v="Moisturizer"/>
    <x v="3"/>
    <x v="0"/>
    <n v="506.43"/>
    <s v="Misaligned"/>
    <x v="3"/>
    <s v="High Value Tier"/>
    <x v="3"/>
  </r>
  <r>
    <s v="ORD5621"/>
    <s v="CUST1621"/>
    <n v="34"/>
    <s v="PROD821"/>
    <x v="3"/>
    <x v="87"/>
    <s v="7/30/2023"/>
    <n v="5"/>
    <x v="0"/>
    <s v="1/20/2025"/>
    <s v=" $415.64 "/>
    <n v="1"/>
    <n v="13"/>
    <s v="Beauty"/>
    <s v="Skirt"/>
    <x v="2"/>
    <x v="0"/>
    <n v="415.64"/>
    <s v="Misaligned"/>
    <x v="2"/>
    <s v="High Value Tier"/>
    <x v="3"/>
  </r>
  <r>
    <s v="ORD5622"/>
    <s v="CUST1622"/>
    <n v="23"/>
    <s v="PROD822"/>
    <x v="3"/>
    <x v="68"/>
    <s v="5/28/2022"/>
    <n v="5"/>
    <x v="1"/>
    <s v="8/23/2023"/>
    <s v=" $24.21 "/>
    <n v="5"/>
    <n v="19"/>
    <s v="Electronics"/>
    <s v="Microwave"/>
    <x v="1"/>
    <x v="0"/>
    <n v="121.05"/>
    <s v="Misaligned"/>
    <x v="3"/>
    <s v="Core Tier"/>
    <x v="0"/>
  </r>
  <r>
    <s v="ORD5623"/>
    <s v="CUST1623"/>
    <n v="66"/>
    <s v="PROD823"/>
    <x v="1"/>
    <x v="346"/>
    <d v="2023-08-03T00:00:00"/>
    <n v="2"/>
    <x v="1"/>
    <s v="7/23/2022"/>
    <s v=" $132.42 "/>
    <n v="8"/>
    <n v="14"/>
    <s v="Home"/>
    <s v="Gaming Console"/>
    <x v="4"/>
    <x v="1"/>
    <n v="1059.3599999999999"/>
    <s v="Misaligned"/>
    <x v="4"/>
    <s v="High Value Tier"/>
    <x v="0"/>
  </r>
  <r>
    <s v="ORD5624"/>
    <s v="CUST1624"/>
    <n v="50"/>
    <s v="PROD824"/>
    <x v="1"/>
    <x v="0"/>
    <s v="4/28/2023"/>
    <n v="1"/>
    <x v="1"/>
    <s v="1/25/2025"/>
    <s v=" $177.10 "/>
    <n v="5"/>
    <n v="49"/>
    <s v="Clothing"/>
    <s v="Face Wash"/>
    <x v="3"/>
    <x v="1"/>
    <n v="885.5"/>
    <s v="Misaligned"/>
    <x v="1"/>
    <s v="High Value Tier"/>
    <x v="0"/>
  </r>
  <r>
    <s v="ORD5625"/>
    <s v="CUST1625"/>
    <n v="64"/>
    <s v="PROD825"/>
    <x v="5"/>
    <x v="469"/>
    <d v="2021-06-01T00:00:00"/>
    <n v="2"/>
    <x v="0"/>
    <d v="2022-07-04T00:00:00"/>
    <s v=" $239.59 "/>
    <n v="7"/>
    <n v="35"/>
    <s v="Electronics"/>
    <s v="Basketball"/>
    <x v="0"/>
    <x v="0"/>
    <n v="1677.13"/>
    <s v="Misaligned"/>
    <x v="1"/>
    <s v="High Value Tier"/>
    <x v="0"/>
  </r>
  <r>
    <s v="ORD5626"/>
    <s v="CUST1626"/>
    <n v="36"/>
    <s v="PROD826"/>
    <x v="3"/>
    <x v="470"/>
    <s v="3/29/2025"/>
    <n v="3"/>
    <x v="1"/>
    <s v="3/19/2024"/>
    <s v=" $165.39 "/>
    <n v="5"/>
    <n v="28"/>
    <s v="Clothing"/>
    <s v="Smartphone"/>
    <x v="4"/>
    <x v="0"/>
    <n v="826.95"/>
    <s v="Misaligned"/>
    <x v="0"/>
    <s v="High Value Tier"/>
    <x v="0"/>
  </r>
  <r>
    <s v="ORD5627"/>
    <s v="CUST1627"/>
    <n v="62"/>
    <s v="PROD827"/>
    <x v="2"/>
    <x v="471"/>
    <d v="2023-07-10T00:00:00"/>
    <n v="1"/>
    <x v="2"/>
    <s v="8/30/2022"/>
    <s v=" $445.44 "/>
    <n v="2"/>
    <n v="28"/>
    <s v="Beauty"/>
    <s v="Cricket Bat"/>
    <x v="0"/>
    <x v="0"/>
    <n v="890.88"/>
    <s v="Misaligned"/>
    <x v="1"/>
    <s v="High Value Tier"/>
    <x v="1"/>
  </r>
  <r>
    <s v="ORD5628"/>
    <s v="CUST1628"/>
    <n v="46"/>
    <s v="PROD828"/>
    <x v="4"/>
    <x v="142"/>
    <s v="4/23/2024"/>
    <n v="5"/>
    <x v="1"/>
    <s v="12/18/2024"/>
    <s v=" $562.29 "/>
    <n v="3"/>
    <n v="30"/>
    <s v="Home"/>
    <s v="Tennis Racket"/>
    <x v="0"/>
    <x v="0"/>
    <n v="1686.87"/>
    <s v="Misaligned"/>
    <x v="0"/>
    <s v="High Value Tier"/>
    <x v="0"/>
  </r>
  <r>
    <s v="ORD5629"/>
    <s v="CUST1629"/>
    <n v="43"/>
    <s v="PROD829"/>
    <x v="3"/>
    <x v="324"/>
    <s v="10/17/2024"/>
    <n v="0"/>
    <x v="1"/>
    <s v="12/29/2024"/>
    <s v=" $108.56 "/>
    <n v="8"/>
    <n v="10"/>
    <s v="Clothing"/>
    <s v="Chair"/>
    <x v="1"/>
    <x v="0"/>
    <n v="868.48"/>
    <s v="Misaligned"/>
    <x v="0"/>
    <s v="High Value Tier"/>
    <x v="0"/>
  </r>
  <r>
    <s v="ORD5630"/>
    <s v="CUST1630"/>
    <n v="67"/>
    <s v="PROD830"/>
    <x v="4"/>
    <x v="472"/>
    <d v="2024-06-05T00:00:00"/>
    <n v="1"/>
    <x v="2"/>
    <s v="12/16/2022"/>
    <s v=" $908.40 "/>
    <n v="2"/>
    <n v="46"/>
    <s v="Clothing"/>
    <s v="Skirt"/>
    <x v="2"/>
    <x v="1"/>
    <n v="1816.8"/>
    <s v="Aligned"/>
    <x v="4"/>
    <s v="High Value Tier"/>
    <x v="1"/>
  </r>
  <r>
    <s v="ORD5631"/>
    <s v="CUST1631"/>
    <n v="57"/>
    <s v="PROD831"/>
    <x v="0"/>
    <x v="473"/>
    <s v="6/29/2024"/>
    <n v="5"/>
    <x v="0"/>
    <d v="2025-12-08T00:00:00"/>
    <s v=" $1,904.04 "/>
    <n v="1"/>
    <n v="6"/>
    <s v="Beauty"/>
    <s v="Smartphone"/>
    <x v="4"/>
    <x v="0"/>
    <n v="1904.04"/>
    <s v="Misaligned"/>
    <x v="1"/>
    <s v="High Value Tier"/>
    <x v="3"/>
  </r>
  <r>
    <s v="ORD5632"/>
    <s v="CUST1632"/>
    <n v="46"/>
    <s v="PROD832"/>
    <x v="2"/>
    <x v="72"/>
    <s v="1/26/2024"/>
    <n v="1"/>
    <x v="0"/>
    <s v="6/22/2023"/>
    <s v=" $313.25 "/>
    <n v="6"/>
    <n v="42"/>
    <s v="Electronics"/>
    <s v="Running Shoes"/>
    <x v="0"/>
    <x v="1"/>
    <n v="1879.5"/>
    <s v="Misaligned"/>
    <x v="0"/>
    <s v="High Value Tier"/>
    <x v="0"/>
  </r>
  <r>
    <s v="ORD5633"/>
    <s v="CUST1633"/>
    <n v="65"/>
    <s v="PROD833"/>
    <x v="0"/>
    <x v="333"/>
    <s v="1/13/2024"/>
    <n v="0"/>
    <x v="2"/>
    <s v="10/22/2024"/>
    <s v=" $174.86 "/>
    <n v="8"/>
    <n v="37"/>
    <s v="Clothing"/>
    <s v="Dining Table"/>
    <x v="1"/>
    <x v="1"/>
    <n v="1398.88"/>
    <s v="Misaligned"/>
    <x v="4"/>
    <s v="High Value Tier"/>
    <x v="1"/>
  </r>
  <r>
    <s v="ORD5634"/>
    <s v="CUST1634"/>
    <n v="39"/>
    <s v="PROD834"/>
    <x v="0"/>
    <x v="474"/>
    <s v="8/31/2022"/>
    <n v="5"/>
    <x v="0"/>
    <d v="2025-04-02T00:00:00"/>
    <s v=" $207.22 "/>
    <n v="8"/>
    <n v="18"/>
    <s v="Clothing"/>
    <s v="Cricket Bat"/>
    <x v="0"/>
    <x v="1"/>
    <n v="1657.76"/>
    <s v="Misaligned"/>
    <x v="0"/>
    <s v="High Value Tier"/>
    <x v="3"/>
  </r>
  <r>
    <s v="ORD5635"/>
    <s v="CUST1635"/>
    <n v="57"/>
    <s v="PROD835"/>
    <x v="3"/>
    <x v="467"/>
    <s v="7/27/2025"/>
    <n v="0"/>
    <x v="0"/>
    <d v="2021-06-09T00:00:00"/>
    <s v=" $232.51 "/>
    <n v="4"/>
    <n v="40"/>
    <s v="Home"/>
    <s v="Sofa"/>
    <x v="1"/>
    <x v="0"/>
    <n v="930.04"/>
    <s v="Aligned"/>
    <x v="1"/>
    <s v="High Value Tier"/>
    <x v="0"/>
  </r>
  <r>
    <s v="ORD5636"/>
    <s v="CUST1636"/>
    <n v="55"/>
    <s v="PROD836"/>
    <x v="4"/>
    <x v="475"/>
    <s v="7/19/2023"/>
    <n v="0"/>
    <x v="0"/>
    <d v="2025-04-02T00:00:00"/>
    <s v=" $67.19 "/>
    <n v="9"/>
    <n v="25"/>
    <s v="Sports"/>
    <s v="Lamp"/>
    <x v="1"/>
    <x v="0"/>
    <n v="604.71"/>
    <s v="Misaligned"/>
    <x v="1"/>
    <s v="High Value Tier"/>
    <x v="0"/>
  </r>
  <r>
    <s v="ORD5637"/>
    <s v="CUST1637"/>
    <n v="37"/>
    <s v="PROD837"/>
    <x v="5"/>
    <x v="476"/>
    <s v="7/15/2025"/>
    <n v="0"/>
    <x v="0"/>
    <s v="3/16/2025"/>
    <s v=" $111.88 "/>
    <n v="6"/>
    <n v="39"/>
    <s v="Electronics"/>
    <s v="Lipstick"/>
    <x v="3"/>
    <x v="1"/>
    <n v="671.28"/>
    <s v="Misaligned"/>
    <x v="0"/>
    <s v="High Value Tier"/>
    <x v="0"/>
  </r>
  <r>
    <s v="ORD5638"/>
    <s v="CUST1638"/>
    <n v="58"/>
    <s v="PROD838"/>
    <x v="5"/>
    <x v="477"/>
    <d v="2025-07-08T00:00:00"/>
    <n v="3"/>
    <x v="2"/>
    <s v="5/20/2022"/>
    <s v=" $924.05 "/>
    <n v="1"/>
    <n v="1"/>
    <s v="Beauty"/>
    <s v="Running Shoes"/>
    <x v="0"/>
    <x v="0"/>
    <n v="924.05"/>
    <s v="Misaligned"/>
    <x v="1"/>
    <s v="Core Tier"/>
    <x v="1"/>
  </r>
  <r>
    <s v="ORD5639"/>
    <s v="CUST1639"/>
    <n v="40"/>
    <s v="PROD839"/>
    <x v="2"/>
    <x v="158"/>
    <s v="9/30/2021"/>
    <n v="3"/>
    <x v="0"/>
    <s v="3/26/2023"/>
    <s v=" $85.08 "/>
    <n v="6"/>
    <n v="6"/>
    <s v="Clothing"/>
    <s v="Basketball"/>
    <x v="0"/>
    <x v="0"/>
    <n v="510.48"/>
    <s v="Misaligned"/>
    <x v="0"/>
    <s v="High Value Tier"/>
    <x v="0"/>
  </r>
  <r>
    <s v="ORD5640"/>
    <s v="CUST1640"/>
    <n v="69"/>
    <s v="PROD840"/>
    <x v="3"/>
    <x v="478"/>
    <s v="6/22/2025"/>
    <n v="5"/>
    <x v="1"/>
    <s v="8/28/2024"/>
    <s v=" $179.50 "/>
    <n v="8"/>
    <n v="33"/>
    <s v="Beauty"/>
    <s v="Smartwatch"/>
    <x v="4"/>
    <x v="0"/>
    <n v="1436"/>
    <s v="Misaligned"/>
    <x v="4"/>
    <s v="High Value Tier"/>
    <x v="0"/>
  </r>
  <r>
    <s v="ORD5641"/>
    <s v="CUST1641"/>
    <n v="41"/>
    <s v="PROD841"/>
    <x v="4"/>
    <x v="429"/>
    <s v="9/23/2022"/>
    <n v="4"/>
    <x v="2"/>
    <s v="8/22/2023"/>
    <s v=" $73.15 "/>
    <n v="4"/>
    <n v="49"/>
    <s v="Home"/>
    <s v="Shirt"/>
    <x v="2"/>
    <x v="1"/>
    <n v="292.60000000000002"/>
    <s v="Misaligned"/>
    <x v="0"/>
    <s v="High Value Tier"/>
    <x v="1"/>
  </r>
  <r>
    <s v="ORD5642"/>
    <s v="CUST1642"/>
    <n v="64"/>
    <s v="PROD842"/>
    <x v="2"/>
    <x v="479"/>
    <d v="2025-10-07T00:00:00"/>
    <n v="0"/>
    <x v="0"/>
    <d v="2025-11-01T00:00:00"/>
    <s v=" $180.64 "/>
    <n v="6"/>
    <n v="38"/>
    <s v="Home"/>
    <s v="Shirt"/>
    <x v="2"/>
    <x v="1"/>
    <n v="1083.8399999999999"/>
    <s v="Misaligned"/>
    <x v="1"/>
    <s v="High Value Tier"/>
    <x v="0"/>
  </r>
  <r>
    <s v="ORD5643"/>
    <s v="CUST1643"/>
    <n v="46"/>
    <s v="PROD843"/>
    <x v="5"/>
    <x v="480"/>
    <d v="2023-10-09T00:00:00"/>
    <n v="0"/>
    <x v="0"/>
    <s v="1/22/2023"/>
    <s v=" $160.41 "/>
    <n v="8"/>
    <n v="10"/>
    <s v="Beauty"/>
    <s v="Conditioner"/>
    <x v="3"/>
    <x v="1"/>
    <n v="1283.28"/>
    <s v="Aligned"/>
    <x v="0"/>
    <s v="High Value Tier"/>
    <x v="0"/>
  </r>
  <r>
    <s v="ORD5644"/>
    <s v="CUST1644"/>
    <n v="21"/>
    <s v="PROD844"/>
    <x v="4"/>
    <x v="481"/>
    <d v="2024-09-12T00:00:00"/>
    <n v="0"/>
    <x v="0"/>
    <d v="2021-05-07T00:00:00"/>
    <s v=" $110.39 "/>
    <n v="9"/>
    <n v="28"/>
    <s v="Sports"/>
    <s v="Conditioner"/>
    <x v="3"/>
    <x v="0"/>
    <n v="993.51"/>
    <s v="Misaligned"/>
    <x v="3"/>
    <s v="High Value Tier"/>
    <x v="0"/>
  </r>
  <r>
    <s v="ORD5645"/>
    <s v="CUST1645"/>
    <n v="32"/>
    <s v="PROD845"/>
    <x v="2"/>
    <x v="213"/>
    <s v="7/28/2025"/>
    <n v="2"/>
    <x v="0"/>
    <d v="2024-05-08T00:00:00"/>
    <s v=" $202.22 "/>
    <n v="6"/>
    <n v="46"/>
    <s v="Clothing"/>
    <s v="Hoodie"/>
    <x v="2"/>
    <x v="0"/>
    <n v="1213.32"/>
    <s v="Aligned"/>
    <x v="2"/>
    <s v="High Value Tier"/>
    <x v="0"/>
  </r>
  <r>
    <s v="ORD5646"/>
    <s v="CUST1646"/>
    <n v="19"/>
    <s v="PROD846"/>
    <x v="2"/>
    <x v="482"/>
    <s v="11/21/2023"/>
    <n v="4"/>
    <x v="0"/>
    <d v="2024-04-06T00:00:00"/>
    <s v=" $147.21 "/>
    <n v="8"/>
    <n v="13"/>
    <s v="Home"/>
    <s v="Microwave"/>
    <x v="1"/>
    <x v="1"/>
    <n v="1177.68"/>
    <s v="Aligned"/>
    <x v="3"/>
    <s v="High Value Tier"/>
    <x v="3"/>
  </r>
  <r>
    <s v="ORD5647"/>
    <s v="CUST1647"/>
    <n v="52"/>
    <s v="PROD847"/>
    <x v="5"/>
    <x v="483"/>
    <d v="2025-09-07T00:00:00"/>
    <n v="3"/>
    <x v="2"/>
    <s v="9/22/2021"/>
    <s v=" $211.08 "/>
    <n v="2"/>
    <n v="16"/>
    <s v="Home"/>
    <s v="Running Shoes"/>
    <x v="0"/>
    <x v="0"/>
    <n v="422.16"/>
    <s v="Misaligned"/>
    <x v="1"/>
    <s v="High Value Tier"/>
    <x v="1"/>
  </r>
  <r>
    <s v="ORD5648"/>
    <s v="CUST1648"/>
    <n v="24"/>
    <s v="PROD848"/>
    <x v="1"/>
    <x v="484"/>
    <s v="7/19/2023"/>
    <n v="0"/>
    <x v="2"/>
    <s v="9/15/2024"/>
    <s v=" $57.73 "/>
    <n v="8"/>
    <n v="25"/>
    <s v="Clothing"/>
    <s v="Face Wash"/>
    <x v="3"/>
    <x v="1"/>
    <n v="461.84"/>
    <s v="Misaligned"/>
    <x v="3"/>
    <s v="High Value Tier"/>
    <x v="1"/>
  </r>
  <r>
    <s v="ORD5649"/>
    <s v="CUST1649"/>
    <n v="66"/>
    <s v="PROD849"/>
    <x v="1"/>
    <x v="485"/>
    <s v="9/30/2023"/>
    <n v="2"/>
    <x v="1"/>
    <s v="12/24/2022"/>
    <s v=" $786.08 "/>
    <n v="2"/>
    <n v="19"/>
    <s v="Sports"/>
    <s v="Jeans"/>
    <x v="2"/>
    <x v="0"/>
    <n v="1572.16"/>
    <s v="Misaligned"/>
    <x v="4"/>
    <s v="High Value Tier"/>
    <x v="0"/>
  </r>
  <r>
    <s v="ORD5650"/>
    <s v="CUST1650"/>
    <n v="43"/>
    <s v="PROD850"/>
    <x v="1"/>
    <x v="486"/>
    <s v="10/29/2023"/>
    <n v="4"/>
    <x v="0"/>
    <s v="5/18/2022"/>
    <s v=" $77.67 "/>
    <n v="8"/>
    <n v="37"/>
    <s v="Beauty"/>
    <s v="Shampoo"/>
    <x v="3"/>
    <x v="0"/>
    <n v="621.36"/>
    <s v="Aligned"/>
    <x v="0"/>
    <s v="High Value Tier"/>
    <x v="3"/>
  </r>
  <r>
    <s v="ORD5651"/>
    <s v="CUST1651"/>
    <n v="25"/>
    <s v="PROD851"/>
    <x v="5"/>
    <x v="97"/>
    <s v="9/13/2022"/>
    <n v="5"/>
    <x v="0"/>
    <d v="2023-10-11T00:00:00"/>
    <s v=" $85.40 "/>
    <n v="3"/>
    <n v="49"/>
    <s v="Sports"/>
    <s v="Jeans"/>
    <x v="2"/>
    <x v="1"/>
    <n v="256.2"/>
    <s v="Misaligned"/>
    <x v="2"/>
    <s v="High Value Tier"/>
    <x v="3"/>
  </r>
  <r>
    <s v="ORD5652"/>
    <s v="CUST1652"/>
    <n v="59"/>
    <s v="PROD852"/>
    <x v="1"/>
    <x v="428"/>
    <d v="2024-11-07T00:00:00"/>
    <n v="1"/>
    <x v="0"/>
    <d v="2025-05-05T00:00:00"/>
    <s v=" $1,165.65 "/>
    <n v="1"/>
    <n v="28"/>
    <s v="Home"/>
    <s v="Dumbbells"/>
    <x v="0"/>
    <x v="1"/>
    <n v="1165.6500000000001"/>
    <s v="Misaligned"/>
    <x v="1"/>
    <s v="High Value Tier"/>
    <x v="0"/>
  </r>
  <r>
    <s v="ORD5653"/>
    <s v="CUST1653"/>
    <n v="47"/>
    <s v="PROD853"/>
    <x v="5"/>
    <x v="86"/>
    <s v="12/14/2021"/>
    <n v="4"/>
    <x v="0"/>
    <s v="11/26/2021"/>
    <s v=" $49.06 "/>
    <n v="7"/>
    <n v="20"/>
    <s v="Clothing"/>
    <s v="Face Wash"/>
    <x v="3"/>
    <x v="1"/>
    <n v="343.42"/>
    <s v="Misaligned"/>
    <x v="0"/>
    <s v="High Value Tier"/>
    <x v="3"/>
  </r>
  <r>
    <s v="ORD5654"/>
    <s v="CUST1654"/>
    <n v="46"/>
    <s v="PROD854"/>
    <x v="0"/>
    <x v="107"/>
    <s v="7/14/2024"/>
    <n v="4"/>
    <x v="0"/>
    <s v="9/21/2023"/>
    <s v=" $164.98 "/>
    <n v="3"/>
    <n v="21"/>
    <s v="Beauty"/>
    <s v="Basketball"/>
    <x v="0"/>
    <x v="0"/>
    <n v="494.94"/>
    <s v="Misaligned"/>
    <x v="0"/>
    <s v="High Value Tier"/>
    <x v="3"/>
  </r>
  <r>
    <s v="ORD5655"/>
    <s v="CUST1655"/>
    <n v="56"/>
    <s v="PROD855"/>
    <x v="0"/>
    <x v="487"/>
    <s v="3/19/2024"/>
    <n v="3"/>
    <x v="1"/>
    <d v="2024-11-02T00:00:00"/>
    <s v=" $286.43 "/>
    <n v="3"/>
    <n v="16"/>
    <s v="Electronics"/>
    <s v="Vacuum Cleaner"/>
    <x v="1"/>
    <x v="1"/>
    <n v="859.29"/>
    <s v="Misaligned"/>
    <x v="1"/>
    <s v="High Value Tier"/>
    <x v="0"/>
  </r>
  <r>
    <s v="ORD5656"/>
    <s v="CUST1656"/>
    <n v="36"/>
    <s v="PROD856"/>
    <x v="2"/>
    <x v="488"/>
    <s v="5/25/2023"/>
    <n v="1"/>
    <x v="0"/>
    <s v="4/22/2023"/>
    <s v=" $83.74 "/>
    <n v="4"/>
    <n v="34"/>
    <s v="Sports"/>
    <s v="Chair"/>
    <x v="1"/>
    <x v="0"/>
    <n v="334.96"/>
    <s v="Misaligned"/>
    <x v="0"/>
    <s v="High Value Tier"/>
    <x v="0"/>
  </r>
  <r>
    <s v="ORD5657"/>
    <s v="CUST1657"/>
    <n v="31"/>
    <s v="PROD857"/>
    <x v="0"/>
    <x v="489"/>
    <s v="1/19/2025"/>
    <n v="0"/>
    <x v="0"/>
    <d v="2024-03-11T00:00:00"/>
    <s v=" $196.16 "/>
    <n v="5"/>
    <n v="47"/>
    <s v="Clothing"/>
    <s v="Dumbbells"/>
    <x v="0"/>
    <x v="0"/>
    <n v="980.8"/>
    <s v="Misaligned"/>
    <x v="2"/>
    <s v="High Value Tier"/>
    <x v="0"/>
  </r>
  <r>
    <s v="ORD5658"/>
    <s v="CUST1658"/>
    <n v="39"/>
    <s v="PROD858"/>
    <x v="3"/>
    <x v="134"/>
    <s v="8/16/2023"/>
    <n v="0"/>
    <x v="0"/>
    <d v="2025-11-08T00:00:00"/>
    <s v=" $694.93 "/>
    <n v="2"/>
    <n v="22"/>
    <s v="Clothing"/>
    <s v="Perfume"/>
    <x v="3"/>
    <x v="0"/>
    <n v="1389.86"/>
    <s v="Misaligned"/>
    <x v="0"/>
    <s v="High Value Tier"/>
    <x v="0"/>
  </r>
  <r>
    <s v="ORD5659"/>
    <s v="CUST1659"/>
    <n v="56"/>
    <s v="PROD859"/>
    <x v="0"/>
    <x v="262"/>
    <s v="1/20/2025"/>
    <n v="4"/>
    <x v="0"/>
    <d v="2021-06-07T00:00:00"/>
    <s v=" $467.28 "/>
    <n v="2"/>
    <n v="34"/>
    <s v="Sports"/>
    <s v="Face Wash"/>
    <x v="3"/>
    <x v="0"/>
    <n v="934.56"/>
    <s v="Misaligned"/>
    <x v="1"/>
    <s v="High Value Tier"/>
    <x v="3"/>
  </r>
  <r>
    <s v="ORD5660"/>
    <s v="CUST1660"/>
    <n v="60"/>
    <s v="PROD860"/>
    <x v="2"/>
    <x v="490"/>
    <s v="11/15/2024"/>
    <n v="2"/>
    <x v="0"/>
    <s v="4/18/2023"/>
    <s v=" $146.17 "/>
    <n v="9"/>
    <n v="18"/>
    <s v="Electronics"/>
    <s v="Sneakers"/>
    <x v="2"/>
    <x v="1"/>
    <n v="1315.53"/>
    <s v="Misaligned"/>
    <x v="1"/>
    <s v="High Value Tier"/>
    <x v="0"/>
  </r>
  <r>
    <s v="ORD5661"/>
    <s v="CUST1661"/>
    <n v="32"/>
    <s v="PROD861"/>
    <x v="5"/>
    <x v="491"/>
    <d v="2022-08-06T00:00:00"/>
    <n v="3"/>
    <x v="0"/>
    <s v="6/18/2024"/>
    <s v=" $41.76 "/>
    <n v="7"/>
    <n v="41"/>
    <s v="Home"/>
    <s v="Smartwatch"/>
    <x v="4"/>
    <x v="0"/>
    <n v="292.32"/>
    <s v="Misaligned"/>
    <x v="2"/>
    <s v="High Value Tier"/>
    <x v="0"/>
  </r>
  <r>
    <s v="ORD5662"/>
    <s v="CUST1662"/>
    <n v="57"/>
    <s v="PROD862"/>
    <x v="5"/>
    <x v="469"/>
    <s v="2/16/2025"/>
    <n v="4"/>
    <x v="2"/>
    <d v="2023-07-01T00:00:00"/>
    <s v=" $111.45 "/>
    <n v="8"/>
    <n v="39"/>
    <s v="Clothing"/>
    <s v="Microwave"/>
    <x v="1"/>
    <x v="0"/>
    <n v="891.6"/>
    <s v="Misaligned"/>
    <x v="1"/>
    <s v="High Value Tier"/>
    <x v="1"/>
  </r>
  <r>
    <s v="ORD5663"/>
    <s v="CUST1663"/>
    <n v="40"/>
    <s v="PROD863"/>
    <x v="0"/>
    <x v="492"/>
    <s v="3/21/2025"/>
    <n v="1"/>
    <x v="0"/>
    <s v="5/15/2022"/>
    <s v=" $835.56 "/>
    <n v="2"/>
    <n v="10"/>
    <s v="Beauty"/>
    <s v="Chair"/>
    <x v="1"/>
    <x v="0"/>
    <n v="1671.12"/>
    <s v="Misaligned"/>
    <x v="0"/>
    <s v="High Value Tier"/>
    <x v="0"/>
  </r>
  <r>
    <s v="ORD5664"/>
    <s v="CUST1664"/>
    <n v="21"/>
    <s v="PROD864"/>
    <x v="3"/>
    <x v="6"/>
    <s v="3/23/2025"/>
    <n v="2"/>
    <x v="2"/>
    <s v="8/22/2023"/>
    <s v=" $660.78 "/>
    <n v="3"/>
    <n v="8"/>
    <s v="Electronics"/>
    <s v="Smartphone"/>
    <x v="4"/>
    <x v="0"/>
    <n v="1982.34"/>
    <s v="Aligned"/>
    <x v="3"/>
    <s v="High Value Tier"/>
    <x v="1"/>
  </r>
  <r>
    <s v="ORD5665"/>
    <s v="CUST1665"/>
    <n v="42"/>
    <s v="PROD865"/>
    <x v="4"/>
    <x v="493"/>
    <d v="2023-09-09T00:00:00"/>
    <n v="1"/>
    <x v="0"/>
    <s v="10/30/2022"/>
    <s v=" $150.11 "/>
    <n v="6"/>
    <n v="49"/>
    <s v="Sports"/>
    <s v="Jeans"/>
    <x v="2"/>
    <x v="0"/>
    <n v="900.66"/>
    <s v="Misaligned"/>
    <x v="0"/>
    <s v="High Value Tier"/>
    <x v="0"/>
  </r>
  <r>
    <s v="ORD5666"/>
    <s v="CUST1666"/>
    <n v="20"/>
    <s v="PROD866"/>
    <x v="4"/>
    <x v="368"/>
    <s v="5/31/2024"/>
    <n v="0"/>
    <x v="1"/>
    <s v="11/24/2024"/>
    <s v=" $283.26 "/>
    <n v="2"/>
    <n v="49"/>
    <s v="Sports"/>
    <s v="Smartphone"/>
    <x v="4"/>
    <x v="1"/>
    <n v="566.52"/>
    <s v="Misaligned"/>
    <x v="3"/>
    <s v="High Value Tier"/>
    <x v="0"/>
  </r>
  <r>
    <s v="ORD5667"/>
    <s v="CUST1667"/>
    <n v="32"/>
    <s v="PROD867"/>
    <x v="0"/>
    <x v="494"/>
    <s v="6/24/2023"/>
    <n v="0"/>
    <x v="0"/>
    <s v="7/29/2023"/>
    <s v=" $986.68 "/>
    <n v="1"/>
    <n v="29"/>
    <s v="Clothing"/>
    <s v="Lipstick"/>
    <x v="3"/>
    <x v="1"/>
    <n v="986.68"/>
    <s v="Misaligned"/>
    <x v="2"/>
    <s v="High Value Tier"/>
    <x v="0"/>
  </r>
  <r>
    <s v="ORD5668"/>
    <s v="CUST1668"/>
    <n v="32"/>
    <s v="PROD868"/>
    <x v="5"/>
    <x v="495"/>
    <s v="5/24/2024"/>
    <n v="2"/>
    <x v="1"/>
    <s v="7/27/2024"/>
    <s v=" $169.24 "/>
    <n v="6"/>
    <n v="7"/>
    <s v="Home"/>
    <s v="Yoga Mat"/>
    <x v="0"/>
    <x v="0"/>
    <n v="1015.44"/>
    <s v="Misaligned"/>
    <x v="2"/>
    <s v="High Value Tier"/>
    <x v="0"/>
  </r>
  <r>
    <s v="ORD5669"/>
    <s v="CUST1669"/>
    <n v="50"/>
    <s v="PROD869"/>
    <x v="4"/>
    <x v="496"/>
    <s v="7/13/2025"/>
    <n v="4"/>
    <x v="1"/>
    <s v="11/20/2021"/>
    <s v=" $192.21 "/>
    <n v="9"/>
    <n v="10"/>
    <s v="Sports"/>
    <s v="Shirt"/>
    <x v="2"/>
    <x v="1"/>
    <n v="1729.89"/>
    <s v="Misaligned"/>
    <x v="1"/>
    <s v="High Value Tier"/>
    <x v="0"/>
  </r>
  <r>
    <s v="ORD5670"/>
    <s v="CUST1670"/>
    <n v="30"/>
    <s v="PROD870"/>
    <x v="5"/>
    <x v="497"/>
    <d v="2023-11-07T00:00:00"/>
    <n v="3"/>
    <x v="0"/>
    <s v="11/19/2024"/>
    <s v=" $27.97 "/>
    <n v="9"/>
    <n v="14"/>
    <s v="Electronics"/>
    <s v="Perfume"/>
    <x v="3"/>
    <x v="1"/>
    <n v="251.73"/>
    <s v="Misaligned"/>
    <x v="2"/>
    <s v="High Value Tier"/>
    <x v="0"/>
  </r>
  <r>
    <s v="ORD5671"/>
    <s v="CUST1671"/>
    <n v="53"/>
    <s v="PROD871"/>
    <x v="2"/>
    <x v="498"/>
    <d v="2023-03-03T00:00:00"/>
    <n v="4"/>
    <x v="1"/>
    <s v="3/21/2025"/>
    <s v=" $170.74 "/>
    <n v="6"/>
    <n v="39"/>
    <s v="Sports"/>
    <s v="Tennis Racket"/>
    <x v="0"/>
    <x v="0"/>
    <n v="1024.44"/>
    <s v="Aligned"/>
    <x v="1"/>
    <s v="High Value Tier"/>
    <x v="0"/>
  </r>
  <r>
    <s v="ORD5672"/>
    <s v="CUST1672"/>
    <n v="56"/>
    <s v="PROD872"/>
    <x v="2"/>
    <x v="499"/>
    <s v="2/18/2023"/>
    <n v="1"/>
    <x v="1"/>
    <s v="12/20/2023"/>
    <s v=" $124.97 "/>
    <n v="5"/>
    <n v="21"/>
    <s v="Electronics"/>
    <s v="Vacuum Cleaner"/>
    <x v="1"/>
    <x v="0"/>
    <n v="624.85"/>
    <s v="Misaligned"/>
    <x v="1"/>
    <s v="High Value Tier"/>
    <x v="0"/>
  </r>
  <r>
    <s v="ORD5673"/>
    <s v="CUST1673"/>
    <n v="48"/>
    <s v="PROD873"/>
    <x v="2"/>
    <x v="332"/>
    <d v="2022-06-07T00:00:00"/>
    <n v="2"/>
    <x v="2"/>
    <s v="5/18/2024"/>
    <s v=" $78.19 "/>
    <n v="7"/>
    <n v="30"/>
    <s v="Clothing"/>
    <s v="Perfume"/>
    <x v="3"/>
    <x v="0"/>
    <n v="547.33000000000004"/>
    <s v="Misaligned"/>
    <x v="0"/>
    <s v="High Value Tier"/>
    <x v="1"/>
  </r>
  <r>
    <s v="ORD5674"/>
    <s v="CUST1674"/>
    <n v="25"/>
    <s v="PROD874"/>
    <x v="1"/>
    <x v="500"/>
    <s v="1/31/2025"/>
    <n v="5"/>
    <x v="0"/>
    <s v="6/25/2023"/>
    <s v=" $301.07 "/>
    <n v="5"/>
    <n v="10"/>
    <s v="Electronics"/>
    <s v="Sofa"/>
    <x v="1"/>
    <x v="1"/>
    <n v="1505.35"/>
    <s v="Misaligned"/>
    <x v="2"/>
    <s v="High Value Tier"/>
    <x v="3"/>
  </r>
  <r>
    <s v="ORD5675"/>
    <s v="CUST1675"/>
    <n v="42"/>
    <s v="PROD875"/>
    <x v="1"/>
    <x v="370"/>
    <d v="2023-04-09T00:00:00"/>
    <n v="4"/>
    <x v="2"/>
    <s v="8/29/2024"/>
    <s v=" $51.81 "/>
    <n v="5"/>
    <n v="31"/>
    <s v="Electronics"/>
    <s v="Gaming Console"/>
    <x v="4"/>
    <x v="1"/>
    <n v="259.05"/>
    <s v="Aligned"/>
    <x v="0"/>
    <s v="High Value Tier"/>
    <x v="1"/>
  </r>
  <r>
    <s v="ORD5676"/>
    <s v="CUST1676"/>
    <n v="28"/>
    <s v="PROD876"/>
    <x v="3"/>
    <x v="501"/>
    <s v="3/18/2023"/>
    <n v="0"/>
    <x v="1"/>
    <d v="2025-11-06T00:00:00"/>
    <s v=" $817.55 "/>
    <n v="2"/>
    <n v="1"/>
    <s v="Sports"/>
    <s v="Conditioner"/>
    <x v="3"/>
    <x v="0"/>
    <n v="1635.1"/>
    <s v="Misaligned"/>
    <x v="2"/>
    <s v="Core Tier"/>
    <x v="0"/>
  </r>
  <r>
    <s v="ORD5677"/>
    <s v="CUST1677"/>
    <n v="20"/>
    <s v="PROD877"/>
    <x v="1"/>
    <x v="502"/>
    <d v="2025-11-04T00:00:00"/>
    <n v="2"/>
    <x v="1"/>
    <s v="4/28/2024"/>
    <s v=" $470.40 "/>
    <n v="2"/>
    <n v="19"/>
    <s v="Beauty"/>
    <s v="Tablet"/>
    <x v="4"/>
    <x v="1"/>
    <n v="940.8"/>
    <s v="Misaligned"/>
    <x v="3"/>
    <s v="High Value Tier"/>
    <x v="0"/>
  </r>
  <r>
    <s v="ORD5678"/>
    <s v="CUST1678"/>
    <n v="52"/>
    <s v="PROD878"/>
    <x v="0"/>
    <x v="135"/>
    <s v="5/18/2024"/>
    <n v="2"/>
    <x v="2"/>
    <d v="2025-04-01T00:00:00"/>
    <s v=" $244.14 "/>
    <n v="6"/>
    <n v="10"/>
    <s v="Home"/>
    <s v="Refrigerator"/>
    <x v="1"/>
    <x v="0"/>
    <n v="1464.84"/>
    <s v="Aligned"/>
    <x v="1"/>
    <s v="High Value Tier"/>
    <x v="1"/>
  </r>
  <r>
    <s v="ORD5679"/>
    <s v="CUST1679"/>
    <n v="66"/>
    <s v="PROD879"/>
    <x v="2"/>
    <x v="486"/>
    <s v="9/17/2021"/>
    <n v="2"/>
    <x v="0"/>
    <s v="9/19/2023"/>
    <s v=" $95.20 "/>
    <n v="3"/>
    <n v="6"/>
    <s v="Beauty"/>
    <s v="Gaming Console"/>
    <x v="4"/>
    <x v="0"/>
    <n v="285.60000000000002"/>
    <s v="Misaligned"/>
    <x v="4"/>
    <s v="Core Tier"/>
    <x v="0"/>
  </r>
  <r>
    <s v="ORD5680"/>
    <s v="CUST1680"/>
    <n v="57"/>
    <s v="PROD880"/>
    <x v="0"/>
    <x v="42"/>
    <s v="2/18/2025"/>
    <n v="2"/>
    <x v="0"/>
    <s v="7/13/2024"/>
    <s v=" $670.66 "/>
    <n v="2"/>
    <n v="24"/>
    <s v="Sports"/>
    <s v="Tennis Racket"/>
    <x v="0"/>
    <x v="1"/>
    <n v="1341.32"/>
    <s v="Aligned"/>
    <x v="1"/>
    <s v="High Value Tier"/>
    <x v="0"/>
  </r>
  <r>
    <s v="ORD5681"/>
    <s v="CUST1681"/>
    <n v="40"/>
    <s v="PROD881"/>
    <x v="3"/>
    <x v="503"/>
    <s v="1/17/2024"/>
    <n v="3"/>
    <x v="0"/>
    <s v="3/31/2023"/>
    <s v=" $213.06 "/>
    <n v="1"/>
    <n v="13"/>
    <s v="Home"/>
    <s v="Lipstick"/>
    <x v="3"/>
    <x v="1"/>
    <n v="213.06"/>
    <s v="Misaligned"/>
    <x v="0"/>
    <s v="High Value Tier"/>
    <x v="0"/>
  </r>
  <r>
    <s v="ORD5682"/>
    <s v="CUST1682"/>
    <n v="39"/>
    <s v="PROD882"/>
    <x v="3"/>
    <x v="504"/>
    <s v="10/17/2022"/>
    <n v="5"/>
    <x v="0"/>
    <d v="2022-08-03T00:00:00"/>
    <s v=" $36.45 "/>
    <n v="8"/>
    <n v="48"/>
    <s v="Home"/>
    <s v="Blender"/>
    <x v="1"/>
    <x v="0"/>
    <n v="291.60000000000002"/>
    <s v="Aligned"/>
    <x v="0"/>
    <s v="High Value Tier"/>
    <x v="3"/>
  </r>
  <r>
    <s v="ORD5683"/>
    <s v="CUST1683"/>
    <n v="63"/>
    <s v="PROD883"/>
    <x v="3"/>
    <x v="505"/>
    <s v="7/15/2024"/>
    <n v="4"/>
    <x v="0"/>
    <d v="2025-04-05T00:00:00"/>
    <s v=" $3.53 "/>
    <n v="7"/>
    <n v="15"/>
    <s v="Home"/>
    <s v="Conditioner"/>
    <x v="3"/>
    <x v="1"/>
    <n v="24.71"/>
    <s v="Misaligned"/>
    <x v="1"/>
    <s v="Value Tier"/>
    <x v="3"/>
  </r>
  <r>
    <s v="ORD5684"/>
    <s v="CUST1684"/>
    <n v="40"/>
    <s v="PROD884"/>
    <x v="3"/>
    <x v="313"/>
    <d v="2025-04-03T00:00:00"/>
    <n v="1"/>
    <x v="0"/>
    <d v="2025-11-06T00:00:00"/>
    <s v=" $1,951.85 "/>
    <n v="1"/>
    <n v="24"/>
    <s v="Home"/>
    <s v="Conditioner"/>
    <x v="3"/>
    <x v="1"/>
    <n v="1951.85"/>
    <s v="Misaligned"/>
    <x v="0"/>
    <s v="High Value Tier"/>
    <x v="0"/>
  </r>
  <r>
    <s v="ORD5685"/>
    <s v="CUST1685"/>
    <n v="64"/>
    <s v="PROD885"/>
    <x v="1"/>
    <x v="506"/>
    <s v="1/25/2023"/>
    <n v="3"/>
    <x v="0"/>
    <s v="4/25/2025"/>
    <s v=" $12.39 "/>
    <n v="6"/>
    <n v="1"/>
    <s v="Electronics"/>
    <s v="Dress"/>
    <x v="2"/>
    <x v="0"/>
    <n v="74.34"/>
    <s v="Misaligned"/>
    <x v="1"/>
    <s v="Value Tier"/>
    <x v="0"/>
  </r>
  <r>
    <s v="ORD5686"/>
    <s v="CUST1686"/>
    <n v="39"/>
    <s v="PROD886"/>
    <x v="2"/>
    <x v="507"/>
    <s v="3/26/2021"/>
    <n v="1"/>
    <x v="2"/>
    <d v="2024-02-09T00:00:00"/>
    <s v=" $28.48 "/>
    <n v="3"/>
    <n v="15"/>
    <s v="Electronics"/>
    <s v="Blender"/>
    <x v="1"/>
    <x v="0"/>
    <n v="85.44"/>
    <s v="Misaligned"/>
    <x v="0"/>
    <s v="Core Tier"/>
    <x v="1"/>
  </r>
  <r>
    <s v="ORD5687"/>
    <s v="CUST1687"/>
    <n v="48"/>
    <s v="PROD887"/>
    <x v="0"/>
    <x v="334"/>
    <s v="8/25/2024"/>
    <n v="0"/>
    <x v="0"/>
    <d v="2022-04-08T00:00:00"/>
    <s v=" $853.97 "/>
    <n v="2"/>
    <n v="14"/>
    <s v="Beauty"/>
    <s v="Dumbbells"/>
    <x v="0"/>
    <x v="1"/>
    <n v="1707.94"/>
    <s v="Misaligned"/>
    <x v="0"/>
    <s v="High Value Tier"/>
    <x v="0"/>
  </r>
  <r>
    <s v="ORD5688"/>
    <s v="CUST1688"/>
    <n v="34"/>
    <s v="PROD888"/>
    <x v="1"/>
    <x v="508"/>
    <s v="11/23/2024"/>
    <n v="4"/>
    <x v="0"/>
    <d v="2023-12-07T00:00:00"/>
    <s v=" $149.49 "/>
    <n v="4"/>
    <n v="33"/>
    <s v="Beauty"/>
    <s v="Tablet"/>
    <x v="4"/>
    <x v="1"/>
    <n v="597.96"/>
    <s v="Misaligned"/>
    <x v="2"/>
    <s v="High Value Tier"/>
    <x v="3"/>
  </r>
  <r>
    <s v="ORD5689"/>
    <s v="CUST1689"/>
    <n v="42"/>
    <s v="PROD889"/>
    <x v="1"/>
    <x v="481"/>
    <s v="12/30/2021"/>
    <n v="3"/>
    <x v="1"/>
    <s v="2/27/2025"/>
    <s v=" $46.66 "/>
    <n v="3"/>
    <n v="24"/>
    <s v="Beauty"/>
    <s v="Running Shoes"/>
    <x v="0"/>
    <x v="1"/>
    <n v="139.97999999999999"/>
    <s v="Misaligned"/>
    <x v="0"/>
    <s v="High Value Tier"/>
    <x v="0"/>
  </r>
  <r>
    <s v="ORD5690"/>
    <s v="CUST1690"/>
    <n v="43"/>
    <s v="PROD890"/>
    <x v="5"/>
    <x v="509"/>
    <d v="2023-09-11T00:00:00"/>
    <n v="4"/>
    <x v="2"/>
    <d v="2025-12-03T00:00:00"/>
    <s v=" $130.19 "/>
    <n v="9"/>
    <n v="44"/>
    <s v="Sports"/>
    <s v="Lipstick"/>
    <x v="3"/>
    <x v="1"/>
    <n v="1171.71"/>
    <s v="Misaligned"/>
    <x v="0"/>
    <s v="High Value Tier"/>
    <x v="1"/>
  </r>
  <r>
    <s v="ORD5691"/>
    <s v="CUST1691"/>
    <n v="24"/>
    <s v="PROD891"/>
    <x v="1"/>
    <x v="510"/>
    <d v="2024-02-07T00:00:00"/>
    <n v="1"/>
    <x v="0"/>
    <s v="6/13/2022"/>
    <s v=" $528.20 "/>
    <n v="3"/>
    <n v="11"/>
    <s v="Home"/>
    <s v="Tablet"/>
    <x v="4"/>
    <x v="0"/>
    <n v="1584.6"/>
    <s v="Misaligned"/>
    <x v="3"/>
    <s v="High Value Tier"/>
    <x v="0"/>
  </r>
  <r>
    <s v="ORD5692"/>
    <s v="CUST1692"/>
    <n v="35"/>
    <s v="PROD892"/>
    <x v="1"/>
    <x v="173"/>
    <s v="3/30/2023"/>
    <n v="0"/>
    <x v="0"/>
    <s v="12/26/2024"/>
    <s v=" $189.18 "/>
    <n v="7"/>
    <n v="19"/>
    <s v="Electronics"/>
    <s v="Tablet"/>
    <x v="4"/>
    <x v="1"/>
    <n v="1324.26"/>
    <s v="Aligned"/>
    <x v="0"/>
    <s v="High Value Tier"/>
    <x v="0"/>
  </r>
  <r>
    <s v="ORD5693"/>
    <s v="CUST1693"/>
    <n v="51"/>
    <s v="PROD893"/>
    <x v="3"/>
    <x v="511"/>
    <s v="1/17/2024"/>
    <n v="4"/>
    <x v="0"/>
    <s v="11/18/2022"/>
    <s v=" $45.62 "/>
    <n v="6"/>
    <n v="38"/>
    <s v="Beauty"/>
    <s v="Refrigerator"/>
    <x v="1"/>
    <x v="0"/>
    <n v="273.72000000000003"/>
    <s v="Misaligned"/>
    <x v="1"/>
    <s v="High Value Tier"/>
    <x v="3"/>
  </r>
  <r>
    <s v="ORD5694"/>
    <s v="CUST1694"/>
    <n v="65"/>
    <s v="PROD894"/>
    <x v="0"/>
    <x v="225"/>
    <s v="4/19/2024"/>
    <n v="4"/>
    <x v="1"/>
    <d v="2023-10-01T00:00:00"/>
    <s v=" $86.53 "/>
    <n v="5"/>
    <n v="30"/>
    <s v="Clothing"/>
    <s v="Camera"/>
    <x v="4"/>
    <x v="1"/>
    <n v="432.65"/>
    <s v="Misaligned"/>
    <x v="4"/>
    <s v="High Value Tier"/>
    <x v="0"/>
  </r>
  <r>
    <s v="ORD5695"/>
    <s v="CUST1695"/>
    <n v="39"/>
    <s v="PROD895"/>
    <x v="2"/>
    <x v="289"/>
    <d v="2024-05-09T00:00:00"/>
    <n v="4"/>
    <x v="1"/>
    <d v="2023-08-09T00:00:00"/>
    <s v=" $19.37 "/>
    <n v="9"/>
    <n v="22"/>
    <s v="Electronics"/>
    <s v="Dress"/>
    <x v="2"/>
    <x v="0"/>
    <n v="174.33"/>
    <s v="Misaligned"/>
    <x v="0"/>
    <s v="High Value Tier"/>
    <x v="0"/>
  </r>
  <r>
    <s v="ORD5696"/>
    <s v="CUST1696"/>
    <n v="65"/>
    <s v="PROD896"/>
    <x v="0"/>
    <x v="512"/>
    <s v="11/27/2022"/>
    <n v="5"/>
    <x v="1"/>
    <d v="2023-03-10T00:00:00"/>
    <s v=" $356.89 "/>
    <n v="3"/>
    <n v="11"/>
    <s v="Clothing"/>
    <s v="Headphones"/>
    <x v="4"/>
    <x v="1"/>
    <n v="1070.67"/>
    <s v="Misaligned"/>
    <x v="4"/>
    <s v="High Value Tier"/>
    <x v="0"/>
  </r>
  <r>
    <s v="ORD5697"/>
    <s v="CUST1697"/>
    <n v="47"/>
    <s v="PROD897"/>
    <x v="5"/>
    <x v="513"/>
    <d v="2021-11-08T00:00:00"/>
    <n v="4"/>
    <x v="0"/>
    <s v="3/27/2025"/>
    <s v=" $219.58 "/>
    <n v="9"/>
    <n v="14"/>
    <s v="Electronics"/>
    <s v="Basketball"/>
    <x v="0"/>
    <x v="0"/>
    <n v="1976.22"/>
    <s v="Misaligned"/>
    <x v="0"/>
    <s v="High Value Tier"/>
    <x v="3"/>
  </r>
  <r>
    <s v="ORD5698"/>
    <s v="CUST1698"/>
    <n v="31"/>
    <s v="PROD898"/>
    <x v="5"/>
    <x v="291"/>
    <s v="7/19/2025"/>
    <n v="4"/>
    <x v="0"/>
    <s v="12/26/2024"/>
    <s v=" $1,371.02 "/>
    <n v="1"/>
    <n v="3"/>
    <s v="Beauty"/>
    <s v="Chair"/>
    <x v="1"/>
    <x v="1"/>
    <n v="1371.02"/>
    <s v="Misaligned"/>
    <x v="2"/>
    <s v="High Value Tier"/>
    <x v="3"/>
  </r>
  <r>
    <s v="ORD5699"/>
    <s v="CUST1699"/>
    <n v="18"/>
    <s v="PROD899"/>
    <x v="0"/>
    <x v="377"/>
    <s v="8/29/2022"/>
    <n v="4"/>
    <x v="2"/>
    <s v="4/13/2025"/>
    <s v=" $29.54 "/>
    <n v="7"/>
    <n v="4"/>
    <s v="Sports"/>
    <s v="Running Shoes"/>
    <x v="0"/>
    <x v="1"/>
    <n v="206.78"/>
    <s v="Aligned"/>
    <x v="3"/>
    <s v="Core Tier"/>
    <x v="1"/>
  </r>
  <r>
    <s v="ORD5700"/>
    <s v="CUST1700"/>
    <n v="55"/>
    <s v="PROD900"/>
    <x v="0"/>
    <x v="514"/>
    <s v="7/15/2024"/>
    <n v="4"/>
    <x v="2"/>
    <s v="6/30/2023"/>
    <s v=" $155.45 "/>
    <n v="4"/>
    <n v="15"/>
    <s v="Sports"/>
    <s v="Conditioner"/>
    <x v="3"/>
    <x v="1"/>
    <n v="621.79999999999995"/>
    <s v="Misaligned"/>
    <x v="1"/>
    <s v="High Value Tier"/>
    <x v="1"/>
  </r>
  <r>
    <s v="ORD5701"/>
    <s v="CUST1701"/>
    <n v="29"/>
    <s v="PROD901"/>
    <x v="0"/>
    <x v="515"/>
    <d v="2023-04-09T00:00:00"/>
    <n v="5"/>
    <x v="2"/>
    <s v="2/18/2023"/>
    <s v=" $25.49 "/>
    <n v="5"/>
    <n v="21"/>
    <s v="Clothing"/>
    <s v="Headphones"/>
    <x v="4"/>
    <x v="0"/>
    <n v="127.45"/>
    <s v="Misaligned"/>
    <x v="2"/>
    <s v="High Value Tier"/>
    <x v="1"/>
  </r>
  <r>
    <s v="ORD5702"/>
    <s v="CUST1702"/>
    <n v="69"/>
    <s v="PROD902"/>
    <x v="2"/>
    <x v="516"/>
    <d v="2025-07-08T00:00:00"/>
    <n v="5"/>
    <x v="0"/>
    <d v="2024-02-07T00:00:00"/>
    <s v=" $18.68 "/>
    <n v="7"/>
    <n v="24"/>
    <s v="Home"/>
    <s v="Cricket Bat"/>
    <x v="0"/>
    <x v="0"/>
    <n v="130.76"/>
    <s v="Misaligned"/>
    <x v="4"/>
    <s v="High Value Tier"/>
    <x v="3"/>
  </r>
  <r>
    <s v="ORD5703"/>
    <s v="CUST1703"/>
    <n v="65"/>
    <s v="PROD903"/>
    <x v="0"/>
    <x v="517"/>
    <s v="3/16/2024"/>
    <n v="5"/>
    <x v="0"/>
    <s v="4/25/2022"/>
    <s v=" $1,143.02 "/>
    <n v="1"/>
    <n v="32"/>
    <s v="Clothing"/>
    <s v="Gaming Console"/>
    <x v="4"/>
    <x v="0"/>
    <n v="1143.02"/>
    <s v="Misaligned"/>
    <x v="4"/>
    <s v="High Value Tier"/>
    <x v="3"/>
  </r>
  <r>
    <s v="ORD5704"/>
    <s v="CUST1704"/>
    <n v="56"/>
    <s v="PROD904"/>
    <x v="5"/>
    <x v="78"/>
    <d v="2024-12-03T00:00:00"/>
    <n v="3"/>
    <x v="2"/>
    <s v="11/23/2023"/>
    <s v=" $17.62 "/>
    <n v="9"/>
    <n v="5"/>
    <s v="Home"/>
    <s v="Running Shoes"/>
    <x v="0"/>
    <x v="0"/>
    <n v="158.58000000000001"/>
    <s v="Misaligned"/>
    <x v="1"/>
    <s v="Core Tier"/>
    <x v="1"/>
  </r>
  <r>
    <s v="ORD5705"/>
    <s v="CUST1705"/>
    <n v="31"/>
    <s v="PROD905"/>
    <x v="1"/>
    <x v="341"/>
    <s v="12/16/2024"/>
    <n v="2"/>
    <x v="0"/>
    <s v="12/13/2024"/>
    <s v=" $167.43 "/>
    <n v="7"/>
    <n v="15"/>
    <s v="Clothing"/>
    <s v="Foundation"/>
    <x v="3"/>
    <x v="0"/>
    <n v="1172.01"/>
    <s v="Misaligned"/>
    <x v="2"/>
    <s v="High Value Tier"/>
    <x v="0"/>
  </r>
  <r>
    <s v="ORD5706"/>
    <s v="CUST1706"/>
    <n v="40"/>
    <s v="PROD906"/>
    <x v="5"/>
    <x v="518"/>
    <s v="6/25/2023"/>
    <n v="1"/>
    <x v="0"/>
    <s v="7/31/2025"/>
    <s v=" $244.85 "/>
    <n v="5"/>
    <n v="34"/>
    <s v="Beauty"/>
    <s v="Football"/>
    <x v="0"/>
    <x v="0"/>
    <n v="1224.25"/>
    <s v="Misaligned"/>
    <x v="0"/>
    <s v="High Value Tier"/>
    <x v="0"/>
  </r>
  <r>
    <s v="ORD5707"/>
    <s v="CUST1707"/>
    <n v="44"/>
    <s v="PROD907"/>
    <x v="1"/>
    <x v="432"/>
    <d v="2023-10-10T00:00:00"/>
    <n v="1"/>
    <x v="1"/>
    <s v="4/20/2024"/>
    <s v=" $73.97 "/>
    <n v="7"/>
    <n v="46"/>
    <s v="Sports"/>
    <s v="Lipstick"/>
    <x v="3"/>
    <x v="0"/>
    <n v="517.79"/>
    <s v="Misaligned"/>
    <x v="0"/>
    <s v="High Value Tier"/>
    <x v="0"/>
  </r>
  <r>
    <s v="ORD5708"/>
    <s v="CUST1708"/>
    <n v="47"/>
    <s v="PROD908"/>
    <x v="0"/>
    <x v="519"/>
    <s v="6/15/2024"/>
    <n v="1"/>
    <x v="0"/>
    <s v="9/15/2024"/>
    <s v=" $898.76 "/>
    <n v="2"/>
    <n v="26"/>
    <s v="Electronics"/>
    <s v="Skirt"/>
    <x v="2"/>
    <x v="0"/>
    <n v="1797.52"/>
    <s v="Misaligned"/>
    <x v="0"/>
    <s v="High Value Tier"/>
    <x v="0"/>
  </r>
  <r>
    <s v="ORD5709"/>
    <s v="CUST1709"/>
    <n v="51"/>
    <s v="PROD909"/>
    <x v="4"/>
    <x v="267"/>
    <s v="8/26/2022"/>
    <n v="3"/>
    <x v="1"/>
    <s v="5/13/2023"/>
    <s v=" $209.36 "/>
    <n v="4"/>
    <n v="36"/>
    <s v="Home"/>
    <s v="Refrigerator"/>
    <x v="1"/>
    <x v="1"/>
    <n v="837.44"/>
    <s v="Aligned"/>
    <x v="1"/>
    <s v="High Value Tier"/>
    <x v="0"/>
  </r>
  <r>
    <s v="ORD5710"/>
    <s v="CUST1710"/>
    <n v="22"/>
    <s v="PROD910"/>
    <x v="5"/>
    <x v="520"/>
    <s v="3/20/2022"/>
    <n v="5"/>
    <x v="0"/>
    <s v="3/24/2024"/>
    <s v=" $143.04 "/>
    <n v="9"/>
    <n v="45"/>
    <s v="Home"/>
    <s v="Blender"/>
    <x v="1"/>
    <x v="0"/>
    <n v="1287.3599999999999"/>
    <s v="Aligned"/>
    <x v="3"/>
    <s v="High Value Tier"/>
    <x v="3"/>
  </r>
  <r>
    <s v="ORD5711"/>
    <s v="CUST1711"/>
    <n v="19"/>
    <s v="PROD911"/>
    <x v="0"/>
    <x v="521"/>
    <s v="2/27/2025"/>
    <n v="4"/>
    <x v="0"/>
    <s v="5/28/2024"/>
    <s v=" $164.34 "/>
    <n v="4"/>
    <n v="47"/>
    <s v="Electronics"/>
    <s v="Shirt"/>
    <x v="2"/>
    <x v="1"/>
    <n v="657.36"/>
    <s v="Misaligned"/>
    <x v="3"/>
    <s v="High Value Tier"/>
    <x v="3"/>
  </r>
  <r>
    <s v="ORD5712"/>
    <s v="CUST1712"/>
    <n v="67"/>
    <s v="PROD912"/>
    <x v="4"/>
    <x v="522"/>
    <s v="1/25/2023"/>
    <n v="2"/>
    <x v="0"/>
    <s v="1/30/2023"/>
    <s v=" $188.11 "/>
    <n v="7"/>
    <n v="16"/>
    <s v="Electronics"/>
    <s v="Blender"/>
    <x v="1"/>
    <x v="0"/>
    <n v="1316.77"/>
    <s v="Misaligned"/>
    <x v="4"/>
    <s v="High Value Tier"/>
    <x v="0"/>
  </r>
  <r>
    <s v="ORD5713"/>
    <s v="CUST1713"/>
    <n v="33"/>
    <s v="PROD913"/>
    <x v="0"/>
    <x v="523"/>
    <s v="1/13/2025"/>
    <n v="1"/>
    <x v="1"/>
    <d v="2024-01-05T00:00:00"/>
    <s v=" $343.89 "/>
    <n v="5"/>
    <n v="32"/>
    <s v="Electronics"/>
    <s v="Jeans"/>
    <x v="2"/>
    <x v="1"/>
    <n v="1719.45"/>
    <s v="Misaligned"/>
    <x v="2"/>
    <s v="High Value Tier"/>
    <x v="0"/>
  </r>
  <r>
    <s v="ORD5714"/>
    <s v="CUST1714"/>
    <n v="67"/>
    <s v="PROD914"/>
    <x v="0"/>
    <x v="225"/>
    <d v="2021-10-09T00:00:00"/>
    <n v="1"/>
    <x v="1"/>
    <d v="2024-06-06T00:00:00"/>
    <s v=" $291.77 "/>
    <n v="4"/>
    <n v="41"/>
    <s v="Home"/>
    <s v="Perfume"/>
    <x v="3"/>
    <x v="1"/>
    <n v="1167.08"/>
    <s v="Misaligned"/>
    <x v="4"/>
    <s v="High Value Tier"/>
    <x v="0"/>
  </r>
  <r>
    <s v="ORD5715"/>
    <s v="CUST1715"/>
    <n v="67"/>
    <s v="PROD915"/>
    <x v="5"/>
    <x v="98"/>
    <s v="6/14/2025"/>
    <n v="5"/>
    <x v="0"/>
    <d v="2025-05-08T00:00:00"/>
    <s v=" $289.38 "/>
    <n v="5"/>
    <n v="46"/>
    <s v="Electronics"/>
    <s v="Gaming Console"/>
    <x v="4"/>
    <x v="1"/>
    <n v="1446.9"/>
    <s v="Aligned"/>
    <x v="4"/>
    <s v="High Value Tier"/>
    <x v="3"/>
  </r>
  <r>
    <s v="ORD5716"/>
    <s v="CUST1716"/>
    <n v="59"/>
    <s v="PROD916"/>
    <x v="1"/>
    <x v="84"/>
    <s v="7/15/2024"/>
    <n v="2"/>
    <x v="0"/>
    <d v="2024-11-09T00:00:00"/>
    <s v=" $184.92 "/>
    <n v="8"/>
    <n v="12"/>
    <s v="Beauty"/>
    <s v="Dress"/>
    <x v="2"/>
    <x v="1"/>
    <n v="1479.36"/>
    <s v="Misaligned"/>
    <x v="1"/>
    <s v="High Value Tier"/>
    <x v="0"/>
  </r>
  <r>
    <s v="ORD5717"/>
    <s v="CUST1717"/>
    <n v="68"/>
    <s v="PROD917"/>
    <x v="2"/>
    <x v="524"/>
    <s v="10/26/2023"/>
    <n v="1"/>
    <x v="2"/>
    <d v="2022-12-02T00:00:00"/>
    <s v=" $95.60 "/>
    <n v="8"/>
    <n v="38"/>
    <s v="Electronics"/>
    <s v="Cricket Bat"/>
    <x v="0"/>
    <x v="0"/>
    <n v="764.8"/>
    <s v="Misaligned"/>
    <x v="4"/>
    <s v="High Value Tier"/>
    <x v="1"/>
  </r>
  <r>
    <s v="ORD5718"/>
    <s v="CUST1718"/>
    <n v="46"/>
    <s v="PROD918"/>
    <x v="5"/>
    <x v="401"/>
    <s v="1/16/2022"/>
    <n v="4"/>
    <x v="0"/>
    <s v="1/25/2024"/>
    <s v=" $12.05 "/>
    <n v="7"/>
    <n v="12"/>
    <s v="Beauty"/>
    <s v="Tablet"/>
    <x v="4"/>
    <x v="1"/>
    <n v="84.35"/>
    <s v="Misaligned"/>
    <x v="0"/>
    <s v="Core Tier"/>
    <x v="3"/>
  </r>
  <r>
    <s v="ORD5719"/>
    <s v="CUST1719"/>
    <n v="34"/>
    <s v="PROD919"/>
    <x v="5"/>
    <x v="525"/>
    <s v="5/18/2023"/>
    <n v="3"/>
    <x v="1"/>
    <s v="3/14/2024"/>
    <s v=" $877.48 "/>
    <n v="2"/>
    <n v="45"/>
    <s v="Sports"/>
    <s v="Blender"/>
    <x v="1"/>
    <x v="0"/>
    <n v="1754.96"/>
    <s v="Misaligned"/>
    <x v="2"/>
    <s v="High Value Tier"/>
    <x v="0"/>
  </r>
  <r>
    <s v="ORD5720"/>
    <s v="CUST1720"/>
    <n v="36"/>
    <s v="PROD920"/>
    <x v="1"/>
    <x v="526"/>
    <s v="8/20/2024"/>
    <n v="3"/>
    <x v="2"/>
    <s v="7/21/2025"/>
    <s v=" $129.11 "/>
    <n v="7"/>
    <n v="49"/>
    <s v="Home"/>
    <s v="Chair"/>
    <x v="1"/>
    <x v="0"/>
    <n v="903.77"/>
    <s v="Aligned"/>
    <x v="0"/>
    <s v="High Value Tier"/>
    <x v="1"/>
  </r>
  <r>
    <s v="ORD5721"/>
    <s v="CUST1721"/>
    <n v="18"/>
    <s v="PROD921"/>
    <x v="5"/>
    <x v="185"/>
    <s v="5/15/2022"/>
    <n v="1"/>
    <x v="0"/>
    <d v="2022-12-08T00:00:00"/>
    <s v=" $699.10 "/>
    <n v="1"/>
    <n v="29"/>
    <s v="Home"/>
    <s v="Chair"/>
    <x v="1"/>
    <x v="0"/>
    <n v="699.1"/>
    <s v="Aligned"/>
    <x v="3"/>
    <s v="High Value Tier"/>
    <x v="0"/>
  </r>
  <r>
    <s v="ORD5722"/>
    <s v="CUST1722"/>
    <n v="19"/>
    <s v="PROD922"/>
    <x v="5"/>
    <x v="527"/>
    <d v="2024-05-05T00:00:00"/>
    <n v="3"/>
    <x v="0"/>
    <s v="11/20/2023"/>
    <s v=" $10.32 "/>
    <n v="6"/>
    <n v="4"/>
    <s v="Home"/>
    <s v="Bluetooth Speaker"/>
    <x v="4"/>
    <x v="0"/>
    <n v="61.92"/>
    <s v="Misaligned"/>
    <x v="3"/>
    <s v="Value Tier"/>
    <x v="0"/>
  </r>
  <r>
    <s v="ORD5723"/>
    <s v="CUST1723"/>
    <n v="28"/>
    <s v="PROD923"/>
    <x v="2"/>
    <x v="528"/>
    <d v="2025-02-08T00:00:00"/>
    <n v="1"/>
    <x v="0"/>
    <d v="2023-08-01T00:00:00"/>
    <s v=" $196.10 "/>
    <n v="9"/>
    <n v="15"/>
    <s v="Home"/>
    <s v="Dress"/>
    <x v="2"/>
    <x v="0"/>
    <n v="1764.9"/>
    <s v="Misaligned"/>
    <x v="2"/>
    <s v="High Value Tier"/>
    <x v="0"/>
  </r>
  <r>
    <s v="ORD5724"/>
    <s v="CUST1724"/>
    <n v="49"/>
    <s v="PROD924"/>
    <x v="5"/>
    <x v="529"/>
    <s v="1/28/2025"/>
    <n v="1"/>
    <x v="0"/>
    <d v="2025-07-04T00:00:00"/>
    <s v=" $173.64 "/>
    <n v="9"/>
    <n v="16"/>
    <s v="Clothing"/>
    <s v="Smartphone"/>
    <x v="4"/>
    <x v="1"/>
    <n v="1562.76"/>
    <s v="Misaligned"/>
    <x v="0"/>
    <s v="High Value Tier"/>
    <x v="0"/>
  </r>
  <r>
    <s v="ORD5725"/>
    <s v="CUST1725"/>
    <n v="39"/>
    <s v="PROD925"/>
    <x v="3"/>
    <x v="41"/>
    <s v="12/26/2024"/>
    <n v="5"/>
    <x v="1"/>
    <d v="2024-01-02T00:00:00"/>
    <s v=" $206.65 "/>
    <n v="5"/>
    <n v="43"/>
    <s v="Electronics"/>
    <s v="Hoodie"/>
    <x v="2"/>
    <x v="0"/>
    <n v="1033.25"/>
    <s v="Misaligned"/>
    <x v="0"/>
    <s v="High Value Tier"/>
    <x v="0"/>
  </r>
  <r>
    <s v="ORD5726"/>
    <s v="CUST1726"/>
    <n v="18"/>
    <s v="PROD926"/>
    <x v="0"/>
    <x v="530"/>
    <s v="3/21/2023"/>
    <n v="1"/>
    <x v="0"/>
    <s v="11/13/2023"/>
    <s v=" $477.57 "/>
    <n v="1"/>
    <n v="41"/>
    <s v="Clothing"/>
    <s v="Camera"/>
    <x v="4"/>
    <x v="1"/>
    <n v="477.57"/>
    <s v="Misaligned"/>
    <x v="3"/>
    <s v="High Value Tier"/>
    <x v="0"/>
  </r>
  <r>
    <s v="ORD5727"/>
    <s v="CUST1727"/>
    <n v="53"/>
    <s v="PROD927"/>
    <x v="2"/>
    <x v="326"/>
    <s v="11/22/2022"/>
    <n v="0"/>
    <x v="0"/>
    <s v="2/23/2024"/>
    <s v=" $68.90 "/>
    <n v="6"/>
    <n v="17"/>
    <s v="Electronics"/>
    <s v="Skirt"/>
    <x v="2"/>
    <x v="0"/>
    <n v="413.4"/>
    <s v="Misaligned"/>
    <x v="1"/>
    <s v="High Value Tier"/>
    <x v="0"/>
  </r>
  <r>
    <s v="ORD5728"/>
    <s v="CUST1728"/>
    <n v="65"/>
    <s v="PROD928"/>
    <x v="4"/>
    <x v="382"/>
    <s v="12/16/2024"/>
    <n v="3"/>
    <x v="0"/>
    <d v="2024-11-12T00:00:00"/>
    <s v=" $238.83 "/>
    <n v="7"/>
    <n v="22"/>
    <s v="Electronics"/>
    <s v="Foundation"/>
    <x v="3"/>
    <x v="0"/>
    <n v="1671.81"/>
    <s v="Misaligned"/>
    <x v="4"/>
    <s v="High Value Tier"/>
    <x v="0"/>
  </r>
  <r>
    <s v="ORD5729"/>
    <s v="CUST1729"/>
    <n v="62"/>
    <s v="PROD929"/>
    <x v="3"/>
    <x v="531"/>
    <s v="5/23/2025"/>
    <n v="0"/>
    <x v="2"/>
    <s v="11/14/2021"/>
    <s v=" $120.28 "/>
    <n v="5"/>
    <n v="46"/>
    <s v="Sports"/>
    <s v="Dumbbells"/>
    <x v="0"/>
    <x v="1"/>
    <n v="601.4"/>
    <s v="Aligned"/>
    <x v="1"/>
    <s v="High Value Tier"/>
    <x v="1"/>
  </r>
  <r>
    <s v="ORD5730"/>
    <s v="CUST1730"/>
    <n v="51"/>
    <s v="PROD930"/>
    <x v="4"/>
    <x v="439"/>
    <d v="2024-04-04T00:00:00"/>
    <n v="0"/>
    <x v="0"/>
    <s v="8/25/2023"/>
    <s v=" $880.32 "/>
    <n v="1"/>
    <n v="30"/>
    <s v="Home"/>
    <s v="Smartwatch"/>
    <x v="4"/>
    <x v="1"/>
    <n v="880.32"/>
    <s v="Misaligned"/>
    <x v="1"/>
    <s v="High Value Tier"/>
    <x v="0"/>
  </r>
  <r>
    <s v="ORD5731"/>
    <s v="CUST1731"/>
    <n v="63"/>
    <s v="PROD931"/>
    <x v="4"/>
    <x v="532"/>
    <s v="7/30/2024"/>
    <n v="1"/>
    <x v="0"/>
    <s v="9/20/2023"/>
    <s v=" $425.19 "/>
    <n v="1"/>
    <n v="8"/>
    <s v="Home"/>
    <s v="Yoga Mat"/>
    <x v="0"/>
    <x v="0"/>
    <n v="425.19"/>
    <s v="Misaligned"/>
    <x v="1"/>
    <s v="High Value Tier"/>
    <x v="0"/>
  </r>
  <r>
    <s v="ORD5732"/>
    <s v="CUST1732"/>
    <n v="27"/>
    <s v="PROD932"/>
    <x v="2"/>
    <x v="533"/>
    <s v="12/26/2023"/>
    <n v="5"/>
    <x v="0"/>
    <s v="12/31/2023"/>
    <s v=" $436.81 "/>
    <n v="3"/>
    <n v="42"/>
    <s v="Beauty"/>
    <s v="Jacket"/>
    <x v="2"/>
    <x v="1"/>
    <n v="1310.43"/>
    <s v="Misaligned"/>
    <x v="2"/>
    <s v="High Value Tier"/>
    <x v="3"/>
  </r>
  <r>
    <s v="ORD5733"/>
    <s v="CUST1733"/>
    <n v="50"/>
    <s v="PROD933"/>
    <x v="2"/>
    <x v="476"/>
    <s v="4/24/2023"/>
    <n v="0"/>
    <x v="0"/>
    <d v="2024-01-10T00:00:00"/>
    <s v=" $54.65 "/>
    <n v="3"/>
    <n v="21"/>
    <s v="Electronics"/>
    <s v="Basketball"/>
    <x v="0"/>
    <x v="0"/>
    <n v="163.95"/>
    <s v="Misaligned"/>
    <x v="1"/>
    <s v="High Value Tier"/>
    <x v="0"/>
  </r>
  <r>
    <s v="ORD5734"/>
    <s v="CUST1734"/>
    <n v="51"/>
    <s v="PROD934"/>
    <x v="5"/>
    <x v="282"/>
    <d v="2024-07-04T00:00:00"/>
    <n v="3"/>
    <x v="0"/>
    <s v="9/30/2022"/>
    <s v=" $178.57 "/>
    <n v="6"/>
    <n v="33"/>
    <s v="Beauty"/>
    <s v="Shampoo"/>
    <x v="3"/>
    <x v="1"/>
    <n v="1071.42"/>
    <s v="Aligned"/>
    <x v="1"/>
    <s v="High Value Tier"/>
    <x v="0"/>
  </r>
  <r>
    <s v="ORD5735"/>
    <s v="CUST1735"/>
    <n v="67"/>
    <s v="PROD935"/>
    <x v="0"/>
    <x v="534"/>
    <d v="2025-12-04T00:00:00"/>
    <n v="2"/>
    <x v="0"/>
    <s v="7/23/2024"/>
    <s v=" $18.43 "/>
    <n v="9"/>
    <n v="33"/>
    <s v="Clothing"/>
    <s v="Shirt"/>
    <x v="2"/>
    <x v="0"/>
    <n v="165.87"/>
    <s v="Aligned"/>
    <x v="4"/>
    <s v="High Value Tier"/>
    <x v="0"/>
  </r>
  <r>
    <s v="ORD5736"/>
    <s v="CUST1736"/>
    <n v="41"/>
    <s v="PROD936"/>
    <x v="3"/>
    <x v="535"/>
    <s v="7/25/2021"/>
    <n v="1"/>
    <x v="1"/>
    <d v="2024-04-05T00:00:00"/>
    <s v=" $162.13 "/>
    <n v="8"/>
    <n v="24"/>
    <s v="Sports"/>
    <s v="Perfume"/>
    <x v="3"/>
    <x v="0"/>
    <n v="1297.04"/>
    <s v="Misaligned"/>
    <x v="0"/>
    <s v="High Value Tier"/>
    <x v="0"/>
  </r>
  <r>
    <s v="ORD5737"/>
    <s v="CUST1737"/>
    <n v="19"/>
    <s v="PROD937"/>
    <x v="2"/>
    <x v="144"/>
    <s v="9/23/2023"/>
    <n v="2"/>
    <x v="0"/>
    <s v="9/15/2023"/>
    <s v=" $215.86 "/>
    <n v="4"/>
    <n v="5"/>
    <s v="Sports"/>
    <s v="Dining Table"/>
    <x v="1"/>
    <x v="0"/>
    <n v="863.44"/>
    <s v="Misaligned"/>
    <x v="3"/>
    <s v="High Value Tier"/>
    <x v="0"/>
  </r>
  <r>
    <s v="ORD5738"/>
    <s v="CUST1738"/>
    <n v="68"/>
    <s v="PROD938"/>
    <x v="0"/>
    <x v="290"/>
    <d v="2023-10-08T00:00:00"/>
    <n v="2"/>
    <x v="0"/>
    <s v="7/19/2024"/>
    <s v=" $448.02 "/>
    <n v="4"/>
    <n v="4"/>
    <s v="Sports"/>
    <s v="Dumbbells"/>
    <x v="0"/>
    <x v="1"/>
    <n v="1792.08"/>
    <s v="Aligned"/>
    <x v="4"/>
    <s v="High Value Tier"/>
    <x v="0"/>
  </r>
  <r>
    <s v="ORD5739"/>
    <s v="CUST1739"/>
    <n v="24"/>
    <s v="PROD939"/>
    <x v="5"/>
    <x v="206"/>
    <s v="7/23/2024"/>
    <n v="1"/>
    <x v="0"/>
    <s v="12/25/2022"/>
    <s v=" $202.23 "/>
    <n v="4"/>
    <n v="29"/>
    <s v="Beauty"/>
    <s v="Moisturizer"/>
    <x v="3"/>
    <x v="0"/>
    <n v="808.92"/>
    <s v="Aligned"/>
    <x v="3"/>
    <s v="High Value Tier"/>
    <x v="0"/>
  </r>
  <r>
    <s v="ORD5740"/>
    <s v="CUST1740"/>
    <n v="67"/>
    <s v="PROD940"/>
    <x v="4"/>
    <x v="105"/>
    <d v="2024-08-11T00:00:00"/>
    <n v="1"/>
    <x v="0"/>
    <d v="2025-10-08T00:00:00"/>
    <s v=" $412.98 "/>
    <n v="1"/>
    <n v="22"/>
    <s v="Beauty"/>
    <s v="Perfume"/>
    <x v="3"/>
    <x v="1"/>
    <n v="412.98"/>
    <s v="Aligned"/>
    <x v="4"/>
    <s v="High Value Tier"/>
    <x v="0"/>
  </r>
  <r>
    <s v="ORD5741"/>
    <s v="CUST1741"/>
    <n v="45"/>
    <s v="PROD941"/>
    <x v="0"/>
    <x v="536"/>
    <s v="3/27/2021"/>
    <n v="4"/>
    <x v="1"/>
    <s v="7/20/2023"/>
    <s v=" $187.53 "/>
    <n v="4"/>
    <n v="22"/>
    <s v="Home"/>
    <s v="Dumbbells"/>
    <x v="0"/>
    <x v="1"/>
    <n v="750.12"/>
    <s v="Misaligned"/>
    <x v="0"/>
    <s v="High Value Tier"/>
    <x v="0"/>
  </r>
  <r>
    <s v="ORD5742"/>
    <s v="CUST1742"/>
    <n v="52"/>
    <s v="PROD942"/>
    <x v="5"/>
    <x v="126"/>
    <s v="12/29/2022"/>
    <n v="1"/>
    <x v="0"/>
    <d v="2024-07-11T00:00:00"/>
    <s v=" $140.81 "/>
    <n v="8"/>
    <n v="5"/>
    <s v="Home"/>
    <s v="Bluetooth Speaker"/>
    <x v="4"/>
    <x v="1"/>
    <n v="1126.48"/>
    <s v="Misaligned"/>
    <x v="1"/>
    <s v="High Value Tier"/>
    <x v="0"/>
  </r>
  <r>
    <s v="ORD5743"/>
    <s v="CUST1743"/>
    <n v="52"/>
    <s v="PROD943"/>
    <x v="3"/>
    <x v="17"/>
    <s v="10/17/2024"/>
    <n v="1"/>
    <x v="0"/>
    <s v="3/31/2025"/>
    <s v=" $66.97 "/>
    <n v="7"/>
    <n v="1"/>
    <s v="Home"/>
    <s v="Headphones"/>
    <x v="4"/>
    <x v="2"/>
    <n v="468.79"/>
    <s v="Misaligned"/>
    <x v="1"/>
    <s v="Value Tier"/>
    <x v="0"/>
  </r>
  <r>
    <s v="ORD5744"/>
    <s v="CUST1744"/>
    <n v="60"/>
    <s v="PROD944"/>
    <x v="5"/>
    <x v="537"/>
    <s v="12/27/2024"/>
    <n v="5"/>
    <x v="0"/>
    <d v="2024-12-01T00:00:00"/>
    <s v=" $73.09 "/>
    <n v="5"/>
    <n v="12"/>
    <s v="Beauty"/>
    <s v="Microwave"/>
    <x v="1"/>
    <x v="0"/>
    <n v="365.45"/>
    <s v="Misaligned"/>
    <x v="1"/>
    <s v="High Value Tier"/>
    <x v="3"/>
  </r>
  <r>
    <s v="ORD5745"/>
    <s v="CUST1745"/>
    <n v="49"/>
    <s v="PROD945"/>
    <x v="2"/>
    <x v="538"/>
    <s v="6/13/2023"/>
    <n v="5"/>
    <x v="0"/>
    <s v="10/18/2022"/>
    <s v=" $1,326.91 "/>
    <n v="1"/>
    <n v="3"/>
    <s v="Clothing"/>
    <s v="Dining Table"/>
    <x v="1"/>
    <x v="1"/>
    <n v="1326.91"/>
    <s v="Misaligned"/>
    <x v="0"/>
    <s v="High Value Tier"/>
    <x v="3"/>
  </r>
  <r>
    <s v="ORD5746"/>
    <s v="CUST1746"/>
    <n v="59"/>
    <s v="PROD946"/>
    <x v="0"/>
    <x v="539"/>
    <d v="2022-07-11T00:00:00"/>
    <n v="1"/>
    <x v="0"/>
    <d v="2021-12-07T00:00:00"/>
    <s v=" $187.35 "/>
    <n v="2"/>
    <n v="23"/>
    <s v="Beauty"/>
    <s v="Foundation"/>
    <x v="3"/>
    <x v="0"/>
    <n v="374.7"/>
    <s v="Aligned"/>
    <x v="1"/>
    <s v="High Value Tier"/>
    <x v="0"/>
  </r>
  <r>
    <s v="ORD5747"/>
    <s v="CUST1747"/>
    <n v="45"/>
    <s v="PROD947"/>
    <x v="5"/>
    <x v="540"/>
    <d v="2024-08-10T00:00:00"/>
    <n v="0"/>
    <x v="0"/>
    <s v="8/13/2022"/>
    <s v=" $421.14 "/>
    <n v="2"/>
    <n v="23"/>
    <s v="Clothing"/>
    <s v="Shampoo"/>
    <x v="3"/>
    <x v="0"/>
    <n v="842.28"/>
    <s v="Misaligned"/>
    <x v="0"/>
    <s v="High Value Tier"/>
    <x v="0"/>
  </r>
  <r>
    <s v="ORD5748"/>
    <s v="CUST1748"/>
    <n v="37"/>
    <s v="PROD948"/>
    <x v="3"/>
    <x v="314"/>
    <s v="3/28/2025"/>
    <n v="2"/>
    <x v="0"/>
    <s v="7/18/2022"/>
    <s v=" $107.87 "/>
    <n v="9"/>
    <n v="31"/>
    <s v="Home"/>
    <s v="Microwave"/>
    <x v="1"/>
    <x v="0"/>
    <n v="970.83"/>
    <s v="Aligned"/>
    <x v="0"/>
    <s v="High Value Tier"/>
    <x v="0"/>
  </r>
  <r>
    <s v="ORD5749"/>
    <s v="CUST1749"/>
    <n v="38"/>
    <s v="PROD949"/>
    <x v="3"/>
    <x v="541"/>
    <d v="2023-11-06T00:00:00"/>
    <n v="4"/>
    <x v="0"/>
    <s v="10/26/2023"/>
    <s v=" $185.96 "/>
    <n v="9"/>
    <n v="6"/>
    <s v="Clothing"/>
    <s v="Chair"/>
    <x v="1"/>
    <x v="0"/>
    <n v="1673.64"/>
    <s v="Misaligned"/>
    <x v="0"/>
    <s v="High Value Tier"/>
    <x v="3"/>
  </r>
  <r>
    <s v="ORD5750"/>
    <s v="CUST1750"/>
    <n v="44"/>
    <s v="PROD950"/>
    <x v="1"/>
    <x v="342"/>
    <d v="2025-08-03T00:00:00"/>
    <n v="3"/>
    <x v="1"/>
    <s v="9/29/2024"/>
    <s v=" $180.94 "/>
    <n v="7"/>
    <n v="34"/>
    <s v="Beauty"/>
    <s v="Basketball"/>
    <x v="0"/>
    <x v="0"/>
    <n v="1266.58"/>
    <s v="Misaligned"/>
    <x v="0"/>
    <s v="High Value Tier"/>
    <x v="0"/>
  </r>
  <r>
    <s v="ORD5751"/>
    <s v="CUST1751"/>
    <n v="26"/>
    <s v="PROD951"/>
    <x v="5"/>
    <x v="542"/>
    <s v="3/26/2023"/>
    <n v="2"/>
    <x v="2"/>
    <d v="2022-11-10T00:00:00"/>
    <s v=" $138.80 "/>
    <n v="3"/>
    <n v="1"/>
    <s v="Sports"/>
    <s v="Yoga Mat"/>
    <x v="0"/>
    <x v="0"/>
    <n v="416.4"/>
    <s v="Aligned"/>
    <x v="2"/>
    <s v="Value Tier"/>
    <x v="1"/>
  </r>
  <r>
    <s v="ORD5752"/>
    <s v="CUST1752"/>
    <n v="38"/>
    <s v="PROD952"/>
    <x v="2"/>
    <x v="26"/>
    <s v="8/31/2024"/>
    <n v="2"/>
    <x v="1"/>
    <d v="2025-06-04T00:00:00"/>
    <s v=" $856.16 "/>
    <n v="1"/>
    <n v="26"/>
    <s v="Sports"/>
    <s v="Smartwatch"/>
    <x v="4"/>
    <x v="1"/>
    <n v="856.16"/>
    <s v="Misaligned"/>
    <x v="0"/>
    <s v="High Value Tier"/>
    <x v="0"/>
  </r>
  <r>
    <s v="ORD5753"/>
    <s v="CUST1753"/>
    <n v="24"/>
    <s v="PROD953"/>
    <x v="1"/>
    <x v="543"/>
    <d v="2025-08-02T00:00:00"/>
    <n v="5"/>
    <x v="0"/>
    <d v="2024-09-06T00:00:00"/>
    <s v=" $206.67 "/>
    <n v="9"/>
    <n v="8"/>
    <s v="Beauty"/>
    <s v="Face Wash"/>
    <x v="3"/>
    <x v="1"/>
    <n v="1860.03"/>
    <s v="Aligned"/>
    <x v="3"/>
    <s v="High Value Tier"/>
    <x v="3"/>
  </r>
  <r>
    <s v="ORD5754"/>
    <s v="CUST1754"/>
    <n v="33"/>
    <s v="PROD954"/>
    <x v="3"/>
    <x v="136"/>
    <s v="2/14/2025"/>
    <n v="2"/>
    <x v="0"/>
    <d v="2022-08-11T00:00:00"/>
    <s v=" $175.10 "/>
    <n v="3"/>
    <n v="19"/>
    <s v="Beauty"/>
    <s v="Tablet"/>
    <x v="4"/>
    <x v="1"/>
    <n v="525.29999999999995"/>
    <s v="Misaligned"/>
    <x v="2"/>
    <s v="High Value Tier"/>
    <x v="0"/>
  </r>
  <r>
    <s v="ORD5755"/>
    <s v="CUST1755"/>
    <n v="58"/>
    <s v="PROD955"/>
    <x v="0"/>
    <x v="402"/>
    <s v="3/26/2023"/>
    <n v="5"/>
    <x v="0"/>
    <d v="2024-12-06T00:00:00"/>
    <s v=" $174.92 "/>
    <n v="5"/>
    <n v="15"/>
    <s v="Beauty"/>
    <s v="Moisturizer"/>
    <x v="3"/>
    <x v="0"/>
    <n v="874.6"/>
    <s v="Aligned"/>
    <x v="1"/>
    <s v="High Value Tier"/>
    <x v="3"/>
  </r>
  <r>
    <s v="ORD5756"/>
    <s v="CUST1756"/>
    <n v="64"/>
    <s v="PROD956"/>
    <x v="1"/>
    <x v="544"/>
    <s v="11/30/2023"/>
    <n v="0"/>
    <x v="1"/>
    <s v="1/19/2022"/>
    <s v=" $406.39 "/>
    <n v="3"/>
    <n v="46"/>
    <s v="Beauty"/>
    <s v="Smartphone"/>
    <x v="4"/>
    <x v="2"/>
    <n v="1219.17"/>
    <s v="Misaligned"/>
    <x v="1"/>
    <s v="High Value Tier"/>
    <x v="0"/>
  </r>
  <r>
    <s v="ORD5757"/>
    <s v="CUST1757"/>
    <n v="53"/>
    <s v="PROD957"/>
    <x v="4"/>
    <x v="545"/>
    <s v="11/27/2024"/>
    <n v="3"/>
    <x v="0"/>
    <d v="2023-11-03T00:00:00"/>
    <s v=" $190.94 "/>
    <n v="9"/>
    <n v="43"/>
    <s v="Sports"/>
    <s v="Laptop"/>
    <x v="4"/>
    <x v="1"/>
    <n v="1718.46"/>
    <s v="Misaligned"/>
    <x v="1"/>
    <s v="High Value Tier"/>
    <x v="0"/>
  </r>
  <r>
    <s v="ORD5758"/>
    <s v="CUST1758"/>
    <n v="35"/>
    <s v="PROD958"/>
    <x v="5"/>
    <x v="546"/>
    <d v="2021-04-01T00:00:00"/>
    <n v="3"/>
    <x v="0"/>
    <d v="2025-06-05T00:00:00"/>
    <s v=" $453.96 "/>
    <n v="4"/>
    <n v="17"/>
    <s v="Clothing"/>
    <s v="Smartphone"/>
    <x v="4"/>
    <x v="1"/>
    <n v="1815.84"/>
    <s v="Misaligned"/>
    <x v="0"/>
    <s v="High Value Tier"/>
    <x v="0"/>
  </r>
  <r>
    <s v="ORD5759"/>
    <s v="CUST1759"/>
    <n v="45"/>
    <s v="PROD959"/>
    <x v="3"/>
    <x v="547"/>
    <s v="6/14/2022"/>
    <n v="3"/>
    <x v="0"/>
    <s v="9/21/2023"/>
    <s v=" $186.85 "/>
    <n v="4"/>
    <n v="8"/>
    <s v="Beauty"/>
    <s v="Football"/>
    <x v="0"/>
    <x v="0"/>
    <n v="747.4"/>
    <s v="Misaligned"/>
    <x v="0"/>
    <s v="High Value Tier"/>
    <x v="0"/>
  </r>
  <r>
    <s v="ORD5760"/>
    <s v="CUST1760"/>
    <n v="41"/>
    <s v="PROD960"/>
    <x v="4"/>
    <x v="548"/>
    <s v="12/18/2022"/>
    <n v="3"/>
    <x v="2"/>
    <s v="7/26/2021"/>
    <s v=" $136.28 "/>
    <n v="9"/>
    <n v="24"/>
    <s v="Sports"/>
    <s v="Face Wash"/>
    <x v="3"/>
    <x v="1"/>
    <n v="1226.52"/>
    <s v="Misaligned"/>
    <x v="0"/>
    <s v="High Value Tier"/>
    <x v="1"/>
  </r>
  <r>
    <s v="ORD5761"/>
    <s v="CUST1761"/>
    <n v="46"/>
    <s v="PROD961"/>
    <x v="1"/>
    <x v="549"/>
    <d v="2023-10-11T00:00:00"/>
    <n v="2"/>
    <x v="1"/>
    <s v="6/18/2024"/>
    <s v=" $187.92 "/>
    <n v="5"/>
    <n v="30"/>
    <s v="Sports"/>
    <s v="Smartphone"/>
    <x v="4"/>
    <x v="0"/>
    <n v="939.6"/>
    <s v="Misaligned"/>
    <x v="0"/>
    <s v="High Value Tier"/>
    <x v="0"/>
  </r>
  <r>
    <s v="ORD5762"/>
    <s v="CUST1762"/>
    <n v="33"/>
    <s v="PROD962"/>
    <x v="2"/>
    <x v="187"/>
    <d v="2023-01-11T00:00:00"/>
    <n v="5"/>
    <x v="0"/>
    <d v="2023-03-04T00:00:00"/>
    <s v=" $1,779.70 "/>
    <n v="1"/>
    <n v="12"/>
    <s v="Sports"/>
    <s v="Face Wash"/>
    <x v="3"/>
    <x v="1"/>
    <n v="1779.7"/>
    <s v="Misaligned"/>
    <x v="2"/>
    <s v="High Value Tier"/>
    <x v="3"/>
  </r>
  <r>
    <s v="ORD5763"/>
    <s v="CUST1763"/>
    <n v="38"/>
    <s v="PROD963"/>
    <x v="5"/>
    <x v="388"/>
    <d v="2023-10-04T00:00:00"/>
    <n v="2"/>
    <x v="0"/>
    <s v="8/16/2024"/>
    <s v=" $107.63 "/>
    <n v="5"/>
    <n v="5"/>
    <s v="Sports"/>
    <s v="Football"/>
    <x v="0"/>
    <x v="0"/>
    <n v="538.15"/>
    <s v="Aligned"/>
    <x v="0"/>
    <s v="High Value Tier"/>
    <x v="0"/>
  </r>
  <r>
    <s v="ORD5764"/>
    <s v="CUST1764"/>
    <n v="29"/>
    <s v="PROD964"/>
    <x v="3"/>
    <x v="6"/>
    <s v="7/28/2024"/>
    <n v="0"/>
    <x v="1"/>
    <s v="1/24/2024"/>
    <s v=" $312.62 "/>
    <n v="2"/>
    <n v="21"/>
    <s v="Home"/>
    <s v="Vacuum Cleaner"/>
    <x v="1"/>
    <x v="0"/>
    <n v="625.24"/>
    <s v="Aligned"/>
    <x v="2"/>
    <s v="High Value Tier"/>
    <x v="0"/>
  </r>
  <r>
    <s v="ORD5765"/>
    <s v="CUST1765"/>
    <n v="38"/>
    <s v="PROD965"/>
    <x v="5"/>
    <x v="52"/>
    <d v="2024-04-12T00:00:00"/>
    <n v="4"/>
    <x v="2"/>
    <s v="3/31/2021"/>
    <s v=" $296.94 "/>
    <n v="5"/>
    <n v="36"/>
    <s v="Beauty"/>
    <s v="Face Wash"/>
    <x v="3"/>
    <x v="0"/>
    <n v="1484.7"/>
    <s v="Aligned"/>
    <x v="0"/>
    <s v="High Value Tier"/>
    <x v="1"/>
  </r>
  <r>
    <s v="ORD5766"/>
    <s v="CUST1766"/>
    <n v="38"/>
    <s v="PROD966"/>
    <x v="5"/>
    <x v="550"/>
    <s v="4/28/2025"/>
    <n v="4"/>
    <x v="1"/>
    <d v="2024-10-12T00:00:00"/>
    <s v=" $604.99 "/>
    <n v="3"/>
    <n v="5"/>
    <s v="Clothing"/>
    <s v="Blender"/>
    <x v="1"/>
    <x v="1"/>
    <n v="1814.97"/>
    <s v="Misaligned"/>
    <x v="0"/>
    <s v="High Value Tier"/>
    <x v="0"/>
  </r>
  <r>
    <s v="ORD5767"/>
    <s v="CUST1767"/>
    <n v="67"/>
    <s v="PROD967"/>
    <x v="5"/>
    <x v="551"/>
    <d v="2025-10-03T00:00:00"/>
    <n v="2"/>
    <x v="0"/>
    <d v="2024-04-05T00:00:00"/>
    <s v=" $267.93 "/>
    <n v="5"/>
    <n v="19"/>
    <s v="Beauty"/>
    <s v="Microwave"/>
    <x v="1"/>
    <x v="0"/>
    <n v="1339.65"/>
    <s v="Misaligned"/>
    <x v="4"/>
    <s v="High Value Tier"/>
    <x v="0"/>
  </r>
  <r>
    <s v="ORD5768"/>
    <s v="CUST1768"/>
    <n v="38"/>
    <s v="PROD968"/>
    <x v="3"/>
    <x v="40"/>
    <s v="7/21/2025"/>
    <n v="0"/>
    <x v="1"/>
    <s v="2/15/2025"/>
    <s v=" $452.36 "/>
    <n v="4"/>
    <n v="48"/>
    <s v="Sports"/>
    <s v="Skirt"/>
    <x v="2"/>
    <x v="1"/>
    <n v="1809.44"/>
    <s v="Misaligned"/>
    <x v="0"/>
    <s v="High Value Tier"/>
    <x v="0"/>
  </r>
  <r>
    <s v="ORD5769"/>
    <s v="CUST1769"/>
    <n v="46"/>
    <s v="PROD969"/>
    <x v="0"/>
    <x v="141"/>
    <s v="5/17/2022"/>
    <n v="1"/>
    <x v="0"/>
    <d v="2022-11-10T00:00:00"/>
    <s v=" $890.55 "/>
    <n v="2"/>
    <n v="24"/>
    <s v="Clothing"/>
    <s v="Sneakers"/>
    <x v="2"/>
    <x v="1"/>
    <n v="1781.1"/>
    <s v="Aligned"/>
    <x v="0"/>
    <s v="High Value Tier"/>
    <x v="0"/>
  </r>
  <r>
    <s v="ORD5770"/>
    <s v="CUST1770"/>
    <n v="27"/>
    <s v="PROD970"/>
    <x v="1"/>
    <x v="142"/>
    <d v="2025-09-07T00:00:00"/>
    <n v="4"/>
    <x v="0"/>
    <d v="2023-09-05T00:00:00"/>
    <s v=" $345.88 "/>
    <n v="2"/>
    <n v="41"/>
    <s v="Home"/>
    <s v="Jacket"/>
    <x v="2"/>
    <x v="0"/>
    <n v="691.76"/>
    <s v="Misaligned"/>
    <x v="2"/>
    <s v="High Value Tier"/>
    <x v="3"/>
  </r>
  <r>
    <s v="ORD5771"/>
    <s v="CUST1771"/>
    <n v="23"/>
    <s v="PROD971"/>
    <x v="4"/>
    <x v="552"/>
    <d v="2023-04-10T00:00:00"/>
    <n v="0"/>
    <x v="0"/>
    <s v="8/17/2022"/>
    <s v=" $104.90 "/>
    <n v="9"/>
    <n v="26"/>
    <s v="Sports"/>
    <s v="Moisturizer"/>
    <x v="3"/>
    <x v="1"/>
    <n v="944.1"/>
    <s v="Misaligned"/>
    <x v="3"/>
    <s v="High Value Tier"/>
    <x v="0"/>
  </r>
  <r>
    <s v="ORD5772"/>
    <s v="CUST1772"/>
    <n v="67"/>
    <s v="PROD972"/>
    <x v="1"/>
    <x v="26"/>
    <s v="1/25/2024"/>
    <n v="1"/>
    <x v="0"/>
    <s v="7/24/2025"/>
    <s v=" $469.38 "/>
    <n v="4"/>
    <n v="19"/>
    <s v="Home"/>
    <s v="Tennis Racket"/>
    <x v="0"/>
    <x v="1"/>
    <n v="1877.52"/>
    <s v="Misaligned"/>
    <x v="4"/>
    <s v="High Value Tier"/>
    <x v="0"/>
  </r>
  <r>
    <s v="ORD5773"/>
    <s v="CUST1773"/>
    <n v="30"/>
    <s v="PROD973"/>
    <x v="5"/>
    <x v="553"/>
    <s v="1/25/2023"/>
    <n v="2"/>
    <x v="0"/>
    <s v="8/29/2022"/>
    <s v=" $1,603.98 "/>
    <n v="1"/>
    <n v="11"/>
    <s v="Beauty"/>
    <s v="Running Shoes"/>
    <x v="0"/>
    <x v="0"/>
    <n v="1603.98"/>
    <s v="Misaligned"/>
    <x v="2"/>
    <s v="High Value Tier"/>
    <x v="0"/>
  </r>
  <r>
    <s v="ORD5774"/>
    <s v="CUST1774"/>
    <n v="50"/>
    <s v="PROD974"/>
    <x v="1"/>
    <x v="379"/>
    <d v="2021-08-06T00:00:00"/>
    <n v="4"/>
    <x v="0"/>
    <d v="2023-02-11T00:00:00"/>
    <s v=" $94.71 "/>
    <n v="9"/>
    <n v="35"/>
    <s v="Sports"/>
    <s v="Chair"/>
    <x v="1"/>
    <x v="2"/>
    <n v="852.39"/>
    <s v="Misaligned"/>
    <x v="1"/>
    <s v="High Value Tier"/>
    <x v="3"/>
  </r>
  <r>
    <s v="ORD5775"/>
    <s v="CUST1775"/>
    <n v="47"/>
    <s v="PROD975"/>
    <x v="3"/>
    <x v="485"/>
    <s v="10/21/2024"/>
    <n v="2"/>
    <x v="0"/>
    <d v="2023-10-10T00:00:00"/>
    <s v=" $356.64 "/>
    <n v="3"/>
    <n v="10"/>
    <s v="Electronics"/>
    <s v="Sofa"/>
    <x v="1"/>
    <x v="1"/>
    <n v="1069.92"/>
    <s v="Misaligned"/>
    <x v="0"/>
    <s v="High Value Tier"/>
    <x v="0"/>
  </r>
  <r>
    <s v="ORD5776"/>
    <s v="CUST1776"/>
    <n v="46"/>
    <s v="PROD976"/>
    <x v="2"/>
    <x v="554"/>
    <d v="2024-10-01T00:00:00"/>
    <n v="2"/>
    <x v="1"/>
    <s v="9/30/2022"/>
    <s v=" $1,866.70 "/>
    <n v="1"/>
    <n v="22"/>
    <s v="Beauty"/>
    <s v="Perfume"/>
    <x v="3"/>
    <x v="0"/>
    <n v="1866.7"/>
    <s v="Aligned"/>
    <x v="0"/>
    <s v="High Value Tier"/>
    <x v="0"/>
  </r>
  <r>
    <s v="ORD5777"/>
    <s v="CUST1777"/>
    <n v="34"/>
    <s v="PROD977"/>
    <x v="1"/>
    <x v="555"/>
    <s v="6/19/2023"/>
    <n v="0"/>
    <x v="0"/>
    <s v="12/29/2024"/>
    <s v=" $163.70 "/>
    <n v="9"/>
    <n v="14"/>
    <s v="Clothing"/>
    <s v="Moisturizer"/>
    <x v="3"/>
    <x v="0"/>
    <n v="1473.3"/>
    <s v="Misaligned"/>
    <x v="2"/>
    <s v="High Value Tier"/>
    <x v="0"/>
  </r>
  <r>
    <s v="ORD5778"/>
    <s v="CUST1778"/>
    <n v="45"/>
    <s v="PROD978"/>
    <x v="2"/>
    <x v="556"/>
    <s v="10/18/2022"/>
    <n v="4"/>
    <x v="1"/>
    <s v="12/17/2021"/>
    <s v=" $155.82 "/>
    <n v="4"/>
    <n v="12"/>
    <s v="Sports"/>
    <s v="Cycling Helmet"/>
    <x v="0"/>
    <x v="0"/>
    <n v="623.28"/>
    <s v="Aligned"/>
    <x v="0"/>
    <s v="High Value Tier"/>
    <x v="0"/>
  </r>
  <r>
    <s v="ORD5779"/>
    <s v="CUST1779"/>
    <n v="48"/>
    <s v="PROD979"/>
    <x v="5"/>
    <x v="235"/>
    <s v="6/23/2025"/>
    <n v="0"/>
    <x v="2"/>
    <s v="9/18/2023"/>
    <s v=" $106.10 "/>
    <n v="8"/>
    <n v="4"/>
    <s v="Clothing"/>
    <s v="Refrigerator"/>
    <x v="1"/>
    <x v="1"/>
    <n v="848.8"/>
    <s v="Misaligned"/>
    <x v="0"/>
    <s v="High Value Tier"/>
    <x v="1"/>
  </r>
  <r>
    <s v="ORD5780"/>
    <s v="CUST1780"/>
    <n v="22"/>
    <s v="PROD980"/>
    <x v="3"/>
    <x v="291"/>
    <d v="2023-11-04T00:00:00"/>
    <n v="4"/>
    <x v="0"/>
    <s v="2/18/2022"/>
    <s v=" $1,612.53 "/>
    <n v="1"/>
    <n v="17"/>
    <s v="Electronics"/>
    <s v="Conditioner"/>
    <x v="3"/>
    <x v="0"/>
    <n v="1612.53"/>
    <s v="Misaligned"/>
    <x v="3"/>
    <s v="High Value Tier"/>
    <x v="3"/>
  </r>
  <r>
    <s v="ORD5781"/>
    <s v="CUST1781"/>
    <n v="25"/>
    <s v="PROD981"/>
    <x v="1"/>
    <x v="557"/>
    <s v="4/25/2022"/>
    <n v="1"/>
    <x v="0"/>
    <d v="2022-03-12T00:00:00"/>
    <s v=" $62.63 "/>
    <n v="9"/>
    <n v="25"/>
    <s v="Electronics"/>
    <s v="Camera"/>
    <x v="4"/>
    <x v="0"/>
    <n v="563.66999999999996"/>
    <s v="Aligned"/>
    <x v="2"/>
    <s v="High Value Tier"/>
    <x v="0"/>
  </r>
  <r>
    <s v="ORD5782"/>
    <s v="CUST1782"/>
    <n v="57"/>
    <s v="PROD982"/>
    <x v="3"/>
    <x v="558"/>
    <s v="6/20/2024"/>
    <n v="2"/>
    <x v="0"/>
    <s v="9/13/2023"/>
    <s v=" $119.67 "/>
    <n v="8"/>
    <n v="27"/>
    <s v="Electronics"/>
    <s v="Laptop"/>
    <x v="4"/>
    <x v="0"/>
    <n v="957.36"/>
    <s v="Aligned"/>
    <x v="1"/>
    <s v="High Value Tier"/>
    <x v="0"/>
  </r>
  <r>
    <s v="ORD5783"/>
    <s v="CUST1783"/>
    <n v="47"/>
    <s v="PROD983"/>
    <x v="2"/>
    <x v="357"/>
    <d v="2023-01-08T00:00:00"/>
    <n v="1"/>
    <x v="0"/>
    <s v="1/25/2023"/>
    <s v=" $521.39 "/>
    <n v="2"/>
    <n v="45"/>
    <s v="Electronics"/>
    <s v="Dumbbells"/>
    <x v="0"/>
    <x v="1"/>
    <n v="1042.78"/>
    <s v="Misaligned"/>
    <x v="0"/>
    <s v="High Value Tier"/>
    <x v="0"/>
  </r>
  <r>
    <s v="ORD5784"/>
    <s v="CUST1784"/>
    <n v="50"/>
    <s v="PROD984"/>
    <x v="5"/>
    <x v="559"/>
    <d v="2024-02-11T00:00:00"/>
    <n v="5"/>
    <x v="2"/>
    <d v="2023-12-03T00:00:00"/>
    <s v=" $206.37 "/>
    <n v="9"/>
    <n v="8"/>
    <s v="Clothing"/>
    <s v="Foundation"/>
    <x v="3"/>
    <x v="0"/>
    <n v="1857.33"/>
    <s v="Misaligned"/>
    <x v="1"/>
    <s v="High Value Tier"/>
    <x v="1"/>
  </r>
  <r>
    <s v="ORD5785"/>
    <s v="CUST1785"/>
    <n v="43"/>
    <s v="PROD985"/>
    <x v="3"/>
    <x v="560"/>
    <s v="7/13/2024"/>
    <n v="1"/>
    <x v="0"/>
    <s v="10/31/2023"/>
    <s v=" $415.32 "/>
    <n v="4"/>
    <n v="17"/>
    <s v="Sports"/>
    <s v="Nail Polish"/>
    <x v="3"/>
    <x v="1"/>
    <n v="1661.28"/>
    <s v="Misaligned"/>
    <x v="0"/>
    <s v="High Value Tier"/>
    <x v="0"/>
  </r>
  <r>
    <s v="ORD5786"/>
    <s v="CUST1786"/>
    <n v="31"/>
    <s v="PROD986"/>
    <x v="4"/>
    <x v="59"/>
    <d v="2025-08-07T00:00:00"/>
    <n v="5"/>
    <x v="0"/>
    <s v="4/14/2024"/>
    <s v=" $591.74 "/>
    <n v="2"/>
    <n v="27"/>
    <s v="Clothing"/>
    <s v="Headphones"/>
    <x v="4"/>
    <x v="1"/>
    <n v="1183.48"/>
    <s v="Misaligned"/>
    <x v="2"/>
    <s v="High Value Tier"/>
    <x v="3"/>
  </r>
  <r>
    <s v="ORD5787"/>
    <s v="CUST1787"/>
    <n v="47"/>
    <s v="PROD987"/>
    <x v="0"/>
    <x v="561"/>
    <s v="7/20/2024"/>
    <n v="3"/>
    <x v="1"/>
    <d v="2025-12-03T00:00:00"/>
    <s v=" $80.74 "/>
    <n v="8"/>
    <n v="33"/>
    <s v="Home"/>
    <s v="Dress"/>
    <x v="2"/>
    <x v="0"/>
    <n v="645.91999999999996"/>
    <s v="Misaligned"/>
    <x v="0"/>
    <s v="High Value Tier"/>
    <x v="0"/>
  </r>
  <r>
    <s v="ORD5788"/>
    <s v="CUST1788"/>
    <n v="24"/>
    <s v="PROD988"/>
    <x v="0"/>
    <x v="562"/>
    <s v="1/28/2023"/>
    <n v="2"/>
    <x v="0"/>
    <s v="5/21/2024"/>
    <s v=" $306.56 "/>
    <n v="6"/>
    <n v="3"/>
    <s v="Sports"/>
    <s v="Nail Polish"/>
    <x v="3"/>
    <x v="0"/>
    <n v="1839.36"/>
    <s v="Misaligned"/>
    <x v="3"/>
    <s v="High Value Tier"/>
    <x v="0"/>
  </r>
  <r>
    <s v="ORD5789"/>
    <s v="CUST1789"/>
    <n v="21"/>
    <s v="PROD989"/>
    <x v="0"/>
    <x v="563"/>
    <d v="2025-06-03T00:00:00"/>
    <n v="4"/>
    <x v="1"/>
    <s v="10/19/2022"/>
    <s v=" $355.84 "/>
    <n v="5"/>
    <n v="34"/>
    <s v="Beauty"/>
    <s v="Gaming Console"/>
    <x v="4"/>
    <x v="0"/>
    <n v="1779.2"/>
    <s v="Misaligned"/>
    <x v="3"/>
    <s v="High Value Tier"/>
    <x v="0"/>
  </r>
  <r>
    <s v="ORD5790"/>
    <s v="CUST1790"/>
    <n v="61"/>
    <s v="PROD990"/>
    <x v="2"/>
    <x v="268"/>
    <s v="4/24/2023"/>
    <n v="4"/>
    <x v="2"/>
    <d v="2024-03-08T00:00:00"/>
    <s v=" $1,830.76 "/>
    <n v="1"/>
    <n v="38"/>
    <s v="Clothing"/>
    <s v="Refrigerator"/>
    <x v="1"/>
    <x v="0"/>
    <n v="1830.76"/>
    <s v="Misaligned"/>
    <x v="1"/>
    <s v="High Value Tier"/>
    <x v="1"/>
  </r>
  <r>
    <s v="ORD5791"/>
    <s v="CUST1791"/>
    <n v="30"/>
    <s v="PROD991"/>
    <x v="2"/>
    <x v="564"/>
    <d v="2023-11-12T00:00:00"/>
    <n v="2"/>
    <x v="0"/>
    <s v="8/29/2022"/>
    <s v=" $160.18 "/>
    <n v="7"/>
    <n v="5"/>
    <s v="Clothing"/>
    <s v="Conditioner"/>
    <x v="3"/>
    <x v="1"/>
    <n v="1121.26"/>
    <s v="Misaligned"/>
    <x v="2"/>
    <s v="High Value Tier"/>
    <x v="0"/>
  </r>
  <r>
    <s v="ORD5792"/>
    <s v="CUST1792"/>
    <n v="40"/>
    <s v="PROD992"/>
    <x v="3"/>
    <x v="565"/>
    <s v="2/16/2024"/>
    <n v="0"/>
    <x v="0"/>
    <d v="2023-08-11T00:00:00"/>
    <s v=" $617.63 "/>
    <n v="3"/>
    <n v="24"/>
    <s v="Beauty"/>
    <s v="Face Wash"/>
    <x v="3"/>
    <x v="0"/>
    <n v="1852.89"/>
    <s v="Aligned"/>
    <x v="0"/>
    <s v="High Value Tier"/>
    <x v="0"/>
  </r>
  <r>
    <s v="ORD5793"/>
    <s v="CUST1793"/>
    <n v="50"/>
    <s v="PROD993"/>
    <x v="3"/>
    <x v="566"/>
    <s v="3/15/2022"/>
    <n v="2"/>
    <x v="1"/>
    <s v="3/19/2023"/>
    <s v=" $535.52 "/>
    <n v="3"/>
    <n v="1"/>
    <s v="Electronics"/>
    <s v="Football"/>
    <x v="0"/>
    <x v="0"/>
    <n v="1606.56"/>
    <s v="Misaligned"/>
    <x v="1"/>
    <s v="Core Tier"/>
    <x v="0"/>
  </r>
  <r>
    <s v="ORD5794"/>
    <s v="CUST1794"/>
    <n v="67"/>
    <s v="PROD994"/>
    <x v="3"/>
    <x v="567"/>
    <d v="2025-10-08T00:00:00"/>
    <n v="2"/>
    <x v="1"/>
    <s v="5/29/2021"/>
    <s v=" $182.19 "/>
    <n v="5"/>
    <n v="19"/>
    <s v="Home"/>
    <s v="Sneakers"/>
    <x v="2"/>
    <x v="1"/>
    <n v="910.95"/>
    <s v="Misaligned"/>
    <x v="4"/>
    <s v="High Value Tier"/>
    <x v="0"/>
  </r>
  <r>
    <s v="ORD5795"/>
    <s v="CUST1795"/>
    <n v="46"/>
    <s v="PROD995"/>
    <x v="5"/>
    <x v="550"/>
    <d v="2024-03-05T00:00:00"/>
    <n v="2"/>
    <x v="0"/>
    <s v="11/14/2024"/>
    <s v=" $93.02 "/>
    <n v="4"/>
    <n v="41"/>
    <s v="Home"/>
    <s v="Refrigerator"/>
    <x v="1"/>
    <x v="0"/>
    <n v="372.08"/>
    <s v="Aligned"/>
    <x v="0"/>
    <s v="High Value Tier"/>
    <x v="0"/>
  </r>
  <r>
    <s v="ORD5796"/>
    <s v="CUST1796"/>
    <n v="20"/>
    <s v="PROD996"/>
    <x v="0"/>
    <x v="568"/>
    <d v="2023-05-06T00:00:00"/>
    <n v="1"/>
    <x v="0"/>
    <s v="11/29/2022"/>
    <s v=" $166.00 "/>
    <n v="8"/>
    <n v="39"/>
    <s v="Beauty"/>
    <s v="Dining Table"/>
    <x v="1"/>
    <x v="1"/>
    <n v="1328"/>
    <s v="Misaligned"/>
    <x v="3"/>
    <s v="High Value Tier"/>
    <x v="0"/>
  </r>
  <r>
    <s v="ORD5797"/>
    <s v="CUST1797"/>
    <n v="54"/>
    <s v="PROD997"/>
    <x v="3"/>
    <x v="92"/>
    <d v="2022-09-09T00:00:00"/>
    <n v="0"/>
    <x v="0"/>
    <s v="12/31/2022"/>
    <s v=" $70.69 "/>
    <n v="6"/>
    <n v="38"/>
    <s v="Sports"/>
    <s v="Sofa"/>
    <x v="1"/>
    <x v="0"/>
    <n v="424.14"/>
    <s v="Misaligned"/>
    <x v="1"/>
    <s v="High Value Tier"/>
    <x v="0"/>
  </r>
  <r>
    <s v="ORD5798"/>
    <s v="CUST1798"/>
    <n v="42"/>
    <s v="PROD998"/>
    <x v="5"/>
    <x v="281"/>
    <s v="1/17/2025"/>
    <n v="1"/>
    <x v="1"/>
    <s v="12/16/2024"/>
    <s v=" $389.13 "/>
    <n v="4"/>
    <n v="38"/>
    <s v="Sports"/>
    <s v="Running Shoes"/>
    <x v="0"/>
    <x v="0"/>
    <n v="1556.52"/>
    <s v="Aligned"/>
    <x v="0"/>
    <s v="High Value Tier"/>
    <x v="0"/>
  </r>
  <r>
    <s v="ORD5799"/>
    <s v="CUST1799"/>
    <n v="49"/>
    <s v="PROD999"/>
    <x v="4"/>
    <x v="111"/>
    <d v="2023-06-04T00:00:00"/>
    <n v="3"/>
    <x v="0"/>
    <s v="9/18/2023"/>
    <s v=" $775.47 "/>
    <n v="1"/>
    <n v="36"/>
    <s v="Home"/>
    <s v="Yoga Mat"/>
    <x v="0"/>
    <x v="1"/>
    <n v="775.47"/>
    <s v="Misaligned"/>
    <x v="0"/>
    <s v="High Value Tier"/>
    <x v="0"/>
  </r>
  <r>
    <s v="ORD5800"/>
    <s v="CUST1800"/>
    <n v="46"/>
    <s v="PROD1000"/>
    <x v="5"/>
    <x v="569"/>
    <d v="2024-09-05T00:00:00"/>
    <n v="2"/>
    <x v="0"/>
    <s v="1/13/2023"/>
    <s v=" $275.37 "/>
    <n v="6"/>
    <n v="30"/>
    <s v="Sports"/>
    <s v="Smartphone"/>
    <x v="4"/>
    <x v="0"/>
    <n v="1652.22"/>
    <s v="Misaligned"/>
    <x v="0"/>
    <s v="High Value Tier"/>
    <x v="0"/>
  </r>
  <r>
    <s v="ORD5801"/>
    <s v="CUST1801"/>
    <n v="24"/>
    <s v="PROD1001"/>
    <x v="5"/>
    <x v="570"/>
    <s v="10/15/2024"/>
    <n v="2"/>
    <x v="0"/>
    <s v="10/21/2023"/>
    <s v=" $70.36 "/>
    <n v="8"/>
    <n v="45"/>
    <s v="Home"/>
    <s v="Shirt"/>
    <x v="2"/>
    <x v="0"/>
    <n v="562.88"/>
    <s v="Misaligned"/>
    <x v="3"/>
    <s v="High Value Tier"/>
    <x v="0"/>
  </r>
  <r>
    <s v="ORD5802"/>
    <s v="CUST1802"/>
    <n v="19"/>
    <s v="PROD1002"/>
    <x v="5"/>
    <x v="571"/>
    <s v="7/15/2025"/>
    <n v="1"/>
    <x v="0"/>
    <s v="5/24/2023"/>
    <s v=" $584.12 "/>
    <n v="2"/>
    <n v="38"/>
    <s v="Clothing"/>
    <s v="Nail Polish"/>
    <x v="3"/>
    <x v="1"/>
    <n v="1168.24"/>
    <s v="Misaligned"/>
    <x v="3"/>
    <s v="High Value Tier"/>
    <x v="0"/>
  </r>
  <r>
    <s v="ORD5803"/>
    <s v="CUST1803"/>
    <n v="65"/>
    <s v="PROD1003"/>
    <x v="0"/>
    <x v="572"/>
    <d v="2024-12-08T00:00:00"/>
    <n v="1"/>
    <x v="1"/>
    <s v="1/30/2022"/>
    <s v=" $275.07 "/>
    <n v="7"/>
    <n v="25"/>
    <s v="Sports"/>
    <s v="Moisturizer"/>
    <x v="3"/>
    <x v="1"/>
    <n v="1925.49"/>
    <s v="Misaligned"/>
    <x v="4"/>
    <s v="High Value Tier"/>
    <x v="0"/>
  </r>
  <r>
    <s v="ORD5804"/>
    <s v="CUST1804"/>
    <n v="19"/>
    <s v="PROD1004"/>
    <x v="1"/>
    <x v="517"/>
    <s v="5/13/2023"/>
    <n v="3"/>
    <x v="0"/>
    <d v="2022-02-07T00:00:00"/>
    <s v=" $228.54 "/>
    <n v="6"/>
    <n v="18"/>
    <s v="Beauty"/>
    <s v="Blender"/>
    <x v="1"/>
    <x v="1"/>
    <n v="1371.24"/>
    <s v="Misaligned"/>
    <x v="3"/>
    <s v="High Value Tier"/>
    <x v="0"/>
  </r>
  <r>
    <s v="ORD5805"/>
    <s v="CUST1805"/>
    <n v="42"/>
    <s v="PROD1005"/>
    <x v="4"/>
    <x v="208"/>
    <s v="2/13/2024"/>
    <n v="2"/>
    <x v="1"/>
    <d v="2024-03-10T00:00:00"/>
    <s v=" $206.83 "/>
    <n v="6"/>
    <n v="3"/>
    <s v="Home"/>
    <s v="Chair"/>
    <x v="1"/>
    <x v="0"/>
    <n v="1240.98"/>
    <s v="Aligned"/>
    <x v="0"/>
    <s v="High Value Tier"/>
    <x v="0"/>
  </r>
  <r>
    <s v="ORD5806"/>
    <s v="CUST1806"/>
    <n v="30"/>
    <s v="PROD1006"/>
    <x v="2"/>
    <x v="102"/>
    <s v="10/26/2022"/>
    <n v="1"/>
    <x v="0"/>
    <s v="7/13/2023"/>
    <s v=" $164.25 "/>
    <n v="3"/>
    <n v="8"/>
    <s v="Sports"/>
    <s v="Shampoo"/>
    <x v="3"/>
    <x v="1"/>
    <n v="492.75"/>
    <s v="Misaligned"/>
    <x v="2"/>
    <s v="High Value Tier"/>
    <x v="0"/>
  </r>
  <r>
    <s v="ORD5807"/>
    <s v="CUST1807"/>
    <n v="54"/>
    <s v="PROD1007"/>
    <x v="3"/>
    <x v="573"/>
    <s v="5/15/2024"/>
    <n v="5"/>
    <x v="2"/>
    <d v="2025-03-07T00:00:00"/>
    <s v=" $59.56 "/>
    <n v="9"/>
    <n v="15"/>
    <s v="Sports"/>
    <s v="Dumbbells"/>
    <x v="0"/>
    <x v="0"/>
    <n v="536.04"/>
    <s v="Aligned"/>
    <x v="1"/>
    <s v="High Value Tier"/>
    <x v="1"/>
  </r>
  <r>
    <s v="ORD5808"/>
    <s v="CUST1808"/>
    <n v="68"/>
    <s v="PROD1008"/>
    <x v="4"/>
    <x v="295"/>
    <s v="4/28/2023"/>
    <n v="0"/>
    <x v="0"/>
    <d v="2021-11-09T00:00:00"/>
    <s v=" $321.07 "/>
    <n v="6"/>
    <n v="37"/>
    <s v="Clothing"/>
    <s v="Football"/>
    <x v="0"/>
    <x v="1"/>
    <n v="1926.42"/>
    <s v="Misaligned"/>
    <x v="4"/>
    <s v="High Value Tier"/>
    <x v="0"/>
  </r>
  <r>
    <s v="ORD5809"/>
    <s v="CUST1809"/>
    <n v="39"/>
    <s v="PROD1009"/>
    <x v="3"/>
    <x v="574"/>
    <s v="7/15/2023"/>
    <n v="5"/>
    <x v="1"/>
    <d v="2023-10-07T00:00:00"/>
    <s v=" $1,727.60 "/>
    <n v="1"/>
    <n v="38"/>
    <s v="Electronics"/>
    <s v="Smartphone"/>
    <x v="4"/>
    <x v="1"/>
    <n v="1727.6"/>
    <s v="Aligned"/>
    <x v="0"/>
    <s v="High Value Tier"/>
    <x v="0"/>
  </r>
  <r>
    <s v="ORD5810"/>
    <s v="CUST1810"/>
    <n v="39"/>
    <s v="PROD1010"/>
    <x v="5"/>
    <x v="66"/>
    <s v="4/23/2024"/>
    <n v="5"/>
    <x v="0"/>
    <s v="9/22/2022"/>
    <s v=" $636.40 "/>
    <n v="1"/>
    <n v="38"/>
    <s v="Clothing"/>
    <s v="Perfume"/>
    <x v="3"/>
    <x v="1"/>
    <n v="636.4"/>
    <s v="Misaligned"/>
    <x v="0"/>
    <s v="High Value Tier"/>
    <x v="3"/>
  </r>
  <r>
    <s v="ORD5811"/>
    <s v="CUST1811"/>
    <n v="19"/>
    <s v="PROD1011"/>
    <x v="1"/>
    <x v="221"/>
    <d v="2023-04-04T00:00:00"/>
    <n v="1"/>
    <x v="0"/>
    <s v="4/28/2024"/>
    <s v=" $3.22 "/>
    <n v="8"/>
    <n v="29"/>
    <s v="Beauty"/>
    <s v="Shirt"/>
    <x v="2"/>
    <x v="1"/>
    <n v="25.76"/>
    <s v="Misaligned"/>
    <x v="3"/>
    <s v="Value Tier"/>
    <x v="0"/>
  </r>
  <r>
    <s v="ORD5812"/>
    <s v="CUST1812"/>
    <n v="31"/>
    <s v="PROD1012"/>
    <x v="3"/>
    <x v="121"/>
    <d v="2022-04-08T00:00:00"/>
    <n v="3"/>
    <x v="2"/>
    <d v="2022-05-05T00:00:00"/>
    <s v=" $412.53 "/>
    <n v="3"/>
    <n v="15"/>
    <s v="Sports"/>
    <s v="Dining Table"/>
    <x v="1"/>
    <x v="1"/>
    <n v="1237.5899999999999"/>
    <s v="Misaligned"/>
    <x v="2"/>
    <s v="High Value Tier"/>
    <x v="1"/>
  </r>
  <r>
    <s v="ORD5813"/>
    <s v="CUST1813"/>
    <n v="36"/>
    <s v="PROD1013"/>
    <x v="4"/>
    <x v="575"/>
    <s v="2/15/2023"/>
    <n v="0"/>
    <x v="0"/>
    <s v="12/16/2023"/>
    <s v=" $6.28 "/>
    <n v="6"/>
    <n v="23"/>
    <s v="Home"/>
    <s v="Jacket"/>
    <x v="2"/>
    <x v="0"/>
    <n v="37.68"/>
    <s v="Misaligned"/>
    <x v="0"/>
    <s v="Core Tier"/>
    <x v="0"/>
  </r>
  <r>
    <s v="ORD5814"/>
    <s v="CUST1814"/>
    <n v="48"/>
    <s v="PROD1014"/>
    <x v="1"/>
    <x v="576"/>
    <d v="2023-11-07T00:00:00"/>
    <n v="4"/>
    <x v="0"/>
    <s v="10/29/2022"/>
    <s v=" $220.15 "/>
    <n v="4"/>
    <n v="11"/>
    <s v="Sports"/>
    <s v="Lipstick"/>
    <x v="3"/>
    <x v="0"/>
    <n v="880.6"/>
    <s v="Misaligned"/>
    <x v="0"/>
    <s v="High Value Tier"/>
    <x v="3"/>
  </r>
  <r>
    <s v="ORD5815"/>
    <s v="CUST1815"/>
    <n v="32"/>
    <s v="PROD1015"/>
    <x v="3"/>
    <x v="577"/>
    <s v="12/19/2022"/>
    <n v="1"/>
    <x v="0"/>
    <s v="6/21/2024"/>
    <s v=" $386.61 "/>
    <n v="3"/>
    <n v="13"/>
    <s v="Beauty"/>
    <s v="Shirt"/>
    <x v="2"/>
    <x v="1"/>
    <n v="1159.83"/>
    <s v="Misaligned"/>
    <x v="2"/>
    <s v="High Value Tier"/>
    <x v="0"/>
  </r>
  <r>
    <s v="ORD5816"/>
    <s v="CUST1816"/>
    <n v="66"/>
    <s v="PROD1016"/>
    <x v="5"/>
    <x v="39"/>
    <s v="7/16/2024"/>
    <n v="1"/>
    <x v="0"/>
    <d v="2025-09-01T00:00:00"/>
    <s v=" $133.37 "/>
    <n v="8"/>
    <n v="33"/>
    <s v="Clothing"/>
    <s v="Jacket"/>
    <x v="2"/>
    <x v="1"/>
    <n v="1066.96"/>
    <s v="Aligned"/>
    <x v="4"/>
    <s v="High Value Tier"/>
    <x v="0"/>
  </r>
  <r>
    <s v="ORD5817"/>
    <s v="CUST1817"/>
    <n v="46"/>
    <s v="PROD1017"/>
    <x v="4"/>
    <x v="578"/>
    <s v="2/21/2024"/>
    <n v="4"/>
    <x v="2"/>
    <d v="2023-02-05T00:00:00"/>
    <s v=" $159.66 "/>
    <n v="8"/>
    <n v="27"/>
    <s v="Beauty"/>
    <s v="Smartwatch"/>
    <x v="4"/>
    <x v="0"/>
    <n v="1277.28"/>
    <s v="Misaligned"/>
    <x v="0"/>
    <s v="High Value Tier"/>
    <x v="1"/>
  </r>
  <r>
    <s v="ORD5818"/>
    <s v="CUST1818"/>
    <n v="47"/>
    <s v="PROD1018"/>
    <x v="4"/>
    <x v="579"/>
    <s v="11/23/2024"/>
    <n v="1"/>
    <x v="2"/>
    <d v="2023-08-03T00:00:00"/>
    <s v=" $777.63 "/>
    <n v="2"/>
    <n v="5"/>
    <s v="Clothing"/>
    <s v="Moisturizer"/>
    <x v="3"/>
    <x v="1"/>
    <n v="1555.26"/>
    <s v="Misaligned"/>
    <x v="0"/>
    <s v="High Value Tier"/>
    <x v="1"/>
  </r>
  <r>
    <s v="ORD5819"/>
    <s v="CUST1819"/>
    <n v="65"/>
    <s v="PROD1019"/>
    <x v="0"/>
    <x v="120"/>
    <s v="5/14/2025"/>
    <n v="0"/>
    <x v="0"/>
    <s v="7/23/2023"/>
    <s v=" $160.33 "/>
    <n v="8"/>
    <n v="49"/>
    <s v="Electronics"/>
    <s v="Tennis Racket"/>
    <x v="0"/>
    <x v="0"/>
    <n v="1282.6400000000001"/>
    <s v="Misaligned"/>
    <x v="4"/>
    <s v="High Value Tier"/>
    <x v="0"/>
  </r>
  <r>
    <s v="ORD5820"/>
    <s v="CUST1820"/>
    <n v="36"/>
    <s v="PROD1020"/>
    <x v="1"/>
    <x v="580"/>
    <s v="4/21/2023"/>
    <n v="3"/>
    <x v="1"/>
    <s v="7/29/2021"/>
    <s v=" $281.82 "/>
    <n v="6"/>
    <n v="38"/>
    <s v="Electronics"/>
    <s v="Lipstick"/>
    <x v="3"/>
    <x v="0"/>
    <n v="1690.92"/>
    <s v="Misaligned"/>
    <x v="0"/>
    <s v="High Value Tier"/>
    <x v="0"/>
  </r>
  <r>
    <s v="ORD5821"/>
    <s v="CUST1821"/>
    <n v="54"/>
    <s v="PROD1021"/>
    <x v="0"/>
    <x v="581"/>
    <d v="2023-11-07T00:00:00"/>
    <n v="2"/>
    <x v="0"/>
    <d v="2022-06-05T00:00:00"/>
    <s v=" $32.79 "/>
    <n v="5"/>
    <n v="8"/>
    <s v="Sports"/>
    <s v="Foundation"/>
    <x v="3"/>
    <x v="1"/>
    <n v="163.95"/>
    <s v="Misaligned"/>
    <x v="1"/>
    <s v="Core Tier"/>
    <x v="0"/>
  </r>
  <r>
    <s v="ORD5822"/>
    <s v="CUST1822"/>
    <n v="67"/>
    <s v="PROD1022"/>
    <x v="1"/>
    <x v="582"/>
    <d v="2023-11-09T00:00:00"/>
    <n v="0"/>
    <x v="0"/>
    <d v="2024-10-10T00:00:00"/>
    <s v=" $64.02 "/>
    <n v="9"/>
    <n v="49"/>
    <s v="Beauty"/>
    <s v="Shampoo"/>
    <x v="3"/>
    <x v="1"/>
    <n v="576.17999999999995"/>
    <s v="Aligned"/>
    <x v="4"/>
    <s v="High Value Tier"/>
    <x v="0"/>
  </r>
  <r>
    <s v="ORD5823"/>
    <s v="CUST1823"/>
    <n v="65"/>
    <s v="PROD1023"/>
    <x v="0"/>
    <x v="583"/>
    <s v="2/16/2025"/>
    <n v="5"/>
    <x v="0"/>
    <d v="2022-08-04T00:00:00"/>
    <s v=" $219.25 "/>
    <n v="6"/>
    <n v="7"/>
    <s v="Clothing"/>
    <s v="Vacuum Cleaner"/>
    <x v="1"/>
    <x v="0"/>
    <n v="1315.5"/>
    <s v="Misaligned"/>
    <x v="4"/>
    <s v="High Value Tier"/>
    <x v="3"/>
  </r>
  <r>
    <s v="ORD5824"/>
    <s v="CUST1824"/>
    <n v="36"/>
    <s v="PROD1024"/>
    <x v="4"/>
    <x v="331"/>
    <s v="7/29/2025"/>
    <n v="3"/>
    <x v="1"/>
    <s v="7/30/2025"/>
    <s v=" $240.97 "/>
    <n v="3"/>
    <n v="12"/>
    <s v="Home"/>
    <s v="Headphones"/>
    <x v="4"/>
    <x v="0"/>
    <n v="722.91"/>
    <s v="Misaligned"/>
    <x v="0"/>
    <s v="High Value Tier"/>
    <x v="0"/>
  </r>
  <r>
    <s v="ORD5825"/>
    <s v="CUST1825"/>
    <n v="59"/>
    <s v="PROD1025"/>
    <x v="4"/>
    <x v="584"/>
    <d v="2023-10-04T00:00:00"/>
    <n v="0"/>
    <x v="1"/>
    <d v="2024-06-08T00:00:00"/>
    <s v=" $109.65 "/>
    <n v="8"/>
    <n v="33"/>
    <s v="Sports"/>
    <s v="Lipstick"/>
    <x v="3"/>
    <x v="2"/>
    <n v="877.2"/>
    <s v="Misaligned"/>
    <x v="1"/>
    <s v="High Value Tier"/>
    <x v="0"/>
  </r>
  <r>
    <s v="ORD5826"/>
    <s v="CUST1826"/>
    <n v="63"/>
    <s v="PROD1026"/>
    <x v="5"/>
    <x v="304"/>
    <d v="2023-11-01T00:00:00"/>
    <n v="5"/>
    <x v="2"/>
    <d v="2025-12-02T00:00:00"/>
    <s v=" $147.48 "/>
    <n v="4"/>
    <n v="33"/>
    <s v="Electronics"/>
    <s v="Tablet"/>
    <x v="4"/>
    <x v="0"/>
    <n v="589.91999999999996"/>
    <s v="Aligned"/>
    <x v="1"/>
    <s v="High Value Tier"/>
    <x v="1"/>
  </r>
  <r>
    <s v="ORD5827"/>
    <s v="CUST1827"/>
    <n v="29"/>
    <s v="PROD1027"/>
    <x v="4"/>
    <x v="585"/>
    <s v="2/19/2023"/>
    <n v="0"/>
    <x v="1"/>
    <s v="5/19/2025"/>
    <s v=" $285.81 "/>
    <n v="4"/>
    <n v="22"/>
    <s v="Sports"/>
    <s v="Shampoo"/>
    <x v="3"/>
    <x v="0"/>
    <n v="1143.24"/>
    <s v="Misaligned"/>
    <x v="2"/>
    <s v="High Value Tier"/>
    <x v="0"/>
  </r>
  <r>
    <s v="ORD5828"/>
    <s v="CUST1828"/>
    <n v="46"/>
    <s v="PROD1028"/>
    <x v="5"/>
    <x v="171"/>
    <s v="1/29/2022"/>
    <n v="4"/>
    <x v="2"/>
    <d v="2025-05-03T00:00:00"/>
    <s v=" $247.44 "/>
    <n v="2"/>
    <n v="4"/>
    <s v="Electronics"/>
    <s v="Shirt"/>
    <x v="2"/>
    <x v="1"/>
    <n v="494.88"/>
    <s v="Misaligned"/>
    <x v="0"/>
    <s v="Core Tier"/>
    <x v="1"/>
  </r>
  <r>
    <s v="ORD5829"/>
    <s v="CUST1829"/>
    <n v="61"/>
    <s v="PROD1029"/>
    <x v="2"/>
    <x v="586"/>
    <s v="5/30/2024"/>
    <n v="4"/>
    <x v="0"/>
    <s v="2/28/2025"/>
    <s v=" $392.68 "/>
    <n v="5"/>
    <n v="24"/>
    <s v="Sports"/>
    <s v="Dumbbells"/>
    <x v="0"/>
    <x v="1"/>
    <n v="1963.4"/>
    <s v="Aligned"/>
    <x v="1"/>
    <s v="High Value Tier"/>
    <x v="3"/>
  </r>
  <r>
    <s v="ORD5830"/>
    <s v="CUST1830"/>
    <n v="21"/>
    <s v="PROD1030"/>
    <x v="1"/>
    <x v="9"/>
    <s v="10/25/2023"/>
    <n v="1"/>
    <x v="2"/>
    <d v="2022-12-03T00:00:00"/>
    <s v=" $571.02 "/>
    <n v="2"/>
    <n v="47"/>
    <s v="Beauty"/>
    <s v="Smartwatch"/>
    <x v="4"/>
    <x v="0"/>
    <n v="1142.04"/>
    <s v="Misaligned"/>
    <x v="3"/>
    <s v="High Value Tier"/>
    <x v="1"/>
  </r>
  <r>
    <s v="ORD5831"/>
    <s v="CUST1831"/>
    <n v="67"/>
    <s v="PROD1031"/>
    <x v="4"/>
    <x v="587"/>
    <s v="12/22/2023"/>
    <n v="0"/>
    <x v="0"/>
    <d v="2024-02-01T00:00:00"/>
    <s v=" $193.46 "/>
    <n v="9"/>
    <n v="1"/>
    <s v="Beauty"/>
    <s v="Conditioner"/>
    <x v="3"/>
    <x v="0"/>
    <n v="1741.14"/>
    <s v="Aligned"/>
    <x v="4"/>
    <s v="Core Tier"/>
    <x v="0"/>
  </r>
  <r>
    <s v="ORD5832"/>
    <s v="CUST1832"/>
    <n v="60"/>
    <s v="PROD1032"/>
    <x v="0"/>
    <x v="588"/>
    <d v="2025-09-03T00:00:00"/>
    <n v="0"/>
    <x v="1"/>
    <s v="10/18/2023"/>
    <s v=" $212.68 "/>
    <n v="9"/>
    <n v="10"/>
    <s v="Beauty"/>
    <s v="Chair"/>
    <x v="1"/>
    <x v="0"/>
    <n v="1914.12"/>
    <s v="Misaligned"/>
    <x v="1"/>
    <s v="High Value Tier"/>
    <x v="0"/>
  </r>
  <r>
    <s v="ORD5833"/>
    <s v="CUST1833"/>
    <n v="26"/>
    <s v="PROD1033"/>
    <x v="3"/>
    <x v="495"/>
    <s v="4/26/2024"/>
    <n v="5"/>
    <x v="0"/>
    <s v="9/17/2024"/>
    <s v=" $630.94 "/>
    <n v="3"/>
    <n v="26"/>
    <s v="Beauty"/>
    <s v="Hoodie"/>
    <x v="2"/>
    <x v="1"/>
    <n v="1892.82"/>
    <s v="Misaligned"/>
    <x v="2"/>
    <s v="High Value Tier"/>
    <x v="3"/>
  </r>
  <r>
    <s v="ORD5834"/>
    <s v="CUST1834"/>
    <n v="47"/>
    <s v="PROD1034"/>
    <x v="2"/>
    <x v="180"/>
    <s v="6/14/2024"/>
    <n v="1"/>
    <x v="2"/>
    <s v="9/16/2021"/>
    <s v=" $1,649.05 "/>
    <n v="1"/>
    <n v="18"/>
    <s v="Beauty"/>
    <s v="Dumbbells"/>
    <x v="0"/>
    <x v="1"/>
    <n v="1649.05"/>
    <s v="Misaligned"/>
    <x v="0"/>
    <s v="High Value Tier"/>
    <x v="1"/>
  </r>
  <r>
    <s v="ORD5835"/>
    <s v="CUST1835"/>
    <n v="67"/>
    <s v="PROD1035"/>
    <x v="5"/>
    <x v="102"/>
    <s v="2/23/2023"/>
    <n v="5"/>
    <x v="0"/>
    <s v="1/16/2023"/>
    <s v=" $235.74 "/>
    <n v="7"/>
    <n v="4"/>
    <s v="Beauty"/>
    <s v="Vacuum Cleaner"/>
    <x v="1"/>
    <x v="0"/>
    <n v="1650.18"/>
    <s v="Misaligned"/>
    <x v="4"/>
    <s v="High Value Tier"/>
    <x v="3"/>
  </r>
  <r>
    <s v="ORD5836"/>
    <s v="CUST1836"/>
    <n v="57"/>
    <s v="PROD1036"/>
    <x v="3"/>
    <x v="468"/>
    <s v="6/26/2023"/>
    <n v="0"/>
    <x v="1"/>
    <s v="2/18/2023"/>
    <s v=" $280.06 "/>
    <n v="2"/>
    <n v="36"/>
    <s v="Home"/>
    <s v="Yoga Mat"/>
    <x v="0"/>
    <x v="2"/>
    <n v="560.12"/>
    <s v="Misaligned"/>
    <x v="1"/>
    <s v="High Value Tier"/>
    <x v="0"/>
  </r>
  <r>
    <s v="ORD5837"/>
    <s v="CUST1837"/>
    <n v="61"/>
    <s v="PROD1037"/>
    <x v="0"/>
    <x v="80"/>
    <s v="8/22/2024"/>
    <n v="3"/>
    <x v="2"/>
    <d v="2025-08-02T00:00:00"/>
    <s v=" $407.36 "/>
    <n v="2"/>
    <n v="7"/>
    <s v="Home"/>
    <s v="Chair"/>
    <x v="1"/>
    <x v="2"/>
    <n v="814.72"/>
    <s v="Aligned"/>
    <x v="1"/>
    <s v="High Value Tier"/>
    <x v="1"/>
  </r>
  <r>
    <s v="ORD5838"/>
    <s v="CUST1838"/>
    <n v="49"/>
    <s v="PROD1038"/>
    <x v="3"/>
    <x v="589"/>
    <s v="7/24/2022"/>
    <n v="0"/>
    <x v="1"/>
    <s v="3/25/2025"/>
    <s v=" $15.74 "/>
    <n v="6"/>
    <n v="38"/>
    <s v="Beauty"/>
    <s v="Football"/>
    <x v="0"/>
    <x v="1"/>
    <n v="94.44"/>
    <s v="Misaligned"/>
    <x v="0"/>
    <s v="High Value Tier"/>
    <x v="0"/>
  </r>
  <r>
    <s v="ORD5839"/>
    <s v="CUST1839"/>
    <n v="36"/>
    <s v="PROD1039"/>
    <x v="2"/>
    <x v="433"/>
    <d v="2024-08-07T00:00:00"/>
    <n v="5"/>
    <x v="1"/>
    <s v="5/16/2022"/>
    <s v=" $192.70 "/>
    <n v="6"/>
    <n v="6"/>
    <s v="Electronics"/>
    <s v="Gaming Console"/>
    <x v="4"/>
    <x v="0"/>
    <n v="1156.2"/>
    <s v="Aligned"/>
    <x v="0"/>
    <s v="High Value Tier"/>
    <x v="0"/>
  </r>
  <r>
    <s v="ORD5840"/>
    <s v="CUST1840"/>
    <n v="27"/>
    <s v="PROD1040"/>
    <x v="4"/>
    <x v="570"/>
    <s v="12/28/2021"/>
    <n v="3"/>
    <x v="0"/>
    <d v="2023-08-06T00:00:00"/>
    <s v=" $69.18 "/>
    <n v="5"/>
    <n v="36"/>
    <s v="Beauty"/>
    <s v="Chair"/>
    <x v="1"/>
    <x v="0"/>
    <n v="345.9"/>
    <s v="Misaligned"/>
    <x v="2"/>
    <s v="High Value Tier"/>
    <x v="0"/>
  </r>
  <r>
    <s v="ORD5841"/>
    <s v="CUST1841"/>
    <n v="42"/>
    <s v="PROD1041"/>
    <x v="4"/>
    <x v="590"/>
    <s v="7/22/2023"/>
    <n v="5"/>
    <x v="1"/>
    <s v="9/24/2024"/>
    <s v=" $579.37 "/>
    <n v="3"/>
    <n v="40"/>
    <s v="Sports"/>
    <s v="Skirt"/>
    <x v="2"/>
    <x v="1"/>
    <n v="1738.11"/>
    <s v="Misaligned"/>
    <x v="0"/>
    <s v="High Value Tier"/>
    <x v="0"/>
  </r>
  <r>
    <s v="ORD5842"/>
    <s v="CUST1842"/>
    <n v="32"/>
    <s v="PROD1042"/>
    <x v="3"/>
    <x v="531"/>
    <d v="2022-10-03T00:00:00"/>
    <n v="1"/>
    <x v="2"/>
    <d v="2023-02-05T00:00:00"/>
    <s v=" $394.58 "/>
    <n v="3"/>
    <n v="39"/>
    <s v="Beauty"/>
    <s v="Yoga Mat"/>
    <x v="0"/>
    <x v="0"/>
    <n v="1183.74"/>
    <s v="Misaligned"/>
    <x v="2"/>
    <s v="High Value Tier"/>
    <x v="1"/>
  </r>
  <r>
    <s v="ORD5843"/>
    <s v="CUST1843"/>
    <n v="62"/>
    <s v="PROD1043"/>
    <x v="0"/>
    <x v="591"/>
    <d v="2025-09-06T00:00:00"/>
    <n v="0"/>
    <x v="0"/>
    <s v="9/18/2020"/>
    <s v=" $225.37 "/>
    <n v="5"/>
    <n v="38"/>
    <s v="Beauty"/>
    <s v="Skirt"/>
    <x v="2"/>
    <x v="0"/>
    <n v="1126.8499999999999"/>
    <s v="Misaligned"/>
    <x v="1"/>
    <s v="High Value Tier"/>
    <x v="0"/>
  </r>
  <r>
    <s v="ORD5844"/>
    <s v="CUST1844"/>
    <n v="29"/>
    <s v="PROD1044"/>
    <x v="5"/>
    <x v="592"/>
    <d v="2025-05-05T00:00:00"/>
    <n v="2"/>
    <x v="1"/>
    <s v="6/20/2024"/>
    <s v=" $134.10 "/>
    <n v="3"/>
    <n v="34"/>
    <s v="Beauty"/>
    <s v="Jeans"/>
    <x v="2"/>
    <x v="2"/>
    <n v="402.3"/>
    <s v="Misaligned"/>
    <x v="2"/>
    <s v="High Value Tier"/>
    <x v="0"/>
  </r>
  <r>
    <s v="ORD5845"/>
    <s v="CUST1845"/>
    <n v="60"/>
    <s v="PROD1045"/>
    <x v="0"/>
    <x v="593"/>
    <s v="4/18/2024"/>
    <n v="2"/>
    <x v="1"/>
    <d v="2024-06-09T00:00:00"/>
    <s v=" $271.53 "/>
    <n v="5"/>
    <n v="45"/>
    <s v="Beauty"/>
    <s v="Vacuum Cleaner"/>
    <x v="1"/>
    <x v="0"/>
    <n v="1357.65"/>
    <s v="Misaligned"/>
    <x v="1"/>
    <s v="High Value Tier"/>
    <x v="0"/>
  </r>
  <r>
    <s v="ORD5846"/>
    <s v="CUST1846"/>
    <n v="53"/>
    <s v="PROD1046"/>
    <x v="3"/>
    <x v="593"/>
    <d v="2025-05-02T00:00:00"/>
    <n v="3"/>
    <x v="1"/>
    <s v="3/29/2025"/>
    <s v=" $185.23 "/>
    <n v="4"/>
    <n v="5"/>
    <s v="Beauty"/>
    <s v="Bluetooth Speaker"/>
    <x v="4"/>
    <x v="0"/>
    <n v="740.92"/>
    <s v="Misaligned"/>
    <x v="1"/>
    <s v="High Value Tier"/>
    <x v="0"/>
  </r>
  <r>
    <s v="ORD5847"/>
    <s v="CUST1847"/>
    <n v="28"/>
    <s v="PROD1047"/>
    <x v="4"/>
    <x v="167"/>
    <d v="2021-11-09T00:00:00"/>
    <n v="1"/>
    <x v="0"/>
    <s v="2/24/2024"/>
    <s v=" $659.34 "/>
    <n v="3"/>
    <n v="1"/>
    <s v="Beauty"/>
    <s v="Tablet"/>
    <x v="4"/>
    <x v="1"/>
    <n v="1978.02"/>
    <s v="Misaligned"/>
    <x v="2"/>
    <s v="Core Tier"/>
    <x v="0"/>
  </r>
  <r>
    <s v="ORD5848"/>
    <s v="CUST1848"/>
    <n v="69"/>
    <s v="PROD1048"/>
    <x v="4"/>
    <x v="291"/>
    <s v="8/22/2023"/>
    <n v="4"/>
    <x v="1"/>
    <s v="10/17/2024"/>
    <s v=" $115.48 "/>
    <n v="2"/>
    <n v="35"/>
    <s v="Beauty"/>
    <s v="Cricket Bat"/>
    <x v="0"/>
    <x v="0"/>
    <n v="230.96"/>
    <s v="Misaligned"/>
    <x v="4"/>
    <s v="High Value Tier"/>
    <x v="0"/>
  </r>
  <r>
    <s v="ORD5849"/>
    <s v="CUST1849"/>
    <n v="23"/>
    <s v="PROD1049"/>
    <x v="4"/>
    <x v="594"/>
    <s v="11/23/2024"/>
    <n v="0"/>
    <x v="0"/>
    <s v="6/17/2025"/>
    <s v=" $216.91 "/>
    <n v="4"/>
    <n v="41"/>
    <s v="Beauty"/>
    <s v="Sneakers"/>
    <x v="2"/>
    <x v="1"/>
    <n v="867.64"/>
    <s v="Misaligned"/>
    <x v="3"/>
    <s v="High Value Tier"/>
    <x v="0"/>
  </r>
  <r>
    <s v="ORD5850"/>
    <s v="CUST1850"/>
    <n v="55"/>
    <s v="PROD1050"/>
    <x v="4"/>
    <x v="579"/>
    <s v="3/28/2024"/>
    <n v="1"/>
    <x v="0"/>
    <s v="3/27/2021"/>
    <s v=" $565.54 "/>
    <n v="2"/>
    <n v="15"/>
    <s v="Sports"/>
    <s v="Shirt"/>
    <x v="2"/>
    <x v="1"/>
    <n v="1131.08"/>
    <s v="Misaligned"/>
    <x v="1"/>
    <s v="High Value Tier"/>
    <x v="0"/>
  </r>
  <r>
    <s v="ORD5851"/>
    <s v="CUST1851"/>
    <n v="38"/>
    <s v="PROD1051"/>
    <x v="4"/>
    <x v="386"/>
    <d v="2025-06-02T00:00:00"/>
    <n v="2"/>
    <x v="1"/>
    <d v="2023-09-12T00:00:00"/>
    <s v=" $1,146.75 "/>
    <n v="1"/>
    <n v="31"/>
    <s v="Sports"/>
    <s v="Tennis Racket"/>
    <x v="0"/>
    <x v="0"/>
    <n v="1146.75"/>
    <s v="Aligned"/>
    <x v="0"/>
    <s v="High Value Tier"/>
    <x v="0"/>
  </r>
  <r>
    <s v="ORD5852"/>
    <s v="CUST1852"/>
    <n v="21"/>
    <s v="PROD1052"/>
    <x v="3"/>
    <x v="28"/>
    <s v="7/22/2024"/>
    <n v="4"/>
    <x v="2"/>
    <d v="2021-03-08T00:00:00"/>
    <s v=" $308.27 "/>
    <n v="6"/>
    <n v="29"/>
    <s v="Home"/>
    <s v="Sneakers"/>
    <x v="2"/>
    <x v="1"/>
    <n v="1849.62"/>
    <s v="Misaligned"/>
    <x v="3"/>
    <s v="High Value Tier"/>
    <x v="1"/>
  </r>
  <r>
    <s v="ORD5853"/>
    <s v="CUST1853"/>
    <n v="57"/>
    <s v="PROD1053"/>
    <x v="1"/>
    <x v="595"/>
    <s v="7/30/2025"/>
    <n v="0"/>
    <x v="0"/>
    <s v="4/30/2024"/>
    <s v=" $35.94 "/>
    <n v="6"/>
    <n v="47"/>
    <s v="Home"/>
    <s v="Football"/>
    <x v="0"/>
    <x v="1"/>
    <n v="215.64"/>
    <s v="Misaligned"/>
    <x v="1"/>
    <s v="High Value Tier"/>
    <x v="0"/>
  </r>
  <r>
    <s v="ORD5854"/>
    <s v="CUST1854"/>
    <n v="42"/>
    <s v="PROD1054"/>
    <x v="0"/>
    <x v="596"/>
    <s v="5/29/2024"/>
    <n v="4"/>
    <x v="0"/>
    <d v="2022-12-08T00:00:00"/>
    <s v=" $59.83 "/>
    <n v="7"/>
    <n v="40"/>
    <s v="Electronics"/>
    <s v="Tennis Racket"/>
    <x v="0"/>
    <x v="0"/>
    <n v="418.81"/>
    <s v="Misaligned"/>
    <x v="0"/>
    <s v="High Value Tier"/>
    <x v="3"/>
  </r>
  <r>
    <s v="ORD5855"/>
    <s v="CUST1855"/>
    <n v="49"/>
    <s v="PROD1055"/>
    <x v="1"/>
    <x v="597"/>
    <d v="2025-06-04T00:00:00"/>
    <n v="0"/>
    <x v="0"/>
    <d v="2024-05-09T00:00:00"/>
    <s v=" $71.23 "/>
    <n v="5"/>
    <n v="28"/>
    <s v="Sports"/>
    <s v="Perfume"/>
    <x v="3"/>
    <x v="0"/>
    <n v="356.15"/>
    <s v="Misaligned"/>
    <x v="0"/>
    <s v="High Value Tier"/>
    <x v="0"/>
  </r>
  <r>
    <s v="ORD5856"/>
    <s v="CUST1856"/>
    <n v="57"/>
    <s v="PROD1056"/>
    <x v="4"/>
    <x v="368"/>
    <d v="2023-01-07T00:00:00"/>
    <n v="3"/>
    <x v="0"/>
    <d v="2024-05-09T00:00:00"/>
    <s v=" $57.80 "/>
    <n v="9"/>
    <n v="37"/>
    <s v="Home"/>
    <s v="Refrigerator"/>
    <x v="1"/>
    <x v="0"/>
    <n v="520.20000000000005"/>
    <s v="Aligned"/>
    <x v="1"/>
    <s v="High Value Tier"/>
    <x v="0"/>
  </r>
  <r>
    <s v="ORD5857"/>
    <s v="CUST1857"/>
    <n v="66"/>
    <s v="PROD1057"/>
    <x v="1"/>
    <x v="598"/>
    <d v="2023-08-05T00:00:00"/>
    <n v="3"/>
    <x v="0"/>
    <s v="12/23/2023"/>
    <s v=" $168.42 "/>
    <n v="8"/>
    <n v="36"/>
    <s v="Sports"/>
    <s v="Cycling Helmet"/>
    <x v="0"/>
    <x v="0"/>
    <n v="1347.36"/>
    <s v="Aligned"/>
    <x v="4"/>
    <s v="High Value Tier"/>
    <x v="0"/>
  </r>
  <r>
    <s v="ORD5858"/>
    <s v="CUST1858"/>
    <n v="59"/>
    <s v="PROD1058"/>
    <x v="1"/>
    <x v="40"/>
    <s v="12/15/2024"/>
    <n v="3"/>
    <x v="0"/>
    <s v="1/18/2024"/>
    <s v=" $459.91 "/>
    <n v="4"/>
    <n v="20"/>
    <s v="Sports"/>
    <s v="Shirt"/>
    <x v="2"/>
    <x v="1"/>
    <n v="1839.64"/>
    <s v="Misaligned"/>
    <x v="1"/>
    <s v="High Value Tier"/>
    <x v="0"/>
  </r>
  <r>
    <s v="ORD5859"/>
    <s v="CUST1859"/>
    <n v="19"/>
    <s v="PROD1059"/>
    <x v="3"/>
    <x v="465"/>
    <s v="4/18/2022"/>
    <n v="3"/>
    <x v="0"/>
    <s v="2/18/2025"/>
    <s v=" $553.70 "/>
    <n v="3"/>
    <n v="34"/>
    <s v="Clothing"/>
    <s v="Lamp"/>
    <x v="1"/>
    <x v="1"/>
    <n v="1661.1"/>
    <s v="Misaligned"/>
    <x v="3"/>
    <s v="High Value Tier"/>
    <x v="0"/>
  </r>
  <r>
    <s v="ORD5860"/>
    <s v="CUST1860"/>
    <n v="35"/>
    <s v="PROD1060"/>
    <x v="4"/>
    <x v="599"/>
    <d v="2023-11-06T00:00:00"/>
    <n v="1"/>
    <x v="2"/>
    <d v="2023-06-08T00:00:00"/>
    <s v=" $109.72 "/>
    <n v="9"/>
    <n v="46"/>
    <s v="Home"/>
    <s v="Dining Table"/>
    <x v="1"/>
    <x v="0"/>
    <n v="987.48"/>
    <s v="Aligned"/>
    <x v="0"/>
    <s v="High Value Tier"/>
    <x v="1"/>
  </r>
  <r>
    <s v="ORD5861"/>
    <s v="CUST1861"/>
    <n v="30"/>
    <s v="PROD1061"/>
    <x v="0"/>
    <x v="74"/>
    <s v="12/26/2024"/>
    <n v="4"/>
    <x v="0"/>
    <d v="2021-07-11T00:00:00"/>
    <s v=" $185.49 "/>
    <n v="8"/>
    <n v="5"/>
    <s v="Sports"/>
    <s v="Football"/>
    <x v="0"/>
    <x v="0"/>
    <n v="1483.92"/>
    <s v="Aligned"/>
    <x v="2"/>
    <s v="High Value Tier"/>
    <x v="3"/>
  </r>
  <r>
    <s v="ORD5862"/>
    <s v="CUST1862"/>
    <n v="65"/>
    <s v="PROD1062"/>
    <x v="4"/>
    <x v="130"/>
    <s v="7/13/2021"/>
    <n v="3"/>
    <x v="1"/>
    <d v="2024-05-06T00:00:00"/>
    <s v=" $120.62 "/>
    <n v="7"/>
    <n v="43"/>
    <s v="Home"/>
    <s v="Vacuum Cleaner"/>
    <x v="1"/>
    <x v="0"/>
    <n v="844.34"/>
    <s v="Aligned"/>
    <x v="4"/>
    <s v="High Value Tier"/>
    <x v="0"/>
  </r>
  <r>
    <s v="ORD5863"/>
    <s v="CUST1863"/>
    <n v="31"/>
    <s v="PROD1063"/>
    <x v="1"/>
    <x v="600"/>
    <s v="5/29/2024"/>
    <n v="4"/>
    <x v="0"/>
    <d v="2024-07-10T00:00:00"/>
    <s v=" $12.13 "/>
    <n v="8"/>
    <n v="49"/>
    <s v="Electronics"/>
    <s v="Smartphone"/>
    <x v="4"/>
    <x v="1"/>
    <n v="97.04"/>
    <s v="Aligned"/>
    <x v="2"/>
    <s v="High Value Tier"/>
    <x v="3"/>
  </r>
  <r>
    <s v="ORD5864"/>
    <s v="CUST1864"/>
    <n v="62"/>
    <s v="PROD1064"/>
    <x v="2"/>
    <x v="601"/>
    <d v="2024-09-05T00:00:00"/>
    <n v="0"/>
    <x v="0"/>
    <s v="10/25/2022"/>
    <s v=" $125.67 "/>
    <n v="8"/>
    <n v="4"/>
    <s v="Beauty"/>
    <s v="Foundation"/>
    <x v="3"/>
    <x v="1"/>
    <n v="1005.36"/>
    <s v="Aligned"/>
    <x v="1"/>
    <s v="High Value Tier"/>
    <x v="0"/>
  </r>
  <r>
    <s v="ORD5865"/>
    <s v="CUST1865"/>
    <n v="61"/>
    <s v="PROD1065"/>
    <x v="4"/>
    <x v="387"/>
    <s v="11/29/2023"/>
    <n v="1"/>
    <x v="0"/>
    <d v="2024-01-03T00:00:00"/>
    <s v=" $257.64 "/>
    <n v="5"/>
    <n v="11"/>
    <s v="Home"/>
    <s v="Lamp"/>
    <x v="1"/>
    <x v="1"/>
    <n v="1288.2"/>
    <s v="Aligned"/>
    <x v="1"/>
    <s v="High Value Tier"/>
    <x v="0"/>
  </r>
  <r>
    <s v="ORD5866"/>
    <s v="CUST1866"/>
    <n v="47"/>
    <s v="PROD1066"/>
    <x v="2"/>
    <x v="602"/>
    <d v="2025-04-03T00:00:00"/>
    <n v="4"/>
    <x v="1"/>
    <s v="4/25/2024"/>
    <s v=" $271.11 "/>
    <n v="3"/>
    <n v="30"/>
    <s v="Home"/>
    <s v="Yoga Mat"/>
    <x v="0"/>
    <x v="0"/>
    <n v="813.33"/>
    <s v="Misaligned"/>
    <x v="0"/>
    <s v="High Value Tier"/>
    <x v="0"/>
  </r>
  <r>
    <s v="ORD5867"/>
    <s v="CUST1867"/>
    <n v="48"/>
    <s v="PROD1067"/>
    <x v="1"/>
    <x v="603"/>
    <s v="9/24/2021"/>
    <n v="4"/>
    <x v="1"/>
    <s v="6/15/2023"/>
    <s v=" $163.32 "/>
    <n v="9"/>
    <n v="45"/>
    <s v="Beauty"/>
    <s v="Nail Polish"/>
    <x v="3"/>
    <x v="0"/>
    <n v="1469.88"/>
    <s v="Aligned"/>
    <x v="0"/>
    <s v="High Value Tier"/>
    <x v="0"/>
  </r>
  <r>
    <s v="ORD5868"/>
    <s v="CUST1868"/>
    <n v="53"/>
    <s v="PROD1068"/>
    <x v="1"/>
    <x v="604"/>
    <s v="9/28/2023"/>
    <n v="4"/>
    <x v="0"/>
    <s v="2/25/2025"/>
    <s v=" $392.26 "/>
    <n v="5"/>
    <n v="1"/>
    <s v="Sports"/>
    <s v="Dumbbells"/>
    <x v="0"/>
    <x v="0"/>
    <n v="1961.3"/>
    <s v="Aligned"/>
    <x v="1"/>
    <s v="Core Tier"/>
    <x v="3"/>
  </r>
  <r>
    <s v="ORD5869"/>
    <s v="CUST1869"/>
    <n v="55"/>
    <s v="PROD1069"/>
    <x v="4"/>
    <x v="605"/>
    <s v="7/29/2023"/>
    <n v="3"/>
    <x v="0"/>
    <d v="2024-04-12T00:00:00"/>
    <s v=" $13.61 "/>
    <n v="6"/>
    <n v="4"/>
    <s v="Beauty"/>
    <s v="Shampoo"/>
    <x v="3"/>
    <x v="0"/>
    <n v="81.66"/>
    <s v="Aligned"/>
    <x v="1"/>
    <s v="Value Tier"/>
    <x v="0"/>
  </r>
  <r>
    <s v="ORD5870"/>
    <s v="CUST1870"/>
    <n v="68"/>
    <s v="PROD1070"/>
    <x v="2"/>
    <x v="86"/>
    <d v="2022-09-03T00:00:00"/>
    <n v="5"/>
    <x v="0"/>
    <s v="4/18/2022"/>
    <s v=" $216.65 "/>
    <n v="3"/>
    <n v="7"/>
    <s v="Home"/>
    <s v="Hoodie"/>
    <x v="2"/>
    <x v="0"/>
    <n v="649.95000000000005"/>
    <s v="Misaligned"/>
    <x v="4"/>
    <s v="High Value Tier"/>
    <x v="3"/>
  </r>
  <r>
    <s v="ORD5871"/>
    <s v="CUST1871"/>
    <n v="67"/>
    <s v="PROD1071"/>
    <x v="2"/>
    <x v="606"/>
    <d v="2022-11-11T00:00:00"/>
    <n v="3"/>
    <x v="1"/>
    <s v="10/27/2023"/>
    <s v=" $16.71 "/>
    <n v="2"/>
    <n v="40"/>
    <s v="Clothing"/>
    <s v="Sofa"/>
    <x v="1"/>
    <x v="0"/>
    <n v="33.42"/>
    <s v="Misaligned"/>
    <x v="4"/>
    <s v="Core Tier"/>
    <x v="0"/>
  </r>
  <r>
    <s v="ORD5872"/>
    <s v="CUST1872"/>
    <n v="18"/>
    <s v="PROD1072"/>
    <x v="0"/>
    <x v="237"/>
    <d v="2022-03-02T00:00:00"/>
    <n v="0"/>
    <x v="2"/>
    <d v="2023-06-09T00:00:00"/>
    <s v=" $175.08 "/>
    <n v="9"/>
    <n v="22"/>
    <s v="Sports"/>
    <s v="Sofa"/>
    <x v="1"/>
    <x v="1"/>
    <n v="1575.72"/>
    <s v="Misaligned"/>
    <x v="3"/>
    <s v="High Value Tier"/>
    <x v="1"/>
  </r>
  <r>
    <s v="ORD5873"/>
    <s v="CUST1873"/>
    <n v="32"/>
    <s v="PROD1073"/>
    <x v="4"/>
    <x v="58"/>
    <s v="3/30/2025"/>
    <n v="1"/>
    <x v="0"/>
    <d v="2024-12-04T00:00:00"/>
    <s v=" $14.48 "/>
    <n v="3"/>
    <n v="43"/>
    <s v="Clothing"/>
    <s v="Hoodie"/>
    <x v="2"/>
    <x v="1"/>
    <n v="43.44"/>
    <s v="Aligned"/>
    <x v="2"/>
    <s v="Core Tier"/>
    <x v="0"/>
  </r>
  <r>
    <s v="ORD5874"/>
    <s v="CUST1874"/>
    <n v="46"/>
    <s v="PROD1074"/>
    <x v="4"/>
    <x v="607"/>
    <d v="2025-01-01T00:00:00"/>
    <n v="2"/>
    <x v="0"/>
    <d v="2020-05-11T00:00:00"/>
    <s v=" $278.55 "/>
    <n v="7"/>
    <n v="46"/>
    <s v="Beauty"/>
    <s v="Dress"/>
    <x v="2"/>
    <x v="1"/>
    <n v="1949.85"/>
    <s v="Misaligned"/>
    <x v="0"/>
    <s v="High Value Tier"/>
    <x v="0"/>
  </r>
  <r>
    <s v="ORD5875"/>
    <s v="CUST1875"/>
    <n v="62"/>
    <s v="PROD1075"/>
    <x v="3"/>
    <x v="57"/>
    <d v="2023-09-02T00:00:00"/>
    <n v="1"/>
    <x v="0"/>
    <s v="8/17/2022"/>
    <s v=" $214.18 "/>
    <n v="9"/>
    <n v="2"/>
    <s v="Sports"/>
    <s v="Dining Table"/>
    <x v="1"/>
    <x v="0"/>
    <n v="1927.62"/>
    <s v="Misaligned"/>
    <x v="1"/>
    <s v="High Value Tier"/>
    <x v="0"/>
  </r>
  <r>
    <s v="ORD5876"/>
    <s v="CUST1876"/>
    <n v="23"/>
    <s v="PROD1076"/>
    <x v="4"/>
    <x v="209"/>
    <s v="4/22/2025"/>
    <n v="5"/>
    <x v="1"/>
    <s v="5/16/2025"/>
    <s v=" $230.54 "/>
    <n v="3"/>
    <n v="49"/>
    <s v="Sports"/>
    <s v="Yoga Mat"/>
    <x v="0"/>
    <x v="0"/>
    <n v="691.62"/>
    <s v="Aligned"/>
    <x v="3"/>
    <s v="High Value Tier"/>
    <x v="0"/>
  </r>
  <r>
    <s v="ORD5877"/>
    <s v="CUST1877"/>
    <n v="20"/>
    <s v="PROD1077"/>
    <x v="3"/>
    <x v="476"/>
    <s v="6/26/2024"/>
    <n v="5"/>
    <x v="2"/>
    <s v="10/28/2021"/>
    <s v=" $389.52 "/>
    <n v="3"/>
    <n v="32"/>
    <s v="Home"/>
    <s v="Jacket"/>
    <x v="2"/>
    <x v="0"/>
    <n v="1168.56"/>
    <s v="Misaligned"/>
    <x v="3"/>
    <s v="High Value Tier"/>
    <x v="1"/>
  </r>
  <r>
    <s v="ORD5878"/>
    <s v="CUST1878"/>
    <n v="66"/>
    <s v="PROD1078"/>
    <x v="4"/>
    <x v="608"/>
    <s v="7/31/2023"/>
    <n v="2"/>
    <x v="2"/>
    <s v="5/21/2023"/>
    <s v=" $51.37 "/>
    <n v="7"/>
    <n v="38"/>
    <s v="Home"/>
    <s v="Dumbbells"/>
    <x v="0"/>
    <x v="1"/>
    <n v="359.59"/>
    <s v="Misaligned"/>
    <x v="4"/>
    <s v="High Value Tier"/>
    <x v="1"/>
  </r>
  <r>
    <s v="ORD5879"/>
    <s v="CUST1879"/>
    <n v="57"/>
    <s v="PROD1079"/>
    <x v="0"/>
    <x v="485"/>
    <s v="1/25/2021"/>
    <n v="1"/>
    <x v="1"/>
    <d v="2023-10-08T00:00:00"/>
    <s v=" $122.69 "/>
    <n v="3"/>
    <n v="2"/>
    <s v="Electronics"/>
    <s v="Jeans"/>
    <x v="2"/>
    <x v="0"/>
    <n v="368.07"/>
    <s v="Misaligned"/>
    <x v="1"/>
    <s v="Value Tier"/>
    <x v="0"/>
  </r>
  <r>
    <s v="ORD5880"/>
    <s v="CUST1880"/>
    <n v="69"/>
    <s v="PROD1080"/>
    <x v="1"/>
    <x v="609"/>
    <s v="5/24/2025"/>
    <n v="2"/>
    <x v="0"/>
    <s v="6/15/2025"/>
    <s v=" $330.62 "/>
    <n v="6"/>
    <n v="14"/>
    <s v="Sports"/>
    <s v="Skirt"/>
    <x v="2"/>
    <x v="2"/>
    <n v="1983.72"/>
    <s v="Misaligned"/>
    <x v="4"/>
    <s v="High Value Tier"/>
    <x v="0"/>
  </r>
  <r>
    <s v="ORD5881"/>
    <s v="CUST1881"/>
    <n v="18"/>
    <s v="PROD1081"/>
    <x v="1"/>
    <x v="63"/>
    <d v="2023-03-02T00:00:00"/>
    <n v="3"/>
    <x v="0"/>
    <s v="5/31/2023"/>
    <s v=" $158.04 "/>
    <n v="9"/>
    <n v="19"/>
    <s v="Electronics"/>
    <s v="Hoodie"/>
    <x v="2"/>
    <x v="1"/>
    <n v="1422.36"/>
    <s v="Misaligned"/>
    <x v="3"/>
    <s v="High Value Tier"/>
    <x v="0"/>
  </r>
  <r>
    <s v="ORD5882"/>
    <s v="CUST1882"/>
    <n v="33"/>
    <s v="PROD1082"/>
    <x v="4"/>
    <x v="610"/>
    <d v="2025-10-07T00:00:00"/>
    <n v="4"/>
    <x v="0"/>
    <s v="12/17/2024"/>
    <s v=" $206.38 "/>
    <n v="3"/>
    <n v="10"/>
    <s v="Electronics"/>
    <s v="Moisturizer"/>
    <x v="3"/>
    <x v="1"/>
    <n v="619.14"/>
    <s v="Misaligned"/>
    <x v="2"/>
    <s v="High Value Tier"/>
    <x v="3"/>
  </r>
  <r>
    <s v="ORD5883"/>
    <s v="CUST1883"/>
    <n v="24"/>
    <s v="PROD1083"/>
    <x v="5"/>
    <x v="611"/>
    <s v="1/17/2022"/>
    <n v="3"/>
    <x v="2"/>
    <s v="8/14/2023"/>
    <s v=" $79.18 "/>
    <n v="8"/>
    <n v="35"/>
    <s v="Clothing"/>
    <s v="Cricket Bat"/>
    <x v="0"/>
    <x v="0"/>
    <n v="633.44000000000005"/>
    <s v="Misaligned"/>
    <x v="3"/>
    <s v="High Value Tier"/>
    <x v="1"/>
  </r>
  <r>
    <s v="ORD5884"/>
    <s v="CUST1884"/>
    <n v="45"/>
    <s v="PROD1084"/>
    <x v="4"/>
    <x v="612"/>
    <s v="7/31/2023"/>
    <n v="2"/>
    <x v="1"/>
    <d v="2025-09-05T00:00:00"/>
    <s v=" $255.14 "/>
    <n v="6"/>
    <n v="39"/>
    <s v="Sports"/>
    <s v="Dining Table"/>
    <x v="1"/>
    <x v="0"/>
    <n v="1530.84"/>
    <s v="Misaligned"/>
    <x v="0"/>
    <s v="High Value Tier"/>
    <x v="0"/>
  </r>
  <r>
    <s v="ORD5885"/>
    <s v="CUST1885"/>
    <n v="57"/>
    <s v="PROD1085"/>
    <x v="3"/>
    <x v="95"/>
    <s v="5/23/2022"/>
    <n v="1"/>
    <x v="0"/>
    <s v="3/23/2025"/>
    <s v=" $37.30 "/>
    <n v="8"/>
    <n v="35"/>
    <s v="Sports"/>
    <s v="Yoga Mat"/>
    <x v="0"/>
    <x v="0"/>
    <n v="298.39999999999998"/>
    <s v="Aligned"/>
    <x v="1"/>
    <s v="High Value Tier"/>
    <x v="0"/>
  </r>
  <r>
    <s v="ORD5886"/>
    <s v="CUST1886"/>
    <n v="61"/>
    <s v="PROD1086"/>
    <x v="2"/>
    <x v="613"/>
    <s v="8/21/2024"/>
    <n v="5"/>
    <x v="0"/>
    <s v="6/23/2025"/>
    <s v=" $204.47 "/>
    <n v="8"/>
    <n v="19"/>
    <s v="Home"/>
    <s v="Shirt"/>
    <x v="2"/>
    <x v="0"/>
    <n v="1635.76"/>
    <s v="Misaligned"/>
    <x v="1"/>
    <s v="High Value Tier"/>
    <x v="3"/>
  </r>
  <r>
    <s v="ORD5887"/>
    <s v="CUST1887"/>
    <n v="46"/>
    <s v="PROD1087"/>
    <x v="4"/>
    <x v="614"/>
    <d v="2023-10-10T00:00:00"/>
    <n v="5"/>
    <x v="1"/>
    <d v="2025-12-05T00:00:00"/>
    <s v=" $67.58 "/>
    <n v="2"/>
    <n v="34"/>
    <s v="Clothing"/>
    <s v="Cricket Bat"/>
    <x v="0"/>
    <x v="0"/>
    <n v="135.16"/>
    <s v="Misaligned"/>
    <x v="0"/>
    <s v="High Value Tier"/>
    <x v="0"/>
  </r>
  <r>
    <s v="ORD5888"/>
    <s v="CUST1888"/>
    <n v="61"/>
    <s v="PROD1088"/>
    <x v="3"/>
    <x v="615"/>
    <s v="8/24/2022"/>
    <n v="0"/>
    <x v="0"/>
    <s v="11/16/2023"/>
    <s v=" $120.78 "/>
    <n v="8"/>
    <n v="36"/>
    <s v="Electronics"/>
    <s v="Football"/>
    <x v="0"/>
    <x v="1"/>
    <n v="966.24"/>
    <s v="Misaligned"/>
    <x v="1"/>
    <s v="High Value Tier"/>
    <x v="0"/>
  </r>
  <r>
    <s v="ORD5889"/>
    <s v="CUST1889"/>
    <n v="51"/>
    <s v="PROD1089"/>
    <x v="5"/>
    <x v="616"/>
    <s v="12/27/2024"/>
    <n v="4"/>
    <x v="0"/>
    <d v="2023-08-03T00:00:00"/>
    <s v=" $11.14 "/>
    <n v="5"/>
    <n v="1"/>
    <s v="Home"/>
    <s v="Running Shoes"/>
    <x v="0"/>
    <x v="1"/>
    <n v="55.7"/>
    <s v="Misaligned"/>
    <x v="1"/>
    <s v="Value Tier"/>
    <x v="3"/>
  </r>
  <r>
    <s v="ORD5890"/>
    <s v="CUST1890"/>
    <n v="48"/>
    <s v="PROD1090"/>
    <x v="1"/>
    <x v="77"/>
    <s v="12/16/2022"/>
    <n v="0"/>
    <x v="0"/>
    <s v="7/13/2023"/>
    <s v=" $1,928.31 "/>
    <n v="1"/>
    <n v="21"/>
    <s v="Home"/>
    <s v="Tablet"/>
    <x v="4"/>
    <x v="0"/>
    <n v="1928.31"/>
    <s v="Misaligned"/>
    <x v="0"/>
    <s v="High Value Tier"/>
    <x v="0"/>
  </r>
  <r>
    <s v="ORD5891"/>
    <s v="CUST1891"/>
    <n v="50"/>
    <s v="PROD1091"/>
    <x v="4"/>
    <x v="327"/>
    <s v="5/25/2025"/>
    <n v="0"/>
    <x v="0"/>
    <d v="2024-12-09T00:00:00"/>
    <s v=" $90.22 "/>
    <n v="9"/>
    <n v="5"/>
    <s v="Beauty"/>
    <s v="T-Shirt"/>
    <x v="2"/>
    <x v="0"/>
    <n v="811.98"/>
    <s v="Misaligned"/>
    <x v="1"/>
    <s v="High Value Tier"/>
    <x v="0"/>
  </r>
  <r>
    <s v="ORD5892"/>
    <s v="CUST1892"/>
    <n v="55"/>
    <s v="PROD1092"/>
    <x v="5"/>
    <x v="536"/>
    <s v="11/18/2024"/>
    <n v="1"/>
    <x v="2"/>
    <d v="2021-05-06T00:00:00"/>
    <s v=" $571.94 "/>
    <n v="3"/>
    <n v="24"/>
    <s v="Home"/>
    <s v="Gaming Console"/>
    <x v="4"/>
    <x v="0"/>
    <n v="1715.82"/>
    <s v="Misaligned"/>
    <x v="1"/>
    <s v="High Value Tier"/>
    <x v="1"/>
  </r>
  <r>
    <s v="ORD5893"/>
    <s v="CUST1893"/>
    <n v="35"/>
    <s v="PROD1093"/>
    <x v="3"/>
    <x v="617"/>
    <s v="7/18/2025"/>
    <n v="0"/>
    <x v="1"/>
    <s v="3/26/2024"/>
    <s v=" $294.41 "/>
    <n v="5"/>
    <n v="32"/>
    <s v="Home"/>
    <s v="Refrigerator"/>
    <x v="1"/>
    <x v="0"/>
    <n v="1472.05"/>
    <s v="Aligned"/>
    <x v="0"/>
    <s v="High Value Tier"/>
    <x v="0"/>
  </r>
  <r>
    <s v="ORD5894"/>
    <s v="CUST1894"/>
    <n v="21"/>
    <s v="PROD1094"/>
    <x v="2"/>
    <x v="549"/>
    <d v="2024-07-09T00:00:00"/>
    <n v="0"/>
    <x v="2"/>
    <s v="4/17/2024"/>
    <s v=" $68.21 "/>
    <n v="7"/>
    <n v="22"/>
    <s v="Clothing"/>
    <s v="Moisturizer"/>
    <x v="3"/>
    <x v="2"/>
    <n v="477.47"/>
    <s v="Misaligned"/>
    <x v="3"/>
    <s v="High Value Tier"/>
    <x v="1"/>
  </r>
  <r>
    <s v="ORD5895"/>
    <s v="CUST1895"/>
    <n v="51"/>
    <s v="PROD1095"/>
    <x v="4"/>
    <x v="285"/>
    <s v="3/18/2023"/>
    <n v="2"/>
    <x v="0"/>
    <s v="6/22/2025"/>
    <s v=" $134.68 "/>
    <n v="3"/>
    <n v="31"/>
    <s v="Beauty"/>
    <s v="Sneakers"/>
    <x v="2"/>
    <x v="0"/>
    <n v="404.04"/>
    <s v="Misaligned"/>
    <x v="1"/>
    <s v="High Value Tier"/>
    <x v="0"/>
  </r>
  <r>
    <s v="ORD5896"/>
    <s v="CUST1896"/>
    <n v="50"/>
    <s v="PROD1096"/>
    <x v="2"/>
    <x v="117"/>
    <s v="11/15/2024"/>
    <n v="5"/>
    <x v="0"/>
    <d v="2023-08-06T00:00:00"/>
    <s v=" $295.07 "/>
    <n v="5"/>
    <n v="42"/>
    <s v="Home"/>
    <s v="Chair"/>
    <x v="1"/>
    <x v="2"/>
    <n v="1475.35"/>
    <s v="Aligned"/>
    <x v="1"/>
    <s v="High Value Tier"/>
    <x v="3"/>
  </r>
  <r>
    <s v="ORD5897"/>
    <s v="CUST1897"/>
    <n v="44"/>
    <s v="PROD1097"/>
    <x v="2"/>
    <x v="618"/>
    <d v="2024-11-02T00:00:00"/>
    <n v="5"/>
    <x v="0"/>
    <s v="7/24/2025"/>
    <s v=" $168.30 "/>
    <n v="9"/>
    <n v="17"/>
    <s v="Beauty"/>
    <s v="Football"/>
    <x v="0"/>
    <x v="0"/>
    <n v="1514.7"/>
    <s v="Misaligned"/>
    <x v="0"/>
    <s v="High Value Tier"/>
    <x v="3"/>
  </r>
  <r>
    <s v="ORD5898"/>
    <s v="CUST1898"/>
    <n v="39"/>
    <s v="PROD1098"/>
    <x v="3"/>
    <x v="619"/>
    <s v="10/24/2023"/>
    <n v="3"/>
    <x v="2"/>
    <d v="2022-02-03T00:00:00"/>
    <s v=" $134.51 "/>
    <n v="9"/>
    <n v="32"/>
    <s v="Electronics"/>
    <s v="Yoga Mat"/>
    <x v="0"/>
    <x v="1"/>
    <n v="1210.5899999999999"/>
    <s v="Misaligned"/>
    <x v="0"/>
    <s v="High Value Tier"/>
    <x v="1"/>
  </r>
  <r>
    <s v="ORD5899"/>
    <s v="CUST1899"/>
    <n v="50"/>
    <s v="PROD1099"/>
    <x v="1"/>
    <x v="620"/>
    <d v="2022-04-03T00:00:00"/>
    <n v="1"/>
    <x v="1"/>
    <s v="10/28/2023"/>
    <s v=" $203.05 "/>
    <n v="7"/>
    <n v="43"/>
    <s v="Electronics"/>
    <s v="Tennis Racket"/>
    <x v="0"/>
    <x v="1"/>
    <n v="1421.35"/>
    <s v="Misaligned"/>
    <x v="1"/>
    <s v="High Value Tier"/>
    <x v="0"/>
  </r>
  <r>
    <s v="ORD5900"/>
    <s v="CUST1900"/>
    <n v="32"/>
    <s v="PROD1100"/>
    <x v="1"/>
    <x v="382"/>
    <d v="2024-08-01T00:00:00"/>
    <n v="2"/>
    <x v="0"/>
    <s v="12/22/2023"/>
    <s v=" $645.38 "/>
    <n v="3"/>
    <n v="9"/>
    <s v="Beauty"/>
    <s v="Smartphone"/>
    <x v="4"/>
    <x v="1"/>
    <n v="1936.14"/>
    <s v="Misaligned"/>
    <x v="2"/>
    <s v="High Value Tier"/>
    <x v="0"/>
  </r>
  <r>
    <s v="ORD5901"/>
    <s v="CUST1901"/>
    <n v="64"/>
    <s v="PROD1101"/>
    <x v="4"/>
    <x v="4"/>
    <s v="12/14/2024"/>
    <n v="1"/>
    <x v="0"/>
    <s v="12/21/2022"/>
    <s v=" $395.81 "/>
    <n v="4"/>
    <n v="44"/>
    <s v="Electronics"/>
    <s v="Smartwatch"/>
    <x v="4"/>
    <x v="1"/>
    <n v="1583.24"/>
    <s v="Aligned"/>
    <x v="1"/>
    <s v="High Value Tier"/>
    <x v="0"/>
  </r>
  <r>
    <s v="ORD5902"/>
    <s v="CUST1902"/>
    <n v="32"/>
    <s v="PROD1102"/>
    <x v="5"/>
    <x v="621"/>
    <s v="11/15/2023"/>
    <n v="5"/>
    <x v="0"/>
    <d v="2024-12-12T00:00:00"/>
    <s v=" $326.37 "/>
    <n v="4"/>
    <n v="2"/>
    <s v="Sports"/>
    <s v="T-Shirt"/>
    <x v="2"/>
    <x v="1"/>
    <n v="1305.48"/>
    <s v="Misaligned"/>
    <x v="2"/>
    <s v="High Value Tier"/>
    <x v="3"/>
  </r>
  <r>
    <s v="ORD5903"/>
    <s v="CUST1903"/>
    <n v="20"/>
    <s v="PROD1103"/>
    <x v="3"/>
    <x v="327"/>
    <d v="2024-10-08T00:00:00"/>
    <n v="1"/>
    <x v="0"/>
    <s v="1/20/2024"/>
    <s v=" $1,200.43 "/>
    <n v="1"/>
    <n v="31"/>
    <s v="Sports"/>
    <s v="Shampoo"/>
    <x v="3"/>
    <x v="0"/>
    <n v="1200.43"/>
    <s v="Misaligned"/>
    <x v="3"/>
    <s v="High Value Tier"/>
    <x v="0"/>
  </r>
  <r>
    <s v="ORD5904"/>
    <s v="CUST1904"/>
    <n v="44"/>
    <s v="PROD1104"/>
    <x v="1"/>
    <x v="214"/>
    <d v="2025-11-02T00:00:00"/>
    <n v="2"/>
    <x v="0"/>
    <s v="11/18/2024"/>
    <s v=" $772.71 "/>
    <n v="2"/>
    <n v="4"/>
    <s v="Beauty"/>
    <s v="Smartphone"/>
    <x v="4"/>
    <x v="0"/>
    <n v="1545.42"/>
    <s v="Misaligned"/>
    <x v="0"/>
    <s v="High Value Tier"/>
    <x v="0"/>
  </r>
  <r>
    <s v="ORD5905"/>
    <s v="CUST1905"/>
    <n v="40"/>
    <s v="PROD1105"/>
    <x v="1"/>
    <x v="622"/>
    <d v="2025-12-07T00:00:00"/>
    <n v="4"/>
    <x v="0"/>
    <s v="1/23/2021"/>
    <s v=" $23.66 "/>
    <n v="7"/>
    <n v="46"/>
    <s v="Home"/>
    <s v="Jeans"/>
    <x v="2"/>
    <x v="0"/>
    <n v="165.62"/>
    <s v="Misaligned"/>
    <x v="0"/>
    <s v="High Value Tier"/>
    <x v="3"/>
  </r>
  <r>
    <s v="ORD5906"/>
    <s v="CUST1906"/>
    <n v="24"/>
    <s v="PROD1106"/>
    <x v="4"/>
    <x v="127"/>
    <d v="2025-11-01T00:00:00"/>
    <n v="4"/>
    <x v="0"/>
    <d v="2024-07-05T00:00:00"/>
    <s v=" $285.94 "/>
    <n v="6"/>
    <n v="31"/>
    <s v="Beauty"/>
    <s v="Skirt"/>
    <x v="2"/>
    <x v="1"/>
    <n v="1715.64"/>
    <s v="Misaligned"/>
    <x v="3"/>
    <s v="High Value Tier"/>
    <x v="3"/>
  </r>
  <r>
    <s v="ORD5907"/>
    <s v="CUST1907"/>
    <n v="21"/>
    <s v="PROD1107"/>
    <x v="5"/>
    <x v="474"/>
    <s v="1/21/2025"/>
    <n v="1"/>
    <x v="0"/>
    <d v="2025-11-08T00:00:00"/>
    <s v=" $412.26 "/>
    <n v="4"/>
    <n v="9"/>
    <s v="Home"/>
    <s v="Sneakers"/>
    <x v="2"/>
    <x v="0"/>
    <n v="1649.04"/>
    <s v="Misaligned"/>
    <x v="3"/>
    <s v="High Value Tier"/>
    <x v="0"/>
  </r>
  <r>
    <s v="ORD5908"/>
    <s v="CUST1908"/>
    <n v="54"/>
    <s v="PROD1108"/>
    <x v="4"/>
    <x v="623"/>
    <s v="5/28/2023"/>
    <n v="3"/>
    <x v="0"/>
    <s v="6/26/2025"/>
    <s v=" $111.59 "/>
    <n v="7"/>
    <n v="42"/>
    <s v="Sports"/>
    <s v="Bluetooth Speaker"/>
    <x v="4"/>
    <x v="1"/>
    <n v="781.13"/>
    <s v="Misaligned"/>
    <x v="1"/>
    <s v="High Value Tier"/>
    <x v="0"/>
  </r>
  <r>
    <s v="ORD5909"/>
    <s v="CUST1909"/>
    <n v="23"/>
    <s v="PROD1109"/>
    <x v="1"/>
    <x v="624"/>
    <s v="6/13/2024"/>
    <n v="5"/>
    <x v="0"/>
    <d v="2023-08-10T00:00:00"/>
    <s v=" $135.86 "/>
    <n v="7"/>
    <n v="29"/>
    <s v="Beauty"/>
    <s v="Running Shoes"/>
    <x v="0"/>
    <x v="1"/>
    <n v="951.02"/>
    <s v="Misaligned"/>
    <x v="3"/>
    <s v="High Value Tier"/>
    <x v="3"/>
  </r>
  <r>
    <s v="ORD5910"/>
    <s v="CUST1910"/>
    <n v="64"/>
    <s v="PROD1110"/>
    <x v="5"/>
    <x v="278"/>
    <d v="2022-07-05T00:00:00"/>
    <n v="3"/>
    <x v="2"/>
    <d v="2024-08-07T00:00:00"/>
    <s v=" $652.41 "/>
    <n v="3"/>
    <n v="26"/>
    <s v="Clothing"/>
    <s v="Dumbbells"/>
    <x v="0"/>
    <x v="0"/>
    <n v="1957.23"/>
    <s v="Misaligned"/>
    <x v="1"/>
    <s v="High Value Tier"/>
    <x v="1"/>
  </r>
  <r>
    <s v="ORD5911"/>
    <s v="CUST1911"/>
    <n v="62"/>
    <s v="PROD1111"/>
    <x v="0"/>
    <x v="143"/>
    <d v="2024-04-04T00:00:00"/>
    <n v="3"/>
    <x v="0"/>
    <d v="2023-02-10T00:00:00"/>
    <s v=" $27.29 "/>
    <n v="7"/>
    <n v="34"/>
    <s v="Sports"/>
    <s v="Sneakers"/>
    <x v="2"/>
    <x v="0"/>
    <n v="191.03"/>
    <s v="Misaligned"/>
    <x v="1"/>
    <s v="High Value Tier"/>
    <x v="0"/>
  </r>
  <r>
    <s v="ORD5912"/>
    <s v="CUST1912"/>
    <n v="23"/>
    <s v="PROD1112"/>
    <x v="1"/>
    <x v="625"/>
    <s v="1/17/2025"/>
    <n v="1"/>
    <x v="1"/>
    <s v="12/13/2023"/>
    <s v=" $113.52 "/>
    <n v="8"/>
    <n v="43"/>
    <s v="Electronics"/>
    <s v="Jacket"/>
    <x v="2"/>
    <x v="0"/>
    <n v="908.16"/>
    <s v="Misaligned"/>
    <x v="3"/>
    <s v="High Value Tier"/>
    <x v="0"/>
  </r>
  <r>
    <s v="ORD5913"/>
    <s v="CUST1913"/>
    <n v="28"/>
    <s v="PROD1113"/>
    <x v="3"/>
    <x v="350"/>
    <d v="2025-01-02T00:00:00"/>
    <n v="3"/>
    <x v="1"/>
    <s v="9/21/2023"/>
    <s v=" $162.82 "/>
    <n v="4"/>
    <n v="11"/>
    <s v="Home"/>
    <s v="Smartphone"/>
    <x v="4"/>
    <x v="1"/>
    <n v="651.28"/>
    <s v="Misaligned"/>
    <x v="2"/>
    <s v="High Value Tier"/>
    <x v="0"/>
  </r>
  <r>
    <s v="ORD5914"/>
    <s v="CUST1914"/>
    <n v="63"/>
    <s v="PROD1114"/>
    <x v="4"/>
    <x v="580"/>
    <d v="2024-09-11T00:00:00"/>
    <n v="5"/>
    <x v="1"/>
    <s v="3/17/2022"/>
    <s v=" $12.45 "/>
    <n v="8"/>
    <n v="8"/>
    <s v="Clothing"/>
    <s v="Lamp"/>
    <x v="1"/>
    <x v="0"/>
    <n v="99.6"/>
    <s v="Misaligned"/>
    <x v="1"/>
    <s v="Core Tier"/>
    <x v="0"/>
  </r>
  <r>
    <s v="ORD5915"/>
    <s v="CUST1915"/>
    <n v="38"/>
    <s v="PROD1115"/>
    <x v="1"/>
    <x v="457"/>
    <s v="10/14/2023"/>
    <n v="0"/>
    <x v="1"/>
    <d v="2023-01-01T00:00:00"/>
    <s v=" $105.53 "/>
    <n v="2"/>
    <n v="26"/>
    <s v="Sports"/>
    <s v="Skirt"/>
    <x v="2"/>
    <x v="0"/>
    <n v="211.06"/>
    <s v="Misaligned"/>
    <x v="0"/>
    <s v="High Value Tier"/>
    <x v="0"/>
  </r>
  <r>
    <s v="ORD5916"/>
    <s v="CUST1916"/>
    <n v="51"/>
    <s v="PROD1116"/>
    <x v="1"/>
    <x v="7"/>
    <s v="8/23/2022"/>
    <n v="5"/>
    <x v="1"/>
    <s v="1/14/2024"/>
    <s v=" $177.37 "/>
    <n v="9"/>
    <n v="37"/>
    <s v="Home"/>
    <s v="Skirt"/>
    <x v="2"/>
    <x v="0"/>
    <n v="1596.33"/>
    <s v="Misaligned"/>
    <x v="1"/>
    <s v="High Value Tier"/>
    <x v="0"/>
  </r>
  <r>
    <s v="ORD5917"/>
    <s v="CUST1917"/>
    <n v="67"/>
    <s v="PROD1117"/>
    <x v="0"/>
    <x v="626"/>
    <s v="10/25/2022"/>
    <n v="5"/>
    <x v="0"/>
    <s v="6/29/2024"/>
    <s v=" $236.75 "/>
    <n v="1"/>
    <n v="24"/>
    <s v="Beauty"/>
    <s v="Laptop"/>
    <x v="4"/>
    <x v="1"/>
    <n v="236.75"/>
    <s v="Misaligned"/>
    <x v="4"/>
    <s v="High Value Tier"/>
    <x v="3"/>
  </r>
  <r>
    <s v="ORD5918"/>
    <s v="CUST1918"/>
    <n v="51"/>
    <s v="PROD1118"/>
    <x v="2"/>
    <x v="627"/>
    <s v="4/13/2023"/>
    <n v="0"/>
    <x v="0"/>
    <d v="2024-05-07T00:00:00"/>
    <s v=" $89.84 "/>
    <n v="6"/>
    <n v="43"/>
    <s v="Clothing"/>
    <s v="Dumbbells"/>
    <x v="0"/>
    <x v="0"/>
    <n v="539.04"/>
    <s v="Misaligned"/>
    <x v="1"/>
    <s v="High Value Tier"/>
    <x v="0"/>
  </r>
  <r>
    <s v="ORD5919"/>
    <s v="CUST1919"/>
    <n v="31"/>
    <s v="PROD1119"/>
    <x v="2"/>
    <x v="628"/>
    <s v="12/18/2021"/>
    <n v="5"/>
    <x v="0"/>
    <d v="2021-06-07T00:00:00"/>
    <s v=" $236.87 "/>
    <n v="8"/>
    <n v="40"/>
    <s v="Electronics"/>
    <s v="Sneakers"/>
    <x v="2"/>
    <x v="0"/>
    <n v="1894.96"/>
    <s v="Misaligned"/>
    <x v="2"/>
    <s v="High Value Tier"/>
    <x v="3"/>
  </r>
  <r>
    <s v="ORD5920"/>
    <s v="CUST1920"/>
    <n v="48"/>
    <s v="PROD1120"/>
    <x v="2"/>
    <x v="343"/>
    <d v="2023-09-12T00:00:00"/>
    <n v="2"/>
    <x v="1"/>
    <d v="2025-03-01T00:00:00"/>
    <s v=" $485.77 "/>
    <n v="4"/>
    <n v="49"/>
    <s v="Electronics"/>
    <s v="Microwave"/>
    <x v="1"/>
    <x v="1"/>
    <n v="1943.08"/>
    <s v="Misaligned"/>
    <x v="0"/>
    <s v="High Value Tier"/>
    <x v="0"/>
  </r>
  <r>
    <s v="ORD5921"/>
    <s v="CUST1921"/>
    <n v="36"/>
    <s v="PROD1121"/>
    <x v="3"/>
    <x v="112"/>
    <s v="11/25/2024"/>
    <n v="5"/>
    <x v="0"/>
    <d v="2023-06-07T00:00:00"/>
    <s v=" $223.30 "/>
    <n v="6"/>
    <n v="22"/>
    <s v="Home"/>
    <s v="Yoga Mat"/>
    <x v="0"/>
    <x v="1"/>
    <n v="1339.8"/>
    <s v="Misaligned"/>
    <x v="0"/>
    <s v="High Value Tier"/>
    <x v="3"/>
  </r>
  <r>
    <s v="ORD5922"/>
    <s v="CUST1922"/>
    <n v="68"/>
    <s v="PROD1122"/>
    <x v="0"/>
    <x v="265"/>
    <s v="4/23/2021"/>
    <n v="2"/>
    <x v="1"/>
    <d v="2023-03-05T00:00:00"/>
    <s v=" $141.79 "/>
    <n v="8"/>
    <n v="17"/>
    <s v="Clothing"/>
    <s v="Lamp"/>
    <x v="1"/>
    <x v="0"/>
    <n v="1134.32"/>
    <s v="Misaligned"/>
    <x v="4"/>
    <s v="High Value Tier"/>
    <x v="0"/>
  </r>
  <r>
    <s v="ORD5923"/>
    <s v="CUST1923"/>
    <n v="44"/>
    <s v="PROD1123"/>
    <x v="1"/>
    <x v="544"/>
    <d v="2022-02-03T00:00:00"/>
    <n v="4"/>
    <x v="0"/>
    <d v="2024-10-06T00:00:00"/>
    <s v=" $316.21 "/>
    <n v="6"/>
    <n v="22"/>
    <s v="Sports"/>
    <s v="Basketball"/>
    <x v="0"/>
    <x v="1"/>
    <n v="1897.26"/>
    <s v="Aligned"/>
    <x v="0"/>
    <s v="High Value Tier"/>
    <x v="3"/>
  </r>
  <r>
    <s v="ORD5924"/>
    <s v="CUST1924"/>
    <n v="66"/>
    <s v="PROD1124"/>
    <x v="5"/>
    <x v="491"/>
    <d v="2025-08-05T00:00:00"/>
    <n v="1"/>
    <x v="0"/>
    <d v="2025-07-05T00:00:00"/>
    <s v=" $253.96 "/>
    <n v="1"/>
    <n v="37"/>
    <s v="Clothing"/>
    <s v="Blender"/>
    <x v="1"/>
    <x v="0"/>
    <n v="253.96"/>
    <s v="Misaligned"/>
    <x v="4"/>
    <s v="High Value Tier"/>
    <x v="0"/>
  </r>
  <r>
    <s v="ORD5925"/>
    <s v="CUST1925"/>
    <n v="33"/>
    <s v="PROD1125"/>
    <x v="3"/>
    <x v="593"/>
    <s v="1/30/2024"/>
    <n v="0"/>
    <x v="2"/>
    <s v="7/23/2025"/>
    <s v=" $314.54 "/>
    <n v="1"/>
    <n v="39"/>
    <s v="Electronics"/>
    <s v="Dining Table"/>
    <x v="1"/>
    <x v="0"/>
    <n v="314.54000000000002"/>
    <s v="Misaligned"/>
    <x v="2"/>
    <s v="High Value Tier"/>
    <x v="1"/>
  </r>
  <r>
    <s v="ORD5926"/>
    <s v="CUST1926"/>
    <n v="44"/>
    <s v="PROD1126"/>
    <x v="5"/>
    <x v="249"/>
    <s v="3/24/2023"/>
    <n v="4"/>
    <x v="0"/>
    <d v="2023-11-11T00:00:00"/>
    <s v=" $183.60 "/>
    <n v="7"/>
    <n v="30"/>
    <s v="Clothing"/>
    <s v="Headphones"/>
    <x v="4"/>
    <x v="2"/>
    <n v="1285.2"/>
    <s v="Misaligned"/>
    <x v="0"/>
    <s v="High Value Tier"/>
    <x v="3"/>
  </r>
  <r>
    <s v="ORD5927"/>
    <s v="CUST1927"/>
    <n v="54"/>
    <s v="PROD1127"/>
    <x v="4"/>
    <x v="628"/>
    <d v="2023-10-09T00:00:00"/>
    <n v="3"/>
    <x v="2"/>
    <s v="5/23/2023"/>
    <s v=" $326.20 "/>
    <n v="5"/>
    <n v="16"/>
    <s v="Home"/>
    <s v="Refrigerator"/>
    <x v="1"/>
    <x v="0"/>
    <n v="1631"/>
    <s v="Aligned"/>
    <x v="1"/>
    <s v="High Value Tier"/>
    <x v="1"/>
  </r>
  <r>
    <s v="ORD5928"/>
    <s v="CUST1928"/>
    <n v="19"/>
    <s v="PROD1128"/>
    <x v="3"/>
    <x v="219"/>
    <s v="6/13/2023"/>
    <n v="1"/>
    <x v="2"/>
    <s v="4/19/2023"/>
    <s v=" $203.29 "/>
    <n v="9"/>
    <n v="8"/>
    <s v="Electronics"/>
    <s v="Conditioner"/>
    <x v="3"/>
    <x v="1"/>
    <n v="1829.61"/>
    <s v="Misaligned"/>
    <x v="3"/>
    <s v="High Value Tier"/>
    <x v="1"/>
  </r>
  <r>
    <s v="ORD5929"/>
    <s v="CUST1929"/>
    <n v="21"/>
    <s v="PROD1129"/>
    <x v="5"/>
    <x v="537"/>
    <d v="2022-01-05T00:00:00"/>
    <n v="0"/>
    <x v="0"/>
    <s v="4/18/2024"/>
    <s v=" $287.98 "/>
    <n v="4"/>
    <n v="38"/>
    <s v="Electronics"/>
    <s v="Jeans"/>
    <x v="2"/>
    <x v="2"/>
    <n v="1151.92"/>
    <s v="Misaligned"/>
    <x v="3"/>
    <s v="High Value Tier"/>
    <x v="0"/>
  </r>
  <r>
    <s v="ORD5930"/>
    <s v="CUST1930"/>
    <n v="42"/>
    <s v="PROD1130"/>
    <x v="2"/>
    <x v="43"/>
    <s v="10/14/2023"/>
    <n v="3"/>
    <x v="0"/>
    <d v="2024-08-09T00:00:00"/>
    <s v=" $1,187.15 "/>
    <n v="1"/>
    <n v="37"/>
    <s v="Beauty"/>
    <s v="Vacuum Cleaner"/>
    <x v="1"/>
    <x v="0"/>
    <n v="1187.1500000000001"/>
    <s v="Misaligned"/>
    <x v="0"/>
    <s v="High Value Tier"/>
    <x v="0"/>
  </r>
  <r>
    <s v="ORD5931"/>
    <s v="CUST1931"/>
    <n v="31"/>
    <s v="PROD1131"/>
    <x v="1"/>
    <x v="295"/>
    <s v="9/15/2024"/>
    <n v="1"/>
    <x v="0"/>
    <s v="3/25/2024"/>
    <s v=" $41.26 "/>
    <n v="2"/>
    <n v="43"/>
    <s v="Electronics"/>
    <s v="Tennis Racket"/>
    <x v="0"/>
    <x v="0"/>
    <n v="82.52"/>
    <s v="Misaligned"/>
    <x v="2"/>
    <s v="High Value Tier"/>
    <x v="0"/>
  </r>
  <r>
    <s v="ORD5932"/>
    <s v="CUST1932"/>
    <n v="25"/>
    <s v="PROD1132"/>
    <x v="5"/>
    <x v="622"/>
    <s v="5/14/2025"/>
    <n v="5"/>
    <x v="0"/>
    <s v="6/26/2021"/>
    <s v=" $442.11 "/>
    <n v="4"/>
    <n v="32"/>
    <s v="Sports"/>
    <s v="Shampoo"/>
    <x v="3"/>
    <x v="1"/>
    <n v="1768.44"/>
    <s v="Misaligned"/>
    <x v="2"/>
    <s v="High Value Tier"/>
    <x v="3"/>
  </r>
  <r>
    <s v="ORD5933"/>
    <s v="CUST1933"/>
    <n v="21"/>
    <s v="PROD1133"/>
    <x v="0"/>
    <x v="403"/>
    <s v="1/27/2025"/>
    <n v="0"/>
    <x v="0"/>
    <s v="6/30/2022"/>
    <s v=" $157.40 "/>
    <n v="7"/>
    <n v="45"/>
    <s v="Sports"/>
    <s v="Lipstick"/>
    <x v="3"/>
    <x v="1"/>
    <n v="1101.8"/>
    <s v="Misaligned"/>
    <x v="3"/>
    <s v="High Value Tier"/>
    <x v="0"/>
  </r>
  <r>
    <s v="ORD5934"/>
    <s v="CUST1934"/>
    <n v="30"/>
    <s v="PROD1134"/>
    <x v="1"/>
    <x v="629"/>
    <d v="2025-08-04T00:00:00"/>
    <n v="0"/>
    <x v="0"/>
    <d v="2024-09-08T00:00:00"/>
    <s v=" $840.86 "/>
    <n v="2"/>
    <n v="21"/>
    <s v="Home"/>
    <s v="Tennis Racket"/>
    <x v="0"/>
    <x v="0"/>
    <n v="1681.72"/>
    <s v="Misaligned"/>
    <x v="2"/>
    <s v="High Value Tier"/>
    <x v="0"/>
  </r>
  <r>
    <s v="ORD5935"/>
    <s v="CUST1935"/>
    <n v="43"/>
    <s v="PROD1135"/>
    <x v="0"/>
    <x v="630"/>
    <d v="2024-05-05T00:00:00"/>
    <n v="3"/>
    <x v="2"/>
    <s v="8/21/2024"/>
    <s v=" $267.94 "/>
    <n v="6"/>
    <n v="40"/>
    <s v="Sports"/>
    <s v="Refrigerator"/>
    <x v="1"/>
    <x v="0"/>
    <n v="1607.64"/>
    <s v="Misaligned"/>
    <x v="0"/>
    <s v="High Value Tier"/>
    <x v="1"/>
  </r>
  <r>
    <s v="ORD5936"/>
    <s v="CUST1936"/>
    <n v="40"/>
    <s v="PROD1136"/>
    <x v="5"/>
    <x v="631"/>
    <s v="9/16/2023"/>
    <n v="5"/>
    <x v="0"/>
    <s v="3/20/2025"/>
    <s v=" $221.07 "/>
    <n v="8"/>
    <n v="27"/>
    <s v="Clothing"/>
    <s v="Sofa"/>
    <x v="1"/>
    <x v="1"/>
    <n v="1768.56"/>
    <s v="Misaligned"/>
    <x v="0"/>
    <s v="High Value Tier"/>
    <x v="3"/>
  </r>
  <r>
    <s v="ORD5937"/>
    <s v="CUST1937"/>
    <n v="52"/>
    <s v="PROD1137"/>
    <x v="4"/>
    <x v="632"/>
    <s v="6/22/2024"/>
    <n v="0"/>
    <x v="1"/>
    <d v="2025-02-06T00:00:00"/>
    <s v=" $198.60 "/>
    <n v="4"/>
    <n v="47"/>
    <s v="Electronics"/>
    <s v="Shirt"/>
    <x v="2"/>
    <x v="1"/>
    <n v="794.4"/>
    <s v="Misaligned"/>
    <x v="1"/>
    <s v="High Value Tier"/>
    <x v="0"/>
  </r>
  <r>
    <s v="ORD5938"/>
    <s v="CUST1938"/>
    <n v="69"/>
    <s v="PROD1138"/>
    <x v="0"/>
    <x v="633"/>
    <s v="4/30/2022"/>
    <n v="1"/>
    <x v="0"/>
    <d v="2022-08-08T00:00:00"/>
    <s v=" $1,782.82 "/>
    <n v="1"/>
    <n v="47"/>
    <s v="Sports"/>
    <s v="Dumbbells"/>
    <x v="0"/>
    <x v="0"/>
    <n v="1782.82"/>
    <s v="Aligned"/>
    <x v="4"/>
    <s v="High Value Tier"/>
    <x v="0"/>
  </r>
  <r>
    <s v="ORD5939"/>
    <s v="CUST1939"/>
    <n v="45"/>
    <s v="PROD1139"/>
    <x v="2"/>
    <x v="634"/>
    <s v="7/21/2022"/>
    <n v="3"/>
    <x v="1"/>
    <s v="5/18/2025"/>
    <s v=" $246.91 "/>
    <n v="7"/>
    <n v="25"/>
    <s v="Home"/>
    <s v="Tablet"/>
    <x v="4"/>
    <x v="1"/>
    <n v="1728.37"/>
    <s v="Misaligned"/>
    <x v="0"/>
    <s v="High Value Tier"/>
    <x v="0"/>
  </r>
  <r>
    <s v="ORD5940"/>
    <s v="CUST1940"/>
    <n v="26"/>
    <s v="PROD1140"/>
    <x v="2"/>
    <x v="574"/>
    <s v="2/26/2023"/>
    <n v="0"/>
    <x v="2"/>
    <d v="2024-11-10T00:00:00"/>
    <s v=" $41.50 "/>
    <n v="7"/>
    <n v="7"/>
    <s v="Electronics"/>
    <s v="Cricket Bat"/>
    <x v="0"/>
    <x v="1"/>
    <n v="290.5"/>
    <s v="Misaligned"/>
    <x v="2"/>
    <s v="Core Tier"/>
    <x v="1"/>
  </r>
  <r>
    <s v="ORD5941"/>
    <s v="CUST1941"/>
    <n v="27"/>
    <s v="PROD1141"/>
    <x v="1"/>
    <x v="105"/>
    <s v="6/29/2024"/>
    <n v="3"/>
    <x v="0"/>
    <d v="2023-02-08T00:00:00"/>
    <s v=" $49.54 "/>
    <n v="5"/>
    <n v="2"/>
    <s v="Electronics"/>
    <s v="Cricket Bat"/>
    <x v="0"/>
    <x v="1"/>
    <n v="247.7"/>
    <s v="Misaligned"/>
    <x v="2"/>
    <s v="Value Tier"/>
    <x v="0"/>
  </r>
  <r>
    <s v="ORD5942"/>
    <s v="CUST1942"/>
    <n v="56"/>
    <s v="PROD1142"/>
    <x v="5"/>
    <x v="432"/>
    <s v="1/21/2024"/>
    <n v="1"/>
    <x v="0"/>
    <s v="5/18/2025"/>
    <s v=" $394.99 "/>
    <n v="5"/>
    <n v="35"/>
    <s v="Home"/>
    <s v="Jacket"/>
    <x v="2"/>
    <x v="0"/>
    <n v="1974.95"/>
    <s v="Misaligned"/>
    <x v="1"/>
    <s v="High Value Tier"/>
    <x v="0"/>
  </r>
  <r>
    <s v="ORD5943"/>
    <s v="CUST1943"/>
    <n v="38"/>
    <s v="PROD1143"/>
    <x v="4"/>
    <x v="635"/>
    <d v="2023-04-04T00:00:00"/>
    <n v="0"/>
    <x v="0"/>
    <d v="2023-04-09T00:00:00"/>
    <s v=" $117.48 "/>
    <n v="6"/>
    <n v="47"/>
    <s v="Home"/>
    <s v="Yoga Mat"/>
    <x v="0"/>
    <x v="0"/>
    <n v="704.88"/>
    <s v="Misaligned"/>
    <x v="0"/>
    <s v="High Value Tier"/>
    <x v="0"/>
  </r>
  <r>
    <s v="ORD5944"/>
    <s v="CUST1944"/>
    <n v="33"/>
    <s v="PROD1144"/>
    <x v="3"/>
    <x v="224"/>
    <s v="3/16/2024"/>
    <n v="5"/>
    <x v="1"/>
    <d v="2021-08-06T00:00:00"/>
    <s v=" $262.89 "/>
    <n v="4"/>
    <n v="14"/>
    <s v="Home"/>
    <s v="Football"/>
    <x v="0"/>
    <x v="1"/>
    <n v="1051.56"/>
    <s v="Misaligned"/>
    <x v="2"/>
    <s v="High Value Tier"/>
    <x v="0"/>
  </r>
  <r>
    <s v="ORD5945"/>
    <s v="CUST1945"/>
    <n v="19"/>
    <s v="PROD1145"/>
    <x v="0"/>
    <x v="84"/>
    <d v="2022-07-12T00:00:00"/>
    <n v="0"/>
    <x v="2"/>
    <s v="9/22/2022"/>
    <s v=" $113.64 "/>
    <n v="9"/>
    <n v="17"/>
    <s v="Electronics"/>
    <s v="Foundation"/>
    <x v="3"/>
    <x v="1"/>
    <n v="1022.76"/>
    <s v="Misaligned"/>
    <x v="3"/>
    <s v="High Value Tier"/>
    <x v="1"/>
  </r>
  <r>
    <s v="ORD5946"/>
    <s v="CUST1946"/>
    <n v="44"/>
    <s v="PROD1146"/>
    <x v="4"/>
    <x v="636"/>
    <s v="1/18/2024"/>
    <n v="1"/>
    <x v="2"/>
    <s v="5/17/2025"/>
    <s v=" $871.85 "/>
    <n v="2"/>
    <n v="23"/>
    <s v="Electronics"/>
    <s v="Dress"/>
    <x v="2"/>
    <x v="0"/>
    <n v="1743.7"/>
    <s v="Misaligned"/>
    <x v="0"/>
    <s v="High Value Tier"/>
    <x v="1"/>
  </r>
  <r>
    <s v="ORD5947"/>
    <s v="CUST1947"/>
    <n v="69"/>
    <s v="PROD1147"/>
    <x v="1"/>
    <x v="637"/>
    <s v="6/22/2022"/>
    <n v="5"/>
    <x v="0"/>
    <s v="2/26/2023"/>
    <s v=" $470.37 "/>
    <n v="3"/>
    <n v="37"/>
    <s v="Electronics"/>
    <s v="Laptop"/>
    <x v="4"/>
    <x v="1"/>
    <n v="1411.11"/>
    <s v="Aligned"/>
    <x v="4"/>
    <s v="High Value Tier"/>
    <x v="3"/>
  </r>
  <r>
    <s v="ORD5948"/>
    <s v="CUST1948"/>
    <n v="39"/>
    <s v="PROD1148"/>
    <x v="1"/>
    <x v="638"/>
    <d v="2021-07-06T00:00:00"/>
    <n v="5"/>
    <x v="0"/>
    <s v="7/24/2021"/>
    <s v=" $349.45 "/>
    <n v="5"/>
    <n v="22"/>
    <s v="Electronics"/>
    <s v="Cycling Helmet"/>
    <x v="0"/>
    <x v="1"/>
    <n v="1747.25"/>
    <s v="Misaligned"/>
    <x v="0"/>
    <s v="High Value Tier"/>
    <x v="3"/>
  </r>
  <r>
    <s v="ORD5949"/>
    <s v="CUST1949"/>
    <n v="67"/>
    <s v="PROD1149"/>
    <x v="3"/>
    <x v="136"/>
    <s v="7/25/2022"/>
    <n v="0"/>
    <x v="2"/>
    <s v="11/27/2023"/>
    <s v=" $246.71 "/>
    <n v="6"/>
    <n v="12"/>
    <s v="Clothing"/>
    <s v="Perfume"/>
    <x v="3"/>
    <x v="0"/>
    <n v="1480.26"/>
    <s v="Misaligned"/>
    <x v="4"/>
    <s v="High Value Tier"/>
    <x v="1"/>
  </r>
  <r>
    <s v="ORD5950"/>
    <s v="CUST1950"/>
    <n v="22"/>
    <s v="PROD1150"/>
    <x v="4"/>
    <x v="639"/>
    <s v="4/22/2024"/>
    <n v="2"/>
    <x v="0"/>
    <s v="3/27/2025"/>
    <s v=" $219.88 "/>
    <n v="4"/>
    <n v="48"/>
    <s v="Clothing"/>
    <s v="Skirt"/>
    <x v="2"/>
    <x v="1"/>
    <n v="879.52"/>
    <s v="Aligned"/>
    <x v="3"/>
    <s v="High Value Tier"/>
    <x v="0"/>
  </r>
  <r>
    <s v="ORD5951"/>
    <s v="CUST1951"/>
    <n v="57"/>
    <s v="PROD1151"/>
    <x v="0"/>
    <x v="640"/>
    <d v="2023-02-09T00:00:00"/>
    <n v="5"/>
    <x v="0"/>
    <d v="2022-11-10T00:00:00"/>
    <s v=" $38.90 "/>
    <n v="7"/>
    <n v="48"/>
    <s v="Sports"/>
    <s v="Vacuum Cleaner"/>
    <x v="1"/>
    <x v="0"/>
    <n v="272.3"/>
    <s v="Misaligned"/>
    <x v="1"/>
    <s v="High Value Tier"/>
    <x v="3"/>
  </r>
  <r>
    <s v="ORD5952"/>
    <s v="CUST1952"/>
    <n v="18"/>
    <s v="PROD1152"/>
    <x v="2"/>
    <x v="272"/>
    <s v="8/14/2023"/>
    <n v="5"/>
    <x v="0"/>
    <s v="4/24/2024"/>
    <s v=" $235.66 "/>
    <n v="6"/>
    <n v="9"/>
    <s v="Clothing"/>
    <s v="Foundation"/>
    <x v="3"/>
    <x v="1"/>
    <n v="1413.96"/>
    <s v="Misaligned"/>
    <x v="3"/>
    <s v="High Value Tier"/>
    <x v="3"/>
  </r>
  <r>
    <s v="ORD5953"/>
    <s v="CUST1953"/>
    <n v="30"/>
    <s v="PROD1153"/>
    <x v="0"/>
    <x v="641"/>
    <s v="4/13/2025"/>
    <n v="1"/>
    <x v="0"/>
    <s v="11/20/2024"/>
    <s v=" $1,880.02 "/>
    <n v="1"/>
    <n v="48"/>
    <s v="Clothing"/>
    <s v="Blender"/>
    <x v="1"/>
    <x v="0"/>
    <n v="1880.02"/>
    <s v="Misaligned"/>
    <x v="2"/>
    <s v="High Value Tier"/>
    <x v="0"/>
  </r>
  <r>
    <s v="ORD5954"/>
    <s v="CUST1954"/>
    <n v="64"/>
    <s v="PROD1154"/>
    <x v="2"/>
    <x v="642"/>
    <s v="12/21/2024"/>
    <n v="4"/>
    <x v="1"/>
    <s v="12/25/2024"/>
    <s v=" $55.52 "/>
    <n v="9"/>
    <n v="42"/>
    <s v="Sports"/>
    <s v="Cricket Bat"/>
    <x v="0"/>
    <x v="1"/>
    <n v="499.68"/>
    <s v="Aligned"/>
    <x v="1"/>
    <s v="High Value Tier"/>
    <x v="0"/>
  </r>
  <r>
    <s v="ORD5955"/>
    <s v="CUST1955"/>
    <n v="45"/>
    <s v="PROD1155"/>
    <x v="1"/>
    <x v="560"/>
    <d v="2025-09-02T00:00:00"/>
    <n v="1"/>
    <x v="0"/>
    <s v="6/18/2023"/>
    <s v=" $73.02 "/>
    <n v="6"/>
    <n v="21"/>
    <s v="Beauty"/>
    <s v="Perfume"/>
    <x v="3"/>
    <x v="0"/>
    <n v="438.12"/>
    <s v="Aligned"/>
    <x v="0"/>
    <s v="High Value Tier"/>
    <x v="0"/>
  </r>
  <r>
    <s v="ORD5956"/>
    <s v="CUST1956"/>
    <n v="58"/>
    <s v="PROD1156"/>
    <x v="2"/>
    <x v="643"/>
    <s v="3/27/2025"/>
    <n v="3"/>
    <x v="0"/>
    <d v="2023-08-02T00:00:00"/>
    <s v=" $1,802.85 "/>
    <n v="1"/>
    <n v="37"/>
    <s v="Electronics"/>
    <s v="T-Shirt"/>
    <x v="2"/>
    <x v="1"/>
    <n v="1802.85"/>
    <s v="Misaligned"/>
    <x v="1"/>
    <s v="High Value Tier"/>
    <x v="0"/>
  </r>
  <r>
    <s v="ORD5957"/>
    <s v="CUST1957"/>
    <n v="21"/>
    <s v="PROD1157"/>
    <x v="2"/>
    <x v="392"/>
    <s v="10/27/2021"/>
    <n v="5"/>
    <x v="1"/>
    <d v="2023-08-11T00:00:00"/>
    <s v=" $778.38 "/>
    <n v="2"/>
    <n v="28"/>
    <s v="Home"/>
    <s v="Sneakers"/>
    <x v="2"/>
    <x v="1"/>
    <n v="1556.76"/>
    <s v="Misaligned"/>
    <x v="3"/>
    <s v="High Value Tier"/>
    <x v="0"/>
  </r>
  <r>
    <s v="ORD5958"/>
    <s v="CUST1958"/>
    <n v="22"/>
    <s v="PROD1158"/>
    <x v="2"/>
    <x v="644"/>
    <s v="9/29/2024"/>
    <n v="3"/>
    <x v="1"/>
    <s v="11/30/2024"/>
    <s v=" $128.14 "/>
    <n v="9"/>
    <n v="9"/>
    <s v="Home"/>
    <s v="Bluetooth Speaker"/>
    <x v="4"/>
    <x v="0"/>
    <n v="1153.26"/>
    <s v="Misaligned"/>
    <x v="3"/>
    <s v="High Value Tier"/>
    <x v="0"/>
  </r>
  <r>
    <s v="ORD5959"/>
    <s v="CUST1959"/>
    <n v="36"/>
    <s v="PROD1159"/>
    <x v="4"/>
    <x v="268"/>
    <d v="2022-08-07T00:00:00"/>
    <n v="3"/>
    <x v="0"/>
    <d v="2023-02-12T00:00:00"/>
    <s v=" $175.21 "/>
    <n v="7"/>
    <n v="5"/>
    <s v="Electronics"/>
    <s v="Basketball"/>
    <x v="0"/>
    <x v="0"/>
    <n v="1226.47"/>
    <s v="Misaligned"/>
    <x v="0"/>
    <s v="High Value Tier"/>
    <x v="0"/>
  </r>
  <r>
    <s v="ORD5960"/>
    <s v="CUST1960"/>
    <n v="24"/>
    <s v="PROD1160"/>
    <x v="3"/>
    <x v="645"/>
    <s v="3/15/2025"/>
    <n v="4"/>
    <x v="1"/>
    <s v="9/16/2023"/>
    <s v=" $178.84 "/>
    <n v="3"/>
    <n v="34"/>
    <s v="Sports"/>
    <s v="Basketball"/>
    <x v="0"/>
    <x v="1"/>
    <n v="536.52"/>
    <s v="Aligned"/>
    <x v="3"/>
    <s v="High Value Tier"/>
    <x v="0"/>
  </r>
  <r>
    <s v="ORD5961"/>
    <s v="CUST1961"/>
    <n v="65"/>
    <s v="PROD1161"/>
    <x v="0"/>
    <x v="646"/>
    <s v="8/13/2022"/>
    <n v="1"/>
    <x v="0"/>
    <s v="4/24/2024"/>
    <s v=" $100.80 "/>
    <n v="6"/>
    <n v="38"/>
    <s v="Beauty"/>
    <s v="Dining Table"/>
    <x v="1"/>
    <x v="0"/>
    <n v="604.79999999999995"/>
    <s v="Misaligned"/>
    <x v="4"/>
    <s v="High Value Tier"/>
    <x v="0"/>
  </r>
  <r>
    <s v="ORD5962"/>
    <s v="CUST1962"/>
    <n v="56"/>
    <s v="PROD1162"/>
    <x v="1"/>
    <x v="647"/>
    <s v="7/25/2025"/>
    <n v="0"/>
    <x v="0"/>
    <s v="8/19/2024"/>
    <s v=" $469.18 "/>
    <n v="3"/>
    <n v="12"/>
    <s v="Electronics"/>
    <s v="Smartwatch"/>
    <x v="4"/>
    <x v="1"/>
    <n v="1407.54"/>
    <s v="Aligned"/>
    <x v="1"/>
    <s v="High Value Tier"/>
    <x v="0"/>
  </r>
  <r>
    <s v="ORD5963"/>
    <s v="CUST1963"/>
    <n v="21"/>
    <s v="PROD1163"/>
    <x v="3"/>
    <x v="648"/>
    <s v="5/19/2023"/>
    <n v="1"/>
    <x v="1"/>
    <s v="7/25/2023"/>
    <s v=" $395.18 "/>
    <n v="5"/>
    <n v="7"/>
    <s v="Home"/>
    <s v="Sneakers"/>
    <x v="2"/>
    <x v="1"/>
    <n v="1975.9"/>
    <s v="Misaligned"/>
    <x v="3"/>
    <s v="High Value Tier"/>
    <x v="0"/>
  </r>
  <r>
    <s v="ORD5964"/>
    <s v="CUST1964"/>
    <n v="39"/>
    <s v="PROD1164"/>
    <x v="0"/>
    <x v="609"/>
    <d v="2025-01-05T00:00:00"/>
    <n v="3"/>
    <x v="0"/>
    <d v="2024-01-11T00:00:00"/>
    <s v=" $66.90 "/>
    <n v="7"/>
    <n v="5"/>
    <s v="Electronics"/>
    <s v="T-Shirt"/>
    <x v="2"/>
    <x v="0"/>
    <n v="468.3"/>
    <s v="Misaligned"/>
    <x v="0"/>
    <s v="Core Tier"/>
    <x v="0"/>
  </r>
  <r>
    <s v="ORD5965"/>
    <s v="CUST1965"/>
    <n v="39"/>
    <s v="PROD1165"/>
    <x v="2"/>
    <x v="583"/>
    <s v="12/21/2023"/>
    <n v="3"/>
    <x v="1"/>
    <d v="2022-03-02T00:00:00"/>
    <s v=" $228.96 "/>
    <n v="7"/>
    <n v="11"/>
    <s v="Electronics"/>
    <s v="Sneakers"/>
    <x v="2"/>
    <x v="0"/>
    <n v="1602.72"/>
    <s v="Misaligned"/>
    <x v="0"/>
    <s v="High Value Tier"/>
    <x v="0"/>
  </r>
  <r>
    <s v="ORD5966"/>
    <s v="CUST1966"/>
    <n v="29"/>
    <s v="PROD1166"/>
    <x v="1"/>
    <x v="225"/>
    <s v="2/19/2024"/>
    <n v="2"/>
    <x v="2"/>
    <d v="2023-06-04T00:00:00"/>
    <s v=" $150.30 "/>
    <n v="5"/>
    <n v="44"/>
    <s v="Sports"/>
    <s v="Perfume"/>
    <x v="3"/>
    <x v="1"/>
    <n v="751.5"/>
    <s v="Misaligned"/>
    <x v="2"/>
    <s v="High Value Tier"/>
    <x v="1"/>
  </r>
  <r>
    <s v="ORD5967"/>
    <s v="CUST1967"/>
    <n v="32"/>
    <s v="PROD1167"/>
    <x v="4"/>
    <x v="444"/>
    <s v="5/20/2022"/>
    <n v="2"/>
    <x v="1"/>
    <d v="2025-04-08T00:00:00"/>
    <s v=" $77.12 "/>
    <n v="3"/>
    <n v="31"/>
    <s v="Clothing"/>
    <s v="Chair"/>
    <x v="1"/>
    <x v="1"/>
    <n v="231.36"/>
    <s v="Misaligned"/>
    <x v="2"/>
    <s v="High Value Tier"/>
    <x v="0"/>
  </r>
  <r>
    <s v="ORD5968"/>
    <s v="CUST1968"/>
    <n v="54"/>
    <s v="PROD1168"/>
    <x v="2"/>
    <x v="618"/>
    <d v="2024-12-06T00:00:00"/>
    <n v="1"/>
    <x v="0"/>
    <s v="7/21/2021"/>
    <s v=" $72.21 "/>
    <n v="6"/>
    <n v="29"/>
    <s v="Electronics"/>
    <s v="Lamp"/>
    <x v="1"/>
    <x v="0"/>
    <n v="433.26"/>
    <s v="Misaligned"/>
    <x v="1"/>
    <s v="High Value Tier"/>
    <x v="0"/>
  </r>
  <r>
    <s v="ORD5969"/>
    <s v="CUST1969"/>
    <n v="36"/>
    <s v="PROD1169"/>
    <x v="3"/>
    <x v="649"/>
    <d v="2024-11-12T00:00:00"/>
    <n v="1"/>
    <x v="1"/>
    <d v="2023-07-09T00:00:00"/>
    <s v=" $196.33 "/>
    <n v="3"/>
    <n v="22"/>
    <s v="Beauty"/>
    <s v="Camera"/>
    <x v="4"/>
    <x v="1"/>
    <n v="588.99"/>
    <s v="Misaligned"/>
    <x v="0"/>
    <s v="High Value Tier"/>
    <x v="0"/>
  </r>
  <r>
    <s v="ORD5970"/>
    <s v="CUST1970"/>
    <n v="47"/>
    <s v="PROD1170"/>
    <x v="4"/>
    <x v="650"/>
    <s v="3/19/2025"/>
    <n v="4"/>
    <x v="0"/>
    <d v="2023-08-12T00:00:00"/>
    <s v=" $3.79 "/>
    <n v="6"/>
    <n v="47"/>
    <s v="Clothing"/>
    <s v="Moisturizer"/>
    <x v="3"/>
    <x v="1"/>
    <n v="22.74"/>
    <s v="Misaligned"/>
    <x v="0"/>
    <s v="Core Tier"/>
    <x v="3"/>
  </r>
  <r>
    <s v="ORD5971"/>
    <s v="CUST1971"/>
    <n v="29"/>
    <s v="PROD1171"/>
    <x v="3"/>
    <x v="495"/>
    <s v="11/14/2024"/>
    <n v="5"/>
    <x v="0"/>
    <s v="10/29/2023"/>
    <s v=" $106.22 "/>
    <n v="3"/>
    <n v="36"/>
    <s v="Electronics"/>
    <s v="Dining Table"/>
    <x v="1"/>
    <x v="0"/>
    <n v="318.66000000000003"/>
    <s v="Misaligned"/>
    <x v="2"/>
    <s v="High Value Tier"/>
    <x v="3"/>
  </r>
  <r>
    <s v="ORD5972"/>
    <s v="CUST1972"/>
    <n v="62"/>
    <s v="PROD1172"/>
    <x v="3"/>
    <x v="203"/>
    <s v="7/24/2025"/>
    <n v="2"/>
    <x v="1"/>
    <s v="10/20/2024"/>
    <s v=" $180.75 "/>
    <n v="3"/>
    <n v="37"/>
    <s v="Electronics"/>
    <s v="Nail Polish"/>
    <x v="3"/>
    <x v="0"/>
    <n v="542.25"/>
    <s v="Misaligned"/>
    <x v="1"/>
    <s v="High Value Tier"/>
    <x v="0"/>
  </r>
  <r>
    <s v="ORD5973"/>
    <s v="CUST1973"/>
    <n v="61"/>
    <s v="PROD1173"/>
    <x v="2"/>
    <x v="377"/>
    <s v="1/18/2025"/>
    <n v="3"/>
    <x v="0"/>
    <d v="2022-10-09T00:00:00"/>
    <s v=" $296.92 "/>
    <n v="4"/>
    <n v="28"/>
    <s v="Electronics"/>
    <s v="Camera"/>
    <x v="4"/>
    <x v="0"/>
    <n v="1187.68"/>
    <s v="Aligned"/>
    <x v="1"/>
    <s v="High Value Tier"/>
    <x v="0"/>
  </r>
  <r>
    <s v="ORD5974"/>
    <s v="CUST1974"/>
    <n v="63"/>
    <s v="PROD1174"/>
    <x v="0"/>
    <x v="269"/>
    <s v="1/23/2023"/>
    <n v="5"/>
    <x v="0"/>
    <s v="12/18/2024"/>
    <s v=" $29.50 "/>
    <n v="8"/>
    <n v="14"/>
    <s v="Home"/>
    <s v="Jacket"/>
    <x v="2"/>
    <x v="1"/>
    <n v="236"/>
    <s v="Misaligned"/>
    <x v="1"/>
    <s v="High Value Tier"/>
    <x v="3"/>
  </r>
  <r>
    <s v="ORD5975"/>
    <s v="CUST1975"/>
    <n v="53"/>
    <s v="PROD1175"/>
    <x v="3"/>
    <x v="432"/>
    <s v="5/24/2025"/>
    <n v="2"/>
    <x v="0"/>
    <d v="2023-08-01T00:00:00"/>
    <s v=" $31.86 "/>
    <n v="9"/>
    <n v="14"/>
    <s v="Beauty"/>
    <s v="Tablet"/>
    <x v="4"/>
    <x v="0"/>
    <n v="286.74"/>
    <s v="Misaligned"/>
    <x v="1"/>
    <s v="High Value Tier"/>
    <x v="0"/>
  </r>
  <r>
    <s v="ORD5976"/>
    <s v="CUST1976"/>
    <n v="43"/>
    <s v="PROD1176"/>
    <x v="1"/>
    <x v="368"/>
    <d v="2023-07-11T00:00:00"/>
    <n v="0"/>
    <x v="0"/>
    <s v="6/23/2025"/>
    <s v=" $145.88 "/>
    <n v="7"/>
    <n v="9"/>
    <s v="Clothing"/>
    <s v="Basketball"/>
    <x v="0"/>
    <x v="0"/>
    <n v="1021.16"/>
    <s v="Misaligned"/>
    <x v="0"/>
    <s v="High Value Tier"/>
    <x v="0"/>
  </r>
  <r>
    <s v="ORD5977"/>
    <s v="CUST1977"/>
    <n v="63"/>
    <s v="PROD1177"/>
    <x v="0"/>
    <x v="651"/>
    <d v="2022-03-12T00:00:00"/>
    <n v="5"/>
    <x v="0"/>
    <s v="12/14/2023"/>
    <s v=" $296.35 "/>
    <n v="4"/>
    <n v="8"/>
    <s v="Beauty"/>
    <s v="Camera"/>
    <x v="4"/>
    <x v="1"/>
    <n v="1185.4000000000001"/>
    <s v="Misaligned"/>
    <x v="1"/>
    <s v="High Value Tier"/>
    <x v="3"/>
  </r>
  <r>
    <s v="ORD5978"/>
    <s v="CUST1978"/>
    <n v="61"/>
    <s v="PROD1178"/>
    <x v="2"/>
    <x v="232"/>
    <s v="9/18/2023"/>
    <n v="0"/>
    <x v="0"/>
    <s v="6/21/2023"/>
    <s v=" $488.66 "/>
    <n v="4"/>
    <n v="20"/>
    <s v="Home"/>
    <s v="Camera"/>
    <x v="4"/>
    <x v="1"/>
    <n v="1954.64"/>
    <s v="Misaligned"/>
    <x v="1"/>
    <s v="High Value Tier"/>
    <x v="0"/>
  </r>
  <r>
    <s v="ORD5979"/>
    <s v="CUST1979"/>
    <n v="29"/>
    <s v="PROD1179"/>
    <x v="0"/>
    <x v="652"/>
    <s v="6/25/2025"/>
    <n v="1"/>
    <x v="2"/>
    <s v="11/28/2023"/>
    <s v=" $132.21 "/>
    <n v="4"/>
    <n v="6"/>
    <s v="Beauty"/>
    <s v="Lipstick"/>
    <x v="3"/>
    <x v="0"/>
    <n v="528.84"/>
    <s v="Aligned"/>
    <x v="2"/>
    <s v="High Value Tier"/>
    <x v="1"/>
  </r>
  <r>
    <s v="ORD5980"/>
    <s v="CUST1980"/>
    <n v="64"/>
    <s v="PROD1180"/>
    <x v="2"/>
    <x v="495"/>
    <s v="2/26/2025"/>
    <n v="3"/>
    <x v="2"/>
    <s v="7/23/2022"/>
    <s v=" $213.50 "/>
    <n v="7"/>
    <n v="39"/>
    <s v="Home"/>
    <s v="Jacket"/>
    <x v="2"/>
    <x v="0"/>
    <n v="1494.5"/>
    <s v="Misaligned"/>
    <x v="1"/>
    <s v="High Value Tier"/>
    <x v="1"/>
  </r>
  <r>
    <s v="ORD5981"/>
    <s v="CUST1981"/>
    <n v="46"/>
    <s v="PROD1181"/>
    <x v="5"/>
    <x v="352"/>
    <s v="4/18/2025"/>
    <n v="3"/>
    <x v="1"/>
    <d v="2024-02-04T00:00:00"/>
    <s v=" $160.90 "/>
    <n v="7"/>
    <n v="41"/>
    <s v="Sports"/>
    <s v="Hoodie"/>
    <x v="2"/>
    <x v="1"/>
    <n v="1126.3"/>
    <s v="Misaligned"/>
    <x v="0"/>
    <s v="High Value Tier"/>
    <x v="0"/>
  </r>
  <r>
    <s v="ORD5982"/>
    <s v="CUST1982"/>
    <n v="67"/>
    <s v="PROD1182"/>
    <x v="2"/>
    <x v="628"/>
    <d v="2022-11-09T00:00:00"/>
    <n v="1"/>
    <x v="1"/>
    <s v="9/28/2020"/>
    <s v=" $58.81 "/>
    <n v="7"/>
    <n v="46"/>
    <s v="Clothing"/>
    <s v="Lipstick"/>
    <x v="3"/>
    <x v="1"/>
    <n v="411.67"/>
    <s v="Misaligned"/>
    <x v="4"/>
    <s v="High Value Tier"/>
    <x v="0"/>
  </r>
  <r>
    <s v="ORD5983"/>
    <s v="CUST1983"/>
    <n v="37"/>
    <s v="PROD1183"/>
    <x v="5"/>
    <x v="314"/>
    <s v="5/15/2022"/>
    <n v="0"/>
    <x v="0"/>
    <d v="2022-11-06T00:00:00"/>
    <s v=" $211.84 "/>
    <n v="6"/>
    <n v="30"/>
    <s v="Beauty"/>
    <s v="Camera"/>
    <x v="4"/>
    <x v="1"/>
    <n v="1271.04"/>
    <s v="Misaligned"/>
    <x v="0"/>
    <s v="High Value Tier"/>
    <x v="0"/>
  </r>
  <r>
    <s v="ORD5984"/>
    <s v="CUST1984"/>
    <n v="25"/>
    <s v="PROD1184"/>
    <x v="3"/>
    <x v="379"/>
    <d v="2022-10-06T00:00:00"/>
    <n v="1"/>
    <x v="0"/>
    <s v="6/18/2025"/>
    <s v=" $1,982.82 "/>
    <n v="1"/>
    <n v="7"/>
    <s v="Sports"/>
    <s v="Sneakers"/>
    <x v="2"/>
    <x v="1"/>
    <n v="1982.82"/>
    <s v="Misaligned"/>
    <x v="2"/>
    <s v="High Value Tier"/>
    <x v="0"/>
  </r>
  <r>
    <s v="ORD5985"/>
    <s v="CUST1985"/>
    <n v="22"/>
    <s v="PROD1185"/>
    <x v="2"/>
    <x v="575"/>
    <d v="2024-07-03T00:00:00"/>
    <n v="3"/>
    <x v="2"/>
    <s v="4/24/2025"/>
    <s v=" $9.93 "/>
    <n v="8"/>
    <n v="28"/>
    <s v="Beauty"/>
    <s v="Tennis Racket"/>
    <x v="0"/>
    <x v="1"/>
    <n v="79.44"/>
    <s v="Misaligned"/>
    <x v="3"/>
    <s v="Core Tier"/>
    <x v="1"/>
  </r>
  <r>
    <s v="ORD5986"/>
    <s v="CUST1986"/>
    <n v="54"/>
    <s v="PROD1186"/>
    <x v="4"/>
    <x v="594"/>
    <d v="2024-04-02T00:00:00"/>
    <n v="3"/>
    <x v="0"/>
    <s v="8/23/2024"/>
    <s v=" $7.25 "/>
    <n v="8"/>
    <n v="29"/>
    <s v="Home"/>
    <s v="Jeans"/>
    <x v="2"/>
    <x v="1"/>
    <n v="58"/>
    <s v="Misaligned"/>
    <x v="1"/>
    <s v="Core Tier"/>
    <x v="0"/>
  </r>
  <r>
    <s v="ORD5987"/>
    <s v="CUST1987"/>
    <n v="18"/>
    <s v="PROD1187"/>
    <x v="5"/>
    <x v="119"/>
    <s v="4/24/2023"/>
    <n v="4"/>
    <x v="0"/>
    <s v="9/21/2024"/>
    <s v=" $21.48 "/>
    <n v="9"/>
    <n v="17"/>
    <s v="Clothing"/>
    <s v="Bluetooth Speaker"/>
    <x v="4"/>
    <x v="0"/>
    <n v="193.32"/>
    <s v="Misaligned"/>
    <x v="3"/>
    <s v="High Value Tier"/>
    <x v="3"/>
  </r>
  <r>
    <s v="ORD5988"/>
    <s v="CUST1988"/>
    <n v="44"/>
    <s v="PROD1188"/>
    <x v="4"/>
    <x v="490"/>
    <s v="7/31/2023"/>
    <n v="4"/>
    <x v="0"/>
    <d v="2023-02-04T00:00:00"/>
    <s v=" $211.96 "/>
    <n v="1"/>
    <n v="3"/>
    <s v="Home"/>
    <s v="Chair"/>
    <x v="1"/>
    <x v="1"/>
    <n v="211.96"/>
    <s v="Aligned"/>
    <x v="0"/>
    <s v="Value Tier"/>
    <x v="3"/>
  </r>
  <r>
    <s v="ORD5989"/>
    <s v="CUST1989"/>
    <n v="62"/>
    <s v="PROD1189"/>
    <x v="3"/>
    <x v="525"/>
    <d v="2024-07-06T00:00:00"/>
    <n v="0"/>
    <x v="0"/>
    <s v="8/16/2024"/>
    <s v=" $231.71 "/>
    <n v="4"/>
    <n v="2"/>
    <s v="Electronics"/>
    <s v="Blender"/>
    <x v="1"/>
    <x v="0"/>
    <n v="926.84"/>
    <s v="Misaligned"/>
    <x v="1"/>
    <s v="Core Tier"/>
    <x v="0"/>
  </r>
  <r>
    <s v="ORD5990"/>
    <s v="CUST1990"/>
    <n v="42"/>
    <s v="PROD1190"/>
    <x v="5"/>
    <x v="414"/>
    <s v="10/29/2022"/>
    <n v="1"/>
    <x v="0"/>
    <d v="2024-08-01T00:00:00"/>
    <s v=" $186.02 "/>
    <n v="6"/>
    <n v="11"/>
    <s v="Electronics"/>
    <s v="Conditioner"/>
    <x v="3"/>
    <x v="0"/>
    <n v="1116.1199999999999"/>
    <s v="Misaligned"/>
    <x v="0"/>
    <s v="High Value Tier"/>
    <x v="0"/>
  </r>
  <r>
    <s v="ORD5991"/>
    <s v="CUST1991"/>
    <n v="53"/>
    <s v="PROD1191"/>
    <x v="2"/>
    <x v="653"/>
    <s v="9/19/2024"/>
    <n v="1"/>
    <x v="2"/>
    <s v="11/26/2022"/>
    <s v=" $437.26 "/>
    <n v="1"/>
    <n v="8"/>
    <s v="Home"/>
    <s v="Smartphone"/>
    <x v="4"/>
    <x v="0"/>
    <n v="437.26"/>
    <s v="Misaligned"/>
    <x v="1"/>
    <s v="High Value Tier"/>
    <x v="1"/>
  </r>
  <r>
    <s v="ORD5992"/>
    <s v="CUST1992"/>
    <n v="26"/>
    <s v="PROD1192"/>
    <x v="2"/>
    <x v="360"/>
    <s v="2/15/2024"/>
    <n v="1"/>
    <x v="1"/>
    <s v="8/16/2025"/>
    <s v=" $139.94 "/>
    <n v="3"/>
    <n v="33"/>
    <s v="Home"/>
    <s v="Perfume"/>
    <x v="3"/>
    <x v="2"/>
    <n v="419.82"/>
    <s v="Misaligned"/>
    <x v="2"/>
    <s v="High Value Tier"/>
    <x v="0"/>
  </r>
  <r>
    <s v="ORD5993"/>
    <s v="CUST1993"/>
    <n v="40"/>
    <s v="PROD1193"/>
    <x v="5"/>
    <x v="654"/>
    <s v="11/21/2023"/>
    <n v="2"/>
    <x v="0"/>
    <d v="2024-06-02T00:00:00"/>
    <s v=" $125.24 "/>
    <n v="4"/>
    <n v="3"/>
    <s v="Sports"/>
    <s v="Smartphone"/>
    <x v="4"/>
    <x v="0"/>
    <n v="500.96"/>
    <s v="Misaligned"/>
    <x v="0"/>
    <s v="Core Tier"/>
    <x v="0"/>
  </r>
  <r>
    <s v="ORD5994"/>
    <s v="CUST1994"/>
    <n v="49"/>
    <s v="PROD1194"/>
    <x v="2"/>
    <x v="4"/>
    <s v="3/22/2021"/>
    <n v="5"/>
    <x v="0"/>
    <d v="2025-03-05T00:00:00"/>
    <s v=" $404.70 "/>
    <n v="1"/>
    <n v="19"/>
    <s v="Beauty"/>
    <s v="Refrigerator"/>
    <x v="1"/>
    <x v="0"/>
    <n v="404.7"/>
    <s v="Misaligned"/>
    <x v="0"/>
    <s v="High Value Tier"/>
    <x v="3"/>
  </r>
  <r>
    <s v="ORD5995"/>
    <s v="CUST1995"/>
    <n v="32"/>
    <s v="PROD1195"/>
    <x v="2"/>
    <x v="576"/>
    <d v="2023-07-05T00:00:00"/>
    <n v="5"/>
    <x v="0"/>
    <s v="6/26/2023"/>
    <s v=" $141.68 "/>
    <n v="8"/>
    <n v="21"/>
    <s v="Home"/>
    <s v="Perfume"/>
    <x v="3"/>
    <x v="0"/>
    <n v="1133.44"/>
    <s v="Misaligned"/>
    <x v="2"/>
    <s v="High Value Tier"/>
    <x v="3"/>
  </r>
  <r>
    <s v="ORD5996"/>
    <s v="CUST1996"/>
    <n v="39"/>
    <s v="PROD1196"/>
    <x v="0"/>
    <x v="517"/>
    <d v="2025-05-06T00:00:00"/>
    <n v="1"/>
    <x v="0"/>
    <d v="2022-04-04T00:00:00"/>
    <s v=" $297.66 "/>
    <n v="5"/>
    <n v="27"/>
    <s v="Sports"/>
    <s v="Cricket Bat"/>
    <x v="0"/>
    <x v="1"/>
    <n v="1488.3"/>
    <s v="Aligned"/>
    <x v="0"/>
    <s v="High Value Tier"/>
    <x v="0"/>
  </r>
  <r>
    <s v="ORD5997"/>
    <s v="CUST1997"/>
    <n v="53"/>
    <s v="PROD1197"/>
    <x v="5"/>
    <x v="655"/>
    <s v="10/15/2023"/>
    <n v="2"/>
    <x v="0"/>
    <d v="2023-12-07T00:00:00"/>
    <s v=" $36.92 "/>
    <n v="5"/>
    <n v="24"/>
    <s v="Sports"/>
    <s v="Football"/>
    <x v="0"/>
    <x v="0"/>
    <n v="184.6"/>
    <s v="Aligned"/>
    <x v="1"/>
    <s v="High Value Tier"/>
    <x v="0"/>
  </r>
  <r>
    <s v="ORD5998"/>
    <s v="CUST1998"/>
    <n v="68"/>
    <s v="PROD1198"/>
    <x v="0"/>
    <x v="656"/>
    <d v="2023-02-05T00:00:00"/>
    <n v="1"/>
    <x v="0"/>
    <s v="5/16/2023"/>
    <s v=" $11.28 "/>
    <n v="2"/>
    <n v="32"/>
    <s v="Sports"/>
    <s v="Cycling Helmet"/>
    <x v="0"/>
    <x v="0"/>
    <n v="22.56"/>
    <s v="Aligned"/>
    <x v="4"/>
    <s v="Value Tier"/>
    <x v="0"/>
  </r>
  <r>
    <s v="ORD5999"/>
    <s v="CUST1999"/>
    <n v="63"/>
    <s v="PROD1199"/>
    <x v="4"/>
    <x v="657"/>
    <d v="2023-11-01T00:00:00"/>
    <n v="4"/>
    <x v="1"/>
    <d v="2025-08-03T00:00:00"/>
    <s v=" $62.25 "/>
    <n v="3"/>
    <n v="40"/>
    <s v="Sports"/>
    <s v="Cricket Bat"/>
    <x v="0"/>
    <x v="1"/>
    <n v="186.75"/>
    <s v="Aligned"/>
    <x v="1"/>
    <s v="High Value Tier"/>
    <x v="0"/>
  </r>
  <r>
    <s v="ORD6000"/>
    <s v="CUST2000"/>
    <n v="40"/>
    <s v="PROD1200"/>
    <x v="1"/>
    <x v="598"/>
    <d v="2025-11-01T00:00:00"/>
    <n v="2"/>
    <x v="2"/>
    <s v="10/19/2023"/>
    <s v=" $317.92 "/>
    <n v="4"/>
    <n v="48"/>
    <s v="Beauty"/>
    <s v="Foundation"/>
    <x v="3"/>
    <x v="1"/>
    <n v="1271.68"/>
    <s v="Aligned"/>
    <x v="0"/>
    <s v="High Value Tier"/>
    <x v="1"/>
  </r>
  <r>
    <s v="ORD6001"/>
    <s v="CUST2001"/>
    <n v="50"/>
    <s v="PROD1201"/>
    <x v="0"/>
    <x v="658"/>
    <d v="2023-05-10T00:00:00"/>
    <n v="5"/>
    <x v="0"/>
    <d v="2023-09-08T00:00:00"/>
    <s v=" $273.87 "/>
    <n v="6"/>
    <n v="22"/>
    <s v="Clothing"/>
    <s v="Face Wash"/>
    <x v="3"/>
    <x v="1"/>
    <n v="1643.22"/>
    <s v="Misaligned"/>
    <x v="1"/>
    <s v="High Value Tier"/>
    <x v="3"/>
  </r>
  <r>
    <s v="ORD6002"/>
    <s v="CUST2002"/>
    <n v="55"/>
    <s v="PROD1202"/>
    <x v="4"/>
    <x v="659"/>
    <s v="1/14/2024"/>
    <n v="5"/>
    <x v="1"/>
    <d v="2024-05-04T00:00:00"/>
    <s v=" $408.29 "/>
    <n v="2"/>
    <n v="37"/>
    <s v="Clothing"/>
    <s v="Laptop"/>
    <x v="4"/>
    <x v="1"/>
    <n v="816.58"/>
    <s v="Misaligned"/>
    <x v="1"/>
    <s v="High Value Tier"/>
    <x v="0"/>
  </r>
  <r>
    <s v="ORD6003"/>
    <s v="CUST2003"/>
    <n v="66"/>
    <s v="PROD1203"/>
    <x v="5"/>
    <x v="30"/>
    <d v="2024-05-01T00:00:00"/>
    <n v="0"/>
    <x v="0"/>
    <d v="2025-10-05T00:00:00"/>
    <s v=" $168.28 "/>
    <n v="7"/>
    <n v="48"/>
    <s v="Sports"/>
    <s v="Sofa"/>
    <x v="1"/>
    <x v="0"/>
    <n v="1177.96"/>
    <s v="Misaligned"/>
    <x v="4"/>
    <s v="High Value Tier"/>
    <x v="0"/>
  </r>
  <r>
    <s v="ORD6004"/>
    <s v="CUST2004"/>
    <n v="55"/>
    <s v="PROD1204"/>
    <x v="5"/>
    <x v="660"/>
    <d v="2025-02-08T00:00:00"/>
    <n v="0"/>
    <x v="0"/>
    <s v="2/18/2023"/>
    <s v=" $365.91 "/>
    <n v="3"/>
    <n v="34"/>
    <s v="Clothing"/>
    <s v="Yoga Mat"/>
    <x v="0"/>
    <x v="1"/>
    <n v="1097.73"/>
    <s v="Misaligned"/>
    <x v="1"/>
    <s v="High Value Tier"/>
    <x v="0"/>
  </r>
  <r>
    <s v="ORD6005"/>
    <s v="CUST2005"/>
    <n v="26"/>
    <s v="PROD1205"/>
    <x v="3"/>
    <x v="661"/>
    <d v="2024-07-02T00:00:00"/>
    <n v="2"/>
    <x v="2"/>
    <d v="2024-05-01T00:00:00"/>
    <s v=" $54.74 "/>
    <n v="9"/>
    <n v="20"/>
    <s v="Electronics"/>
    <s v="Shirt"/>
    <x v="2"/>
    <x v="0"/>
    <n v="492.66"/>
    <s v="Misaligned"/>
    <x v="2"/>
    <s v="High Value Tier"/>
    <x v="1"/>
  </r>
  <r>
    <s v="ORD6006"/>
    <s v="CUST2006"/>
    <n v="36"/>
    <s v="PROD1206"/>
    <x v="3"/>
    <x v="259"/>
    <d v="2023-05-09T00:00:00"/>
    <n v="5"/>
    <x v="0"/>
    <s v="2/17/2022"/>
    <s v=" $343.61 "/>
    <n v="5"/>
    <n v="5"/>
    <s v="Sports"/>
    <s v="Perfume"/>
    <x v="3"/>
    <x v="1"/>
    <n v="1718.05"/>
    <s v="Misaligned"/>
    <x v="0"/>
    <s v="High Value Tier"/>
    <x v="3"/>
  </r>
  <r>
    <s v="ORD6007"/>
    <s v="CUST2007"/>
    <n v="36"/>
    <s v="PROD1207"/>
    <x v="4"/>
    <x v="662"/>
    <d v="2023-12-07T00:00:00"/>
    <n v="3"/>
    <x v="2"/>
    <d v="2022-10-01T00:00:00"/>
    <s v=" $144.61 "/>
    <n v="8"/>
    <n v="16"/>
    <s v="Electronics"/>
    <s v="Perfume"/>
    <x v="3"/>
    <x v="1"/>
    <n v="1156.8800000000001"/>
    <s v="Misaligned"/>
    <x v="0"/>
    <s v="High Value Tier"/>
    <x v="1"/>
  </r>
  <r>
    <s v="ORD6008"/>
    <s v="CUST2008"/>
    <n v="46"/>
    <s v="PROD1208"/>
    <x v="2"/>
    <x v="229"/>
    <s v="12/19/2023"/>
    <n v="5"/>
    <x v="1"/>
    <s v="3/27/2024"/>
    <s v=" $232.44 "/>
    <n v="5"/>
    <n v="38"/>
    <s v="Sports"/>
    <s v="Cricket Bat"/>
    <x v="0"/>
    <x v="1"/>
    <n v="1162.2"/>
    <s v="Aligned"/>
    <x v="0"/>
    <s v="High Value Tier"/>
    <x v="0"/>
  </r>
  <r>
    <s v="ORD6009"/>
    <s v="CUST2009"/>
    <n v="68"/>
    <s v="PROD1209"/>
    <x v="4"/>
    <x v="281"/>
    <s v="11/29/2021"/>
    <n v="2"/>
    <x v="0"/>
    <s v="7/16/2021"/>
    <s v=" $379.58 "/>
    <n v="3"/>
    <n v="20"/>
    <s v="Clothing"/>
    <s v="Bluetooth Speaker"/>
    <x v="4"/>
    <x v="0"/>
    <n v="1138.74"/>
    <s v="Misaligned"/>
    <x v="4"/>
    <s v="High Value Tier"/>
    <x v="0"/>
  </r>
  <r>
    <s v="ORD6010"/>
    <s v="CUST2010"/>
    <n v="40"/>
    <s v="PROD1210"/>
    <x v="5"/>
    <x v="308"/>
    <s v="8/17/2023"/>
    <n v="1"/>
    <x v="0"/>
    <s v="2/25/2021"/>
    <s v=" $95.69 "/>
    <n v="9"/>
    <n v="2"/>
    <s v="Sports"/>
    <s v="Refrigerator"/>
    <x v="1"/>
    <x v="2"/>
    <n v="861.21"/>
    <s v="Misaligned"/>
    <x v="0"/>
    <s v="Core Tier"/>
    <x v="0"/>
  </r>
  <r>
    <s v="ORD6011"/>
    <s v="CUST2011"/>
    <n v="57"/>
    <s v="PROD1211"/>
    <x v="5"/>
    <x v="663"/>
    <s v="11/30/2023"/>
    <n v="4"/>
    <x v="0"/>
    <s v="2/14/2025"/>
    <s v=" $349.76 "/>
    <n v="5"/>
    <n v="21"/>
    <s v="Electronics"/>
    <s v="Running Shoes"/>
    <x v="0"/>
    <x v="1"/>
    <n v="1748.8"/>
    <s v="Misaligned"/>
    <x v="1"/>
    <s v="High Value Tier"/>
    <x v="3"/>
  </r>
  <r>
    <s v="ORD6012"/>
    <s v="CUST2012"/>
    <n v="60"/>
    <s v="PROD1212"/>
    <x v="4"/>
    <x v="650"/>
    <d v="2025-10-02T00:00:00"/>
    <n v="2"/>
    <x v="0"/>
    <s v="3/30/2022"/>
    <s v=" $9.35 "/>
    <n v="5"/>
    <n v="21"/>
    <s v="Electronics"/>
    <s v="Hoodie"/>
    <x v="2"/>
    <x v="0"/>
    <n v="46.75"/>
    <s v="Misaligned"/>
    <x v="1"/>
    <s v="Core Tier"/>
    <x v="0"/>
  </r>
  <r>
    <s v="ORD6013"/>
    <s v="CUST2013"/>
    <n v="55"/>
    <s v="PROD1213"/>
    <x v="3"/>
    <x v="572"/>
    <s v="8/17/2022"/>
    <n v="2"/>
    <x v="2"/>
    <s v="7/18/2021"/>
    <s v=" $869.42 "/>
    <n v="1"/>
    <n v="7"/>
    <s v="Beauty"/>
    <s v="Skirt"/>
    <x v="2"/>
    <x v="1"/>
    <n v="869.42"/>
    <s v="Misaligned"/>
    <x v="1"/>
    <s v="High Value Tier"/>
    <x v="1"/>
  </r>
  <r>
    <s v="ORD6014"/>
    <s v="CUST2014"/>
    <n v="50"/>
    <s v="PROD1214"/>
    <x v="0"/>
    <x v="543"/>
    <d v="2024-10-04T00:00:00"/>
    <n v="0"/>
    <x v="0"/>
    <s v="3/20/2025"/>
    <s v=" $328.95 "/>
    <n v="2"/>
    <n v="48"/>
    <s v="Sports"/>
    <s v="Smartwatch"/>
    <x v="4"/>
    <x v="1"/>
    <n v="657.9"/>
    <s v="Misaligned"/>
    <x v="1"/>
    <s v="High Value Tier"/>
    <x v="0"/>
  </r>
  <r>
    <s v="ORD6015"/>
    <s v="CUST2015"/>
    <n v="40"/>
    <s v="PROD1215"/>
    <x v="0"/>
    <x v="166"/>
    <s v="3/17/2024"/>
    <n v="3"/>
    <x v="1"/>
    <s v="8/21/2022"/>
    <s v=" $204.01 "/>
    <n v="4"/>
    <n v="12"/>
    <s v="Beauty"/>
    <s v="Yoga Mat"/>
    <x v="0"/>
    <x v="0"/>
    <n v="816.04"/>
    <s v="Misaligned"/>
    <x v="0"/>
    <s v="High Value Tier"/>
    <x v="0"/>
  </r>
  <r>
    <s v="ORD6016"/>
    <s v="CUST2016"/>
    <n v="27"/>
    <s v="PROD1216"/>
    <x v="2"/>
    <x v="586"/>
    <s v="9/19/2023"/>
    <n v="1"/>
    <x v="2"/>
    <s v="3/19/2021"/>
    <s v=" $246.98 "/>
    <n v="3"/>
    <n v="16"/>
    <s v="Beauty"/>
    <s v="Lipstick"/>
    <x v="3"/>
    <x v="0"/>
    <n v="740.94"/>
    <s v="Aligned"/>
    <x v="2"/>
    <s v="High Value Tier"/>
    <x v="1"/>
  </r>
  <r>
    <s v="ORD6017"/>
    <s v="CUST2017"/>
    <n v="48"/>
    <s v="PROD1217"/>
    <x v="3"/>
    <x v="174"/>
    <s v="10/30/2022"/>
    <n v="4"/>
    <x v="2"/>
    <d v="2023-09-12T00:00:00"/>
    <s v=" $324.78 "/>
    <n v="4"/>
    <n v="39"/>
    <s v="Home"/>
    <s v="T-Shirt"/>
    <x v="2"/>
    <x v="0"/>
    <n v="1299.1199999999999"/>
    <s v="Misaligned"/>
    <x v="0"/>
    <s v="High Value Tier"/>
    <x v="1"/>
  </r>
  <r>
    <s v="ORD6018"/>
    <s v="CUST2018"/>
    <n v="39"/>
    <s v="PROD1218"/>
    <x v="5"/>
    <x v="91"/>
    <d v="2023-09-02T00:00:00"/>
    <n v="2"/>
    <x v="2"/>
    <d v="2023-01-10T00:00:00"/>
    <s v=" $288.74 "/>
    <n v="4"/>
    <n v="20"/>
    <s v="Sports"/>
    <s v="Lipstick"/>
    <x v="3"/>
    <x v="0"/>
    <n v="1154.96"/>
    <s v="Misaligned"/>
    <x v="0"/>
    <s v="High Value Tier"/>
    <x v="1"/>
  </r>
  <r>
    <s v="ORD6019"/>
    <s v="CUST2019"/>
    <n v="67"/>
    <s v="PROD1219"/>
    <x v="5"/>
    <x v="266"/>
    <d v="2021-08-11T00:00:00"/>
    <n v="4"/>
    <x v="1"/>
    <s v="4/27/2025"/>
    <s v=" $259.66 "/>
    <n v="6"/>
    <n v="42"/>
    <s v="Electronics"/>
    <s v="Jacket"/>
    <x v="2"/>
    <x v="0"/>
    <n v="1557.96"/>
    <s v="Misaligned"/>
    <x v="4"/>
    <s v="High Value Tier"/>
    <x v="0"/>
  </r>
  <r>
    <s v="ORD6020"/>
    <s v="CUST2020"/>
    <n v="36"/>
    <s v="PROD1220"/>
    <x v="1"/>
    <x v="664"/>
    <s v="3/25/2025"/>
    <n v="5"/>
    <x v="0"/>
    <s v="4/24/2024"/>
    <s v=" $93.98 "/>
    <n v="8"/>
    <n v="49"/>
    <s v="Sports"/>
    <s v="Microwave"/>
    <x v="1"/>
    <x v="1"/>
    <n v="751.84"/>
    <s v="Misaligned"/>
    <x v="0"/>
    <s v="High Value Tier"/>
    <x v="3"/>
  </r>
  <r>
    <s v="ORD6021"/>
    <s v="CUST2021"/>
    <n v="32"/>
    <s v="PROD1221"/>
    <x v="5"/>
    <x v="665"/>
    <d v="2025-04-03T00:00:00"/>
    <n v="2"/>
    <x v="0"/>
    <d v="2025-02-08T00:00:00"/>
    <s v=" $617.67 "/>
    <n v="2"/>
    <n v="46"/>
    <s v="Beauty"/>
    <s v="Yoga Mat"/>
    <x v="0"/>
    <x v="1"/>
    <n v="1235.3399999999999"/>
    <s v="Misaligned"/>
    <x v="2"/>
    <s v="High Value Tier"/>
    <x v="0"/>
  </r>
  <r>
    <s v="ORD6022"/>
    <s v="CUST2022"/>
    <n v="32"/>
    <s v="PROD1222"/>
    <x v="4"/>
    <x v="444"/>
    <d v="2023-07-09T00:00:00"/>
    <n v="4"/>
    <x v="0"/>
    <s v="5/15/2024"/>
    <s v=" $208.08 "/>
    <n v="7"/>
    <n v="39"/>
    <s v="Clothing"/>
    <s v="Football"/>
    <x v="0"/>
    <x v="1"/>
    <n v="1456.56"/>
    <s v="Misaligned"/>
    <x v="2"/>
    <s v="High Value Tier"/>
    <x v="3"/>
  </r>
  <r>
    <s v="ORD6023"/>
    <s v="CUST2023"/>
    <n v="27"/>
    <s v="PROD1223"/>
    <x v="1"/>
    <x v="619"/>
    <s v="12/25/2021"/>
    <n v="2"/>
    <x v="1"/>
    <s v="3/21/2024"/>
    <s v=" $352.30 "/>
    <n v="4"/>
    <n v="18"/>
    <s v="Electronics"/>
    <s v="Refrigerator"/>
    <x v="1"/>
    <x v="0"/>
    <n v="1409.2"/>
    <s v="Misaligned"/>
    <x v="2"/>
    <s v="High Value Tier"/>
    <x v="0"/>
  </r>
  <r>
    <s v="ORD6024"/>
    <s v="CUST2024"/>
    <n v="57"/>
    <s v="PROD1224"/>
    <x v="1"/>
    <x v="207"/>
    <s v="9/13/2022"/>
    <n v="1"/>
    <x v="0"/>
    <d v="2023-01-02T00:00:00"/>
    <s v=" $1,129.55 "/>
    <n v="1"/>
    <n v="4"/>
    <s v="Clothing"/>
    <s v="Yoga Mat"/>
    <x v="0"/>
    <x v="0"/>
    <n v="1129.55"/>
    <s v="Misaligned"/>
    <x v="1"/>
    <s v="High Value Tier"/>
    <x v="0"/>
  </r>
  <r>
    <s v="ORD6025"/>
    <s v="CUST2025"/>
    <n v="42"/>
    <s v="PROD1225"/>
    <x v="0"/>
    <x v="59"/>
    <s v="3/18/2024"/>
    <n v="3"/>
    <x v="0"/>
    <d v="2024-09-06T00:00:00"/>
    <s v=" $578.42 "/>
    <n v="1"/>
    <n v="41"/>
    <s v="Home"/>
    <s v="Running Shoes"/>
    <x v="0"/>
    <x v="1"/>
    <n v="578.41999999999996"/>
    <s v="Misaligned"/>
    <x v="0"/>
    <s v="High Value Tier"/>
    <x v="0"/>
  </r>
  <r>
    <s v="ORD6026"/>
    <s v="CUST2026"/>
    <n v="27"/>
    <s v="PROD1226"/>
    <x v="0"/>
    <x v="666"/>
    <s v="3/15/2025"/>
    <n v="1"/>
    <x v="0"/>
    <d v="2023-05-09T00:00:00"/>
    <s v=" $179.48 "/>
    <n v="4"/>
    <n v="37"/>
    <s v="Beauty"/>
    <s v="Smartphone"/>
    <x v="4"/>
    <x v="1"/>
    <n v="717.92"/>
    <s v="Misaligned"/>
    <x v="2"/>
    <s v="High Value Tier"/>
    <x v="0"/>
  </r>
  <r>
    <s v="ORD6027"/>
    <s v="CUST2027"/>
    <n v="19"/>
    <s v="PROD1227"/>
    <x v="3"/>
    <x v="667"/>
    <d v="2025-05-04T00:00:00"/>
    <n v="4"/>
    <x v="0"/>
    <s v="11/13/2024"/>
    <s v=" $157.13 "/>
    <n v="7"/>
    <n v="5"/>
    <s v="Sports"/>
    <s v="Sofa"/>
    <x v="1"/>
    <x v="0"/>
    <n v="1099.9100000000001"/>
    <s v="Misaligned"/>
    <x v="3"/>
    <s v="High Value Tier"/>
    <x v="3"/>
  </r>
  <r>
    <s v="ORD6028"/>
    <s v="CUST2028"/>
    <n v="24"/>
    <s v="PROD1228"/>
    <x v="1"/>
    <x v="372"/>
    <s v="7/24/2024"/>
    <n v="0"/>
    <x v="0"/>
    <s v="3/23/2023"/>
    <s v=" $21.02 "/>
    <n v="6"/>
    <n v="2"/>
    <s v="Clothing"/>
    <s v="Dumbbells"/>
    <x v="0"/>
    <x v="0"/>
    <n v="126.12"/>
    <s v="Misaligned"/>
    <x v="3"/>
    <s v="Value Tier"/>
    <x v="0"/>
  </r>
  <r>
    <s v="ORD6029"/>
    <s v="CUST2029"/>
    <n v="53"/>
    <s v="PROD1229"/>
    <x v="0"/>
    <x v="316"/>
    <s v="3/27/2025"/>
    <n v="1"/>
    <x v="1"/>
    <s v="12/23/2024"/>
    <s v=" $251.82 "/>
    <n v="2"/>
    <n v="25"/>
    <s v="Beauty"/>
    <s v="Shampoo"/>
    <x v="3"/>
    <x v="0"/>
    <n v="503.64"/>
    <s v="Aligned"/>
    <x v="1"/>
    <s v="High Value Tier"/>
    <x v="0"/>
  </r>
  <r>
    <s v="ORD6030"/>
    <s v="CUST2030"/>
    <n v="54"/>
    <s v="PROD1230"/>
    <x v="3"/>
    <x v="668"/>
    <d v="2024-07-08T00:00:00"/>
    <n v="4"/>
    <x v="2"/>
    <s v="9/26/2023"/>
    <s v=" $158.76 "/>
    <n v="6"/>
    <n v="25"/>
    <s v="Electronics"/>
    <s v="Hoodie"/>
    <x v="2"/>
    <x v="1"/>
    <n v="952.56"/>
    <s v="Misaligned"/>
    <x v="1"/>
    <s v="High Value Tier"/>
    <x v="1"/>
  </r>
  <r>
    <s v="ORD6031"/>
    <s v="CUST2031"/>
    <n v="37"/>
    <s v="PROD1231"/>
    <x v="4"/>
    <x v="323"/>
    <d v="2021-02-02T00:00:00"/>
    <n v="1"/>
    <x v="1"/>
    <d v="2021-05-05T00:00:00"/>
    <s v=" $384.21 "/>
    <n v="4"/>
    <n v="14"/>
    <s v="Sports"/>
    <s v="Gaming Console"/>
    <x v="4"/>
    <x v="0"/>
    <n v="1536.84"/>
    <s v="Misaligned"/>
    <x v="0"/>
    <s v="High Value Tier"/>
    <x v="0"/>
  </r>
  <r>
    <s v="ORD6032"/>
    <s v="CUST2032"/>
    <n v="49"/>
    <s v="PROD1232"/>
    <x v="4"/>
    <x v="45"/>
    <s v="7/16/2021"/>
    <n v="3"/>
    <x v="0"/>
    <s v="1/26/2023"/>
    <s v=" $456.94 "/>
    <n v="1"/>
    <n v="20"/>
    <s v="Home"/>
    <s v="Sofa"/>
    <x v="1"/>
    <x v="0"/>
    <n v="456.94"/>
    <s v="Aligned"/>
    <x v="0"/>
    <s v="High Value Tier"/>
    <x v="0"/>
  </r>
  <r>
    <s v="ORD6033"/>
    <s v="CUST2033"/>
    <n v="68"/>
    <s v="PROD1233"/>
    <x v="0"/>
    <x v="580"/>
    <s v="3/13/2024"/>
    <n v="2"/>
    <x v="1"/>
    <s v="6/25/2022"/>
    <s v=" $60.37 "/>
    <n v="8"/>
    <n v="7"/>
    <s v="Electronics"/>
    <s v="Blender"/>
    <x v="1"/>
    <x v="0"/>
    <n v="482.96"/>
    <s v="Misaligned"/>
    <x v="4"/>
    <s v="High Value Tier"/>
    <x v="0"/>
  </r>
  <r>
    <s v="ORD6034"/>
    <s v="CUST2034"/>
    <n v="56"/>
    <s v="PROD1234"/>
    <x v="3"/>
    <x v="669"/>
    <s v="9/25/2023"/>
    <n v="3"/>
    <x v="1"/>
    <s v="11/20/2023"/>
    <s v=" $88.97 "/>
    <n v="8"/>
    <n v="22"/>
    <s v="Clothing"/>
    <s v="Headphones"/>
    <x v="4"/>
    <x v="0"/>
    <n v="711.76"/>
    <s v="Misaligned"/>
    <x v="1"/>
    <s v="High Value Tier"/>
    <x v="0"/>
  </r>
  <r>
    <s v="ORD6035"/>
    <s v="CUST2035"/>
    <n v="26"/>
    <s v="PROD1235"/>
    <x v="2"/>
    <x v="376"/>
    <s v="1/19/2023"/>
    <n v="1"/>
    <x v="0"/>
    <d v="2025-07-01T00:00:00"/>
    <s v=" $110.67 "/>
    <n v="7"/>
    <n v="36"/>
    <s v="Home"/>
    <s v="Tennis Racket"/>
    <x v="0"/>
    <x v="0"/>
    <n v="774.69"/>
    <s v="Misaligned"/>
    <x v="2"/>
    <s v="High Value Tier"/>
    <x v="0"/>
  </r>
  <r>
    <s v="ORD6036"/>
    <s v="CUST2036"/>
    <n v="32"/>
    <s v="PROD1236"/>
    <x v="5"/>
    <x v="623"/>
    <d v="2022-03-02T00:00:00"/>
    <n v="2"/>
    <x v="1"/>
    <s v="2/18/2024"/>
    <s v=" $791.70 "/>
    <n v="2"/>
    <n v="23"/>
    <s v="Beauty"/>
    <s v="Shampoo"/>
    <x v="3"/>
    <x v="1"/>
    <n v="1583.4"/>
    <s v="Aligned"/>
    <x v="2"/>
    <s v="High Value Tier"/>
    <x v="0"/>
  </r>
  <r>
    <s v="ORD6037"/>
    <s v="CUST2037"/>
    <n v="54"/>
    <s v="PROD1237"/>
    <x v="1"/>
    <x v="514"/>
    <s v="2/24/2025"/>
    <n v="2"/>
    <x v="2"/>
    <s v="2/22/2025"/>
    <s v=" $811.80 "/>
    <n v="2"/>
    <n v="29"/>
    <s v="Sports"/>
    <s v="Cycling Helmet"/>
    <x v="0"/>
    <x v="0"/>
    <n v="1623.6"/>
    <s v="Aligned"/>
    <x v="1"/>
    <s v="High Value Tier"/>
    <x v="1"/>
  </r>
  <r>
    <s v="ORD6038"/>
    <s v="CUST2038"/>
    <n v="63"/>
    <s v="PROD1238"/>
    <x v="0"/>
    <x v="447"/>
    <d v="2025-03-04T00:00:00"/>
    <n v="0"/>
    <x v="1"/>
    <s v="1/14/2025"/>
    <s v=" $71.40 "/>
    <n v="9"/>
    <n v="27"/>
    <s v="Electronics"/>
    <s v="Sneakers"/>
    <x v="2"/>
    <x v="0"/>
    <n v="642.6"/>
    <s v="Misaligned"/>
    <x v="1"/>
    <s v="High Value Tier"/>
    <x v="0"/>
  </r>
  <r>
    <s v="ORD6039"/>
    <s v="CUST2039"/>
    <n v="19"/>
    <s v="PROD1239"/>
    <x v="2"/>
    <x v="162"/>
    <d v="2023-02-11T00:00:00"/>
    <n v="0"/>
    <x v="2"/>
    <d v="2022-02-10T00:00:00"/>
    <s v=" $164.17 "/>
    <n v="6"/>
    <n v="41"/>
    <s v="Beauty"/>
    <s v="Smartwatch"/>
    <x v="4"/>
    <x v="1"/>
    <n v="985.02"/>
    <s v="Misaligned"/>
    <x v="3"/>
    <s v="High Value Tier"/>
    <x v="1"/>
  </r>
  <r>
    <s v="ORD6040"/>
    <s v="CUST2040"/>
    <n v="61"/>
    <s v="PROD1240"/>
    <x v="3"/>
    <x v="205"/>
    <s v="12/31/2023"/>
    <n v="2"/>
    <x v="0"/>
    <s v="4/19/2023"/>
    <s v=" $439.94 "/>
    <n v="4"/>
    <n v="46"/>
    <s v="Clothing"/>
    <s v="Skirt"/>
    <x v="2"/>
    <x v="0"/>
    <n v="1759.76"/>
    <s v="Aligned"/>
    <x v="1"/>
    <s v="High Value Tier"/>
    <x v="0"/>
  </r>
  <r>
    <s v="ORD6041"/>
    <s v="CUST2041"/>
    <n v="22"/>
    <s v="PROD1241"/>
    <x v="1"/>
    <x v="670"/>
    <s v="10/16/2021"/>
    <n v="1"/>
    <x v="1"/>
    <s v="3/21/2023"/>
    <s v=" $156.82 "/>
    <n v="2"/>
    <n v="47"/>
    <s v="Home"/>
    <s v="Shirt"/>
    <x v="2"/>
    <x v="1"/>
    <n v="313.64"/>
    <s v="Misaligned"/>
    <x v="3"/>
    <s v="High Value Tier"/>
    <x v="0"/>
  </r>
  <r>
    <s v="ORD6042"/>
    <s v="CUST2042"/>
    <n v="51"/>
    <s v="PROD1242"/>
    <x v="2"/>
    <x v="671"/>
    <s v="7/16/2024"/>
    <n v="2"/>
    <x v="1"/>
    <s v="1/25/2024"/>
    <s v=" $62.14 "/>
    <n v="5"/>
    <n v="33"/>
    <s v="Home"/>
    <s v="Running Shoes"/>
    <x v="0"/>
    <x v="1"/>
    <n v="310.7"/>
    <s v="Misaligned"/>
    <x v="1"/>
    <s v="High Value Tier"/>
    <x v="0"/>
  </r>
  <r>
    <s v="ORD6043"/>
    <s v="CUST2043"/>
    <n v="53"/>
    <s v="PROD1243"/>
    <x v="5"/>
    <x v="587"/>
    <s v="2/27/2024"/>
    <n v="1"/>
    <x v="1"/>
    <d v="2023-03-11T00:00:00"/>
    <s v=" $34.67 "/>
    <n v="7"/>
    <n v="37"/>
    <s v="Sports"/>
    <s v="Jacket"/>
    <x v="2"/>
    <x v="1"/>
    <n v="242.69"/>
    <s v="Misaligned"/>
    <x v="1"/>
    <s v="High Value Tier"/>
    <x v="0"/>
  </r>
  <r>
    <s v="ORD6044"/>
    <s v="CUST2044"/>
    <n v="52"/>
    <s v="PROD1244"/>
    <x v="1"/>
    <x v="672"/>
    <d v="2024-03-08T00:00:00"/>
    <n v="2"/>
    <x v="0"/>
    <s v="5/13/2024"/>
    <s v=" $1,707.78 "/>
    <n v="1"/>
    <n v="1"/>
    <s v="Electronics"/>
    <s v="Skirt"/>
    <x v="2"/>
    <x v="0"/>
    <n v="1707.78"/>
    <s v="Misaligned"/>
    <x v="1"/>
    <s v="Core Tier"/>
    <x v="0"/>
  </r>
  <r>
    <s v="ORD6045"/>
    <s v="CUST2045"/>
    <n v="39"/>
    <s v="PROD1245"/>
    <x v="3"/>
    <x v="673"/>
    <s v="11/20/2023"/>
    <n v="2"/>
    <x v="0"/>
    <s v="4/24/2025"/>
    <s v=" $264.01 "/>
    <n v="6"/>
    <n v="27"/>
    <s v="Sports"/>
    <s v="Moisturizer"/>
    <x v="3"/>
    <x v="1"/>
    <n v="1584.06"/>
    <s v="Misaligned"/>
    <x v="0"/>
    <s v="High Value Tier"/>
    <x v="0"/>
  </r>
  <r>
    <s v="ORD6046"/>
    <s v="CUST2046"/>
    <n v="31"/>
    <s v="PROD1246"/>
    <x v="3"/>
    <x v="674"/>
    <s v="3/16/2024"/>
    <n v="2"/>
    <x v="0"/>
    <s v="1/20/2024"/>
    <s v=" $87.51 "/>
    <n v="5"/>
    <n v="13"/>
    <s v="Clothing"/>
    <s v="T-Shirt"/>
    <x v="2"/>
    <x v="0"/>
    <n v="437.55"/>
    <s v="Aligned"/>
    <x v="2"/>
    <s v="High Value Tier"/>
    <x v="0"/>
  </r>
  <r>
    <s v="ORD6047"/>
    <s v="CUST2047"/>
    <n v="22"/>
    <s v="PROD1247"/>
    <x v="1"/>
    <x v="142"/>
    <s v="7/25/2024"/>
    <n v="0"/>
    <x v="0"/>
    <s v="1/24/2024"/>
    <s v=" $243.13 "/>
    <n v="5"/>
    <n v="35"/>
    <s v="Home"/>
    <s v="Conditioner"/>
    <x v="3"/>
    <x v="1"/>
    <n v="1215.6500000000001"/>
    <s v="Misaligned"/>
    <x v="3"/>
    <s v="High Value Tier"/>
    <x v="0"/>
  </r>
  <r>
    <s v="ORD6048"/>
    <s v="CUST2048"/>
    <n v="61"/>
    <s v="PROD1248"/>
    <x v="4"/>
    <x v="261"/>
    <s v="7/15/2024"/>
    <n v="1"/>
    <x v="1"/>
    <d v="2022-02-02T00:00:00"/>
    <s v=" $880.36 "/>
    <n v="2"/>
    <n v="27"/>
    <s v="Clothing"/>
    <s v="Bluetooth Speaker"/>
    <x v="4"/>
    <x v="0"/>
    <n v="1760.72"/>
    <s v="Misaligned"/>
    <x v="1"/>
    <s v="High Value Tier"/>
    <x v="0"/>
  </r>
  <r>
    <s v="ORD6049"/>
    <s v="CUST2049"/>
    <n v="47"/>
    <s v="PROD1249"/>
    <x v="0"/>
    <x v="675"/>
    <s v="12/23/2022"/>
    <n v="4"/>
    <x v="1"/>
    <d v="2024-02-01T00:00:00"/>
    <s v=" $793.56 "/>
    <n v="1"/>
    <n v="31"/>
    <s v="Sports"/>
    <s v="Lamp"/>
    <x v="1"/>
    <x v="0"/>
    <n v="793.56"/>
    <s v="Misaligned"/>
    <x v="0"/>
    <s v="High Value Tier"/>
    <x v="0"/>
  </r>
  <r>
    <s v="ORD6050"/>
    <s v="CUST2050"/>
    <n v="29"/>
    <s v="PROD1250"/>
    <x v="0"/>
    <x v="676"/>
    <d v="2024-06-11T00:00:00"/>
    <n v="1"/>
    <x v="2"/>
    <s v="12/28/2023"/>
    <s v=" $100.04 "/>
    <n v="9"/>
    <n v="11"/>
    <s v="Beauty"/>
    <s v="Lipstick"/>
    <x v="3"/>
    <x v="0"/>
    <n v="900.36"/>
    <s v="Aligned"/>
    <x v="2"/>
    <s v="High Value Tier"/>
    <x v="1"/>
  </r>
  <r>
    <s v="ORD6051"/>
    <s v="CUST2051"/>
    <n v="38"/>
    <s v="PROD1251"/>
    <x v="1"/>
    <x v="677"/>
    <d v="2025-07-02T00:00:00"/>
    <n v="0"/>
    <x v="0"/>
    <s v="1/16/2025"/>
    <s v=" $207.64 "/>
    <n v="7"/>
    <n v="14"/>
    <s v="Beauty"/>
    <s v="Moisturizer"/>
    <x v="3"/>
    <x v="0"/>
    <n v="1453.48"/>
    <s v="Aligned"/>
    <x v="0"/>
    <s v="High Value Tier"/>
    <x v="0"/>
  </r>
  <r>
    <s v="ORD6052"/>
    <s v="CUST2052"/>
    <n v="56"/>
    <s v="PROD1252"/>
    <x v="0"/>
    <x v="331"/>
    <s v="5/16/2025"/>
    <n v="3"/>
    <x v="1"/>
    <s v="6/28/2024"/>
    <s v=" $96.98 "/>
    <n v="8"/>
    <n v="38"/>
    <s v="Clothing"/>
    <s v="Laptop"/>
    <x v="4"/>
    <x v="0"/>
    <n v="775.84"/>
    <s v="Misaligned"/>
    <x v="1"/>
    <s v="High Value Tier"/>
    <x v="0"/>
  </r>
  <r>
    <s v="ORD6053"/>
    <s v="CUST2053"/>
    <n v="23"/>
    <s v="PROD1253"/>
    <x v="2"/>
    <x v="414"/>
    <s v="12/18/2024"/>
    <n v="3"/>
    <x v="2"/>
    <s v="12/16/2022"/>
    <s v=" $149.00 "/>
    <n v="4"/>
    <n v="1"/>
    <s v="Electronics"/>
    <s v="Conditioner"/>
    <x v="3"/>
    <x v="0"/>
    <n v="596"/>
    <s v="Misaligned"/>
    <x v="3"/>
    <s v="Value Tier"/>
    <x v="1"/>
  </r>
  <r>
    <s v="ORD6054"/>
    <s v="CUST2054"/>
    <n v="50"/>
    <s v="PROD1254"/>
    <x v="3"/>
    <x v="573"/>
    <s v="4/22/2024"/>
    <n v="1"/>
    <x v="0"/>
    <d v="2025-01-05T00:00:00"/>
    <s v=" $451.57 "/>
    <n v="2"/>
    <n v="21"/>
    <s v="Clothing"/>
    <s v="Laptop"/>
    <x v="4"/>
    <x v="0"/>
    <n v="903.14"/>
    <s v="Misaligned"/>
    <x v="1"/>
    <s v="High Value Tier"/>
    <x v="0"/>
  </r>
  <r>
    <s v="ORD6055"/>
    <s v="CUST2055"/>
    <n v="38"/>
    <s v="PROD1255"/>
    <x v="2"/>
    <x v="516"/>
    <d v="2023-08-10T00:00:00"/>
    <n v="0"/>
    <x v="2"/>
    <d v="2025-04-02T00:00:00"/>
    <s v=" $292.96 "/>
    <n v="4"/>
    <n v="36"/>
    <s v="Electronics"/>
    <s v="Smartphone"/>
    <x v="4"/>
    <x v="1"/>
    <n v="1171.8399999999999"/>
    <s v="Aligned"/>
    <x v="0"/>
    <s v="High Value Tier"/>
    <x v="1"/>
  </r>
  <r>
    <s v="ORD6056"/>
    <s v="CUST2056"/>
    <n v="40"/>
    <s v="PROD1256"/>
    <x v="3"/>
    <x v="678"/>
    <s v="8/20/2024"/>
    <n v="2"/>
    <x v="0"/>
    <s v="6/16/2024"/>
    <s v=" $1,825.62 "/>
    <n v="1"/>
    <n v="9"/>
    <s v="Sports"/>
    <s v="Jeans"/>
    <x v="2"/>
    <x v="1"/>
    <n v="1825.62"/>
    <s v="Misaligned"/>
    <x v="0"/>
    <s v="High Value Tier"/>
    <x v="0"/>
  </r>
  <r>
    <s v="ORD6057"/>
    <s v="CUST2057"/>
    <n v="50"/>
    <s v="PROD1257"/>
    <x v="5"/>
    <x v="536"/>
    <d v="2025-07-01T00:00:00"/>
    <n v="3"/>
    <x v="0"/>
    <s v="8/15/2024"/>
    <s v=" $152.66 "/>
    <n v="6"/>
    <n v="28"/>
    <s v="Home"/>
    <s v="Skirt"/>
    <x v="2"/>
    <x v="1"/>
    <n v="915.96"/>
    <s v="Misaligned"/>
    <x v="1"/>
    <s v="High Value Tier"/>
    <x v="0"/>
  </r>
  <r>
    <s v="ORD6058"/>
    <s v="CUST2058"/>
    <n v="61"/>
    <s v="PROD1258"/>
    <x v="5"/>
    <x v="470"/>
    <s v="2/24/2023"/>
    <n v="0"/>
    <x v="1"/>
    <d v="2023-12-02T00:00:00"/>
    <s v=" $190.72 "/>
    <n v="2"/>
    <n v="14"/>
    <s v="Clothing"/>
    <s v="Football"/>
    <x v="0"/>
    <x v="1"/>
    <n v="381.44"/>
    <s v="Misaligned"/>
    <x v="1"/>
    <s v="High Value Tier"/>
    <x v="0"/>
  </r>
  <r>
    <s v="ORD6059"/>
    <s v="CUST2059"/>
    <n v="22"/>
    <s v="PROD1259"/>
    <x v="5"/>
    <x v="176"/>
    <d v="2024-05-11T00:00:00"/>
    <n v="5"/>
    <x v="1"/>
    <d v="2023-01-12T00:00:00"/>
    <s v=" $632.95 "/>
    <n v="2"/>
    <n v="21"/>
    <s v="Sports"/>
    <s v="Cycling Helmet"/>
    <x v="0"/>
    <x v="0"/>
    <n v="1265.9000000000001"/>
    <s v="Aligned"/>
    <x v="3"/>
    <s v="High Value Tier"/>
    <x v="0"/>
  </r>
  <r>
    <s v="ORD6060"/>
    <s v="CUST2060"/>
    <n v="49"/>
    <s v="PROD1260"/>
    <x v="0"/>
    <x v="263"/>
    <s v="3/19/2025"/>
    <n v="3"/>
    <x v="0"/>
    <s v="11/26/2024"/>
    <s v=" $181.65 "/>
    <n v="5"/>
    <n v="38"/>
    <s v="Home"/>
    <s v="Dumbbells"/>
    <x v="0"/>
    <x v="1"/>
    <n v="908.25"/>
    <s v="Misaligned"/>
    <x v="0"/>
    <s v="High Value Tier"/>
    <x v="0"/>
  </r>
  <r>
    <s v="ORD6061"/>
    <s v="CUST2061"/>
    <n v="47"/>
    <s v="PROD1261"/>
    <x v="4"/>
    <x v="451"/>
    <d v="2023-11-01T00:00:00"/>
    <n v="3"/>
    <x v="0"/>
    <d v="2024-09-12T00:00:00"/>
    <s v=" $109.38 "/>
    <n v="9"/>
    <n v="34"/>
    <s v="Clothing"/>
    <s v="Vacuum Cleaner"/>
    <x v="1"/>
    <x v="0"/>
    <n v="984.42"/>
    <s v="Misaligned"/>
    <x v="0"/>
    <s v="High Value Tier"/>
    <x v="0"/>
  </r>
  <r>
    <s v="ORD6062"/>
    <s v="CUST2062"/>
    <n v="67"/>
    <s v="PROD1262"/>
    <x v="4"/>
    <x v="444"/>
    <d v="2024-12-01T00:00:00"/>
    <n v="4"/>
    <x v="2"/>
    <d v="2024-08-09T00:00:00"/>
    <s v=" $159.55 "/>
    <n v="6"/>
    <n v="31"/>
    <s v="Home"/>
    <s v="Chair"/>
    <x v="1"/>
    <x v="1"/>
    <n v="957.3"/>
    <s v="Aligned"/>
    <x v="4"/>
    <s v="High Value Tier"/>
    <x v="1"/>
  </r>
  <r>
    <s v="ORD6063"/>
    <s v="CUST2063"/>
    <n v="20"/>
    <s v="PROD1263"/>
    <x v="0"/>
    <x v="679"/>
    <s v="10/15/2024"/>
    <n v="5"/>
    <x v="1"/>
    <d v="2024-10-05T00:00:00"/>
    <s v=" $688.60 "/>
    <n v="1"/>
    <n v="21"/>
    <s v="Electronics"/>
    <s v="Face Wash"/>
    <x v="3"/>
    <x v="0"/>
    <n v="688.6"/>
    <s v="Misaligned"/>
    <x v="3"/>
    <s v="High Value Tier"/>
    <x v="0"/>
  </r>
  <r>
    <s v="ORD6064"/>
    <s v="CUST2064"/>
    <n v="62"/>
    <s v="PROD1264"/>
    <x v="5"/>
    <x v="376"/>
    <s v="12/28/2023"/>
    <n v="3"/>
    <x v="1"/>
    <d v="2025-06-03T00:00:00"/>
    <s v=" $232.71 "/>
    <n v="7"/>
    <n v="37"/>
    <s v="Sports"/>
    <s v="Refrigerator"/>
    <x v="1"/>
    <x v="0"/>
    <n v="1628.97"/>
    <s v="Misaligned"/>
    <x v="1"/>
    <s v="High Value Tier"/>
    <x v="0"/>
  </r>
  <r>
    <s v="ORD6065"/>
    <s v="CUST2065"/>
    <n v="26"/>
    <s v="PROD1265"/>
    <x v="5"/>
    <x v="265"/>
    <s v="3/20/2024"/>
    <n v="5"/>
    <x v="0"/>
    <s v="9/25/2022"/>
    <s v=" $266.97 "/>
    <n v="3"/>
    <n v="31"/>
    <s v="Electronics"/>
    <s v="Smartphone"/>
    <x v="4"/>
    <x v="1"/>
    <n v="800.91"/>
    <s v="Aligned"/>
    <x v="2"/>
    <s v="High Value Tier"/>
    <x v="3"/>
  </r>
  <r>
    <s v="ORD6066"/>
    <s v="CUST2066"/>
    <n v="40"/>
    <s v="PROD1266"/>
    <x v="5"/>
    <x v="447"/>
    <d v="2022-01-10T00:00:00"/>
    <n v="0"/>
    <x v="0"/>
    <d v="2025-07-04T00:00:00"/>
    <s v=" $21.76 "/>
    <n v="9"/>
    <n v="20"/>
    <s v="Home"/>
    <s v="T-Shirt"/>
    <x v="2"/>
    <x v="1"/>
    <n v="195.84"/>
    <s v="Misaligned"/>
    <x v="0"/>
    <s v="High Value Tier"/>
    <x v="0"/>
  </r>
  <r>
    <s v="ORD6067"/>
    <s v="CUST2067"/>
    <n v="63"/>
    <s v="PROD1267"/>
    <x v="2"/>
    <x v="33"/>
    <d v="2025-07-07T00:00:00"/>
    <n v="5"/>
    <x v="1"/>
    <d v="2022-12-10T00:00:00"/>
    <s v=" $845.10 "/>
    <n v="2"/>
    <n v="3"/>
    <s v="Home"/>
    <s v="Hoodie"/>
    <x v="2"/>
    <x v="0"/>
    <n v="1690.2"/>
    <s v="Misaligned"/>
    <x v="1"/>
    <s v="High Value Tier"/>
    <x v="0"/>
  </r>
  <r>
    <s v="ORD6068"/>
    <s v="CUST2068"/>
    <n v="30"/>
    <s v="PROD1268"/>
    <x v="5"/>
    <x v="156"/>
    <s v="4/13/2025"/>
    <n v="2"/>
    <x v="0"/>
    <s v="4/18/2023"/>
    <s v=" $162.40 "/>
    <n v="7"/>
    <n v="33"/>
    <s v="Clothing"/>
    <s v="Shampoo"/>
    <x v="3"/>
    <x v="0"/>
    <n v="1136.8"/>
    <s v="Misaligned"/>
    <x v="2"/>
    <s v="High Value Tier"/>
    <x v="0"/>
  </r>
  <r>
    <s v="ORD6069"/>
    <s v="CUST2069"/>
    <n v="68"/>
    <s v="PROD1269"/>
    <x v="5"/>
    <x v="680"/>
    <s v="8/15/2024"/>
    <n v="3"/>
    <x v="1"/>
    <s v="7/14/2025"/>
    <s v=" $168.82 "/>
    <n v="9"/>
    <n v="45"/>
    <s v="Home"/>
    <s v="Bluetooth Speaker"/>
    <x v="4"/>
    <x v="1"/>
    <n v="1519.38"/>
    <s v="Misaligned"/>
    <x v="4"/>
    <s v="High Value Tier"/>
    <x v="0"/>
  </r>
  <r>
    <s v="ORD6070"/>
    <s v="CUST2070"/>
    <n v="63"/>
    <s v="PROD1270"/>
    <x v="2"/>
    <x v="308"/>
    <s v="11/24/2021"/>
    <n v="3"/>
    <x v="1"/>
    <s v="2/14/2023"/>
    <s v=" $51.61 "/>
    <n v="7"/>
    <n v="24"/>
    <s v="Sports"/>
    <s v="Foundation"/>
    <x v="3"/>
    <x v="1"/>
    <n v="361.27"/>
    <s v="Misaligned"/>
    <x v="1"/>
    <s v="High Value Tier"/>
    <x v="0"/>
  </r>
  <r>
    <s v="ORD6071"/>
    <s v="CUST2071"/>
    <n v="36"/>
    <s v="PROD1271"/>
    <x v="4"/>
    <x v="681"/>
    <d v="2024-09-07T00:00:00"/>
    <n v="4"/>
    <x v="0"/>
    <s v="10/29/2021"/>
    <s v=" $257.69 "/>
    <n v="6"/>
    <n v="5"/>
    <s v="Clothing"/>
    <s v="Jacket"/>
    <x v="2"/>
    <x v="1"/>
    <n v="1546.14"/>
    <s v="Aligned"/>
    <x v="0"/>
    <s v="High Value Tier"/>
    <x v="3"/>
  </r>
  <r>
    <s v="ORD6072"/>
    <s v="CUST2072"/>
    <n v="53"/>
    <s v="PROD1272"/>
    <x v="5"/>
    <x v="682"/>
    <d v="2021-06-05T00:00:00"/>
    <n v="1"/>
    <x v="1"/>
    <d v="2022-06-09T00:00:00"/>
    <s v=" $90.01 "/>
    <n v="3"/>
    <n v="37"/>
    <s v="Home"/>
    <s v="Skirt"/>
    <x v="2"/>
    <x v="0"/>
    <n v="270.02999999999997"/>
    <s v="Misaligned"/>
    <x v="1"/>
    <s v="High Value Tier"/>
    <x v="0"/>
  </r>
  <r>
    <s v="ORD6073"/>
    <s v="CUST2073"/>
    <n v="51"/>
    <s v="PROD1273"/>
    <x v="1"/>
    <x v="683"/>
    <s v="6/26/2023"/>
    <n v="4"/>
    <x v="2"/>
    <d v="2021-01-10T00:00:00"/>
    <s v=" $8.45 "/>
    <n v="8"/>
    <n v="42"/>
    <s v="Beauty"/>
    <s v="Lamp"/>
    <x v="1"/>
    <x v="1"/>
    <n v="67.599999999999994"/>
    <s v="Misaligned"/>
    <x v="1"/>
    <s v="High Value Tier"/>
    <x v="1"/>
  </r>
  <r>
    <s v="ORD6074"/>
    <s v="CUST2074"/>
    <n v="59"/>
    <s v="PROD1274"/>
    <x v="1"/>
    <x v="81"/>
    <s v="3/19/2024"/>
    <n v="2"/>
    <x v="0"/>
    <d v="2022-03-05T00:00:00"/>
    <s v=" $135.26 "/>
    <n v="8"/>
    <n v="36"/>
    <s v="Clothing"/>
    <s v="Skirt"/>
    <x v="2"/>
    <x v="0"/>
    <n v="1082.08"/>
    <s v="Aligned"/>
    <x v="1"/>
    <s v="High Value Tier"/>
    <x v="0"/>
  </r>
  <r>
    <s v="ORD6075"/>
    <s v="CUST2075"/>
    <n v="45"/>
    <s v="PROD1275"/>
    <x v="3"/>
    <x v="342"/>
    <d v="2023-12-08T00:00:00"/>
    <n v="4"/>
    <x v="0"/>
    <s v="10/15/2024"/>
    <s v=" $435.92 "/>
    <n v="3"/>
    <n v="38"/>
    <s v="Clothing"/>
    <s v="Dumbbells"/>
    <x v="0"/>
    <x v="1"/>
    <n v="1307.76"/>
    <s v="Misaligned"/>
    <x v="0"/>
    <s v="High Value Tier"/>
    <x v="3"/>
  </r>
  <r>
    <s v="ORD6076"/>
    <s v="CUST2076"/>
    <n v="64"/>
    <s v="PROD1276"/>
    <x v="3"/>
    <x v="223"/>
    <s v="4/20/2025"/>
    <n v="3"/>
    <x v="0"/>
    <d v="2024-11-01T00:00:00"/>
    <s v=" $186.66 "/>
    <n v="7"/>
    <n v="14"/>
    <s v="Beauty"/>
    <s v="Dumbbells"/>
    <x v="0"/>
    <x v="1"/>
    <n v="1306.6199999999999"/>
    <s v="Misaligned"/>
    <x v="1"/>
    <s v="High Value Tier"/>
    <x v="0"/>
  </r>
  <r>
    <s v="ORD6077"/>
    <s v="CUST2077"/>
    <n v="22"/>
    <s v="PROD1277"/>
    <x v="4"/>
    <x v="684"/>
    <s v="4/21/2024"/>
    <n v="5"/>
    <x v="1"/>
    <s v="10/30/2023"/>
    <s v=" $60.80 "/>
    <n v="8"/>
    <n v="19"/>
    <s v="Home"/>
    <s v="Cycling Helmet"/>
    <x v="0"/>
    <x v="1"/>
    <n v="486.4"/>
    <s v="Misaligned"/>
    <x v="3"/>
    <s v="High Value Tier"/>
    <x v="0"/>
  </r>
  <r>
    <s v="ORD6078"/>
    <s v="CUST2078"/>
    <n v="41"/>
    <s v="PROD1278"/>
    <x v="2"/>
    <x v="661"/>
    <s v="11/30/2022"/>
    <n v="1"/>
    <x v="0"/>
    <s v="10/19/2024"/>
    <s v=" $52.29 "/>
    <n v="9"/>
    <n v="37"/>
    <s v="Clothing"/>
    <s v="Skirt"/>
    <x v="2"/>
    <x v="0"/>
    <n v="470.61"/>
    <s v="Aligned"/>
    <x v="0"/>
    <s v="High Value Tier"/>
    <x v="0"/>
  </r>
  <r>
    <s v="ORD6079"/>
    <s v="CUST2079"/>
    <n v="19"/>
    <s v="PROD1279"/>
    <x v="2"/>
    <x v="378"/>
    <d v="2024-12-02T00:00:00"/>
    <n v="1"/>
    <x v="0"/>
    <d v="2023-12-06T00:00:00"/>
    <s v=" $325.42 "/>
    <n v="5"/>
    <n v="17"/>
    <s v="Beauty"/>
    <s v="Football"/>
    <x v="0"/>
    <x v="1"/>
    <n v="1627.1"/>
    <s v="Misaligned"/>
    <x v="3"/>
    <s v="High Value Tier"/>
    <x v="0"/>
  </r>
  <r>
    <s v="ORD6080"/>
    <s v="CUST2080"/>
    <n v="50"/>
    <s v="PROD1280"/>
    <x v="0"/>
    <x v="491"/>
    <d v="2022-05-02T00:00:00"/>
    <n v="2"/>
    <x v="1"/>
    <s v="12/30/2024"/>
    <s v=" $204.08 "/>
    <n v="9"/>
    <n v="20"/>
    <s v="Beauty"/>
    <s v="Nail Polish"/>
    <x v="3"/>
    <x v="0"/>
    <n v="1836.72"/>
    <s v="Aligned"/>
    <x v="1"/>
    <s v="High Value Tier"/>
    <x v="0"/>
  </r>
  <r>
    <s v="ORD6081"/>
    <s v="CUST2081"/>
    <n v="55"/>
    <s v="PROD1281"/>
    <x v="0"/>
    <x v="685"/>
    <s v="8/18/2024"/>
    <n v="4"/>
    <x v="0"/>
    <s v="5/18/2023"/>
    <s v=" $236.78 "/>
    <n v="6"/>
    <n v="5"/>
    <s v="Beauty"/>
    <s v="Vacuum Cleaner"/>
    <x v="1"/>
    <x v="1"/>
    <n v="1420.68"/>
    <s v="Misaligned"/>
    <x v="1"/>
    <s v="High Value Tier"/>
    <x v="3"/>
  </r>
  <r>
    <s v="ORD6082"/>
    <s v="CUST2082"/>
    <n v="42"/>
    <s v="PROD1282"/>
    <x v="0"/>
    <x v="686"/>
    <s v="8/16/2022"/>
    <n v="5"/>
    <x v="2"/>
    <d v="2022-05-11T00:00:00"/>
    <s v=" $920.25 "/>
    <n v="1"/>
    <n v="6"/>
    <s v="Electronics"/>
    <s v="Chair"/>
    <x v="1"/>
    <x v="0"/>
    <n v="920.25"/>
    <s v="Misaligned"/>
    <x v="0"/>
    <s v="High Value Tier"/>
    <x v="1"/>
  </r>
  <r>
    <s v="ORD6083"/>
    <s v="CUST2083"/>
    <n v="54"/>
    <s v="PROD1283"/>
    <x v="3"/>
    <x v="500"/>
    <s v="5/13/2025"/>
    <n v="1"/>
    <x v="2"/>
    <s v="5/23/2023"/>
    <s v=" $248.76 "/>
    <n v="5"/>
    <n v="9"/>
    <s v="Electronics"/>
    <s v="Lamp"/>
    <x v="1"/>
    <x v="1"/>
    <n v="1243.8"/>
    <s v="Misaligned"/>
    <x v="1"/>
    <s v="High Value Tier"/>
    <x v="1"/>
  </r>
  <r>
    <s v="ORD6084"/>
    <s v="CUST2084"/>
    <n v="28"/>
    <s v="PROD1284"/>
    <x v="1"/>
    <x v="687"/>
    <s v="4/15/2023"/>
    <n v="0"/>
    <x v="0"/>
    <d v="2023-02-05T00:00:00"/>
    <s v=" $44.12 "/>
    <n v="6"/>
    <n v="11"/>
    <s v="Clothing"/>
    <s v="Cricket Bat"/>
    <x v="0"/>
    <x v="1"/>
    <n v="264.72000000000003"/>
    <s v="Misaligned"/>
    <x v="2"/>
    <s v="High Value Tier"/>
    <x v="0"/>
  </r>
  <r>
    <s v="ORD6085"/>
    <s v="CUST2085"/>
    <n v="19"/>
    <s v="PROD1285"/>
    <x v="1"/>
    <x v="688"/>
    <s v="2/26/2025"/>
    <n v="1"/>
    <x v="2"/>
    <s v="7/26/2024"/>
    <s v=" $1,330.98 "/>
    <n v="1"/>
    <n v="24"/>
    <s v="Electronics"/>
    <s v="Jacket"/>
    <x v="2"/>
    <x v="0"/>
    <n v="1330.98"/>
    <s v="Misaligned"/>
    <x v="3"/>
    <s v="High Value Tier"/>
    <x v="1"/>
  </r>
  <r>
    <s v="ORD6086"/>
    <s v="CUST2086"/>
    <n v="49"/>
    <s v="PROD1286"/>
    <x v="1"/>
    <x v="583"/>
    <s v="3/16/2022"/>
    <n v="0"/>
    <x v="0"/>
    <d v="2024-06-06T00:00:00"/>
    <s v=" $65.75 "/>
    <n v="7"/>
    <n v="25"/>
    <s v="Electronics"/>
    <s v="Sneakers"/>
    <x v="2"/>
    <x v="0"/>
    <n v="460.25"/>
    <s v="Misaligned"/>
    <x v="0"/>
    <s v="High Value Tier"/>
    <x v="0"/>
  </r>
  <r>
    <s v="ORD6087"/>
    <s v="CUST2087"/>
    <n v="45"/>
    <s v="PROD1287"/>
    <x v="4"/>
    <x v="241"/>
    <s v="8/13/2023"/>
    <n v="0"/>
    <x v="0"/>
    <s v="9/27/2023"/>
    <s v=" $573.06 "/>
    <n v="3"/>
    <n v="31"/>
    <s v="Clothing"/>
    <s v="Tablet"/>
    <x v="4"/>
    <x v="0"/>
    <n v="1719.18"/>
    <s v="Misaligned"/>
    <x v="0"/>
    <s v="High Value Tier"/>
    <x v="0"/>
  </r>
  <r>
    <s v="ORD6088"/>
    <s v="CUST2088"/>
    <n v="23"/>
    <s v="PROD1288"/>
    <x v="2"/>
    <x v="501"/>
    <d v="2024-07-11T00:00:00"/>
    <n v="4"/>
    <x v="0"/>
    <s v="10/17/2024"/>
    <s v=" $384.45 "/>
    <n v="5"/>
    <n v="23"/>
    <s v="Electronics"/>
    <s v="Lamp"/>
    <x v="1"/>
    <x v="1"/>
    <n v="1922.25"/>
    <s v="Misaligned"/>
    <x v="3"/>
    <s v="High Value Tier"/>
    <x v="3"/>
  </r>
  <r>
    <s v="ORD6089"/>
    <s v="CUST2089"/>
    <n v="29"/>
    <s v="PROD1289"/>
    <x v="0"/>
    <x v="202"/>
    <d v="2021-06-09T00:00:00"/>
    <n v="0"/>
    <x v="0"/>
    <d v="2021-04-09T00:00:00"/>
    <s v=" $61.45 "/>
    <n v="9"/>
    <n v="42"/>
    <s v="Beauty"/>
    <s v="Face Wash"/>
    <x v="3"/>
    <x v="0"/>
    <n v="553.04999999999995"/>
    <s v="Aligned"/>
    <x v="2"/>
    <s v="High Value Tier"/>
    <x v="0"/>
  </r>
  <r>
    <s v="ORD6090"/>
    <s v="CUST2090"/>
    <n v="53"/>
    <s v="PROD1290"/>
    <x v="1"/>
    <x v="689"/>
    <s v="2/22/2023"/>
    <n v="2"/>
    <x v="0"/>
    <d v="2025-02-05T00:00:00"/>
    <s v=" $476.48 "/>
    <n v="4"/>
    <n v="15"/>
    <s v="Sports"/>
    <s v="Gaming Console"/>
    <x v="4"/>
    <x v="1"/>
    <n v="1905.92"/>
    <s v="Misaligned"/>
    <x v="1"/>
    <s v="High Value Tier"/>
    <x v="0"/>
  </r>
  <r>
    <s v="ORD6091"/>
    <s v="CUST2091"/>
    <n v="22"/>
    <s v="PROD1291"/>
    <x v="4"/>
    <x v="690"/>
    <s v="2/18/2025"/>
    <n v="0"/>
    <x v="2"/>
    <d v="2024-11-08T00:00:00"/>
    <s v=" $542.87 "/>
    <n v="2"/>
    <n v="32"/>
    <s v="Beauty"/>
    <s v="Football"/>
    <x v="0"/>
    <x v="0"/>
    <n v="1085.74"/>
    <s v="Misaligned"/>
    <x v="3"/>
    <s v="High Value Tier"/>
    <x v="1"/>
  </r>
  <r>
    <s v="ORD6092"/>
    <s v="CUST2092"/>
    <n v="26"/>
    <s v="PROD1292"/>
    <x v="2"/>
    <x v="691"/>
    <s v="11/26/2023"/>
    <n v="3"/>
    <x v="0"/>
    <s v="5/14/2022"/>
    <s v=" $491.48 "/>
    <n v="4"/>
    <n v="26"/>
    <s v="Electronics"/>
    <s v="Foundation"/>
    <x v="3"/>
    <x v="0"/>
    <n v="1965.92"/>
    <s v="Misaligned"/>
    <x v="2"/>
    <s v="High Value Tier"/>
    <x v="0"/>
  </r>
  <r>
    <s v="ORD6093"/>
    <s v="CUST2093"/>
    <n v="43"/>
    <s v="PROD1293"/>
    <x v="4"/>
    <x v="558"/>
    <d v="2024-02-04T00:00:00"/>
    <n v="0"/>
    <x v="0"/>
    <s v="5/16/2024"/>
    <s v=" $309.37 "/>
    <n v="3"/>
    <n v="31"/>
    <s v="Sports"/>
    <s v="Sneakers"/>
    <x v="2"/>
    <x v="0"/>
    <n v="928.11"/>
    <s v="Misaligned"/>
    <x v="0"/>
    <s v="High Value Tier"/>
    <x v="0"/>
  </r>
  <r>
    <s v="ORD6094"/>
    <s v="CUST2094"/>
    <n v="51"/>
    <s v="PROD1294"/>
    <x v="4"/>
    <x v="149"/>
    <s v="11/26/2022"/>
    <n v="3"/>
    <x v="0"/>
    <s v="12/15/2021"/>
    <s v=" $4.80 "/>
    <n v="7"/>
    <n v="27"/>
    <s v="Clothing"/>
    <s v="Skirt"/>
    <x v="2"/>
    <x v="0"/>
    <n v="33.6"/>
    <s v="Aligned"/>
    <x v="1"/>
    <s v="Core Tier"/>
    <x v="0"/>
  </r>
  <r>
    <s v="ORD6095"/>
    <s v="CUST2095"/>
    <n v="63"/>
    <s v="PROD1295"/>
    <x v="3"/>
    <x v="692"/>
    <s v="7/18/2023"/>
    <n v="5"/>
    <x v="0"/>
    <d v="2023-10-04T00:00:00"/>
    <s v=" $247.22 "/>
    <n v="4"/>
    <n v="31"/>
    <s v="Clothing"/>
    <s v="Lipstick"/>
    <x v="3"/>
    <x v="0"/>
    <n v="988.88"/>
    <s v="Misaligned"/>
    <x v="1"/>
    <s v="High Value Tier"/>
    <x v="3"/>
  </r>
  <r>
    <s v="ORD6096"/>
    <s v="CUST2096"/>
    <n v="64"/>
    <s v="PROD1296"/>
    <x v="4"/>
    <x v="322"/>
    <d v="2024-02-10T00:00:00"/>
    <n v="2"/>
    <x v="0"/>
    <d v="2023-07-11T00:00:00"/>
    <s v=" $121.04 "/>
    <n v="7"/>
    <n v="33"/>
    <s v="Clothing"/>
    <s v="Shampoo"/>
    <x v="3"/>
    <x v="1"/>
    <n v="847.28"/>
    <s v="Misaligned"/>
    <x v="1"/>
    <s v="High Value Tier"/>
    <x v="0"/>
  </r>
  <r>
    <s v="ORD6097"/>
    <s v="CUST2097"/>
    <n v="54"/>
    <s v="PROD1297"/>
    <x v="2"/>
    <x v="114"/>
    <s v="11/21/2023"/>
    <n v="3"/>
    <x v="0"/>
    <s v="6/24/2022"/>
    <s v=" $146.91 "/>
    <n v="7"/>
    <n v="24"/>
    <s v="Clothing"/>
    <s v="Perfume"/>
    <x v="3"/>
    <x v="0"/>
    <n v="1028.3699999999999"/>
    <s v="Misaligned"/>
    <x v="1"/>
    <s v="High Value Tier"/>
    <x v="0"/>
  </r>
  <r>
    <s v="ORD6098"/>
    <s v="CUST2098"/>
    <n v="50"/>
    <s v="PROD1298"/>
    <x v="0"/>
    <x v="693"/>
    <d v="2023-09-08T00:00:00"/>
    <n v="3"/>
    <x v="2"/>
    <d v="2023-07-08T00:00:00"/>
    <s v=" $1,319.96 "/>
    <n v="1"/>
    <n v="39"/>
    <s v="Beauty"/>
    <s v="Cycling Helmet"/>
    <x v="0"/>
    <x v="0"/>
    <n v="1319.96"/>
    <s v="Misaligned"/>
    <x v="1"/>
    <s v="High Value Tier"/>
    <x v="1"/>
  </r>
  <r>
    <s v="ORD6099"/>
    <s v="CUST2099"/>
    <n v="63"/>
    <s v="PROD1299"/>
    <x v="4"/>
    <x v="694"/>
    <d v="2025-10-04T00:00:00"/>
    <n v="1"/>
    <x v="2"/>
    <s v="6/30/2024"/>
    <s v=" $84.26 "/>
    <n v="4"/>
    <n v="15"/>
    <s v="Sports"/>
    <s v="Running Shoes"/>
    <x v="0"/>
    <x v="0"/>
    <n v="337.04"/>
    <s v="Aligned"/>
    <x v="1"/>
    <s v="High Value Tier"/>
    <x v="1"/>
  </r>
  <r>
    <s v="ORD6100"/>
    <s v="CUST2100"/>
    <n v="33"/>
    <s v="PROD1300"/>
    <x v="1"/>
    <x v="694"/>
    <s v="9/30/2022"/>
    <n v="5"/>
    <x v="0"/>
    <d v="2025-05-02T00:00:00"/>
    <s v=" $313.24 "/>
    <n v="4"/>
    <n v="45"/>
    <s v="Clothing"/>
    <s v="Gaming Console"/>
    <x v="4"/>
    <x v="1"/>
    <n v="1252.96"/>
    <s v="Misaligned"/>
    <x v="2"/>
    <s v="High Value Tier"/>
    <x v="3"/>
  </r>
  <r>
    <s v="ORD6101"/>
    <s v="CUST2101"/>
    <n v="18"/>
    <s v="PROD1301"/>
    <x v="3"/>
    <x v="695"/>
    <s v="2/20/2024"/>
    <n v="5"/>
    <x v="1"/>
    <d v="2024-08-06T00:00:00"/>
    <s v=" $261.80 "/>
    <n v="4"/>
    <n v="49"/>
    <s v="Sports"/>
    <s v="Laptop"/>
    <x v="4"/>
    <x v="0"/>
    <n v="1047.2"/>
    <s v="Misaligned"/>
    <x v="3"/>
    <s v="High Value Tier"/>
    <x v="0"/>
  </r>
  <r>
    <s v="ORD6102"/>
    <s v="CUST2102"/>
    <n v="69"/>
    <s v="PROD1302"/>
    <x v="0"/>
    <x v="257"/>
    <d v="2023-12-12T00:00:00"/>
    <n v="2"/>
    <x v="0"/>
    <s v="1/22/2024"/>
    <s v=" $366.08 "/>
    <n v="4"/>
    <n v="29"/>
    <s v="Electronics"/>
    <s v="Tennis Racket"/>
    <x v="0"/>
    <x v="0"/>
    <n v="1464.32"/>
    <s v="Misaligned"/>
    <x v="4"/>
    <s v="High Value Tier"/>
    <x v="0"/>
  </r>
  <r>
    <s v="ORD6103"/>
    <s v="CUST2103"/>
    <n v="67"/>
    <s v="PROD1303"/>
    <x v="0"/>
    <x v="533"/>
    <s v="6/13/2025"/>
    <n v="4"/>
    <x v="0"/>
    <s v="2/14/2025"/>
    <s v=" $302.55 "/>
    <n v="5"/>
    <n v="30"/>
    <s v="Sports"/>
    <s v="Refrigerator"/>
    <x v="1"/>
    <x v="1"/>
    <n v="1512.75"/>
    <s v="Misaligned"/>
    <x v="4"/>
    <s v="High Value Tier"/>
    <x v="3"/>
  </r>
  <r>
    <s v="ORD6104"/>
    <s v="CUST2104"/>
    <n v="38"/>
    <s v="PROD1304"/>
    <x v="2"/>
    <x v="610"/>
    <d v="2024-10-10T00:00:00"/>
    <n v="5"/>
    <x v="0"/>
    <s v="12/25/2024"/>
    <s v=" $72.50 "/>
    <n v="2"/>
    <n v="27"/>
    <s v="Beauty"/>
    <s v="Lipstick"/>
    <x v="3"/>
    <x v="2"/>
    <n v="145"/>
    <s v="Aligned"/>
    <x v="0"/>
    <s v="High Value Tier"/>
    <x v="3"/>
  </r>
  <r>
    <s v="ORD6105"/>
    <s v="CUST2105"/>
    <n v="44"/>
    <s v="PROD1305"/>
    <x v="3"/>
    <x v="696"/>
    <s v="6/21/2024"/>
    <n v="3"/>
    <x v="0"/>
    <s v="12/27/2021"/>
    <s v=" $1,194.42 "/>
    <n v="1"/>
    <n v="29"/>
    <s v="Home"/>
    <s v="Running Shoes"/>
    <x v="0"/>
    <x v="1"/>
    <n v="1194.42"/>
    <s v="Misaligned"/>
    <x v="0"/>
    <s v="High Value Tier"/>
    <x v="0"/>
  </r>
  <r>
    <s v="ORD6106"/>
    <s v="CUST2106"/>
    <n v="22"/>
    <s v="PROD1306"/>
    <x v="1"/>
    <x v="576"/>
    <s v="7/30/2023"/>
    <n v="2"/>
    <x v="0"/>
    <s v="10/15/2021"/>
    <s v=" $136.82 "/>
    <n v="8"/>
    <n v="39"/>
    <s v="Sports"/>
    <s v="Moisturizer"/>
    <x v="3"/>
    <x v="0"/>
    <n v="1094.56"/>
    <s v="Misaligned"/>
    <x v="3"/>
    <s v="High Value Tier"/>
    <x v="0"/>
  </r>
  <r>
    <s v="ORD6107"/>
    <s v="CUST2107"/>
    <n v="53"/>
    <s v="PROD1307"/>
    <x v="2"/>
    <x v="480"/>
    <s v="12/28/2022"/>
    <n v="5"/>
    <x v="0"/>
    <d v="2024-08-11T00:00:00"/>
    <s v=" $1,491.08 "/>
    <n v="1"/>
    <n v="41"/>
    <s v="Electronics"/>
    <s v="Headphones"/>
    <x v="4"/>
    <x v="1"/>
    <n v="1491.08"/>
    <s v="Aligned"/>
    <x v="1"/>
    <s v="High Value Tier"/>
    <x v="3"/>
  </r>
  <r>
    <s v="ORD6108"/>
    <s v="CUST2108"/>
    <n v="69"/>
    <s v="PROD1308"/>
    <x v="1"/>
    <x v="391"/>
    <s v="3/28/2023"/>
    <n v="0"/>
    <x v="1"/>
    <s v="11/18/2024"/>
    <s v=" $175.08 "/>
    <n v="9"/>
    <n v="35"/>
    <s v="Electronics"/>
    <s v="Tennis Racket"/>
    <x v="0"/>
    <x v="2"/>
    <n v="1575.72"/>
    <s v="Misaligned"/>
    <x v="4"/>
    <s v="High Value Tier"/>
    <x v="0"/>
  </r>
  <r>
    <s v="ORD6109"/>
    <s v="CUST2109"/>
    <n v="22"/>
    <s v="PROD1309"/>
    <x v="5"/>
    <x v="45"/>
    <d v="2024-12-01T00:00:00"/>
    <n v="3"/>
    <x v="0"/>
    <d v="2021-10-03T00:00:00"/>
    <s v=" $446.47 "/>
    <n v="4"/>
    <n v="14"/>
    <s v="Clothing"/>
    <s v="Skirt"/>
    <x v="2"/>
    <x v="1"/>
    <n v="1785.88"/>
    <s v="Aligned"/>
    <x v="3"/>
    <s v="High Value Tier"/>
    <x v="0"/>
  </r>
  <r>
    <s v="ORD6110"/>
    <s v="CUST2110"/>
    <n v="54"/>
    <s v="PROD1310"/>
    <x v="5"/>
    <x v="697"/>
    <s v="12/25/2022"/>
    <n v="5"/>
    <x v="0"/>
    <s v="3/14/2025"/>
    <s v=" $204.18 "/>
    <n v="4"/>
    <n v="43"/>
    <s v="Beauty"/>
    <s v="Headphones"/>
    <x v="4"/>
    <x v="0"/>
    <n v="816.72"/>
    <s v="Misaligned"/>
    <x v="1"/>
    <s v="High Value Tier"/>
    <x v="3"/>
  </r>
  <r>
    <s v="ORD6111"/>
    <s v="CUST2111"/>
    <n v="36"/>
    <s v="PROD1311"/>
    <x v="1"/>
    <x v="698"/>
    <d v="2023-09-03T00:00:00"/>
    <n v="5"/>
    <x v="0"/>
    <d v="2023-04-06T00:00:00"/>
    <s v=" $964.50 "/>
    <n v="2"/>
    <n v="9"/>
    <s v="Home"/>
    <s v="Chair"/>
    <x v="1"/>
    <x v="1"/>
    <n v="1929"/>
    <s v="Aligned"/>
    <x v="0"/>
    <s v="High Value Tier"/>
    <x v="3"/>
  </r>
  <r>
    <s v="ORD6112"/>
    <s v="CUST2112"/>
    <n v="24"/>
    <s v="PROD1312"/>
    <x v="5"/>
    <x v="455"/>
    <d v="2024-04-03T00:00:00"/>
    <n v="0"/>
    <x v="0"/>
    <d v="2022-06-06T00:00:00"/>
    <s v=" $134.30 "/>
    <n v="8"/>
    <n v="44"/>
    <s v="Sports"/>
    <s v="Shirt"/>
    <x v="2"/>
    <x v="0"/>
    <n v="1074.4000000000001"/>
    <s v="Misaligned"/>
    <x v="3"/>
    <s v="High Value Tier"/>
    <x v="0"/>
  </r>
  <r>
    <s v="ORD6113"/>
    <s v="CUST2113"/>
    <n v="64"/>
    <s v="PROD1313"/>
    <x v="5"/>
    <x v="186"/>
    <s v="7/30/2021"/>
    <n v="0"/>
    <x v="0"/>
    <s v="8/13/2021"/>
    <s v=" $228.67 "/>
    <n v="5"/>
    <n v="19"/>
    <s v="Beauty"/>
    <s v="Smartwatch"/>
    <x v="4"/>
    <x v="0"/>
    <n v="1143.3499999999999"/>
    <s v="Misaligned"/>
    <x v="1"/>
    <s v="High Value Tier"/>
    <x v="0"/>
  </r>
  <r>
    <s v="ORD6114"/>
    <s v="CUST2114"/>
    <n v="19"/>
    <s v="PROD1314"/>
    <x v="1"/>
    <x v="423"/>
    <s v="4/16/2023"/>
    <n v="2"/>
    <x v="2"/>
    <s v="5/18/2024"/>
    <s v=" $360.22 "/>
    <n v="5"/>
    <n v="33"/>
    <s v="Sports"/>
    <s v="Smartphone"/>
    <x v="4"/>
    <x v="1"/>
    <n v="1801.1"/>
    <s v="Misaligned"/>
    <x v="3"/>
    <s v="High Value Tier"/>
    <x v="1"/>
  </r>
  <r>
    <s v="ORD6115"/>
    <s v="CUST2115"/>
    <n v="29"/>
    <s v="PROD1315"/>
    <x v="2"/>
    <x v="485"/>
    <s v="8/28/2023"/>
    <n v="3"/>
    <x v="0"/>
    <d v="2023-08-04T00:00:00"/>
    <s v=" $99.05 "/>
    <n v="3"/>
    <n v="28"/>
    <s v="Clothing"/>
    <s v="Vacuum Cleaner"/>
    <x v="1"/>
    <x v="0"/>
    <n v="297.14999999999998"/>
    <s v="Misaligned"/>
    <x v="2"/>
    <s v="High Value Tier"/>
    <x v="0"/>
  </r>
  <r>
    <s v="ORD6116"/>
    <s v="CUST2116"/>
    <n v="61"/>
    <s v="PROD1316"/>
    <x v="4"/>
    <x v="699"/>
    <d v="2023-04-09T00:00:00"/>
    <n v="4"/>
    <x v="2"/>
    <s v="11/28/2022"/>
    <s v=" $212.47 "/>
    <n v="7"/>
    <n v="15"/>
    <s v="Beauty"/>
    <s v="Smartphone"/>
    <x v="4"/>
    <x v="0"/>
    <n v="1487.29"/>
    <s v="Misaligned"/>
    <x v="1"/>
    <s v="High Value Tier"/>
    <x v="1"/>
  </r>
  <r>
    <s v="ORD6117"/>
    <s v="CUST2117"/>
    <n v="59"/>
    <s v="PROD1317"/>
    <x v="1"/>
    <x v="314"/>
    <s v="5/24/2022"/>
    <n v="1"/>
    <x v="0"/>
    <s v="8/30/2023"/>
    <s v=" $14.12 "/>
    <n v="8"/>
    <n v="19"/>
    <s v="Sports"/>
    <s v="Vacuum Cleaner"/>
    <x v="1"/>
    <x v="1"/>
    <n v="112.96"/>
    <s v="Misaligned"/>
    <x v="1"/>
    <s v="Core Tier"/>
    <x v="0"/>
  </r>
  <r>
    <s v="ORD6118"/>
    <s v="CUST2118"/>
    <n v="66"/>
    <s v="PROD1318"/>
    <x v="3"/>
    <x v="700"/>
    <s v="9/20/2020"/>
    <n v="3"/>
    <x v="1"/>
    <d v="2023-04-08T00:00:00"/>
    <s v=" $258.37 "/>
    <n v="4"/>
    <n v="44"/>
    <s v="Sports"/>
    <s v="Running Shoes"/>
    <x v="0"/>
    <x v="1"/>
    <n v="1033.48"/>
    <s v="Aligned"/>
    <x v="4"/>
    <s v="High Value Tier"/>
    <x v="0"/>
  </r>
  <r>
    <s v="ORD6119"/>
    <s v="CUST2119"/>
    <n v="23"/>
    <s v="PROD1319"/>
    <x v="1"/>
    <x v="701"/>
    <d v="2024-04-05T00:00:00"/>
    <n v="1"/>
    <x v="0"/>
    <s v="4/14/2024"/>
    <s v=" $141.45 "/>
    <n v="9"/>
    <n v="37"/>
    <s v="Sports"/>
    <s v="Tennis Racket"/>
    <x v="0"/>
    <x v="0"/>
    <n v="1273.05"/>
    <s v="Aligned"/>
    <x v="3"/>
    <s v="High Value Tier"/>
    <x v="0"/>
  </r>
  <r>
    <s v="ORD6120"/>
    <s v="CUST2120"/>
    <n v="41"/>
    <s v="PROD1320"/>
    <x v="2"/>
    <x v="67"/>
    <s v="11/23/2023"/>
    <n v="5"/>
    <x v="1"/>
    <s v="12/13/2023"/>
    <s v=" $52.81 "/>
    <n v="9"/>
    <n v="43"/>
    <s v="Clothing"/>
    <s v="Moisturizer"/>
    <x v="3"/>
    <x v="1"/>
    <n v="475.29"/>
    <s v="Misaligned"/>
    <x v="0"/>
    <s v="High Value Tier"/>
    <x v="0"/>
  </r>
  <r>
    <s v="ORD6121"/>
    <s v="CUST2121"/>
    <n v="58"/>
    <s v="PROD1321"/>
    <x v="1"/>
    <x v="702"/>
    <d v="2024-07-07T00:00:00"/>
    <n v="0"/>
    <x v="1"/>
    <s v="7/25/2023"/>
    <s v=" $169.81 "/>
    <n v="5"/>
    <n v="38"/>
    <s v="Sports"/>
    <s v="Chair"/>
    <x v="1"/>
    <x v="0"/>
    <n v="849.05"/>
    <s v="Misaligned"/>
    <x v="1"/>
    <s v="High Value Tier"/>
    <x v="0"/>
  </r>
  <r>
    <s v="ORD6122"/>
    <s v="CUST2122"/>
    <n v="37"/>
    <s v="PROD1322"/>
    <x v="5"/>
    <x v="673"/>
    <s v="11/27/2023"/>
    <n v="1"/>
    <x v="0"/>
    <s v="1/24/2023"/>
    <s v=" $111.99 "/>
    <n v="6"/>
    <n v="8"/>
    <s v="Beauty"/>
    <s v="Laptop"/>
    <x v="4"/>
    <x v="1"/>
    <n v="671.94"/>
    <s v="Misaligned"/>
    <x v="0"/>
    <s v="High Value Tier"/>
    <x v="0"/>
  </r>
  <r>
    <s v="ORD6123"/>
    <s v="CUST2123"/>
    <n v="40"/>
    <s v="PROD1323"/>
    <x v="5"/>
    <x v="703"/>
    <s v="3/31/2022"/>
    <n v="0"/>
    <x v="2"/>
    <d v="2024-08-08T00:00:00"/>
    <s v=" $564.30 "/>
    <n v="3"/>
    <n v="7"/>
    <s v="Home"/>
    <s v="Lipstick"/>
    <x v="3"/>
    <x v="2"/>
    <n v="1692.9"/>
    <s v="Misaligned"/>
    <x v="0"/>
    <s v="High Value Tier"/>
    <x v="1"/>
  </r>
  <r>
    <s v="ORD6124"/>
    <s v="CUST2124"/>
    <n v="68"/>
    <s v="PROD1324"/>
    <x v="1"/>
    <x v="704"/>
    <d v="2024-08-03T00:00:00"/>
    <n v="0"/>
    <x v="0"/>
    <s v="11/14/2022"/>
    <s v=" $244.71 "/>
    <n v="4"/>
    <n v="23"/>
    <s v="Sports"/>
    <s v="Face Wash"/>
    <x v="3"/>
    <x v="1"/>
    <n v="978.84"/>
    <s v="Misaligned"/>
    <x v="4"/>
    <s v="High Value Tier"/>
    <x v="0"/>
  </r>
  <r>
    <s v="ORD6125"/>
    <s v="CUST2125"/>
    <n v="23"/>
    <s v="PROD1325"/>
    <x v="0"/>
    <x v="705"/>
    <d v="2020-10-11T00:00:00"/>
    <n v="1"/>
    <x v="0"/>
    <s v="1/25/2023"/>
    <s v=" $603.87 "/>
    <n v="1"/>
    <n v="11"/>
    <s v="Sports"/>
    <s v="Dumbbells"/>
    <x v="0"/>
    <x v="0"/>
    <n v="603.87"/>
    <s v="Aligned"/>
    <x v="3"/>
    <s v="High Value Tier"/>
    <x v="0"/>
  </r>
  <r>
    <s v="ORD6126"/>
    <s v="CUST2126"/>
    <n v="25"/>
    <s v="PROD1326"/>
    <x v="4"/>
    <x v="292"/>
    <s v="9/14/2022"/>
    <n v="1"/>
    <x v="0"/>
    <s v="6/30/2021"/>
    <s v=" $232.11 "/>
    <n v="2"/>
    <n v="25"/>
    <s v="Sports"/>
    <s v="Foundation"/>
    <x v="3"/>
    <x v="1"/>
    <n v="464.22"/>
    <s v="Misaligned"/>
    <x v="2"/>
    <s v="High Value Tier"/>
    <x v="0"/>
  </r>
  <r>
    <s v="ORD6127"/>
    <s v="CUST2127"/>
    <n v="60"/>
    <s v="PROD1327"/>
    <x v="4"/>
    <x v="621"/>
    <d v="2025-03-08T00:00:00"/>
    <n v="1"/>
    <x v="2"/>
    <s v="3/27/2024"/>
    <s v=" $50.52 "/>
    <n v="5"/>
    <n v="7"/>
    <s v="Clothing"/>
    <s v="Microwave"/>
    <x v="1"/>
    <x v="0"/>
    <n v="252.6"/>
    <s v="Misaligned"/>
    <x v="1"/>
    <s v="Core Tier"/>
    <x v="1"/>
  </r>
  <r>
    <s v="ORD6128"/>
    <s v="CUST2128"/>
    <n v="24"/>
    <s v="PROD1328"/>
    <x v="5"/>
    <x v="667"/>
    <s v="9/25/2024"/>
    <n v="5"/>
    <x v="0"/>
    <s v="7/15/2025"/>
    <s v=" $407.04 "/>
    <n v="2"/>
    <n v="33"/>
    <s v="Home"/>
    <s v="Cycling Helmet"/>
    <x v="0"/>
    <x v="1"/>
    <n v="814.08"/>
    <s v="Misaligned"/>
    <x v="3"/>
    <s v="High Value Tier"/>
    <x v="3"/>
  </r>
  <r>
    <s v="ORD6129"/>
    <s v="CUST2129"/>
    <n v="66"/>
    <s v="PROD1329"/>
    <x v="1"/>
    <x v="228"/>
    <s v="3/14/2022"/>
    <n v="3"/>
    <x v="0"/>
    <d v="2024-04-08T00:00:00"/>
    <s v=" $212.92 "/>
    <n v="9"/>
    <n v="30"/>
    <s v="Sports"/>
    <s v="Moisturizer"/>
    <x v="3"/>
    <x v="1"/>
    <n v="1916.28"/>
    <s v="Misaligned"/>
    <x v="4"/>
    <s v="High Value Tier"/>
    <x v="0"/>
  </r>
  <r>
    <s v="ORD6130"/>
    <s v="CUST2130"/>
    <n v="40"/>
    <s v="PROD1330"/>
    <x v="2"/>
    <x v="645"/>
    <s v="1/25/2024"/>
    <n v="5"/>
    <x v="1"/>
    <d v="2021-11-12T00:00:00"/>
    <s v=" $119.35 "/>
    <n v="9"/>
    <n v="9"/>
    <s v="Sports"/>
    <s v="Conditioner"/>
    <x v="3"/>
    <x v="1"/>
    <n v="1074.1500000000001"/>
    <s v="Misaligned"/>
    <x v="0"/>
    <s v="High Value Tier"/>
    <x v="0"/>
  </r>
  <r>
    <s v="ORD6131"/>
    <s v="CUST2131"/>
    <n v="62"/>
    <s v="PROD1331"/>
    <x v="0"/>
    <x v="156"/>
    <s v="5/14/2025"/>
    <n v="4"/>
    <x v="0"/>
    <s v="7/22/2025"/>
    <s v=" $36.75 "/>
    <n v="5"/>
    <n v="46"/>
    <s v="Sports"/>
    <s v="Smartphone"/>
    <x v="4"/>
    <x v="1"/>
    <n v="183.75"/>
    <s v="Misaligned"/>
    <x v="1"/>
    <s v="High Value Tier"/>
    <x v="3"/>
  </r>
  <r>
    <s v="ORD6132"/>
    <s v="CUST2132"/>
    <n v="61"/>
    <s v="PROD1332"/>
    <x v="3"/>
    <x v="706"/>
    <d v="2023-01-05T00:00:00"/>
    <n v="3"/>
    <x v="1"/>
    <d v="2022-06-10T00:00:00"/>
    <s v=" $113.88 "/>
    <n v="6"/>
    <n v="45"/>
    <s v="Sports"/>
    <s v="Basketball"/>
    <x v="0"/>
    <x v="1"/>
    <n v="683.28"/>
    <s v="Aligned"/>
    <x v="1"/>
    <s v="High Value Tier"/>
    <x v="0"/>
  </r>
  <r>
    <s v="ORD6133"/>
    <s v="CUST2133"/>
    <n v="64"/>
    <s v="PROD1333"/>
    <x v="1"/>
    <x v="243"/>
    <s v="5/24/2024"/>
    <n v="4"/>
    <x v="0"/>
    <d v="2024-05-04T00:00:00"/>
    <s v=" $168.95 "/>
    <n v="9"/>
    <n v="5"/>
    <s v="Electronics"/>
    <s v="Dumbbells"/>
    <x v="0"/>
    <x v="1"/>
    <n v="1520.55"/>
    <s v="Misaligned"/>
    <x v="1"/>
    <s v="High Value Tier"/>
    <x v="3"/>
  </r>
  <r>
    <s v="ORD6134"/>
    <s v="CUST2134"/>
    <n v="40"/>
    <s v="PROD1334"/>
    <x v="5"/>
    <x v="88"/>
    <s v="11/17/2023"/>
    <n v="4"/>
    <x v="2"/>
    <s v="1/22/2024"/>
    <s v=" $9.90 "/>
    <n v="6"/>
    <n v="36"/>
    <s v="Clothing"/>
    <s v="Hoodie"/>
    <x v="2"/>
    <x v="0"/>
    <n v="59.4"/>
    <s v="Aligned"/>
    <x v="0"/>
    <s v="Core Tier"/>
    <x v="1"/>
  </r>
  <r>
    <s v="ORD6135"/>
    <s v="CUST2135"/>
    <n v="40"/>
    <s v="PROD1335"/>
    <x v="3"/>
    <x v="55"/>
    <d v="2024-12-08T00:00:00"/>
    <n v="0"/>
    <x v="0"/>
    <s v="4/20/2025"/>
    <s v=" $200.24 "/>
    <n v="9"/>
    <n v="29"/>
    <s v="Electronics"/>
    <s v="Dining Table"/>
    <x v="1"/>
    <x v="0"/>
    <n v="1802.16"/>
    <s v="Misaligned"/>
    <x v="0"/>
    <s v="High Value Tier"/>
    <x v="0"/>
  </r>
  <r>
    <s v="ORD6136"/>
    <s v="CUST2136"/>
    <n v="21"/>
    <s v="PROD1336"/>
    <x v="4"/>
    <x v="182"/>
    <s v="6/18/2024"/>
    <n v="3"/>
    <x v="0"/>
    <s v="5/28/2024"/>
    <s v=" $45.59 "/>
    <n v="8"/>
    <n v="45"/>
    <s v="Beauty"/>
    <s v="Lipstick"/>
    <x v="3"/>
    <x v="0"/>
    <n v="364.72"/>
    <s v="Aligned"/>
    <x v="3"/>
    <s v="High Value Tier"/>
    <x v="0"/>
  </r>
  <r>
    <s v="ORD6137"/>
    <s v="CUST2137"/>
    <n v="19"/>
    <s v="PROD1337"/>
    <x v="1"/>
    <x v="707"/>
    <d v="2023-05-03T00:00:00"/>
    <n v="3"/>
    <x v="0"/>
    <s v="5/23/2025"/>
    <s v=" $42.19 "/>
    <n v="4"/>
    <n v="46"/>
    <s v="Beauty"/>
    <s v="Sneakers"/>
    <x v="2"/>
    <x v="0"/>
    <n v="168.76"/>
    <s v="Misaligned"/>
    <x v="3"/>
    <s v="High Value Tier"/>
    <x v="0"/>
  </r>
  <r>
    <s v="ORD6138"/>
    <s v="CUST2138"/>
    <n v="52"/>
    <s v="PROD1338"/>
    <x v="2"/>
    <x v="696"/>
    <d v="2023-10-01T00:00:00"/>
    <n v="2"/>
    <x v="2"/>
    <s v="8/30/2023"/>
    <s v=" $198.73 "/>
    <n v="6"/>
    <n v="24"/>
    <s v="Clothing"/>
    <s v="Foundation"/>
    <x v="3"/>
    <x v="1"/>
    <n v="1192.3800000000001"/>
    <s v="Misaligned"/>
    <x v="1"/>
    <s v="High Value Tier"/>
    <x v="1"/>
  </r>
  <r>
    <s v="ORD6139"/>
    <s v="CUST2139"/>
    <n v="53"/>
    <s v="PROD1339"/>
    <x v="4"/>
    <x v="336"/>
    <d v="2025-06-04T00:00:00"/>
    <n v="4"/>
    <x v="0"/>
    <s v="2/23/2025"/>
    <s v=" $339.60 "/>
    <n v="1"/>
    <n v="42"/>
    <s v="Home"/>
    <s v="T-Shirt"/>
    <x v="2"/>
    <x v="1"/>
    <n v="339.6"/>
    <s v="Misaligned"/>
    <x v="1"/>
    <s v="High Value Tier"/>
    <x v="3"/>
  </r>
  <r>
    <s v="ORD6140"/>
    <s v="CUST2140"/>
    <n v="61"/>
    <s v="PROD1340"/>
    <x v="2"/>
    <x v="640"/>
    <s v="11/16/2022"/>
    <n v="1"/>
    <x v="0"/>
    <d v="2024-04-11T00:00:00"/>
    <s v=" $72.73 "/>
    <n v="8"/>
    <n v="39"/>
    <s v="Clothing"/>
    <s v="Sneakers"/>
    <x v="2"/>
    <x v="0"/>
    <n v="581.84"/>
    <s v="Aligned"/>
    <x v="1"/>
    <s v="High Value Tier"/>
    <x v="0"/>
  </r>
  <r>
    <s v="ORD6141"/>
    <s v="CUST2141"/>
    <n v="32"/>
    <s v="PROD1341"/>
    <x v="5"/>
    <x v="347"/>
    <d v="2022-09-09T00:00:00"/>
    <n v="5"/>
    <x v="1"/>
    <d v="2021-12-08T00:00:00"/>
    <s v=" $215.41 "/>
    <n v="4"/>
    <n v="45"/>
    <s v="Sports"/>
    <s v="Microwave"/>
    <x v="1"/>
    <x v="0"/>
    <n v="861.64"/>
    <s v="Misaligned"/>
    <x v="2"/>
    <s v="High Value Tier"/>
    <x v="0"/>
  </r>
  <r>
    <s v="ORD6142"/>
    <s v="CUST2142"/>
    <n v="53"/>
    <s v="PROD1342"/>
    <x v="3"/>
    <x v="708"/>
    <s v="12/22/2022"/>
    <n v="5"/>
    <x v="1"/>
    <s v="7/25/2023"/>
    <s v=" $91.74 "/>
    <n v="8"/>
    <n v="47"/>
    <s v="Sports"/>
    <s v="Smartwatch"/>
    <x v="4"/>
    <x v="0"/>
    <n v="733.92"/>
    <s v="Misaligned"/>
    <x v="1"/>
    <s v="High Value Tier"/>
    <x v="0"/>
  </r>
  <r>
    <s v="ORD6143"/>
    <s v="CUST2143"/>
    <n v="24"/>
    <s v="PROD1343"/>
    <x v="0"/>
    <x v="709"/>
    <d v="2023-11-12T00:00:00"/>
    <n v="1"/>
    <x v="0"/>
    <d v="2025-06-01T00:00:00"/>
    <s v=" $57.28 "/>
    <n v="9"/>
    <n v="49"/>
    <s v="Electronics"/>
    <s v="Bluetooth Speaker"/>
    <x v="4"/>
    <x v="2"/>
    <n v="515.52"/>
    <s v="Aligned"/>
    <x v="3"/>
    <s v="High Value Tier"/>
    <x v="0"/>
  </r>
  <r>
    <s v="ORD6144"/>
    <s v="CUST2144"/>
    <n v="47"/>
    <s v="PROD1344"/>
    <x v="1"/>
    <x v="710"/>
    <s v="5/24/2025"/>
    <n v="4"/>
    <x v="0"/>
    <s v="1/30/2024"/>
    <s v=" $155.31 "/>
    <n v="5"/>
    <n v="29"/>
    <s v="Beauty"/>
    <s v="Tablet"/>
    <x v="4"/>
    <x v="0"/>
    <n v="776.55"/>
    <s v="Misaligned"/>
    <x v="0"/>
    <s v="High Value Tier"/>
    <x v="3"/>
  </r>
  <r>
    <s v="ORD6145"/>
    <s v="CUST2145"/>
    <n v="62"/>
    <s v="PROD1345"/>
    <x v="5"/>
    <x v="711"/>
    <s v="4/29/2021"/>
    <n v="3"/>
    <x v="0"/>
    <s v="9/27/2021"/>
    <s v=" $776.04 "/>
    <n v="1"/>
    <n v="18"/>
    <s v="Electronics"/>
    <s v="Dress"/>
    <x v="2"/>
    <x v="0"/>
    <n v="776.04"/>
    <s v="Misaligned"/>
    <x v="1"/>
    <s v="High Value Tier"/>
    <x v="0"/>
  </r>
  <r>
    <s v="ORD6146"/>
    <s v="CUST2146"/>
    <n v="49"/>
    <s v="PROD1346"/>
    <x v="3"/>
    <x v="439"/>
    <d v="2024-11-10T00:00:00"/>
    <n v="0"/>
    <x v="1"/>
    <d v="2022-10-06T00:00:00"/>
    <s v=" $269.90 "/>
    <n v="3"/>
    <n v="37"/>
    <s v="Sports"/>
    <s v="Blender"/>
    <x v="1"/>
    <x v="0"/>
    <n v="809.7"/>
    <s v="Misaligned"/>
    <x v="0"/>
    <s v="High Value Tier"/>
    <x v="0"/>
  </r>
  <r>
    <s v="ORD6147"/>
    <s v="CUST2147"/>
    <n v="60"/>
    <s v="PROD1347"/>
    <x v="4"/>
    <x v="712"/>
    <s v="7/15/2025"/>
    <n v="5"/>
    <x v="1"/>
    <s v="5/18/2023"/>
    <s v=" $224.54 "/>
    <n v="2"/>
    <n v="14"/>
    <s v="Sports"/>
    <s v="Moisturizer"/>
    <x v="3"/>
    <x v="0"/>
    <n v="449.08"/>
    <s v="Misaligned"/>
    <x v="1"/>
    <s v="High Value Tier"/>
    <x v="0"/>
  </r>
  <r>
    <s v="ORD6148"/>
    <s v="CUST2148"/>
    <n v="48"/>
    <s v="PROD1348"/>
    <x v="2"/>
    <x v="76"/>
    <d v="2022-07-02T00:00:00"/>
    <n v="4"/>
    <x v="1"/>
    <d v="2025-06-01T00:00:00"/>
    <s v=" $211.38 "/>
    <n v="5"/>
    <n v="16"/>
    <s v="Clothing"/>
    <s v="Tennis Racket"/>
    <x v="0"/>
    <x v="0"/>
    <n v="1056.9000000000001"/>
    <s v="Misaligned"/>
    <x v="0"/>
    <s v="High Value Tier"/>
    <x v="0"/>
  </r>
  <r>
    <s v="ORD6149"/>
    <s v="CUST2149"/>
    <n v="36"/>
    <s v="PROD1349"/>
    <x v="5"/>
    <x v="713"/>
    <s v="4/22/2025"/>
    <n v="3"/>
    <x v="0"/>
    <s v="1/15/2025"/>
    <s v=" $64.80 "/>
    <n v="9"/>
    <n v="16"/>
    <s v="Beauty"/>
    <s v="Lamp"/>
    <x v="1"/>
    <x v="0"/>
    <n v="583.20000000000005"/>
    <s v="Misaligned"/>
    <x v="0"/>
    <s v="High Value Tier"/>
    <x v="0"/>
  </r>
  <r>
    <s v="ORD6150"/>
    <s v="CUST2150"/>
    <n v="30"/>
    <s v="PROD1350"/>
    <x v="5"/>
    <x v="362"/>
    <s v="3/21/2024"/>
    <n v="5"/>
    <x v="0"/>
    <d v="2024-04-04T00:00:00"/>
    <s v=" $189.04 "/>
    <n v="7"/>
    <n v="46"/>
    <s v="Sports"/>
    <s v="Hoodie"/>
    <x v="2"/>
    <x v="0"/>
    <n v="1323.28"/>
    <s v="Misaligned"/>
    <x v="2"/>
    <s v="High Value Tier"/>
    <x v="3"/>
  </r>
  <r>
    <s v="ORD6151"/>
    <s v="CUST2151"/>
    <n v="57"/>
    <s v="PROD1351"/>
    <x v="4"/>
    <x v="282"/>
    <s v="12/16/2024"/>
    <n v="4"/>
    <x v="0"/>
    <d v="2022-01-04T00:00:00"/>
    <s v=" $309.54 "/>
    <n v="5"/>
    <n v="17"/>
    <s v="Clothing"/>
    <s v="Smartwatch"/>
    <x v="4"/>
    <x v="1"/>
    <n v="1547.7"/>
    <s v="Misaligned"/>
    <x v="1"/>
    <s v="High Value Tier"/>
    <x v="3"/>
  </r>
  <r>
    <s v="ORD6152"/>
    <s v="CUST2152"/>
    <n v="21"/>
    <s v="PROD1352"/>
    <x v="2"/>
    <x v="12"/>
    <s v="7/24/2025"/>
    <n v="3"/>
    <x v="0"/>
    <s v="2/23/2022"/>
    <s v=" $221.26 "/>
    <n v="9"/>
    <n v="2"/>
    <s v="Electronics"/>
    <s v="Running Shoes"/>
    <x v="0"/>
    <x v="1"/>
    <n v="1991.34"/>
    <s v="Misaligned"/>
    <x v="3"/>
    <s v="High Value Tier"/>
    <x v="0"/>
  </r>
  <r>
    <s v="ORD6153"/>
    <s v="CUST2153"/>
    <n v="20"/>
    <s v="PROD1353"/>
    <x v="1"/>
    <x v="714"/>
    <d v="2025-08-02T00:00:00"/>
    <n v="0"/>
    <x v="2"/>
    <s v="1/19/2025"/>
    <s v=" $235.28 "/>
    <n v="8"/>
    <n v="27"/>
    <s v="Sports"/>
    <s v="Conditioner"/>
    <x v="3"/>
    <x v="1"/>
    <n v="1882.24"/>
    <s v="Misaligned"/>
    <x v="3"/>
    <s v="High Value Tier"/>
    <x v="1"/>
  </r>
  <r>
    <s v="ORD6154"/>
    <s v="CUST2154"/>
    <n v="48"/>
    <s v="PROD1354"/>
    <x v="2"/>
    <x v="337"/>
    <d v="2025-12-03T00:00:00"/>
    <n v="4"/>
    <x v="0"/>
    <s v="8/21/2023"/>
    <s v=" $1,010.74 "/>
    <n v="1"/>
    <n v="39"/>
    <s v="Beauty"/>
    <s v="Sneakers"/>
    <x v="2"/>
    <x v="0"/>
    <n v="1010.74"/>
    <s v="Misaligned"/>
    <x v="0"/>
    <s v="High Value Tier"/>
    <x v="3"/>
  </r>
  <r>
    <s v="ORD6155"/>
    <s v="CUST2155"/>
    <n v="61"/>
    <s v="PROD1355"/>
    <x v="4"/>
    <x v="509"/>
    <s v="6/23/2023"/>
    <n v="2"/>
    <x v="0"/>
    <s v="10/22/2024"/>
    <s v=" $38.46 "/>
    <n v="1"/>
    <n v="32"/>
    <s v="Sports"/>
    <s v="Yoga Mat"/>
    <x v="0"/>
    <x v="2"/>
    <n v="38.46"/>
    <s v="Aligned"/>
    <x v="1"/>
    <s v="Core Tier"/>
    <x v="0"/>
  </r>
  <r>
    <s v="ORD6156"/>
    <s v="CUST2156"/>
    <n v="53"/>
    <s v="PROD1356"/>
    <x v="5"/>
    <x v="609"/>
    <s v="10/26/2024"/>
    <n v="5"/>
    <x v="2"/>
    <s v="8/22/2024"/>
    <s v=" $38.54 "/>
    <n v="6"/>
    <n v="6"/>
    <s v="Sports"/>
    <s v="Dress"/>
    <x v="2"/>
    <x v="1"/>
    <n v="231.24"/>
    <s v="Misaligned"/>
    <x v="1"/>
    <s v="Core Tier"/>
    <x v="1"/>
  </r>
  <r>
    <s v="ORD6157"/>
    <s v="CUST2157"/>
    <n v="49"/>
    <s v="PROD1357"/>
    <x v="1"/>
    <x v="606"/>
    <s v="10/25/2023"/>
    <n v="0"/>
    <x v="2"/>
    <s v="12/25/2021"/>
    <s v=" $373.10 "/>
    <n v="4"/>
    <n v="45"/>
    <s v="Beauty"/>
    <s v="Laptop"/>
    <x v="4"/>
    <x v="0"/>
    <n v="1492.4"/>
    <s v="Misaligned"/>
    <x v="0"/>
    <s v="High Value Tier"/>
    <x v="1"/>
  </r>
  <r>
    <s v="ORD6158"/>
    <s v="CUST2158"/>
    <n v="39"/>
    <s v="PROD1358"/>
    <x v="1"/>
    <x v="333"/>
    <s v="6/29/2025"/>
    <n v="3"/>
    <x v="0"/>
    <s v="7/27/2024"/>
    <s v=" $150.26 "/>
    <n v="7"/>
    <n v="18"/>
    <s v="Sports"/>
    <s v="Tablet"/>
    <x v="4"/>
    <x v="1"/>
    <n v="1051.82"/>
    <s v="Misaligned"/>
    <x v="0"/>
    <s v="High Value Tier"/>
    <x v="0"/>
  </r>
  <r>
    <s v="ORD6159"/>
    <s v="CUST2159"/>
    <n v="37"/>
    <s v="PROD1359"/>
    <x v="2"/>
    <x v="256"/>
    <s v="7/26/2025"/>
    <n v="3"/>
    <x v="0"/>
    <d v="2025-09-03T00:00:00"/>
    <s v=" $183.51 "/>
    <n v="8"/>
    <n v="25"/>
    <s v="Electronics"/>
    <s v="Nail Polish"/>
    <x v="3"/>
    <x v="1"/>
    <n v="1468.08"/>
    <s v="Misaligned"/>
    <x v="0"/>
    <s v="High Value Tier"/>
    <x v="0"/>
  </r>
  <r>
    <s v="ORD6160"/>
    <s v="CUST2160"/>
    <n v="42"/>
    <s v="PROD1360"/>
    <x v="5"/>
    <x v="139"/>
    <s v="11/24/2023"/>
    <n v="3"/>
    <x v="0"/>
    <d v="2024-04-11T00:00:00"/>
    <s v=" $348.89 "/>
    <n v="3"/>
    <n v="49"/>
    <s v="Electronics"/>
    <s v="Jeans"/>
    <x v="2"/>
    <x v="0"/>
    <n v="1046.67"/>
    <s v="Misaligned"/>
    <x v="0"/>
    <s v="High Value Tier"/>
    <x v="0"/>
  </r>
  <r>
    <s v="ORD6161"/>
    <s v="CUST2161"/>
    <n v="27"/>
    <s v="PROD1361"/>
    <x v="5"/>
    <x v="715"/>
    <d v="2022-03-06T00:00:00"/>
    <n v="4"/>
    <x v="2"/>
    <d v="2024-10-04T00:00:00"/>
    <s v=" $113.81 "/>
    <n v="9"/>
    <n v="5"/>
    <s v="Clothing"/>
    <s v="Football"/>
    <x v="0"/>
    <x v="0"/>
    <n v="1024.29"/>
    <s v="Misaligned"/>
    <x v="2"/>
    <s v="High Value Tier"/>
    <x v="1"/>
  </r>
  <r>
    <s v="ORD6162"/>
    <s v="CUST2162"/>
    <n v="25"/>
    <s v="PROD1362"/>
    <x v="4"/>
    <x v="13"/>
    <s v="4/15/2021"/>
    <n v="1"/>
    <x v="0"/>
    <s v="7/23/2021"/>
    <s v=" $25.64 "/>
    <n v="6"/>
    <n v="32"/>
    <s v="Electronics"/>
    <s v="Sneakers"/>
    <x v="2"/>
    <x v="1"/>
    <n v="153.84"/>
    <s v="Misaligned"/>
    <x v="2"/>
    <s v="High Value Tier"/>
    <x v="0"/>
  </r>
  <r>
    <s v="ORD6163"/>
    <s v="CUST2163"/>
    <n v="20"/>
    <s v="PROD1363"/>
    <x v="1"/>
    <x v="159"/>
    <s v="8/14/2024"/>
    <n v="3"/>
    <x v="0"/>
    <s v="11/26/2023"/>
    <s v=" $66.08 "/>
    <n v="4"/>
    <n v="29"/>
    <s v="Beauty"/>
    <s v="Perfume"/>
    <x v="3"/>
    <x v="1"/>
    <n v="264.32"/>
    <s v="Aligned"/>
    <x v="3"/>
    <s v="High Value Tier"/>
    <x v="0"/>
  </r>
  <r>
    <s v="ORD6164"/>
    <s v="CUST2164"/>
    <n v="20"/>
    <s v="PROD1364"/>
    <x v="4"/>
    <x v="178"/>
    <s v="10/26/2023"/>
    <n v="2"/>
    <x v="2"/>
    <s v="3/30/2025"/>
    <s v=" $177.60 "/>
    <n v="6"/>
    <n v="7"/>
    <s v="Electronics"/>
    <s v="Blender"/>
    <x v="1"/>
    <x v="1"/>
    <n v="1065.5999999999999"/>
    <s v="Misaligned"/>
    <x v="3"/>
    <s v="High Value Tier"/>
    <x v="1"/>
  </r>
  <r>
    <s v="ORD6165"/>
    <s v="CUST2165"/>
    <n v="55"/>
    <s v="PROD1365"/>
    <x v="5"/>
    <x v="230"/>
    <s v="4/21/2022"/>
    <n v="5"/>
    <x v="0"/>
    <s v="11/28/2024"/>
    <s v=" $408.87 "/>
    <n v="4"/>
    <n v="31"/>
    <s v="Home"/>
    <s v="Moisturizer"/>
    <x v="3"/>
    <x v="1"/>
    <n v="1635.48"/>
    <s v="Misaligned"/>
    <x v="1"/>
    <s v="High Value Tier"/>
    <x v="3"/>
  </r>
  <r>
    <s v="ORD6166"/>
    <s v="CUST2166"/>
    <n v="20"/>
    <s v="PROD1366"/>
    <x v="0"/>
    <x v="716"/>
    <s v="3/25/2023"/>
    <n v="4"/>
    <x v="2"/>
    <s v="6/29/2022"/>
    <s v=" $86.47 "/>
    <n v="8"/>
    <n v="13"/>
    <s v="Clothing"/>
    <s v="Cricket Bat"/>
    <x v="0"/>
    <x v="1"/>
    <n v="691.76"/>
    <s v="Misaligned"/>
    <x v="3"/>
    <s v="High Value Tier"/>
    <x v="1"/>
  </r>
  <r>
    <s v="ORD6167"/>
    <s v="CUST2167"/>
    <n v="60"/>
    <s v="PROD1367"/>
    <x v="5"/>
    <x v="243"/>
    <s v="8/18/2025"/>
    <n v="0"/>
    <x v="0"/>
    <d v="2024-02-04T00:00:00"/>
    <s v=" $615.92 "/>
    <n v="2"/>
    <n v="27"/>
    <s v="Home"/>
    <s v="Yoga Mat"/>
    <x v="0"/>
    <x v="0"/>
    <n v="1231.8399999999999"/>
    <s v="Misaligned"/>
    <x v="1"/>
    <s v="High Value Tier"/>
    <x v="0"/>
  </r>
  <r>
    <s v="ORD6168"/>
    <s v="CUST2168"/>
    <n v="46"/>
    <s v="PROD1368"/>
    <x v="5"/>
    <x v="230"/>
    <d v="2022-12-01T00:00:00"/>
    <n v="3"/>
    <x v="0"/>
    <s v="10/24/2022"/>
    <s v=" $662.46 "/>
    <n v="2"/>
    <n v="8"/>
    <s v="Electronics"/>
    <s v="Conditioner"/>
    <x v="3"/>
    <x v="0"/>
    <n v="1324.92"/>
    <s v="Misaligned"/>
    <x v="0"/>
    <s v="High Value Tier"/>
    <x v="0"/>
  </r>
  <r>
    <s v="ORD6169"/>
    <s v="CUST2169"/>
    <n v="63"/>
    <s v="PROD1369"/>
    <x v="0"/>
    <x v="165"/>
    <d v="2023-12-05T00:00:00"/>
    <n v="3"/>
    <x v="0"/>
    <s v="12/15/2023"/>
    <s v=" $490.33 "/>
    <n v="3"/>
    <n v="15"/>
    <s v="Beauty"/>
    <s v="Blender"/>
    <x v="1"/>
    <x v="0"/>
    <n v="1470.99"/>
    <s v="Misaligned"/>
    <x v="1"/>
    <s v="High Value Tier"/>
    <x v="0"/>
  </r>
  <r>
    <s v="ORD6170"/>
    <s v="CUST2170"/>
    <n v="67"/>
    <s v="PROD1370"/>
    <x v="5"/>
    <x v="717"/>
    <d v="2024-08-05T00:00:00"/>
    <n v="3"/>
    <x v="2"/>
    <d v="2025-03-02T00:00:00"/>
    <s v=" $379.99 "/>
    <n v="5"/>
    <n v="4"/>
    <s v="Electronics"/>
    <s v="Blender"/>
    <x v="1"/>
    <x v="0"/>
    <n v="1899.95"/>
    <s v="Misaligned"/>
    <x v="4"/>
    <s v="High Value Tier"/>
    <x v="1"/>
  </r>
  <r>
    <s v="ORD6171"/>
    <s v="CUST2171"/>
    <n v="60"/>
    <s v="PROD1371"/>
    <x v="1"/>
    <x v="718"/>
    <d v="2025-11-02T00:00:00"/>
    <n v="3"/>
    <x v="1"/>
    <s v="3/26/2023"/>
    <s v=" $260.34 "/>
    <n v="6"/>
    <n v="45"/>
    <s v="Home"/>
    <s v="Football"/>
    <x v="0"/>
    <x v="1"/>
    <n v="1562.04"/>
    <s v="Misaligned"/>
    <x v="1"/>
    <s v="High Value Tier"/>
    <x v="0"/>
  </r>
  <r>
    <s v="ORD6172"/>
    <s v="CUST2172"/>
    <n v="64"/>
    <s v="PROD1372"/>
    <x v="5"/>
    <x v="645"/>
    <s v="9/18/2022"/>
    <n v="2"/>
    <x v="0"/>
    <s v="7/24/2024"/>
    <s v=" $223.82 "/>
    <n v="5"/>
    <n v="35"/>
    <s v="Clothing"/>
    <s v="Sofa"/>
    <x v="1"/>
    <x v="1"/>
    <n v="1119.0999999999999"/>
    <s v="Misaligned"/>
    <x v="1"/>
    <s v="High Value Tier"/>
    <x v="0"/>
  </r>
  <r>
    <s v="ORD6173"/>
    <s v="CUST2173"/>
    <n v="69"/>
    <s v="PROD1373"/>
    <x v="2"/>
    <x v="412"/>
    <s v="2/25/2021"/>
    <n v="5"/>
    <x v="0"/>
    <s v="12/29/2020"/>
    <s v=" $268.72 "/>
    <n v="7"/>
    <n v="21"/>
    <s v="Clothing"/>
    <s v="Chair"/>
    <x v="1"/>
    <x v="0"/>
    <n v="1881.04"/>
    <s v="Misaligned"/>
    <x v="4"/>
    <s v="High Value Tier"/>
    <x v="3"/>
  </r>
  <r>
    <s v="ORD6174"/>
    <s v="CUST2174"/>
    <n v="26"/>
    <s v="PROD1374"/>
    <x v="2"/>
    <x v="91"/>
    <s v="11/28/2023"/>
    <n v="5"/>
    <x v="0"/>
    <d v="2023-08-01T00:00:00"/>
    <s v=" $142.76 "/>
    <n v="8"/>
    <n v="31"/>
    <s v="Clothing"/>
    <s v="Running Shoes"/>
    <x v="0"/>
    <x v="1"/>
    <n v="1142.08"/>
    <s v="Misaligned"/>
    <x v="2"/>
    <s v="High Value Tier"/>
    <x v="3"/>
  </r>
  <r>
    <s v="ORD6175"/>
    <s v="CUST2175"/>
    <n v="19"/>
    <s v="PROD1375"/>
    <x v="1"/>
    <x v="17"/>
    <d v="2022-01-08T00:00:00"/>
    <n v="0"/>
    <x v="0"/>
    <d v="2025-05-03T00:00:00"/>
    <s v=" $118.26 "/>
    <n v="9"/>
    <n v="35"/>
    <s v="Home"/>
    <s v="Shampoo"/>
    <x v="3"/>
    <x v="1"/>
    <n v="1064.3399999999999"/>
    <s v="Misaligned"/>
    <x v="3"/>
    <s v="High Value Tier"/>
    <x v="0"/>
  </r>
  <r>
    <s v="ORD6176"/>
    <s v="CUST2176"/>
    <n v="54"/>
    <s v="PROD1376"/>
    <x v="3"/>
    <x v="479"/>
    <d v="2023-02-01T00:00:00"/>
    <n v="1"/>
    <x v="1"/>
    <s v="8/17/2024"/>
    <s v=" $166.92 "/>
    <n v="8"/>
    <n v="40"/>
    <s v="Sports"/>
    <s v="Jeans"/>
    <x v="2"/>
    <x v="1"/>
    <n v="1335.36"/>
    <s v="Misaligned"/>
    <x v="1"/>
    <s v="High Value Tier"/>
    <x v="0"/>
  </r>
  <r>
    <s v="ORD6177"/>
    <s v="CUST2177"/>
    <n v="61"/>
    <s v="PROD1377"/>
    <x v="1"/>
    <x v="344"/>
    <d v="2025-12-03T00:00:00"/>
    <n v="5"/>
    <x v="0"/>
    <s v="4/26/2024"/>
    <s v=" $1,356.12 "/>
    <n v="1"/>
    <n v="49"/>
    <s v="Clothing"/>
    <s v="Jacket"/>
    <x v="2"/>
    <x v="1"/>
    <n v="1356.12"/>
    <s v="Aligned"/>
    <x v="1"/>
    <s v="High Value Tier"/>
    <x v="3"/>
  </r>
  <r>
    <s v="ORD6178"/>
    <s v="CUST2178"/>
    <n v="67"/>
    <s v="PROD1378"/>
    <x v="3"/>
    <x v="319"/>
    <s v="8/19/2025"/>
    <n v="1"/>
    <x v="1"/>
    <d v="2023-11-11T00:00:00"/>
    <s v=" $328.73 "/>
    <n v="6"/>
    <n v="46"/>
    <s v="Clothing"/>
    <s v="Skirt"/>
    <x v="2"/>
    <x v="1"/>
    <n v="1972.38"/>
    <s v="Aligned"/>
    <x v="4"/>
    <s v="High Value Tier"/>
    <x v="0"/>
  </r>
  <r>
    <s v="ORD6179"/>
    <s v="CUST2179"/>
    <n v="46"/>
    <s v="PROD1379"/>
    <x v="0"/>
    <x v="399"/>
    <s v="7/21/2023"/>
    <n v="1"/>
    <x v="0"/>
    <s v="9/20/2024"/>
    <s v=" $38.73 "/>
    <n v="9"/>
    <n v="16"/>
    <s v="Beauty"/>
    <s v="Foundation"/>
    <x v="3"/>
    <x v="1"/>
    <n v="348.57"/>
    <s v="Aligned"/>
    <x v="0"/>
    <s v="High Value Tier"/>
    <x v="0"/>
  </r>
  <r>
    <s v="ORD6180"/>
    <s v="CUST2180"/>
    <n v="68"/>
    <s v="PROD1380"/>
    <x v="4"/>
    <x v="719"/>
    <s v="8/17/2021"/>
    <n v="3"/>
    <x v="2"/>
    <s v="10/23/2024"/>
    <s v=" $201.67 "/>
    <n v="8"/>
    <n v="17"/>
    <s v="Electronics"/>
    <s v="T-Shirt"/>
    <x v="2"/>
    <x v="1"/>
    <n v="1613.36"/>
    <s v="Misaligned"/>
    <x v="4"/>
    <s v="High Value Tier"/>
    <x v="1"/>
  </r>
  <r>
    <s v="ORD6181"/>
    <s v="CUST2181"/>
    <n v="30"/>
    <s v="PROD1381"/>
    <x v="2"/>
    <x v="512"/>
    <s v="11/27/2023"/>
    <n v="3"/>
    <x v="1"/>
    <d v="2023-05-01T00:00:00"/>
    <s v=" $8.30 "/>
    <n v="4"/>
    <n v="6"/>
    <s v="Sports"/>
    <s v="Football"/>
    <x v="0"/>
    <x v="1"/>
    <n v="33.200000000000003"/>
    <s v="Aligned"/>
    <x v="2"/>
    <s v="Value Tier"/>
    <x v="0"/>
  </r>
  <r>
    <s v="ORD6182"/>
    <s v="CUST2182"/>
    <n v="28"/>
    <s v="PROD1382"/>
    <x v="4"/>
    <x v="680"/>
    <s v="3/17/2024"/>
    <n v="3"/>
    <x v="0"/>
    <s v="12/25/2022"/>
    <s v=" $130.65 "/>
    <n v="9"/>
    <n v="33"/>
    <s v="Electronics"/>
    <s v="Football"/>
    <x v="0"/>
    <x v="0"/>
    <n v="1175.8499999999999"/>
    <s v="Misaligned"/>
    <x v="2"/>
    <s v="High Value Tier"/>
    <x v="0"/>
  </r>
  <r>
    <s v="ORD6183"/>
    <s v="CUST2183"/>
    <n v="59"/>
    <s v="PROD1383"/>
    <x v="5"/>
    <x v="90"/>
    <s v="10/22/2023"/>
    <n v="2"/>
    <x v="0"/>
    <d v="2022-03-10T00:00:00"/>
    <s v=" $299.80 "/>
    <n v="3"/>
    <n v="18"/>
    <s v="Clothing"/>
    <s v="Tennis Racket"/>
    <x v="0"/>
    <x v="1"/>
    <n v="899.4"/>
    <s v="Misaligned"/>
    <x v="1"/>
    <s v="High Value Tier"/>
    <x v="0"/>
  </r>
  <r>
    <s v="ORD6184"/>
    <s v="CUST2184"/>
    <n v="45"/>
    <s v="PROD1384"/>
    <x v="2"/>
    <x v="421"/>
    <d v="2022-04-11T00:00:00"/>
    <n v="0"/>
    <x v="1"/>
    <d v="2024-01-04T00:00:00"/>
    <s v=" $321.99 "/>
    <n v="2"/>
    <n v="26"/>
    <s v="Home"/>
    <s v="Smartwatch"/>
    <x v="4"/>
    <x v="1"/>
    <n v="643.98"/>
    <s v="Misaligned"/>
    <x v="0"/>
    <s v="High Value Tier"/>
    <x v="0"/>
  </r>
  <r>
    <s v="ORD6185"/>
    <s v="CUST2185"/>
    <n v="60"/>
    <s v="PROD1385"/>
    <x v="0"/>
    <x v="416"/>
    <d v="2023-01-02T00:00:00"/>
    <n v="3"/>
    <x v="2"/>
    <s v="6/29/2024"/>
    <s v=" $409.80 "/>
    <n v="2"/>
    <n v="4"/>
    <s v="Clothing"/>
    <s v="Dumbbells"/>
    <x v="0"/>
    <x v="0"/>
    <n v="819.6"/>
    <s v="Misaligned"/>
    <x v="1"/>
    <s v="High Value Tier"/>
    <x v="1"/>
  </r>
  <r>
    <s v="ORD6186"/>
    <s v="CUST2186"/>
    <n v="67"/>
    <s v="PROD1386"/>
    <x v="2"/>
    <x v="370"/>
    <d v="2023-07-07T00:00:00"/>
    <n v="2"/>
    <x v="2"/>
    <s v="1/21/2023"/>
    <s v=" $119.69 "/>
    <n v="9"/>
    <n v="30"/>
    <s v="Sports"/>
    <s v="Dress"/>
    <x v="2"/>
    <x v="1"/>
    <n v="1077.21"/>
    <s v="Misaligned"/>
    <x v="4"/>
    <s v="High Value Tier"/>
    <x v="1"/>
  </r>
  <r>
    <s v="ORD6187"/>
    <s v="CUST2187"/>
    <n v="35"/>
    <s v="PROD1387"/>
    <x v="2"/>
    <x v="694"/>
    <s v="11/29/2023"/>
    <n v="2"/>
    <x v="1"/>
    <s v="9/14/2024"/>
    <s v=" $632.36 "/>
    <n v="2"/>
    <n v="39"/>
    <s v="Electronics"/>
    <s v="Perfume"/>
    <x v="3"/>
    <x v="1"/>
    <n v="1264.72"/>
    <s v="Misaligned"/>
    <x v="0"/>
    <s v="High Value Tier"/>
    <x v="0"/>
  </r>
  <r>
    <s v="ORD6188"/>
    <s v="CUST2188"/>
    <n v="62"/>
    <s v="PROD1388"/>
    <x v="4"/>
    <x v="720"/>
    <s v="9/18/2023"/>
    <n v="0"/>
    <x v="1"/>
    <d v="2024-04-09T00:00:00"/>
    <s v=" $332.94 "/>
    <n v="2"/>
    <n v="15"/>
    <s v="Clothing"/>
    <s v="Moisturizer"/>
    <x v="3"/>
    <x v="1"/>
    <n v="665.88"/>
    <s v="Misaligned"/>
    <x v="1"/>
    <s v="High Value Tier"/>
    <x v="0"/>
  </r>
  <r>
    <s v="ORD6189"/>
    <s v="CUST2189"/>
    <n v="22"/>
    <s v="PROD1389"/>
    <x v="0"/>
    <x v="421"/>
    <d v="2024-03-11T00:00:00"/>
    <n v="3"/>
    <x v="0"/>
    <s v="10/25/2023"/>
    <s v=" $378.98 "/>
    <n v="5"/>
    <n v="9"/>
    <s v="Beauty"/>
    <s v="Microwave"/>
    <x v="1"/>
    <x v="1"/>
    <n v="1894.9"/>
    <s v="Misaligned"/>
    <x v="3"/>
    <s v="High Value Tier"/>
    <x v="0"/>
  </r>
  <r>
    <s v="ORD6190"/>
    <s v="CUST2190"/>
    <n v="31"/>
    <s v="PROD1390"/>
    <x v="2"/>
    <x v="721"/>
    <d v="2023-06-02T00:00:00"/>
    <n v="3"/>
    <x v="0"/>
    <s v="7/28/2022"/>
    <s v=" $601.94 "/>
    <n v="3"/>
    <n v="44"/>
    <s v="Sports"/>
    <s v="Dining Table"/>
    <x v="1"/>
    <x v="1"/>
    <n v="1805.82"/>
    <s v="Misaligned"/>
    <x v="2"/>
    <s v="High Value Tier"/>
    <x v="0"/>
  </r>
  <r>
    <s v="ORD6191"/>
    <s v="CUST2191"/>
    <n v="33"/>
    <s v="PROD1391"/>
    <x v="0"/>
    <x v="436"/>
    <s v="1/25/2024"/>
    <n v="1"/>
    <x v="0"/>
    <d v="2023-01-05T00:00:00"/>
    <s v=" $76.39 "/>
    <n v="8"/>
    <n v="49"/>
    <s v="Clothing"/>
    <s v="Tablet"/>
    <x v="4"/>
    <x v="1"/>
    <n v="611.12"/>
    <s v="Misaligned"/>
    <x v="2"/>
    <s v="High Value Tier"/>
    <x v="0"/>
  </r>
  <r>
    <s v="ORD6192"/>
    <s v="CUST2192"/>
    <n v="32"/>
    <s v="PROD1392"/>
    <x v="3"/>
    <x v="486"/>
    <d v="2021-10-07T00:00:00"/>
    <n v="2"/>
    <x v="1"/>
    <s v="6/30/2025"/>
    <s v=" $247.03 "/>
    <n v="6"/>
    <n v="27"/>
    <s v="Beauty"/>
    <s v="Lamp"/>
    <x v="1"/>
    <x v="0"/>
    <n v="1482.18"/>
    <s v="Misaligned"/>
    <x v="2"/>
    <s v="High Value Tier"/>
    <x v="0"/>
  </r>
  <r>
    <s v="ORD6193"/>
    <s v="CUST2193"/>
    <n v="50"/>
    <s v="PROD1393"/>
    <x v="5"/>
    <x v="663"/>
    <d v="2024-08-01T00:00:00"/>
    <n v="5"/>
    <x v="1"/>
    <s v="2/15/2025"/>
    <s v=" $215.70 "/>
    <n v="4"/>
    <n v="13"/>
    <s v="Beauty"/>
    <s v="Sneakers"/>
    <x v="2"/>
    <x v="0"/>
    <n v="862.8"/>
    <s v="Misaligned"/>
    <x v="1"/>
    <s v="High Value Tier"/>
    <x v="0"/>
  </r>
  <r>
    <s v="ORD6194"/>
    <s v="CUST2194"/>
    <n v="35"/>
    <s v="PROD1394"/>
    <x v="5"/>
    <x v="722"/>
    <d v="2025-10-08T00:00:00"/>
    <n v="3"/>
    <x v="0"/>
    <s v="9/18/2022"/>
    <s v=" $474.15 "/>
    <n v="4"/>
    <n v="40"/>
    <s v="Home"/>
    <s v="Laptop"/>
    <x v="4"/>
    <x v="0"/>
    <n v="1896.6"/>
    <s v="Misaligned"/>
    <x v="0"/>
    <s v="High Value Tier"/>
    <x v="0"/>
  </r>
  <r>
    <s v="ORD6195"/>
    <s v="CUST2195"/>
    <n v="57"/>
    <s v="PROD1395"/>
    <x v="5"/>
    <x v="92"/>
    <d v="2023-02-07T00:00:00"/>
    <n v="2"/>
    <x v="0"/>
    <s v="9/23/2021"/>
    <s v=" $6.64 "/>
    <n v="5"/>
    <n v="4"/>
    <s v="Home"/>
    <s v="Yoga Mat"/>
    <x v="0"/>
    <x v="1"/>
    <n v="33.200000000000003"/>
    <s v="Misaligned"/>
    <x v="1"/>
    <s v="Value Tier"/>
    <x v="0"/>
  </r>
  <r>
    <s v="ORD6196"/>
    <s v="CUST2196"/>
    <n v="58"/>
    <s v="PROD1396"/>
    <x v="5"/>
    <x v="95"/>
    <s v="4/19/2024"/>
    <n v="1"/>
    <x v="2"/>
    <d v="2024-10-09T00:00:00"/>
    <s v=" $757.47 "/>
    <n v="2"/>
    <n v="21"/>
    <s v="Clothing"/>
    <s v="Face Wash"/>
    <x v="3"/>
    <x v="1"/>
    <n v="1514.94"/>
    <s v="Misaligned"/>
    <x v="1"/>
    <s v="High Value Tier"/>
    <x v="1"/>
  </r>
  <r>
    <s v="ORD6197"/>
    <s v="CUST2197"/>
    <n v="31"/>
    <s v="PROD1397"/>
    <x v="1"/>
    <x v="723"/>
    <d v="2023-06-07T00:00:00"/>
    <n v="2"/>
    <x v="0"/>
    <d v="2023-10-12T00:00:00"/>
    <s v=" $384.35 "/>
    <n v="5"/>
    <n v="41"/>
    <s v="Sports"/>
    <s v="Cycling Helmet"/>
    <x v="0"/>
    <x v="2"/>
    <n v="1921.75"/>
    <s v="Aligned"/>
    <x v="2"/>
    <s v="High Value Tier"/>
    <x v="0"/>
  </r>
  <r>
    <s v="ORD6198"/>
    <s v="CUST2198"/>
    <n v="35"/>
    <s v="PROD1398"/>
    <x v="5"/>
    <x v="32"/>
    <s v="4/19/2023"/>
    <n v="5"/>
    <x v="0"/>
    <s v="12/22/2022"/>
    <s v=" $252.19 "/>
    <n v="4"/>
    <n v="7"/>
    <s v="Sports"/>
    <s v="Blender"/>
    <x v="1"/>
    <x v="1"/>
    <n v="1008.76"/>
    <s v="Misaligned"/>
    <x v="0"/>
    <s v="High Value Tier"/>
    <x v="3"/>
  </r>
  <r>
    <s v="ORD6199"/>
    <s v="CUST2199"/>
    <n v="30"/>
    <s v="PROD1399"/>
    <x v="1"/>
    <x v="36"/>
    <s v="10/31/2023"/>
    <n v="4"/>
    <x v="0"/>
    <s v="4/30/2025"/>
    <s v=" $561.99 "/>
    <n v="3"/>
    <n v="39"/>
    <s v="Sports"/>
    <s v="Cricket Bat"/>
    <x v="0"/>
    <x v="1"/>
    <n v="1685.97"/>
    <s v="Aligned"/>
    <x v="2"/>
    <s v="High Value Tier"/>
    <x v="3"/>
  </r>
  <r>
    <s v="ORD6200"/>
    <s v="CUST2200"/>
    <n v="69"/>
    <s v="PROD1400"/>
    <x v="5"/>
    <x v="724"/>
    <d v="2023-04-11T00:00:00"/>
    <n v="5"/>
    <x v="0"/>
    <s v="2/23/2022"/>
    <s v=" $156.84 "/>
    <n v="3"/>
    <n v="20"/>
    <s v="Beauty"/>
    <s v="Cricket Bat"/>
    <x v="0"/>
    <x v="1"/>
    <n v="470.52"/>
    <s v="Misaligned"/>
    <x v="4"/>
    <s v="High Value Tier"/>
    <x v="3"/>
  </r>
  <r>
    <s v="ORD6201"/>
    <s v="CUST2201"/>
    <n v="55"/>
    <s v="PROD1401"/>
    <x v="5"/>
    <x v="382"/>
    <d v="2023-12-09T00:00:00"/>
    <n v="2"/>
    <x v="0"/>
    <s v="10/16/2023"/>
    <s v=" $948.96 "/>
    <n v="1"/>
    <n v="25"/>
    <s v="Sports"/>
    <s v="Conditioner"/>
    <x v="3"/>
    <x v="0"/>
    <n v="948.96"/>
    <s v="Misaligned"/>
    <x v="1"/>
    <s v="High Value Tier"/>
    <x v="0"/>
  </r>
  <r>
    <s v="ORD6202"/>
    <s v="CUST2202"/>
    <n v="56"/>
    <s v="PROD1402"/>
    <x v="5"/>
    <x v="725"/>
    <s v="12/16/2021"/>
    <n v="4"/>
    <x v="0"/>
    <s v="11/15/2023"/>
    <s v=" $217.24 "/>
    <n v="9"/>
    <n v="36"/>
    <s v="Electronics"/>
    <s v="Football"/>
    <x v="0"/>
    <x v="0"/>
    <n v="1955.16"/>
    <s v="Misaligned"/>
    <x v="1"/>
    <s v="High Value Tier"/>
    <x v="3"/>
  </r>
  <r>
    <s v="ORD6203"/>
    <s v="CUST2203"/>
    <n v="43"/>
    <s v="PROD1403"/>
    <x v="0"/>
    <x v="124"/>
    <d v="2023-08-10T00:00:00"/>
    <n v="2"/>
    <x v="0"/>
    <s v="11/29/2024"/>
    <s v=" $197.39 "/>
    <n v="6"/>
    <n v="6"/>
    <s v="Electronics"/>
    <s v="Conditioner"/>
    <x v="3"/>
    <x v="1"/>
    <n v="1184.3399999999999"/>
    <s v="Misaligned"/>
    <x v="0"/>
    <s v="High Value Tier"/>
    <x v="0"/>
  </r>
  <r>
    <s v="ORD6204"/>
    <s v="CUST2204"/>
    <n v="54"/>
    <s v="PROD1404"/>
    <x v="1"/>
    <x v="25"/>
    <d v="2024-01-03T00:00:00"/>
    <n v="1"/>
    <x v="0"/>
    <s v="2/22/2024"/>
    <s v=" $99.21 "/>
    <n v="7"/>
    <n v="47"/>
    <s v="Clothing"/>
    <s v="Moisturizer"/>
    <x v="3"/>
    <x v="0"/>
    <n v="694.47"/>
    <s v="Misaligned"/>
    <x v="1"/>
    <s v="High Value Tier"/>
    <x v="0"/>
  </r>
  <r>
    <s v="ORD6205"/>
    <s v="CUST2205"/>
    <n v="30"/>
    <s v="PROD1405"/>
    <x v="1"/>
    <x v="367"/>
    <d v="2024-02-03T00:00:00"/>
    <n v="4"/>
    <x v="0"/>
    <s v="3/27/2023"/>
    <s v=" $176.86 "/>
    <n v="9"/>
    <n v="12"/>
    <s v="Beauty"/>
    <s v="Dumbbells"/>
    <x v="0"/>
    <x v="1"/>
    <n v="1591.74"/>
    <s v="Misaligned"/>
    <x v="2"/>
    <s v="High Value Tier"/>
    <x v="3"/>
  </r>
  <r>
    <s v="ORD6206"/>
    <s v="CUST2206"/>
    <n v="42"/>
    <s v="PROD1406"/>
    <x v="5"/>
    <x v="478"/>
    <d v="2024-01-12T00:00:00"/>
    <n v="4"/>
    <x v="2"/>
    <s v="9/28/2024"/>
    <s v=" $259.64 "/>
    <n v="5"/>
    <n v="20"/>
    <s v="Clothing"/>
    <s v="Microwave"/>
    <x v="1"/>
    <x v="0"/>
    <n v="1298.2"/>
    <s v="Misaligned"/>
    <x v="0"/>
    <s v="High Value Tier"/>
    <x v="1"/>
  </r>
  <r>
    <s v="ORD6207"/>
    <s v="CUST2207"/>
    <n v="38"/>
    <s v="PROD1407"/>
    <x v="3"/>
    <x v="726"/>
    <s v="12/27/2023"/>
    <n v="4"/>
    <x v="0"/>
    <d v="2024-03-08T00:00:00"/>
    <s v=" $581.93 "/>
    <n v="3"/>
    <n v="23"/>
    <s v="Sports"/>
    <s v="Hoodie"/>
    <x v="2"/>
    <x v="1"/>
    <n v="1745.79"/>
    <s v="Misaligned"/>
    <x v="0"/>
    <s v="High Value Tier"/>
    <x v="3"/>
  </r>
  <r>
    <s v="ORD6208"/>
    <s v="CUST2208"/>
    <n v="48"/>
    <s v="PROD1408"/>
    <x v="2"/>
    <x v="440"/>
    <s v="11/28/2022"/>
    <n v="0"/>
    <x v="0"/>
    <s v="6/15/2024"/>
    <s v=" $297.19 "/>
    <n v="1"/>
    <n v="27"/>
    <s v="Clothing"/>
    <s v="Dining Table"/>
    <x v="1"/>
    <x v="0"/>
    <n v="297.19"/>
    <s v="Misaligned"/>
    <x v="0"/>
    <s v="High Value Tier"/>
    <x v="0"/>
  </r>
  <r>
    <s v="ORD6209"/>
    <s v="CUST2209"/>
    <n v="67"/>
    <s v="PROD1409"/>
    <x v="0"/>
    <x v="215"/>
    <d v="2025-09-05T00:00:00"/>
    <n v="1"/>
    <x v="1"/>
    <d v="2025-01-08T00:00:00"/>
    <s v=" $349.74 "/>
    <n v="2"/>
    <n v="5"/>
    <s v="Electronics"/>
    <s v="Microwave"/>
    <x v="1"/>
    <x v="1"/>
    <n v="699.48"/>
    <s v="Misaligned"/>
    <x v="4"/>
    <s v="High Value Tier"/>
    <x v="0"/>
  </r>
  <r>
    <s v="ORD6210"/>
    <s v="CUST2210"/>
    <n v="29"/>
    <s v="PROD1410"/>
    <x v="3"/>
    <x v="219"/>
    <s v="3/22/2025"/>
    <n v="3"/>
    <x v="1"/>
    <d v="2020-01-12T00:00:00"/>
    <s v=" $603.40 "/>
    <n v="1"/>
    <n v="19"/>
    <s v="Clothing"/>
    <s v="Jacket"/>
    <x v="2"/>
    <x v="1"/>
    <n v="603.4"/>
    <s v="Aligned"/>
    <x v="2"/>
    <s v="High Value Tier"/>
    <x v="0"/>
  </r>
  <r>
    <s v="ORD6211"/>
    <s v="CUST2211"/>
    <n v="18"/>
    <s v="PROD1411"/>
    <x v="4"/>
    <x v="476"/>
    <s v="10/22/2022"/>
    <n v="3"/>
    <x v="0"/>
    <s v="11/16/2024"/>
    <s v=" $88.50 "/>
    <n v="4"/>
    <n v="28"/>
    <s v="Electronics"/>
    <s v="Football"/>
    <x v="0"/>
    <x v="1"/>
    <n v="354"/>
    <s v="Misaligned"/>
    <x v="3"/>
    <s v="High Value Tier"/>
    <x v="0"/>
  </r>
  <r>
    <s v="ORD6212"/>
    <s v="CUST2212"/>
    <n v="28"/>
    <s v="PROD1412"/>
    <x v="5"/>
    <x v="190"/>
    <d v="2024-11-05T00:00:00"/>
    <n v="0"/>
    <x v="0"/>
    <s v="6/13/2025"/>
    <s v=" $144.34 "/>
    <n v="8"/>
    <n v="36"/>
    <s v="Sports"/>
    <s v="Laptop"/>
    <x v="4"/>
    <x v="0"/>
    <n v="1154.72"/>
    <s v="Misaligned"/>
    <x v="2"/>
    <s v="High Value Tier"/>
    <x v="0"/>
  </r>
  <r>
    <s v="ORD6213"/>
    <s v="CUST2213"/>
    <n v="57"/>
    <s v="PROD1413"/>
    <x v="3"/>
    <x v="727"/>
    <s v="1/20/2024"/>
    <n v="4"/>
    <x v="0"/>
    <s v="11/29/2024"/>
    <s v=" $927.70 "/>
    <n v="2"/>
    <n v="23"/>
    <s v="Sports"/>
    <s v="Bluetooth Speaker"/>
    <x v="4"/>
    <x v="1"/>
    <n v="1855.4"/>
    <s v="Misaligned"/>
    <x v="1"/>
    <s v="High Value Tier"/>
    <x v="3"/>
  </r>
  <r>
    <s v="ORD6214"/>
    <s v="CUST2214"/>
    <n v="40"/>
    <s v="PROD1414"/>
    <x v="5"/>
    <x v="54"/>
    <s v="5/20/2023"/>
    <n v="4"/>
    <x v="2"/>
    <s v="10/30/2024"/>
    <s v=" $3.64 "/>
    <n v="8"/>
    <n v="44"/>
    <s v="Sports"/>
    <s v="Laptop"/>
    <x v="4"/>
    <x v="1"/>
    <n v="29.12"/>
    <s v="Misaligned"/>
    <x v="0"/>
    <s v="Core Tier"/>
    <x v="1"/>
  </r>
  <r>
    <s v="ORD6215"/>
    <s v="CUST2215"/>
    <n v="62"/>
    <s v="PROD1415"/>
    <x v="1"/>
    <x v="589"/>
    <d v="2023-05-12T00:00:00"/>
    <n v="0"/>
    <x v="1"/>
    <s v="6/27/2024"/>
    <s v=" $98.84 "/>
    <n v="4"/>
    <n v="20"/>
    <s v="Electronics"/>
    <s v="Camera"/>
    <x v="4"/>
    <x v="1"/>
    <n v="395.36"/>
    <s v="Aligned"/>
    <x v="1"/>
    <s v="High Value Tier"/>
    <x v="0"/>
  </r>
  <r>
    <s v="ORD6216"/>
    <s v="CUST2216"/>
    <n v="29"/>
    <s v="PROD1416"/>
    <x v="1"/>
    <x v="725"/>
    <d v="2023-07-02T00:00:00"/>
    <n v="0"/>
    <x v="0"/>
    <s v="10/26/2024"/>
    <s v=" $121.81 "/>
    <n v="9"/>
    <n v="42"/>
    <s v="Clothing"/>
    <s v="Sneakers"/>
    <x v="2"/>
    <x v="1"/>
    <n v="1096.29"/>
    <s v="Aligned"/>
    <x v="2"/>
    <s v="High Value Tier"/>
    <x v="0"/>
  </r>
  <r>
    <s v="ORD6217"/>
    <s v="CUST2217"/>
    <n v="50"/>
    <s v="PROD1417"/>
    <x v="5"/>
    <x v="281"/>
    <s v="11/15/2024"/>
    <n v="0"/>
    <x v="0"/>
    <d v="2023-03-08T00:00:00"/>
    <s v=" $204.64 "/>
    <n v="3"/>
    <n v="5"/>
    <s v="Electronics"/>
    <s v="Nail Polish"/>
    <x v="3"/>
    <x v="1"/>
    <n v="613.91999999999996"/>
    <s v="Misaligned"/>
    <x v="1"/>
    <s v="High Value Tier"/>
    <x v="0"/>
  </r>
  <r>
    <s v="ORD6218"/>
    <s v="CUST2218"/>
    <n v="41"/>
    <s v="PROD1418"/>
    <x v="1"/>
    <x v="658"/>
    <s v="11/20/2024"/>
    <n v="0"/>
    <x v="0"/>
    <d v="2024-08-10T00:00:00"/>
    <s v=" $168.35 "/>
    <n v="9"/>
    <n v="29"/>
    <s v="Clothing"/>
    <s v="Perfume"/>
    <x v="3"/>
    <x v="0"/>
    <n v="1515.15"/>
    <s v="Misaligned"/>
    <x v="0"/>
    <s v="High Value Tier"/>
    <x v="0"/>
  </r>
  <r>
    <s v="ORD6219"/>
    <s v="CUST2219"/>
    <n v="64"/>
    <s v="PROD1419"/>
    <x v="1"/>
    <x v="35"/>
    <d v="2022-04-05T00:00:00"/>
    <n v="4"/>
    <x v="2"/>
    <s v="4/18/2023"/>
    <s v=" $240.51 "/>
    <n v="5"/>
    <n v="44"/>
    <s v="Clothing"/>
    <s v="Perfume"/>
    <x v="3"/>
    <x v="0"/>
    <n v="1202.55"/>
    <s v="Misaligned"/>
    <x v="1"/>
    <s v="High Value Tier"/>
    <x v="1"/>
  </r>
  <r>
    <s v="ORD6220"/>
    <s v="CUST2220"/>
    <n v="39"/>
    <s v="PROD1420"/>
    <x v="4"/>
    <x v="326"/>
    <d v="2025-02-01T00:00:00"/>
    <n v="1"/>
    <x v="0"/>
    <d v="2024-12-09T00:00:00"/>
    <s v=" $13.55 "/>
    <n v="6"/>
    <n v="6"/>
    <s v="Home"/>
    <s v="Jeans"/>
    <x v="2"/>
    <x v="0"/>
    <n v="81.3"/>
    <s v="Misaligned"/>
    <x v="0"/>
    <s v="Value Tier"/>
    <x v="0"/>
  </r>
  <r>
    <s v="ORD6221"/>
    <s v="CUST2221"/>
    <n v="53"/>
    <s v="PROD1421"/>
    <x v="2"/>
    <x v="423"/>
    <s v="4/28/2023"/>
    <n v="1"/>
    <x v="0"/>
    <d v="2024-10-02T00:00:00"/>
    <s v=" $352.52 "/>
    <n v="3"/>
    <n v="15"/>
    <s v="Beauty"/>
    <s v="Smartwatch"/>
    <x v="4"/>
    <x v="1"/>
    <n v="1057.56"/>
    <s v="Misaligned"/>
    <x v="1"/>
    <s v="High Value Tier"/>
    <x v="0"/>
  </r>
  <r>
    <s v="ORD6222"/>
    <s v="CUST2222"/>
    <n v="45"/>
    <s v="PROD1422"/>
    <x v="0"/>
    <x v="615"/>
    <s v="8/29/2022"/>
    <n v="1"/>
    <x v="1"/>
    <s v="7/27/2021"/>
    <s v=" $640.56 "/>
    <n v="3"/>
    <n v="38"/>
    <s v="Electronics"/>
    <s v="Headphones"/>
    <x v="4"/>
    <x v="1"/>
    <n v="1921.68"/>
    <s v="Aligned"/>
    <x v="0"/>
    <s v="High Value Tier"/>
    <x v="0"/>
  </r>
  <r>
    <s v="ORD6223"/>
    <s v="CUST2223"/>
    <n v="60"/>
    <s v="PROD1423"/>
    <x v="2"/>
    <x v="595"/>
    <s v="3/23/2024"/>
    <n v="0"/>
    <x v="0"/>
    <s v="12/18/2022"/>
    <s v=" $212.95 "/>
    <n v="3"/>
    <n v="22"/>
    <s v="Clothing"/>
    <s v="Jeans"/>
    <x v="2"/>
    <x v="2"/>
    <n v="638.85"/>
    <s v="Aligned"/>
    <x v="1"/>
    <s v="High Value Tier"/>
    <x v="0"/>
  </r>
  <r>
    <s v="ORD6224"/>
    <s v="CUST2224"/>
    <n v="29"/>
    <s v="PROD1424"/>
    <x v="4"/>
    <x v="728"/>
    <d v="2023-07-10T00:00:00"/>
    <n v="3"/>
    <x v="0"/>
    <d v="2025-08-02T00:00:00"/>
    <s v=" $161.64 "/>
    <n v="7"/>
    <n v="12"/>
    <s v="Electronics"/>
    <s v="T-Shirt"/>
    <x v="2"/>
    <x v="0"/>
    <n v="1131.48"/>
    <s v="Misaligned"/>
    <x v="2"/>
    <s v="High Value Tier"/>
    <x v="0"/>
  </r>
  <r>
    <s v="ORD6225"/>
    <s v="CUST2225"/>
    <n v="36"/>
    <s v="PROD1425"/>
    <x v="2"/>
    <x v="350"/>
    <s v="11/26/2024"/>
    <n v="0"/>
    <x v="0"/>
    <s v="4/16/2024"/>
    <s v=" $144.78 "/>
    <n v="9"/>
    <n v="13"/>
    <s v="Clothing"/>
    <s v="Dress"/>
    <x v="2"/>
    <x v="0"/>
    <n v="1303.02"/>
    <s v="Aligned"/>
    <x v="0"/>
    <s v="High Value Tier"/>
    <x v="0"/>
  </r>
  <r>
    <s v="ORD6226"/>
    <s v="CUST2226"/>
    <n v="25"/>
    <s v="PROD1426"/>
    <x v="4"/>
    <x v="134"/>
    <d v="2024-12-01T00:00:00"/>
    <n v="5"/>
    <x v="0"/>
    <s v="9/23/2023"/>
    <s v=" $222.44 "/>
    <n v="8"/>
    <n v="31"/>
    <s v="Home"/>
    <s v="Tennis Racket"/>
    <x v="0"/>
    <x v="0"/>
    <n v="1779.52"/>
    <s v="Misaligned"/>
    <x v="2"/>
    <s v="High Value Tier"/>
    <x v="3"/>
  </r>
  <r>
    <s v="ORD6227"/>
    <s v="CUST2227"/>
    <n v="52"/>
    <s v="PROD1427"/>
    <x v="3"/>
    <x v="319"/>
    <s v="12/30/2022"/>
    <n v="3"/>
    <x v="0"/>
    <s v="9/27/2024"/>
    <s v=" $29.69 "/>
    <n v="7"/>
    <n v="48"/>
    <s v="Home"/>
    <s v="Gaming Console"/>
    <x v="4"/>
    <x v="1"/>
    <n v="207.83"/>
    <s v="Misaligned"/>
    <x v="1"/>
    <s v="High Value Tier"/>
    <x v="0"/>
  </r>
  <r>
    <s v="ORD6228"/>
    <s v="CUST2228"/>
    <n v="60"/>
    <s v="PROD1428"/>
    <x v="4"/>
    <x v="131"/>
    <s v="3/14/2025"/>
    <n v="0"/>
    <x v="0"/>
    <s v="12/29/2023"/>
    <s v=" $101.16 "/>
    <n v="8"/>
    <n v="35"/>
    <s v="Home"/>
    <s v="Microwave"/>
    <x v="1"/>
    <x v="2"/>
    <n v="809.28"/>
    <s v="Aligned"/>
    <x v="1"/>
    <s v="High Value Tier"/>
    <x v="0"/>
  </r>
  <r>
    <s v="ORD6229"/>
    <s v="CUST2229"/>
    <n v="53"/>
    <s v="PROD1429"/>
    <x v="5"/>
    <x v="280"/>
    <s v="2/23/2024"/>
    <n v="5"/>
    <x v="0"/>
    <d v="2022-12-12T00:00:00"/>
    <s v=" $167.51 "/>
    <n v="6"/>
    <n v="32"/>
    <s v="Home"/>
    <s v="Bluetooth Speaker"/>
    <x v="4"/>
    <x v="0"/>
    <n v="1005.06"/>
    <s v="Misaligned"/>
    <x v="1"/>
    <s v="High Value Tier"/>
    <x v="3"/>
  </r>
  <r>
    <s v="ORD6230"/>
    <s v="CUST2230"/>
    <n v="46"/>
    <s v="PROD1430"/>
    <x v="3"/>
    <x v="437"/>
    <s v="11/25/2023"/>
    <n v="5"/>
    <x v="1"/>
    <s v="9/21/2023"/>
    <s v=" $108.05 "/>
    <n v="3"/>
    <n v="48"/>
    <s v="Home"/>
    <s v="Perfume"/>
    <x v="3"/>
    <x v="0"/>
    <n v="324.14999999999998"/>
    <s v="Misaligned"/>
    <x v="0"/>
    <s v="High Value Tier"/>
    <x v="0"/>
  </r>
  <r>
    <s v="ORD6231"/>
    <s v="CUST2231"/>
    <n v="40"/>
    <s v="PROD1431"/>
    <x v="2"/>
    <x v="716"/>
    <s v="7/23/2025"/>
    <n v="0"/>
    <x v="2"/>
    <s v="5/18/2025"/>
    <s v=" $332.43 "/>
    <n v="6"/>
    <n v="38"/>
    <s v="Electronics"/>
    <s v="Face Wash"/>
    <x v="3"/>
    <x v="0"/>
    <n v="1994.58"/>
    <s v="Misaligned"/>
    <x v="0"/>
    <s v="High Value Tier"/>
    <x v="1"/>
  </r>
  <r>
    <s v="ORD6232"/>
    <s v="CUST2232"/>
    <n v="50"/>
    <s v="PROD1432"/>
    <x v="3"/>
    <x v="729"/>
    <s v="12/22/2020"/>
    <n v="0"/>
    <x v="0"/>
    <s v="2/13/2021"/>
    <s v=" $680.64 "/>
    <n v="2"/>
    <n v="5"/>
    <s v="Clothing"/>
    <s v="Yoga Mat"/>
    <x v="0"/>
    <x v="0"/>
    <n v="1361.28"/>
    <s v="Misaligned"/>
    <x v="1"/>
    <s v="High Value Tier"/>
    <x v="0"/>
  </r>
  <r>
    <s v="ORD6233"/>
    <s v="CUST2233"/>
    <n v="67"/>
    <s v="PROD1433"/>
    <x v="0"/>
    <x v="1"/>
    <s v="11/28/2023"/>
    <n v="3"/>
    <x v="0"/>
    <s v="1/29/2025"/>
    <s v=" $255.08 "/>
    <n v="7"/>
    <n v="36"/>
    <s v="Sports"/>
    <s v="Cricket Bat"/>
    <x v="0"/>
    <x v="0"/>
    <n v="1785.56"/>
    <s v="Aligned"/>
    <x v="4"/>
    <s v="High Value Tier"/>
    <x v="0"/>
  </r>
  <r>
    <s v="ORD6234"/>
    <s v="CUST2234"/>
    <n v="34"/>
    <s v="PROD1434"/>
    <x v="4"/>
    <x v="730"/>
    <s v="7/20/2021"/>
    <n v="5"/>
    <x v="0"/>
    <d v="2024-03-10T00:00:00"/>
    <s v=" $114.89 "/>
    <n v="7"/>
    <n v="27"/>
    <s v="Clothing"/>
    <s v="Microwave"/>
    <x v="1"/>
    <x v="0"/>
    <n v="804.23"/>
    <s v="Misaligned"/>
    <x v="2"/>
    <s v="High Value Tier"/>
    <x v="3"/>
  </r>
  <r>
    <s v="ORD6235"/>
    <s v="CUST2235"/>
    <n v="44"/>
    <s v="PROD1435"/>
    <x v="4"/>
    <x v="640"/>
    <s v="3/25/2024"/>
    <n v="1"/>
    <x v="0"/>
    <s v="12/25/2023"/>
    <s v=" $192.60 "/>
    <n v="6"/>
    <n v="17"/>
    <s v="Sports"/>
    <s v="Sneakers"/>
    <x v="2"/>
    <x v="0"/>
    <n v="1155.5999999999999"/>
    <s v="Misaligned"/>
    <x v="0"/>
    <s v="High Value Tier"/>
    <x v="0"/>
  </r>
  <r>
    <s v="ORD6236"/>
    <s v="CUST2236"/>
    <n v="63"/>
    <s v="PROD1436"/>
    <x v="3"/>
    <x v="175"/>
    <d v="2024-05-05T00:00:00"/>
    <n v="1"/>
    <x v="1"/>
    <d v="2022-12-08T00:00:00"/>
    <s v=" $138.94 "/>
    <n v="3"/>
    <n v="27"/>
    <s v="Beauty"/>
    <s v="Smartwatch"/>
    <x v="4"/>
    <x v="0"/>
    <n v="416.82"/>
    <s v="Misaligned"/>
    <x v="1"/>
    <s v="High Value Tier"/>
    <x v="0"/>
  </r>
  <r>
    <s v="ORD6237"/>
    <s v="CUST2237"/>
    <n v="49"/>
    <s v="PROD1437"/>
    <x v="4"/>
    <x v="731"/>
    <s v="1/31/2025"/>
    <n v="4"/>
    <x v="0"/>
    <d v="2025-03-08T00:00:00"/>
    <s v=" $1,427.64 "/>
    <n v="1"/>
    <n v="7"/>
    <s v="Sports"/>
    <s v="Football"/>
    <x v="0"/>
    <x v="0"/>
    <n v="1427.64"/>
    <s v="Aligned"/>
    <x v="0"/>
    <s v="High Value Tier"/>
    <x v="3"/>
  </r>
  <r>
    <s v="ORD6238"/>
    <s v="CUST2238"/>
    <n v="51"/>
    <s v="PROD1438"/>
    <x v="2"/>
    <x v="732"/>
    <s v="5/19/2024"/>
    <n v="4"/>
    <x v="2"/>
    <d v="2024-10-08T00:00:00"/>
    <s v=" $24.99 "/>
    <n v="7"/>
    <n v="18"/>
    <s v="Sports"/>
    <s v="T-Shirt"/>
    <x v="2"/>
    <x v="0"/>
    <n v="174.93"/>
    <s v="Misaligned"/>
    <x v="1"/>
    <s v="High Value Tier"/>
    <x v="1"/>
  </r>
  <r>
    <s v="ORD6239"/>
    <s v="CUST2239"/>
    <n v="29"/>
    <s v="PROD1439"/>
    <x v="3"/>
    <x v="636"/>
    <s v="11/25/2023"/>
    <n v="5"/>
    <x v="0"/>
    <s v="12/14/2023"/>
    <s v=" $61.64 "/>
    <n v="3"/>
    <n v="28"/>
    <s v="Sports"/>
    <s v="Headphones"/>
    <x v="4"/>
    <x v="1"/>
    <n v="184.92"/>
    <s v="Misaligned"/>
    <x v="2"/>
    <s v="High Value Tier"/>
    <x v="3"/>
  </r>
  <r>
    <s v="ORD6240"/>
    <s v="CUST2240"/>
    <n v="44"/>
    <s v="PROD1440"/>
    <x v="4"/>
    <x v="733"/>
    <d v="2024-06-06T00:00:00"/>
    <n v="1"/>
    <x v="0"/>
    <d v="2024-12-09T00:00:00"/>
    <s v=" $537.06 "/>
    <n v="2"/>
    <n v="39"/>
    <s v="Sports"/>
    <s v="Football"/>
    <x v="0"/>
    <x v="1"/>
    <n v="1074.1199999999999"/>
    <s v="Aligned"/>
    <x v="0"/>
    <s v="High Value Tier"/>
    <x v="0"/>
  </r>
  <r>
    <s v="ORD6241"/>
    <s v="CUST2241"/>
    <n v="55"/>
    <s v="PROD1441"/>
    <x v="4"/>
    <x v="504"/>
    <d v="2022-01-10T00:00:00"/>
    <n v="0"/>
    <x v="0"/>
    <s v="4/19/2023"/>
    <s v=" $212.08 "/>
    <n v="4"/>
    <n v="16"/>
    <s v="Electronics"/>
    <s v="Face Wash"/>
    <x v="3"/>
    <x v="0"/>
    <n v="848.32"/>
    <s v="Misaligned"/>
    <x v="1"/>
    <s v="High Value Tier"/>
    <x v="0"/>
  </r>
  <r>
    <s v="ORD6242"/>
    <s v="CUST2242"/>
    <n v="41"/>
    <s v="PROD1442"/>
    <x v="2"/>
    <x v="734"/>
    <d v="2025-07-03T00:00:00"/>
    <n v="4"/>
    <x v="0"/>
    <s v="8/19/2024"/>
    <s v=" $243.58 "/>
    <n v="4"/>
    <n v="14"/>
    <s v="Sports"/>
    <s v="Jeans"/>
    <x v="2"/>
    <x v="0"/>
    <n v="974.32"/>
    <s v="Misaligned"/>
    <x v="0"/>
    <s v="High Value Tier"/>
    <x v="3"/>
  </r>
  <r>
    <s v="ORD6243"/>
    <s v="CUST2243"/>
    <n v="26"/>
    <s v="PROD1443"/>
    <x v="5"/>
    <x v="182"/>
    <d v="2024-01-05T00:00:00"/>
    <n v="3"/>
    <x v="0"/>
    <d v="2023-03-03T00:00:00"/>
    <s v=" $992.40 "/>
    <n v="2"/>
    <n v="10"/>
    <s v="Electronics"/>
    <s v="Bluetooth Speaker"/>
    <x v="4"/>
    <x v="0"/>
    <n v="1984.8"/>
    <s v="Aligned"/>
    <x v="2"/>
    <s v="High Value Tier"/>
    <x v="0"/>
  </r>
  <r>
    <s v="ORD6244"/>
    <s v="CUST2244"/>
    <n v="18"/>
    <s v="PROD1444"/>
    <x v="4"/>
    <x v="467"/>
    <d v="2024-01-10T00:00:00"/>
    <n v="5"/>
    <x v="0"/>
    <s v="2/13/2022"/>
    <s v=" $610.13 "/>
    <n v="1"/>
    <n v="20"/>
    <s v="Electronics"/>
    <s v="Sneakers"/>
    <x v="2"/>
    <x v="1"/>
    <n v="610.13"/>
    <s v="Misaligned"/>
    <x v="3"/>
    <s v="High Value Tier"/>
    <x v="3"/>
  </r>
  <r>
    <s v="ORD6245"/>
    <s v="CUST2245"/>
    <n v="55"/>
    <s v="PROD1445"/>
    <x v="0"/>
    <x v="735"/>
    <s v="9/16/2023"/>
    <n v="3"/>
    <x v="0"/>
    <d v="2023-07-09T00:00:00"/>
    <s v=" $61.51 "/>
    <n v="9"/>
    <n v="7"/>
    <s v="Electronics"/>
    <s v="Nail Polish"/>
    <x v="3"/>
    <x v="0"/>
    <n v="553.59"/>
    <s v="Misaligned"/>
    <x v="1"/>
    <s v="High Value Tier"/>
    <x v="0"/>
  </r>
  <r>
    <s v="ORD6246"/>
    <s v="CUST2246"/>
    <n v="36"/>
    <s v="PROD1446"/>
    <x v="4"/>
    <x v="328"/>
    <s v="8/14/2024"/>
    <n v="3"/>
    <x v="1"/>
    <s v="2/27/2023"/>
    <s v=" $699.76 "/>
    <n v="2"/>
    <n v="28"/>
    <s v="Electronics"/>
    <s v="Dining Table"/>
    <x v="1"/>
    <x v="0"/>
    <n v="1399.52"/>
    <s v="Misaligned"/>
    <x v="0"/>
    <s v="High Value Tier"/>
    <x v="0"/>
  </r>
  <r>
    <s v="ORD6247"/>
    <s v="CUST2247"/>
    <n v="60"/>
    <s v="PROD1447"/>
    <x v="3"/>
    <x v="736"/>
    <d v="2025-07-05T00:00:00"/>
    <n v="0"/>
    <x v="0"/>
    <s v="10/31/2021"/>
    <s v=" $1,111.66 "/>
    <n v="1"/>
    <n v="8"/>
    <s v="Beauty"/>
    <s v="Camera"/>
    <x v="4"/>
    <x v="1"/>
    <n v="1111.6600000000001"/>
    <s v="Misaligned"/>
    <x v="1"/>
    <s v="High Value Tier"/>
    <x v="0"/>
  </r>
  <r>
    <s v="ORD6248"/>
    <s v="CUST2248"/>
    <n v="46"/>
    <s v="PROD1448"/>
    <x v="3"/>
    <x v="551"/>
    <s v="3/16/2025"/>
    <n v="3"/>
    <x v="0"/>
    <d v="2023-02-10T00:00:00"/>
    <s v=" $43.79 "/>
    <n v="9"/>
    <n v="5"/>
    <s v="Home"/>
    <s v="Running Shoes"/>
    <x v="0"/>
    <x v="1"/>
    <n v="394.11"/>
    <s v="Misaligned"/>
    <x v="0"/>
    <s v="Core Tier"/>
    <x v="0"/>
  </r>
  <r>
    <s v="ORD6249"/>
    <s v="CUST2249"/>
    <n v="49"/>
    <s v="PROD1449"/>
    <x v="4"/>
    <x v="737"/>
    <d v="2023-02-08T00:00:00"/>
    <n v="4"/>
    <x v="1"/>
    <s v="8/30/2024"/>
    <s v=" $27.02 "/>
    <n v="6"/>
    <n v="35"/>
    <s v="Home"/>
    <s v="Smartwatch"/>
    <x v="4"/>
    <x v="1"/>
    <n v="162.12"/>
    <s v="Misaligned"/>
    <x v="0"/>
    <s v="High Value Tier"/>
    <x v="0"/>
  </r>
  <r>
    <s v="ORD6250"/>
    <s v="CUST2250"/>
    <n v="48"/>
    <s v="PROD1450"/>
    <x v="5"/>
    <x v="674"/>
    <d v="2023-05-07T00:00:00"/>
    <n v="1"/>
    <x v="0"/>
    <d v="2022-08-07T00:00:00"/>
    <s v=" $124.78 "/>
    <n v="4"/>
    <n v="10"/>
    <s v="Electronics"/>
    <s v="Cricket Bat"/>
    <x v="0"/>
    <x v="1"/>
    <n v="499.12"/>
    <s v="Misaligned"/>
    <x v="0"/>
    <s v="High Value Tier"/>
    <x v="0"/>
  </r>
  <r>
    <s v="ORD6251"/>
    <s v="CUST2251"/>
    <n v="58"/>
    <s v="PROD1451"/>
    <x v="1"/>
    <x v="738"/>
    <s v="7/19/2021"/>
    <n v="4"/>
    <x v="1"/>
    <d v="2025-02-06T00:00:00"/>
    <s v=" $169.03 "/>
    <n v="6"/>
    <n v="44"/>
    <s v="Beauty"/>
    <s v="Cricket Bat"/>
    <x v="0"/>
    <x v="0"/>
    <n v="1014.18"/>
    <s v="Misaligned"/>
    <x v="1"/>
    <s v="High Value Tier"/>
    <x v="0"/>
  </r>
  <r>
    <s v="ORD6252"/>
    <s v="CUST2252"/>
    <n v="26"/>
    <s v="PROD1452"/>
    <x v="0"/>
    <x v="481"/>
    <s v="2/22/2024"/>
    <n v="1"/>
    <x v="0"/>
    <d v="2024-05-12T00:00:00"/>
    <s v=" $133.46 "/>
    <n v="2"/>
    <n v="39"/>
    <s v="Sports"/>
    <s v="T-Shirt"/>
    <x v="2"/>
    <x v="1"/>
    <n v="266.92"/>
    <s v="Misaligned"/>
    <x v="2"/>
    <s v="High Value Tier"/>
    <x v="0"/>
  </r>
  <r>
    <s v="ORD6253"/>
    <s v="CUST2253"/>
    <n v="42"/>
    <s v="PROD1453"/>
    <x v="2"/>
    <x v="484"/>
    <d v="2023-09-07T00:00:00"/>
    <n v="2"/>
    <x v="0"/>
    <d v="2024-03-12T00:00:00"/>
    <s v=" $4.87 "/>
    <n v="8"/>
    <n v="19"/>
    <s v="Home"/>
    <s v="Football"/>
    <x v="0"/>
    <x v="0"/>
    <n v="38.96"/>
    <s v="Misaligned"/>
    <x v="0"/>
    <s v="Value Tier"/>
    <x v="0"/>
  </r>
  <r>
    <s v="ORD6254"/>
    <s v="CUST2254"/>
    <n v="54"/>
    <s v="PROD1454"/>
    <x v="0"/>
    <x v="258"/>
    <s v="10/16/2021"/>
    <n v="4"/>
    <x v="2"/>
    <s v="10/20/2024"/>
    <s v=" $526.33 "/>
    <n v="1"/>
    <n v="33"/>
    <s v="Home"/>
    <s v="Conditioner"/>
    <x v="3"/>
    <x v="0"/>
    <n v="526.33000000000004"/>
    <s v="Misaligned"/>
    <x v="1"/>
    <s v="High Value Tier"/>
    <x v="1"/>
  </r>
  <r>
    <s v="ORD6255"/>
    <s v="CUST2255"/>
    <n v="51"/>
    <s v="PROD1455"/>
    <x v="3"/>
    <x v="178"/>
    <d v="2022-11-09T00:00:00"/>
    <n v="2"/>
    <x v="1"/>
    <d v="2022-01-11T00:00:00"/>
    <s v=" $654.83 "/>
    <n v="3"/>
    <n v="19"/>
    <s v="Sports"/>
    <s v="Dumbbells"/>
    <x v="0"/>
    <x v="0"/>
    <n v="1964.49"/>
    <s v="Aligned"/>
    <x v="1"/>
    <s v="High Value Tier"/>
    <x v="0"/>
  </r>
  <r>
    <s v="ORD6256"/>
    <s v="CUST2256"/>
    <n v="28"/>
    <s v="PROD1456"/>
    <x v="4"/>
    <x v="79"/>
    <d v="2022-03-12T00:00:00"/>
    <n v="0"/>
    <x v="0"/>
    <d v="2025-07-02T00:00:00"/>
    <s v=" $328.15 "/>
    <n v="3"/>
    <n v="39"/>
    <s v="Clothing"/>
    <s v="Perfume"/>
    <x v="3"/>
    <x v="0"/>
    <n v="984.45"/>
    <s v="Misaligned"/>
    <x v="2"/>
    <s v="High Value Tier"/>
    <x v="0"/>
  </r>
  <r>
    <s v="ORD6257"/>
    <s v="CUST2257"/>
    <n v="56"/>
    <s v="PROD1457"/>
    <x v="0"/>
    <x v="301"/>
    <s v="12/17/2023"/>
    <n v="2"/>
    <x v="1"/>
    <s v="4/21/2021"/>
    <s v=" $106.11 "/>
    <n v="4"/>
    <n v="6"/>
    <s v="Home"/>
    <s v="Sneakers"/>
    <x v="2"/>
    <x v="1"/>
    <n v="424.44"/>
    <s v="Misaligned"/>
    <x v="1"/>
    <s v="High Value Tier"/>
    <x v="0"/>
  </r>
  <r>
    <s v="ORD6258"/>
    <s v="CUST2258"/>
    <n v="46"/>
    <s v="PROD1458"/>
    <x v="0"/>
    <x v="739"/>
    <s v="9/24/2024"/>
    <n v="3"/>
    <x v="0"/>
    <s v="4/21/2024"/>
    <s v=" $102.14 "/>
    <n v="3"/>
    <n v="17"/>
    <s v="Beauty"/>
    <s v="Dining Table"/>
    <x v="1"/>
    <x v="1"/>
    <n v="306.42"/>
    <s v="Misaligned"/>
    <x v="0"/>
    <s v="High Value Tier"/>
    <x v="0"/>
  </r>
  <r>
    <s v="ORD6259"/>
    <s v="CUST2259"/>
    <n v="39"/>
    <s v="PROD1459"/>
    <x v="4"/>
    <x v="435"/>
    <s v="3/27/2021"/>
    <n v="0"/>
    <x v="0"/>
    <d v="2023-08-01T00:00:00"/>
    <s v=" $194.13 "/>
    <n v="7"/>
    <n v="39"/>
    <s v="Clothing"/>
    <s v="Basketball"/>
    <x v="0"/>
    <x v="1"/>
    <n v="1358.91"/>
    <s v="Misaligned"/>
    <x v="0"/>
    <s v="High Value Tier"/>
    <x v="0"/>
  </r>
  <r>
    <s v="ORD6260"/>
    <s v="CUST2260"/>
    <n v="50"/>
    <s v="PROD1460"/>
    <x v="4"/>
    <x v="740"/>
    <d v="2023-11-09T00:00:00"/>
    <n v="5"/>
    <x v="0"/>
    <d v="2024-02-01T00:00:00"/>
    <s v=" $193.65 "/>
    <n v="6"/>
    <n v="4"/>
    <s v="Beauty"/>
    <s v="Dumbbells"/>
    <x v="0"/>
    <x v="1"/>
    <n v="1161.9000000000001"/>
    <s v="Misaligned"/>
    <x v="1"/>
    <s v="High Value Tier"/>
    <x v="3"/>
  </r>
  <r>
    <s v="ORD6261"/>
    <s v="CUST2261"/>
    <n v="50"/>
    <s v="PROD1461"/>
    <x v="5"/>
    <x v="741"/>
    <s v="2/26/2025"/>
    <n v="2"/>
    <x v="0"/>
    <s v="3/14/2023"/>
    <s v=" $35.03 "/>
    <n v="6"/>
    <n v="47"/>
    <s v="Clothing"/>
    <s v="Perfume"/>
    <x v="3"/>
    <x v="0"/>
    <n v="210.18"/>
    <s v="Misaligned"/>
    <x v="1"/>
    <s v="High Value Tier"/>
    <x v="0"/>
  </r>
  <r>
    <s v="ORD6262"/>
    <s v="CUST2262"/>
    <n v="58"/>
    <s v="PROD1462"/>
    <x v="1"/>
    <x v="742"/>
    <d v="2023-01-10T00:00:00"/>
    <n v="0"/>
    <x v="2"/>
    <d v="2023-12-04T00:00:00"/>
    <s v=" $30.41 "/>
    <n v="3"/>
    <n v="29"/>
    <s v="Clothing"/>
    <s v="Refrigerator"/>
    <x v="1"/>
    <x v="1"/>
    <n v="91.23"/>
    <s v="Misaligned"/>
    <x v="1"/>
    <s v="High Value Tier"/>
    <x v="1"/>
  </r>
  <r>
    <s v="ORD6263"/>
    <s v="CUST2263"/>
    <n v="19"/>
    <s v="PROD1463"/>
    <x v="5"/>
    <x v="382"/>
    <d v="2025-06-04T00:00:00"/>
    <n v="3"/>
    <x v="2"/>
    <d v="2024-04-02T00:00:00"/>
    <s v=" $375.98 "/>
    <n v="3"/>
    <n v="38"/>
    <s v="Electronics"/>
    <s v="Cricket Bat"/>
    <x v="0"/>
    <x v="0"/>
    <n v="1127.94"/>
    <s v="Misaligned"/>
    <x v="3"/>
    <s v="High Value Tier"/>
    <x v="1"/>
  </r>
  <r>
    <s v="ORD6264"/>
    <s v="CUST2264"/>
    <n v="25"/>
    <s v="PROD1464"/>
    <x v="2"/>
    <x v="502"/>
    <s v="5/30/2024"/>
    <n v="1"/>
    <x v="0"/>
    <s v="7/31/2025"/>
    <s v=" $289.06 "/>
    <n v="2"/>
    <n v="38"/>
    <s v="Clothing"/>
    <s v="Cricket Bat"/>
    <x v="0"/>
    <x v="1"/>
    <n v="578.12"/>
    <s v="Misaligned"/>
    <x v="2"/>
    <s v="High Value Tier"/>
    <x v="0"/>
  </r>
  <r>
    <s v="ORD6265"/>
    <s v="CUST2265"/>
    <n v="48"/>
    <s v="PROD1465"/>
    <x v="0"/>
    <x v="743"/>
    <d v="2022-10-08T00:00:00"/>
    <n v="3"/>
    <x v="0"/>
    <s v="5/25/2023"/>
    <s v=" $124.07 "/>
    <n v="3"/>
    <n v="27"/>
    <s v="Electronics"/>
    <s v="Conditioner"/>
    <x v="3"/>
    <x v="0"/>
    <n v="372.21"/>
    <s v="Misaligned"/>
    <x v="0"/>
    <s v="High Value Tier"/>
    <x v="0"/>
  </r>
  <r>
    <s v="ORD6266"/>
    <s v="CUST2266"/>
    <n v="28"/>
    <s v="PROD1466"/>
    <x v="0"/>
    <x v="513"/>
    <d v="2023-06-03T00:00:00"/>
    <n v="5"/>
    <x v="0"/>
    <s v="9/22/2024"/>
    <s v=" $563.90 "/>
    <n v="2"/>
    <n v="49"/>
    <s v="Beauty"/>
    <s v="Bluetooth Speaker"/>
    <x v="4"/>
    <x v="0"/>
    <n v="1127.8"/>
    <s v="Misaligned"/>
    <x v="2"/>
    <s v="High Value Tier"/>
    <x v="3"/>
  </r>
  <r>
    <s v="ORD6267"/>
    <s v="CUST2267"/>
    <n v="65"/>
    <s v="PROD1467"/>
    <x v="5"/>
    <x v="547"/>
    <s v="4/17/2024"/>
    <n v="1"/>
    <x v="1"/>
    <s v="4/28/2022"/>
    <s v=" $198.64 "/>
    <n v="6"/>
    <n v="11"/>
    <s v="Home"/>
    <s v="Sofa"/>
    <x v="1"/>
    <x v="1"/>
    <n v="1191.8399999999999"/>
    <s v="Aligned"/>
    <x v="4"/>
    <s v="High Value Tier"/>
    <x v="0"/>
  </r>
  <r>
    <s v="ORD6268"/>
    <s v="CUST2268"/>
    <n v="68"/>
    <s v="PROD1468"/>
    <x v="1"/>
    <x v="300"/>
    <d v="2021-11-09T00:00:00"/>
    <n v="3"/>
    <x v="1"/>
    <s v="6/29/2023"/>
    <s v=" $248.56 "/>
    <n v="8"/>
    <n v="4"/>
    <s v="Home"/>
    <s v="Conditioner"/>
    <x v="3"/>
    <x v="0"/>
    <n v="1988.48"/>
    <s v="Misaligned"/>
    <x v="4"/>
    <s v="High Value Tier"/>
    <x v="0"/>
  </r>
  <r>
    <s v="ORD6269"/>
    <s v="CUST2269"/>
    <n v="43"/>
    <s v="PROD1469"/>
    <x v="2"/>
    <x v="536"/>
    <s v="1/17/2024"/>
    <n v="4"/>
    <x v="0"/>
    <s v="2/21/2024"/>
    <s v=" $218.97 "/>
    <n v="7"/>
    <n v="23"/>
    <s v="Sports"/>
    <s v="Perfume"/>
    <x v="3"/>
    <x v="0"/>
    <n v="1532.79"/>
    <s v="Misaligned"/>
    <x v="0"/>
    <s v="High Value Tier"/>
    <x v="3"/>
  </r>
  <r>
    <s v="ORD6270"/>
    <s v="CUST2270"/>
    <n v="24"/>
    <s v="PROD1470"/>
    <x v="5"/>
    <x v="207"/>
    <d v="2023-08-10T00:00:00"/>
    <n v="0"/>
    <x v="0"/>
    <s v="8/26/2023"/>
    <s v=" $915.31 "/>
    <n v="1"/>
    <n v="42"/>
    <s v="Home"/>
    <s v="Running Shoes"/>
    <x v="0"/>
    <x v="1"/>
    <n v="915.31"/>
    <s v="Misaligned"/>
    <x v="3"/>
    <s v="High Value Tier"/>
    <x v="0"/>
  </r>
  <r>
    <s v="ORD6271"/>
    <s v="CUST2271"/>
    <n v="55"/>
    <s v="PROD1471"/>
    <x v="0"/>
    <x v="314"/>
    <s v="10/17/2022"/>
    <n v="3"/>
    <x v="0"/>
    <s v="1/15/2024"/>
    <s v=" $323.13 "/>
    <n v="3"/>
    <n v="43"/>
    <s v="Beauty"/>
    <s v="Skirt"/>
    <x v="2"/>
    <x v="1"/>
    <n v="969.39"/>
    <s v="Misaligned"/>
    <x v="1"/>
    <s v="High Value Tier"/>
    <x v="0"/>
  </r>
  <r>
    <s v="ORD6272"/>
    <s v="CUST2272"/>
    <n v="47"/>
    <s v="PROD1472"/>
    <x v="1"/>
    <x v="744"/>
    <s v="4/16/2025"/>
    <n v="2"/>
    <x v="2"/>
    <d v="2023-10-09T00:00:00"/>
    <s v=" $50.14 "/>
    <n v="8"/>
    <n v="17"/>
    <s v="Beauty"/>
    <s v="Vacuum Cleaner"/>
    <x v="1"/>
    <x v="1"/>
    <n v="401.12"/>
    <s v="Misaligned"/>
    <x v="0"/>
    <s v="High Value Tier"/>
    <x v="1"/>
  </r>
  <r>
    <s v="ORD6273"/>
    <s v="CUST2273"/>
    <n v="25"/>
    <s v="PROD1473"/>
    <x v="2"/>
    <x v="93"/>
    <s v="7/29/2021"/>
    <n v="5"/>
    <x v="0"/>
    <s v="4/21/2021"/>
    <s v=" $1,991.63 "/>
    <n v="1"/>
    <n v="31"/>
    <s v="Beauty"/>
    <s v="Dress"/>
    <x v="2"/>
    <x v="0"/>
    <n v="1991.63"/>
    <s v="Misaligned"/>
    <x v="2"/>
    <s v="High Value Tier"/>
    <x v="3"/>
  </r>
  <r>
    <s v="ORD6274"/>
    <s v="CUST2274"/>
    <n v="60"/>
    <s v="PROD1474"/>
    <x v="0"/>
    <x v="402"/>
    <d v="2024-10-11T00:00:00"/>
    <n v="0"/>
    <x v="0"/>
    <s v="1/27/2025"/>
    <s v=" $382.55 "/>
    <n v="3"/>
    <n v="1"/>
    <s v="Sports"/>
    <s v="Dumbbells"/>
    <x v="0"/>
    <x v="0"/>
    <n v="1147.6500000000001"/>
    <s v="Aligned"/>
    <x v="1"/>
    <s v="Core Tier"/>
    <x v="0"/>
  </r>
  <r>
    <s v="ORD6275"/>
    <s v="CUST2275"/>
    <n v="58"/>
    <s v="PROD1475"/>
    <x v="3"/>
    <x v="666"/>
    <d v="2025-03-08T00:00:00"/>
    <n v="4"/>
    <x v="0"/>
    <d v="2025-11-07T00:00:00"/>
    <s v=" $29.84 "/>
    <n v="5"/>
    <n v="12"/>
    <s v="Electronics"/>
    <s v="Chair"/>
    <x v="1"/>
    <x v="1"/>
    <n v="149.19999999999999"/>
    <s v="Misaligned"/>
    <x v="1"/>
    <s v="Core Tier"/>
    <x v="3"/>
  </r>
  <r>
    <s v="ORD6276"/>
    <s v="CUST2276"/>
    <n v="18"/>
    <s v="PROD1476"/>
    <x v="3"/>
    <x v="285"/>
    <d v="2022-06-12T00:00:00"/>
    <n v="5"/>
    <x v="2"/>
    <s v="5/24/2023"/>
    <s v=" $140.01 "/>
    <n v="6"/>
    <n v="19"/>
    <s v="Sports"/>
    <s v="Bluetooth Speaker"/>
    <x v="4"/>
    <x v="0"/>
    <n v="840.06"/>
    <s v="Misaligned"/>
    <x v="3"/>
    <s v="High Value Tier"/>
    <x v="1"/>
  </r>
  <r>
    <s v="ORD6277"/>
    <s v="CUST2277"/>
    <n v="53"/>
    <s v="PROD1477"/>
    <x v="1"/>
    <x v="254"/>
    <s v="2/26/2024"/>
    <n v="2"/>
    <x v="0"/>
    <d v="2024-02-01T00:00:00"/>
    <s v=" $32.62 "/>
    <n v="5"/>
    <n v="18"/>
    <s v="Home"/>
    <s v="Camera"/>
    <x v="4"/>
    <x v="1"/>
    <n v="163.1"/>
    <s v="Misaligned"/>
    <x v="1"/>
    <s v="High Value Tier"/>
    <x v="0"/>
  </r>
  <r>
    <s v="ORD6278"/>
    <s v="CUST2278"/>
    <n v="34"/>
    <s v="PROD1478"/>
    <x v="5"/>
    <x v="745"/>
    <s v="1/26/2024"/>
    <n v="0"/>
    <x v="1"/>
    <d v="2023-11-08T00:00:00"/>
    <s v=" $529.10 "/>
    <n v="3"/>
    <n v="32"/>
    <s v="Sports"/>
    <s v="Foundation"/>
    <x v="3"/>
    <x v="0"/>
    <n v="1587.3"/>
    <s v="Misaligned"/>
    <x v="2"/>
    <s v="High Value Tier"/>
    <x v="0"/>
  </r>
  <r>
    <s v="ORD6279"/>
    <s v="CUST2279"/>
    <n v="53"/>
    <s v="PROD1479"/>
    <x v="0"/>
    <x v="635"/>
    <d v="2025-05-08T00:00:00"/>
    <n v="1"/>
    <x v="0"/>
    <s v="10/30/2024"/>
    <s v=" $10.29 "/>
    <n v="6"/>
    <n v="4"/>
    <s v="Home"/>
    <s v="Cycling Helmet"/>
    <x v="0"/>
    <x v="0"/>
    <n v="61.74"/>
    <s v="Misaligned"/>
    <x v="1"/>
    <s v="Value Tier"/>
    <x v="0"/>
  </r>
  <r>
    <s v="ORD6280"/>
    <s v="CUST2280"/>
    <n v="41"/>
    <s v="PROD1480"/>
    <x v="4"/>
    <x v="227"/>
    <d v="2024-09-10T00:00:00"/>
    <n v="1"/>
    <x v="0"/>
    <s v="6/29/2024"/>
    <s v=" $142.15 "/>
    <n v="8"/>
    <n v="21"/>
    <s v="Clothing"/>
    <s v="Hoodie"/>
    <x v="2"/>
    <x v="1"/>
    <n v="1137.2"/>
    <s v="Aligned"/>
    <x v="0"/>
    <s v="High Value Tier"/>
    <x v="0"/>
  </r>
  <r>
    <s v="ORD6281"/>
    <s v="CUST2281"/>
    <n v="27"/>
    <s v="PROD1481"/>
    <x v="4"/>
    <x v="203"/>
    <s v="8/19/2025"/>
    <n v="2"/>
    <x v="0"/>
    <s v="11/18/2024"/>
    <s v=" $145.91 "/>
    <n v="9"/>
    <n v="4"/>
    <s v="Electronics"/>
    <s v="Smartwatch"/>
    <x v="4"/>
    <x v="1"/>
    <n v="1313.19"/>
    <s v="Aligned"/>
    <x v="2"/>
    <s v="High Value Tier"/>
    <x v="0"/>
  </r>
  <r>
    <s v="ORD6282"/>
    <s v="CUST2282"/>
    <n v="27"/>
    <s v="PROD1482"/>
    <x v="5"/>
    <x v="167"/>
    <d v="2024-08-08T00:00:00"/>
    <n v="0"/>
    <x v="0"/>
    <s v="8/21/2023"/>
    <s v=" $105.25 "/>
    <n v="5"/>
    <n v="36"/>
    <s v="Home"/>
    <s v="Hoodie"/>
    <x v="2"/>
    <x v="0"/>
    <n v="526.25"/>
    <s v="Misaligned"/>
    <x v="2"/>
    <s v="High Value Tier"/>
    <x v="0"/>
  </r>
  <r>
    <s v="ORD6283"/>
    <s v="CUST2283"/>
    <n v="52"/>
    <s v="PROD1483"/>
    <x v="4"/>
    <x v="746"/>
    <s v="8/13/2023"/>
    <n v="1"/>
    <x v="0"/>
    <s v="8/17/2024"/>
    <s v=" $97.62 "/>
    <n v="6"/>
    <n v="33"/>
    <s v="Electronics"/>
    <s v="Blender"/>
    <x v="1"/>
    <x v="1"/>
    <n v="585.72"/>
    <s v="Misaligned"/>
    <x v="1"/>
    <s v="High Value Tier"/>
    <x v="0"/>
  </r>
  <r>
    <s v="ORD6284"/>
    <s v="CUST2284"/>
    <n v="46"/>
    <s v="PROD1484"/>
    <x v="3"/>
    <x v="310"/>
    <s v="11/20/2024"/>
    <n v="2"/>
    <x v="0"/>
    <s v="2/21/2022"/>
    <s v=" $214.28 "/>
    <n v="9"/>
    <n v="28"/>
    <s v="Clothing"/>
    <s v="Gaming Console"/>
    <x v="4"/>
    <x v="1"/>
    <n v="1928.52"/>
    <s v="Misaligned"/>
    <x v="0"/>
    <s v="High Value Tier"/>
    <x v="0"/>
  </r>
  <r>
    <s v="ORD6285"/>
    <s v="CUST2285"/>
    <n v="26"/>
    <s v="PROD1485"/>
    <x v="5"/>
    <x v="446"/>
    <d v="2025-09-05T00:00:00"/>
    <n v="4"/>
    <x v="0"/>
    <s v="11/27/2023"/>
    <s v=" $203.87 "/>
    <n v="5"/>
    <n v="35"/>
    <s v="Home"/>
    <s v="Headphones"/>
    <x v="4"/>
    <x v="1"/>
    <n v="1019.35"/>
    <s v="Misaligned"/>
    <x v="2"/>
    <s v="High Value Tier"/>
    <x v="3"/>
  </r>
  <r>
    <s v="ORD6286"/>
    <s v="CUST2286"/>
    <n v="56"/>
    <s v="PROD1486"/>
    <x v="5"/>
    <x v="375"/>
    <s v="10/24/2022"/>
    <n v="2"/>
    <x v="0"/>
    <d v="2024-03-01T00:00:00"/>
    <s v=" $104.25 "/>
    <n v="7"/>
    <n v="34"/>
    <s v="Beauty"/>
    <s v="Sneakers"/>
    <x v="2"/>
    <x v="0"/>
    <n v="729.75"/>
    <s v="Misaligned"/>
    <x v="1"/>
    <s v="High Value Tier"/>
    <x v="0"/>
  </r>
  <r>
    <s v="ORD6287"/>
    <s v="CUST2287"/>
    <n v="32"/>
    <s v="PROD1487"/>
    <x v="0"/>
    <x v="589"/>
    <d v="2024-11-05T00:00:00"/>
    <n v="0"/>
    <x v="0"/>
    <d v="2024-10-01T00:00:00"/>
    <s v=" $42.20 "/>
    <n v="8"/>
    <n v="36"/>
    <s v="Beauty"/>
    <s v="Face Wash"/>
    <x v="3"/>
    <x v="0"/>
    <n v="337.6"/>
    <s v="Aligned"/>
    <x v="2"/>
    <s v="High Value Tier"/>
    <x v="0"/>
  </r>
  <r>
    <s v="ORD6288"/>
    <s v="CUST2288"/>
    <n v="69"/>
    <s v="PROD1488"/>
    <x v="3"/>
    <x v="554"/>
    <s v="5/28/2023"/>
    <n v="2"/>
    <x v="1"/>
    <s v="9/22/2024"/>
    <s v=" $417.98 "/>
    <n v="4"/>
    <n v="35"/>
    <s v="Sports"/>
    <s v="Perfume"/>
    <x v="3"/>
    <x v="0"/>
    <n v="1671.92"/>
    <s v="Misaligned"/>
    <x v="4"/>
    <s v="High Value Tier"/>
    <x v="0"/>
  </r>
  <r>
    <s v="ORD6289"/>
    <s v="CUST2289"/>
    <n v="64"/>
    <s v="PROD1489"/>
    <x v="2"/>
    <x v="550"/>
    <s v="9/26/2024"/>
    <n v="5"/>
    <x v="1"/>
    <s v="10/21/2023"/>
    <s v=" $115.36 "/>
    <n v="6"/>
    <n v="5"/>
    <s v="Electronics"/>
    <s v="Camera"/>
    <x v="4"/>
    <x v="0"/>
    <n v="692.16"/>
    <s v="Aligned"/>
    <x v="1"/>
    <s v="High Value Tier"/>
    <x v="0"/>
  </r>
  <r>
    <s v="ORD6290"/>
    <s v="CUST2290"/>
    <n v="24"/>
    <s v="PROD1490"/>
    <x v="2"/>
    <x v="624"/>
    <s v="5/29/2024"/>
    <n v="3"/>
    <x v="2"/>
    <d v="2023-01-03T00:00:00"/>
    <s v=" $51.56 "/>
    <n v="6"/>
    <n v="27"/>
    <s v="Home"/>
    <s v="Dining Table"/>
    <x v="1"/>
    <x v="0"/>
    <n v="309.36"/>
    <s v="Aligned"/>
    <x v="3"/>
    <s v="High Value Tier"/>
    <x v="1"/>
  </r>
  <r>
    <s v="ORD6291"/>
    <s v="CUST2291"/>
    <n v="18"/>
    <s v="PROD1491"/>
    <x v="4"/>
    <x v="280"/>
    <d v="2023-05-07T00:00:00"/>
    <n v="5"/>
    <x v="1"/>
    <s v="6/16/2024"/>
    <s v=" $201.74 "/>
    <n v="4"/>
    <n v="19"/>
    <s v="Sports"/>
    <s v="T-Shirt"/>
    <x v="2"/>
    <x v="1"/>
    <n v="806.96"/>
    <s v="Misaligned"/>
    <x v="3"/>
    <s v="High Value Tier"/>
    <x v="0"/>
  </r>
  <r>
    <s v="ORD6292"/>
    <s v="CUST2292"/>
    <n v="19"/>
    <s v="PROD1492"/>
    <x v="0"/>
    <x v="747"/>
    <s v="2/17/2023"/>
    <n v="1"/>
    <x v="0"/>
    <d v="2023-12-06T00:00:00"/>
    <s v=" $5.47 "/>
    <n v="5"/>
    <n v="39"/>
    <s v="Home"/>
    <s v="Shirt"/>
    <x v="2"/>
    <x v="0"/>
    <n v="27.35"/>
    <s v="Misaligned"/>
    <x v="3"/>
    <s v="Core Tier"/>
    <x v="0"/>
  </r>
  <r>
    <s v="ORD6293"/>
    <s v="CUST2293"/>
    <n v="59"/>
    <s v="PROD1493"/>
    <x v="1"/>
    <x v="149"/>
    <d v="2022-06-12T00:00:00"/>
    <n v="2"/>
    <x v="1"/>
    <d v="2021-07-07T00:00:00"/>
    <s v=" $90.05 "/>
    <n v="9"/>
    <n v="26"/>
    <s v="Sports"/>
    <s v="Microwave"/>
    <x v="1"/>
    <x v="0"/>
    <n v="810.45"/>
    <s v="Misaligned"/>
    <x v="1"/>
    <s v="High Value Tier"/>
    <x v="0"/>
  </r>
  <r>
    <s v="ORD6294"/>
    <s v="CUST2294"/>
    <n v="19"/>
    <s v="PROD1494"/>
    <x v="5"/>
    <x v="183"/>
    <d v="2025-06-01T00:00:00"/>
    <n v="2"/>
    <x v="0"/>
    <d v="2025-02-06T00:00:00"/>
    <s v=" $96.80 "/>
    <n v="6"/>
    <n v="32"/>
    <s v="Clothing"/>
    <s v="Jeans"/>
    <x v="2"/>
    <x v="0"/>
    <n v="580.79999999999995"/>
    <s v="Aligned"/>
    <x v="3"/>
    <s v="High Value Tier"/>
    <x v="0"/>
  </r>
  <r>
    <s v="ORD6295"/>
    <s v="CUST2295"/>
    <n v="31"/>
    <s v="PROD1495"/>
    <x v="2"/>
    <x v="173"/>
    <s v="5/20/2024"/>
    <n v="4"/>
    <x v="0"/>
    <s v="12/30/2022"/>
    <s v=" $242.91 "/>
    <n v="6"/>
    <n v="40"/>
    <s v="Beauty"/>
    <s v="Sneakers"/>
    <x v="2"/>
    <x v="1"/>
    <n v="1457.46"/>
    <s v="Misaligned"/>
    <x v="2"/>
    <s v="High Value Tier"/>
    <x v="3"/>
  </r>
  <r>
    <s v="ORD6296"/>
    <s v="CUST2296"/>
    <n v="66"/>
    <s v="PROD1496"/>
    <x v="3"/>
    <x v="693"/>
    <s v="5/26/2024"/>
    <n v="3"/>
    <x v="0"/>
    <s v="7/25/2022"/>
    <s v=" $346.43 "/>
    <n v="4"/>
    <n v="10"/>
    <s v="Sports"/>
    <s v="Smartwatch"/>
    <x v="4"/>
    <x v="1"/>
    <n v="1385.72"/>
    <s v="Misaligned"/>
    <x v="4"/>
    <s v="High Value Tier"/>
    <x v="0"/>
  </r>
  <r>
    <s v="ORD6297"/>
    <s v="CUST2297"/>
    <n v="63"/>
    <s v="PROD1497"/>
    <x v="4"/>
    <x v="50"/>
    <d v="2025-05-03T00:00:00"/>
    <n v="1"/>
    <x v="0"/>
    <s v="9/13/2024"/>
    <s v=" $272.76 "/>
    <n v="5"/>
    <n v="30"/>
    <s v="Home"/>
    <s v="Dress"/>
    <x v="2"/>
    <x v="0"/>
    <n v="1363.8"/>
    <s v="Misaligned"/>
    <x v="1"/>
    <s v="High Value Tier"/>
    <x v="0"/>
  </r>
  <r>
    <s v="ORD6298"/>
    <s v="CUST2298"/>
    <n v="56"/>
    <s v="PROD1498"/>
    <x v="0"/>
    <x v="70"/>
    <s v="3/17/2024"/>
    <n v="0"/>
    <x v="2"/>
    <s v="1/21/2025"/>
    <s v=" $125.70 "/>
    <n v="2"/>
    <n v="16"/>
    <s v="Electronics"/>
    <s v="Yoga Mat"/>
    <x v="0"/>
    <x v="0"/>
    <n v="251.4"/>
    <s v="Misaligned"/>
    <x v="1"/>
    <s v="High Value Tier"/>
    <x v="1"/>
  </r>
  <r>
    <s v="ORD6299"/>
    <s v="CUST2299"/>
    <n v="33"/>
    <s v="PROD1499"/>
    <x v="1"/>
    <x v="176"/>
    <s v="1/14/2023"/>
    <n v="2"/>
    <x v="0"/>
    <d v="2024-06-04T00:00:00"/>
    <s v=" $71.60 "/>
    <n v="8"/>
    <n v="13"/>
    <s v="Electronics"/>
    <s v="Foundation"/>
    <x v="3"/>
    <x v="0"/>
    <n v="572.79999999999995"/>
    <s v="Misaligned"/>
    <x v="2"/>
    <s v="High Value Tier"/>
    <x v="0"/>
  </r>
  <r>
    <s v="ORD6300"/>
    <s v="CUST2300"/>
    <n v="22"/>
    <s v="PROD1500"/>
    <x v="2"/>
    <x v="748"/>
    <d v="2023-04-06T00:00:00"/>
    <n v="1"/>
    <x v="1"/>
    <d v="2024-01-08T00:00:00"/>
    <s v=" $182.98 "/>
    <n v="4"/>
    <n v="36"/>
    <s v="Home"/>
    <s v="Running Shoes"/>
    <x v="0"/>
    <x v="0"/>
    <n v="731.92"/>
    <s v="Misaligned"/>
    <x v="3"/>
    <s v="High Value Tier"/>
    <x v="0"/>
  </r>
  <r>
    <s v="ORD6301"/>
    <s v="CUST2301"/>
    <n v="44"/>
    <s v="PROD1501"/>
    <x v="1"/>
    <x v="218"/>
    <s v="12/17/2023"/>
    <n v="2"/>
    <x v="1"/>
    <d v="2024-12-02T00:00:00"/>
    <s v=" $45.81 "/>
    <n v="1"/>
    <n v="18"/>
    <s v="Electronics"/>
    <s v="Face Wash"/>
    <x v="3"/>
    <x v="1"/>
    <n v="45.81"/>
    <s v="Misaligned"/>
    <x v="0"/>
    <s v="Core Tier"/>
    <x v="0"/>
  </r>
  <r>
    <s v="ORD6302"/>
    <s v="CUST2302"/>
    <n v="49"/>
    <s v="PROD1502"/>
    <x v="3"/>
    <x v="682"/>
    <s v="11/19/2022"/>
    <n v="3"/>
    <x v="0"/>
    <d v="2024-03-07T00:00:00"/>
    <s v=" $221.45 "/>
    <n v="6"/>
    <n v="29"/>
    <s v="Home"/>
    <s v="Bluetooth Speaker"/>
    <x v="4"/>
    <x v="1"/>
    <n v="1328.7"/>
    <s v="Misaligned"/>
    <x v="0"/>
    <s v="High Value Tier"/>
    <x v="0"/>
  </r>
  <r>
    <s v="ORD6303"/>
    <s v="CUST2303"/>
    <n v="24"/>
    <s v="PROD1503"/>
    <x v="0"/>
    <x v="749"/>
    <s v="1/13/2024"/>
    <n v="1"/>
    <x v="1"/>
    <s v="3/24/2022"/>
    <s v=" $185.94 "/>
    <n v="8"/>
    <n v="4"/>
    <s v="Home"/>
    <s v="Lipstick"/>
    <x v="3"/>
    <x v="0"/>
    <n v="1487.52"/>
    <s v="Misaligned"/>
    <x v="3"/>
    <s v="High Value Tier"/>
    <x v="0"/>
  </r>
  <r>
    <s v="ORD6304"/>
    <s v="CUST2304"/>
    <n v="57"/>
    <s v="PROD1504"/>
    <x v="1"/>
    <x v="750"/>
    <s v="2/22/2022"/>
    <n v="4"/>
    <x v="0"/>
    <d v="2021-02-11T00:00:00"/>
    <s v=" $842.30 "/>
    <n v="2"/>
    <n v="11"/>
    <s v="Home"/>
    <s v="Jacket"/>
    <x v="2"/>
    <x v="0"/>
    <n v="1684.6"/>
    <s v="Misaligned"/>
    <x v="1"/>
    <s v="High Value Tier"/>
    <x v="3"/>
  </r>
  <r>
    <s v="ORD6305"/>
    <s v="CUST2305"/>
    <n v="19"/>
    <s v="PROD1505"/>
    <x v="0"/>
    <x v="572"/>
    <d v="2022-08-05T00:00:00"/>
    <n v="5"/>
    <x v="0"/>
    <s v="3/16/2023"/>
    <s v=" $1,871.19 "/>
    <n v="1"/>
    <n v="13"/>
    <s v="Electronics"/>
    <s v="Skirt"/>
    <x v="2"/>
    <x v="1"/>
    <n v="1871.19"/>
    <s v="Misaligned"/>
    <x v="3"/>
    <s v="High Value Tier"/>
    <x v="3"/>
  </r>
  <r>
    <s v="ORD6306"/>
    <s v="CUST2306"/>
    <n v="37"/>
    <s v="PROD1506"/>
    <x v="1"/>
    <x v="164"/>
    <s v="12/18/2024"/>
    <n v="5"/>
    <x v="0"/>
    <s v="9/19/2023"/>
    <s v=" $618.69 "/>
    <n v="2"/>
    <n v="2"/>
    <s v="Clothing"/>
    <s v="Camera"/>
    <x v="4"/>
    <x v="1"/>
    <n v="1237.3800000000001"/>
    <s v="Misaligned"/>
    <x v="0"/>
    <s v="Core Tier"/>
    <x v="3"/>
  </r>
  <r>
    <s v="ORD6307"/>
    <s v="CUST2307"/>
    <n v="58"/>
    <s v="PROD1507"/>
    <x v="0"/>
    <x v="0"/>
    <s v="11/28/2021"/>
    <n v="4"/>
    <x v="1"/>
    <d v="2021-08-04T00:00:00"/>
    <s v=" $165.97 "/>
    <n v="7"/>
    <n v="22"/>
    <s v="Home"/>
    <s v="Cricket Bat"/>
    <x v="0"/>
    <x v="0"/>
    <n v="1161.79"/>
    <s v="Misaligned"/>
    <x v="1"/>
    <s v="High Value Tier"/>
    <x v="0"/>
  </r>
  <r>
    <s v="ORD6308"/>
    <s v="CUST2308"/>
    <n v="27"/>
    <s v="PROD1508"/>
    <x v="1"/>
    <x v="122"/>
    <s v="11/20/2023"/>
    <n v="1"/>
    <x v="1"/>
    <s v="3/15/2024"/>
    <s v=" $241.95 "/>
    <n v="7"/>
    <n v="20"/>
    <s v="Clothing"/>
    <s v="Smartphone"/>
    <x v="4"/>
    <x v="0"/>
    <n v="1693.65"/>
    <s v="Misaligned"/>
    <x v="2"/>
    <s v="High Value Tier"/>
    <x v="0"/>
  </r>
  <r>
    <s v="ORD6309"/>
    <s v="CUST2309"/>
    <n v="67"/>
    <s v="PROD1509"/>
    <x v="5"/>
    <x v="751"/>
    <d v="2024-09-07T00:00:00"/>
    <n v="3"/>
    <x v="0"/>
    <s v="8/25/2023"/>
    <s v=" $207.24 "/>
    <n v="8"/>
    <n v="6"/>
    <s v="Sports"/>
    <s v="Basketball"/>
    <x v="0"/>
    <x v="1"/>
    <n v="1657.92"/>
    <s v="Aligned"/>
    <x v="4"/>
    <s v="High Value Tier"/>
    <x v="0"/>
  </r>
  <r>
    <s v="ORD6310"/>
    <s v="CUST2310"/>
    <n v="27"/>
    <s v="PROD1510"/>
    <x v="0"/>
    <x v="752"/>
    <d v="2024-07-03T00:00:00"/>
    <n v="3"/>
    <x v="0"/>
    <s v="12/20/2023"/>
    <s v=" $428.21 "/>
    <n v="3"/>
    <n v="47"/>
    <s v="Home"/>
    <s v="Gaming Console"/>
    <x v="4"/>
    <x v="1"/>
    <n v="1284.6300000000001"/>
    <s v="Misaligned"/>
    <x v="2"/>
    <s v="High Value Tier"/>
    <x v="0"/>
  </r>
  <r>
    <s v="ORD6311"/>
    <s v="CUST2311"/>
    <n v="27"/>
    <s v="PROD1511"/>
    <x v="1"/>
    <x v="753"/>
    <d v="2024-10-08T00:00:00"/>
    <n v="5"/>
    <x v="2"/>
    <d v="2022-01-03T00:00:00"/>
    <s v=" $224.13 "/>
    <n v="7"/>
    <n v="34"/>
    <s v="Beauty"/>
    <s v="Refrigerator"/>
    <x v="1"/>
    <x v="1"/>
    <n v="1568.91"/>
    <s v="Misaligned"/>
    <x v="2"/>
    <s v="High Value Tier"/>
    <x v="1"/>
  </r>
  <r>
    <s v="ORD6312"/>
    <s v="CUST2312"/>
    <n v="61"/>
    <s v="PROD1512"/>
    <x v="2"/>
    <x v="487"/>
    <s v="4/16/2025"/>
    <n v="5"/>
    <x v="0"/>
    <s v="3/17/2025"/>
    <s v=" $77.19 "/>
    <n v="8"/>
    <n v="19"/>
    <s v="Sports"/>
    <s v="Moisturizer"/>
    <x v="3"/>
    <x v="0"/>
    <n v="617.52"/>
    <s v="Misaligned"/>
    <x v="1"/>
    <s v="High Value Tier"/>
    <x v="3"/>
  </r>
  <r>
    <s v="ORD6313"/>
    <s v="CUST2313"/>
    <n v="19"/>
    <s v="PROD1513"/>
    <x v="1"/>
    <x v="70"/>
    <d v="2024-05-09T00:00:00"/>
    <n v="3"/>
    <x v="1"/>
    <s v="3/13/2024"/>
    <s v=" $64.16 "/>
    <n v="2"/>
    <n v="25"/>
    <s v="Clothing"/>
    <s v="Tennis Racket"/>
    <x v="0"/>
    <x v="0"/>
    <n v="128.32"/>
    <s v="Misaligned"/>
    <x v="3"/>
    <s v="High Value Tier"/>
    <x v="0"/>
  </r>
  <r>
    <s v="ORD6314"/>
    <s v="CUST2314"/>
    <n v="25"/>
    <s v="PROD1514"/>
    <x v="2"/>
    <x v="754"/>
    <d v="2025-12-07T00:00:00"/>
    <n v="4"/>
    <x v="1"/>
    <s v="5/16/2024"/>
    <s v=" $618.94 "/>
    <n v="3"/>
    <n v="18"/>
    <s v="Home"/>
    <s v="Dining Table"/>
    <x v="1"/>
    <x v="1"/>
    <n v="1856.82"/>
    <s v="Aligned"/>
    <x v="2"/>
    <s v="High Value Tier"/>
    <x v="0"/>
  </r>
  <r>
    <s v="ORD6315"/>
    <s v="CUST2315"/>
    <n v="29"/>
    <s v="PROD1515"/>
    <x v="1"/>
    <x v="755"/>
    <s v="8/18/2025"/>
    <n v="1"/>
    <x v="1"/>
    <s v="10/26/2023"/>
    <s v=" $86.78 "/>
    <n v="5"/>
    <n v="6"/>
    <s v="Home"/>
    <s v="Dumbbells"/>
    <x v="0"/>
    <x v="1"/>
    <n v="433.9"/>
    <s v="Misaligned"/>
    <x v="2"/>
    <s v="High Value Tier"/>
    <x v="0"/>
  </r>
  <r>
    <s v="ORD6316"/>
    <s v="CUST2316"/>
    <n v="52"/>
    <s v="PROD1516"/>
    <x v="3"/>
    <x v="756"/>
    <s v="7/18/2022"/>
    <n v="3"/>
    <x v="0"/>
    <d v="2024-09-05T00:00:00"/>
    <s v=" $266.00 "/>
    <n v="6"/>
    <n v="8"/>
    <s v="Beauty"/>
    <s v="Sofa"/>
    <x v="1"/>
    <x v="1"/>
    <n v="1596"/>
    <s v="Misaligned"/>
    <x v="1"/>
    <s v="High Value Tier"/>
    <x v="0"/>
  </r>
  <r>
    <s v="ORD6317"/>
    <s v="CUST2317"/>
    <n v="64"/>
    <s v="PROD1517"/>
    <x v="4"/>
    <x v="82"/>
    <d v="2022-02-03T00:00:00"/>
    <n v="0"/>
    <x v="2"/>
    <s v="1/26/2024"/>
    <s v=" $195.92 "/>
    <n v="6"/>
    <n v="29"/>
    <s v="Clothing"/>
    <s v="Laptop"/>
    <x v="4"/>
    <x v="0"/>
    <n v="1175.52"/>
    <s v="Misaligned"/>
    <x v="1"/>
    <s v="High Value Tier"/>
    <x v="1"/>
  </r>
  <r>
    <s v="ORD6318"/>
    <s v="CUST2318"/>
    <n v="50"/>
    <s v="PROD1518"/>
    <x v="1"/>
    <x v="197"/>
    <s v="6/21/2023"/>
    <n v="2"/>
    <x v="1"/>
    <s v="10/15/2023"/>
    <s v=" $136.75 "/>
    <n v="9"/>
    <n v="25"/>
    <s v="Clothing"/>
    <s v="Shirt"/>
    <x v="2"/>
    <x v="0"/>
    <n v="1230.75"/>
    <s v="Aligned"/>
    <x v="1"/>
    <s v="High Value Tier"/>
    <x v="0"/>
  </r>
  <r>
    <s v="ORD6319"/>
    <s v="CUST2319"/>
    <n v="26"/>
    <s v="PROD1519"/>
    <x v="5"/>
    <x v="72"/>
    <s v="8/28/2022"/>
    <n v="4"/>
    <x v="0"/>
    <s v="5/20/2025"/>
    <s v=" $7.43 "/>
    <n v="3"/>
    <n v="23"/>
    <s v="Home"/>
    <s v="Smartwatch"/>
    <x v="4"/>
    <x v="2"/>
    <n v="22.29"/>
    <s v="Misaligned"/>
    <x v="2"/>
    <s v="Value Tier"/>
    <x v="3"/>
  </r>
  <r>
    <s v="ORD6320"/>
    <s v="CUST2320"/>
    <n v="53"/>
    <s v="PROD1520"/>
    <x v="4"/>
    <x v="757"/>
    <s v="3/15/2025"/>
    <n v="0"/>
    <x v="0"/>
    <s v="1/19/2025"/>
    <s v=" $691.59 "/>
    <n v="2"/>
    <n v="43"/>
    <s v="Beauty"/>
    <s v="Microwave"/>
    <x v="1"/>
    <x v="1"/>
    <n v="1383.18"/>
    <s v="Misaligned"/>
    <x v="1"/>
    <s v="High Value Tier"/>
    <x v="0"/>
  </r>
  <r>
    <s v="ORD6321"/>
    <s v="CUST2321"/>
    <n v="20"/>
    <s v="PROD1521"/>
    <x v="2"/>
    <x v="222"/>
    <s v="3/29/2022"/>
    <n v="0"/>
    <x v="0"/>
    <d v="2022-02-10T00:00:00"/>
    <s v=" $500.26 "/>
    <n v="2"/>
    <n v="12"/>
    <s v="Home"/>
    <s v="Sofa"/>
    <x v="1"/>
    <x v="1"/>
    <n v="1000.52"/>
    <s v="Aligned"/>
    <x v="3"/>
    <s v="High Value Tier"/>
    <x v="0"/>
  </r>
  <r>
    <s v="ORD6322"/>
    <s v="CUST2322"/>
    <n v="23"/>
    <s v="PROD1522"/>
    <x v="0"/>
    <x v="758"/>
    <d v="2023-05-05T00:00:00"/>
    <n v="4"/>
    <x v="1"/>
    <s v="10/13/2024"/>
    <s v=" $221.95 "/>
    <n v="8"/>
    <n v="7"/>
    <s v="Sports"/>
    <s v="Sofa"/>
    <x v="1"/>
    <x v="1"/>
    <n v="1775.6"/>
    <s v="Misaligned"/>
    <x v="3"/>
    <s v="High Value Tier"/>
    <x v="0"/>
  </r>
  <r>
    <s v="ORD6323"/>
    <s v="CUST2323"/>
    <n v="31"/>
    <s v="PROD1523"/>
    <x v="3"/>
    <x v="759"/>
    <s v="8/15/2024"/>
    <n v="2"/>
    <x v="0"/>
    <s v="11/25/2023"/>
    <s v=" $381.19 "/>
    <n v="3"/>
    <n v="20"/>
    <s v="Beauty"/>
    <s v="Running Shoes"/>
    <x v="0"/>
    <x v="1"/>
    <n v="1143.57"/>
    <s v="Misaligned"/>
    <x v="2"/>
    <s v="High Value Tier"/>
    <x v="0"/>
  </r>
  <r>
    <s v="ORD6324"/>
    <s v="CUST2324"/>
    <n v="26"/>
    <s v="PROD1524"/>
    <x v="4"/>
    <x v="760"/>
    <s v="8/20/2023"/>
    <n v="5"/>
    <x v="0"/>
    <d v="2024-04-06T00:00:00"/>
    <s v=" $255.16 "/>
    <n v="1"/>
    <n v="15"/>
    <s v="Clothing"/>
    <s v="Smartwatch"/>
    <x v="4"/>
    <x v="1"/>
    <n v="255.16"/>
    <s v="Misaligned"/>
    <x v="2"/>
    <s v="High Value Tier"/>
    <x v="3"/>
  </r>
  <r>
    <s v="ORD6325"/>
    <s v="CUST2325"/>
    <n v="21"/>
    <s v="PROD1525"/>
    <x v="5"/>
    <x v="403"/>
    <s v="12/20/2021"/>
    <n v="5"/>
    <x v="1"/>
    <s v="10/18/2023"/>
    <s v=" $197.79 "/>
    <n v="7"/>
    <n v="48"/>
    <s v="Clothing"/>
    <s v="Lipstick"/>
    <x v="3"/>
    <x v="1"/>
    <n v="1384.53"/>
    <s v="Misaligned"/>
    <x v="3"/>
    <s v="High Value Tier"/>
    <x v="0"/>
  </r>
  <r>
    <s v="ORD6326"/>
    <s v="CUST2326"/>
    <n v="49"/>
    <s v="PROD1526"/>
    <x v="4"/>
    <x v="761"/>
    <d v="2024-10-04T00:00:00"/>
    <n v="0"/>
    <x v="2"/>
    <s v="1/29/2023"/>
    <s v=" $147.52 "/>
    <n v="7"/>
    <n v="10"/>
    <s v="Beauty"/>
    <s v="Face Wash"/>
    <x v="3"/>
    <x v="0"/>
    <n v="1032.6400000000001"/>
    <s v="Aligned"/>
    <x v="0"/>
    <s v="High Value Tier"/>
    <x v="1"/>
  </r>
  <r>
    <s v="ORD6327"/>
    <s v="CUST2327"/>
    <n v="58"/>
    <s v="PROD1527"/>
    <x v="2"/>
    <x v="762"/>
    <s v="5/16/2023"/>
    <n v="3"/>
    <x v="0"/>
    <s v="7/24/2022"/>
    <s v=" $65.92 "/>
    <n v="4"/>
    <n v="29"/>
    <s v="Clothing"/>
    <s v="Perfume"/>
    <x v="3"/>
    <x v="0"/>
    <n v="263.68"/>
    <s v="Misaligned"/>
    <x v="1"/>
    <s v="High Value Tier"/>
    <x v="0"/>
  </r>
  <r>
    <s v="ORD6328"/>
    <s v="CUST2328"/>
    <n v="18"/>
    <s v="PROD1528"/>
    <x v="1"/>
    <x v="763"/>
    <d v="2025-04-06T00:00:00"/>
    <n v="5"/>
    <x v="0"/>
    <s v="11/28/2023"/>
    <s v=" $949.40 "/>
    <n v="2"/>
    <n v="13"/>
    <s v="Home"/>
    <s v="Refrigerator"/>
    <x v="1"/>
    <x v="0"/>
    <n v="1898.8"/>
    <s v="Aligned"/>
    <x v="3"/>
    <s v="High Value Tier"/>
    <x v="3"/>
  </r>
  <r>
    <s v="ORD6329"/>
    <s v="CUST2329"/>
    <n v="30"/>
    <s v="PROD1529"/>
    <x v="1"/>
    <x v="764"/>
    <d v="2023-02-05T00:00:00"/>
    <n v="4"/>
    <x v="0"/>
    <s v="9/24/2023"/>
    <s v=" $1,629.13 "/>
    <n v="1"/>
    <n v="35"/>
    <s v="Clothing"/>
    <s v="Camera"/>
    <x v="4"/>
    <x v="0"/>
    <n v="1629.13"/>
    <s v="Misaligned"/>
    <x v="2"/>
    <s v="High Value Tier"/>
    <x v="3"/>
  </r>
  <r>
    <s v="ORD6330"/>
    <s v="CUST2330"/>
    <n v="23"/>
    <s v="PROD1530"/>
    <x v="2"/>
    <x v="765"/>
    <d v="2025-10-02T00:00:00"/>
    <n v="4"/>
    <x v="0"/>
    <d v="2024-11-05T00:00:00"/>
    <s v=" $110.64 "/>
    <n v="5"/>
    <n v="44"/>
    <s v="Home"/>
    <s v="Shirt"/>
    <x v="2"/>
    <x v="1"/>
    <n v="553.20000000000005"/>
    <s v="Misaligned"/>
    <x v="3"/>
    <s v="High Value Tier"/>
    <x v="3"/>
  </r>
  <r>
    <s v="ORD6331"/>
    <s v="CUST2331"/>
    <n v="52"/>
    <s v="PROD1531"/>
    <x v="0"/>
    <x v="687"/>
    <s v="5/25/2025"/>
    <n v="2"/>
    <x v="2"/>
    <d v="2024-07-07T00:00:00"/>
    <s v=" $119.46 "/>
    <n v="7"/>
    <n v="30"/>
    <s v="Beauty"/>
    <s v="Running Shoes"/>
    <x v="0"/>
    <x v="1"/>
    <n v="836.22"/>
    <s v="Misaligned"/>
    <x v="1"/>
    <s v="High Value Tier"/>
    <x v="1"/>
  </r>
  <r>
    <s v="ORD6332"/>
    <s v="CUST2332"/>
    <n v="49"/>
    <s v="PROD1532"/>
    <x v="2"/>
    <x v="365"/>
    <s v="1/23/2022"/>
    <n v="4"/>
    <x v="1"/>
    <s v="2/18/2025"/>
    <s v=" $258.65 "/>
    <n v="2"/>
    <n v="36"/>
    <s v="Clothing"/>
    <s v="Vacuum Cleaner"/>
    <x v="1"/>
    <x v="0"/>
    <n v="517.29999999999995"/>
    <s v="Misaligned"/>
    <x v="0"/>
    <s v="High Value Tier"/>
    <x v="0"/>
  </r>
  <r>
    <s v="ORD6333"/>
    <s v="CUST2333"/>
    <n v="55"/>
    <s v="PROD1533"/>
    <x v="5"/>
    <x v="275"/>
    <d v="2022-12-12T00:00:00"/>
    <n v="1"/>
    <x v="0"/>
    <s v="6/20/2021"/>
    <s v=" $690.54 "/>
    <n v="2"/>
    <n v="34"/>
    <s v="Sports"/>
    <s v="Jeans"/>
    <x v="2"/>
    <x v="1"/>
    <n v="1381.08"/>
    <s v="Misaligned"/>
    <x v="1"/>
    <s v="High Value Tier"/>
    <x v="0"/>
  </r>
  <r>
    <s v="ORD6334"/>
    <s v="CUST2334"/>
    <n v="36"/>
    <s v="PROD1534"/>
    <x v="3"/>
    <x v="414"/>
    <d v="2024-09-09T00:00:00"/>
    <n v="3"/>
    <x v="0"/>
    <s v="1/25/2024"/>
    <s v=" $68.17 "/>
    <n v="8"/>
    <n v="43"/>
    <s v="Clothing"/>
    <s v="Sneakers"/>
    <x v="2"/>
    <x v="2"/>
    <n v="545.36"/>
    <s v="Aligned"/>
    <x v="0"/>
    <s v="High Value Tier"/>
    <x v="0"/>
  </r>
  <r>
    <s v="ORD6335"/>
    <s v="CUST2335"/>
    <n v="65"/>
    <s v="PROD1535"/>
    <x v="1"/>
    <x v="406"/>
    <d v="2023-05-06T00:00:00"/>
    <n v="4"/>
    <x v="0"/>
    <d v="2025-08-01T00:00:00"/>
    <s v=" $172.68 "/>
    <n v="2"/>
    <n v="2"/>
    <s v="Home"/>
    <s v="Yoga Mat"/>
    <x v="0"/>
    <x v="1"/>
    <n v="345.36"/>
    <s v="Misaligned"/>
    <x v="4"/>
    <s v="Value Tier"/>
    <x v="3"/>
  </r>
  <r>
    <s v="ORD6336"/>
    <s v="CUST2336"/>
    <n v="54"/>
    <s v="PROD1536"/>
    <x v="2"/>
    <x v="700"/>
    <d v="2024-09-03T00:00:00"/>
    <n v="3"/>
    <x v="1"/>
    <d v="2023-03-03T00:00:00"/>
    <s v=" $330.61 "/>
    <n v="6"/>
    <n v="6"/>
    <s v="Electronics"/>
    <s v="Sofa"/>
    <x v="1"/>
    <x v="0"/>
    <n v="1983.66"/>
    <s v="Misaligned"/>
    <x v="1"/>
    <s v="High Value Tier"/>
    <x v="0"/>
  </r>
  <r>
    <s v="ORD6337"/>
    <s v="CUST2337"/>
    <n v="57"/>
    <s v="PROD1537"/>
    <x v="2"/>
    <x v="594"/>
    <s v="7/16/2025"/>
    <n v="2"/>
    <x v="1"/>
    <s v="9/27/2022"/>
    <s v=" $71.44 "/>
    <n v="9"/>
    <n v="21"/>
    <s v="Beauty"/>
    <s v="Sofa"/>
    <x v="1"/>
    <x v="0"/>
    <n v="642.96"/>
    <s v="Misaligned"/>
    <x v="1"/>
    <s v="High Value Tier"/>
    <x v="0"/>
  </r>
  <r>
    <s v="ORD6338"/>
    <s v="CUST2338"/>
    <n v="19"/>
    <s v="PROD1538"/>
    <x v="5"/>
    <x v="444"/>
    <d v="2023-02-05T00:00:00"/>
    <n v="2"/>
    <x v="2"/>
    <s v="9/30/2023"/>
    <s v=" $253.84 "/>
    <n v="7"/>
    <n v="14"/>
    <s v="Electronics"/>
    <s v="Hoodie"/>
    <x v="2"/>
    <x v="1"/>
    <n v="1776.88"/>
    <s v="Misaligned"/>
    <x v="3"/>
    <s v="High Value Tier"/>
    <x v="1"/>
  </r>
  <r>
    <s v="ORD6339"/>
    <s v="CUST2339"/>
    <n v="56"/>
    <s v="PROD1539"/>
    <x v="3"/>
    <x v="766"/>
    <s v="5/22/2025"/>
    <n v="5"/>
    <x v="0"/>
    <d v="2024-02-05T00:00:00"/>
    <s v=" $309.98 "/>
    <n v="6"/>
    <n v="46"/>
    <s v="Beauty"/>
    <s v="Tennis Racket"/>
    <x v="0"/>
    <x v="1"/>
    <n v="1859.88"/>
    <s v="Misaligned"/>
    <x v="1"/>
    <s v="High Value Tier"/>
    <x v="3"/>
  </r>
  <r>
    <s v="ORD6340"/>
    <s v="CUST2340"/>
    <n v="39"/>
    <s v="PROD1540"/>
    <x v="0"/>
    <x v="476"/>
    <d v="2022-07-02T00:00:00"/>
    <n v="3"/>
    <x v="1"/>
    <s v="2/16/2025"/>
    <s v=" $879.80 "/>
    <n v="2"/>
    <n v="6"/>
    <s v="Home"/>
    <s v="Refrigerator"/>
    <x v="1"/>
    <x v="0"/>
    <n v="1759.6"/>
    <s v="Aligned"/>
    <x v="0"/>
    <s v="High Value Tier"/>
    <x v="0"/>
  </r>
  <r>
    <s v="ORD6341"/>
    <s v="CUST2341"/>
    <n v="49"/>
    <s v="PROD1541"/>
    <x v="2"/>
    <x v="382"/>
    <d v="2023-11-04T00:00:00"/>
    <n v="2"/>
    <x v="2"/>
    <s v="3/17/2025"/>
    <s v=" $50.77 "/>
    <n v="8"/>
    <n v="38"/>
    <s v="Home"/>
    <s v="Running Shoes"/>
    <x v="0"/>
    <x v="0"/>
    <n v="406.16"/>
    <s v="Misaligned"/>
    <x v="0"/>
    <s v="High Value Tier"/>
    <x v="1"/>
  </r>
  <r>
    <s v="ORD6342"/>
    <s v="CUST2342"/>
    <n v="49"/>
    <s v="PROD1542"/>
    <x v="3"/>
    <x v="767"/>
    <s v="11/26/2022"/>
    <n v="0"/>
    <x v="0"/>
    <s v="1/25/2023"/>
    <s v=" $542.24 "/>
    <n v="3"/>
    <n v="22"/>
    <s v="Beauty"/>
    <s v="Sofa"/>
    <x v="1"/>
    <x v="0"/>
    <n v="1626.72"/>
    <s v="Misaligned"/>
    <x v="0"/>
    <s v="High Value Tier"/>
    <x v="0"/>
  </r>
  <r>
    <s v="ORD6343"/>
    <s v="CUST2343"/>
    <n v="24"/>
    <s v="PROD1543"/>
    <x v="3"/>
    <x v="491"/>
    <s v="2/17/2025"/>
    <n v="4"/>
    <x v="0"/>
    <s v="7/29/2022"/>
    <s v=" $54.93 "/>
    <n v="6"/>
    <n v="17"/>
    <s v="Beauty"/>
    <s v="Conditioner"/>
    <x v="3"/>
    <x v="0"/>
    <n v="329.58"/>
    <s v="Aligned"/>
    <x v="3"/>
    <s v="High Value Tier"/>
    <x v="3"/>
  </r>
  <r>
    <s v="ORD6344"/>
    <s v="CUST2344"/>
    <n v="56"/>
    <s v="PROD1544"/>
    <x v="3"/>
    <x v="425"/>
    <d v="2023-01-03T00:00:00"/>
    <n v="1"/>
    <x v="1"/>
    <d v="2023-09-07T00:00:00"/>
    <s v=" $184.96 "/>
    <n v="5"/>
    <n v="22"/>
    <s v="Home"/>
    <s v="Jeans"/>
    <x v="2"/>
    <x v="1"/>
    <n v="924.8"/>
    <s v="Misaligned"/>
    <x v="1"/>
    <s v="High Value Tier"/>
    <x v="0"/>
  </r>
  <r>
    <s v="ORD6345"/>
    <s v="CUST2345"/>
    <n v="20"/>
    <s v="PROD1545"/>
    <x v="2"/>
    <x v="768"/>
    <d v="2023-12-07T00:00:00"/>
    <n v="1"/>
    <x v="1"/>
    <d v="2022-08-12T00:00:00"/>
    <s v=" $144.70 "/>
    <n v="9"/>
    <n v="6"/>
    <s v="Electronics"/>
    <s v="Shirt"/>
    <x v="2"/>
    <x v="2"/>
    <n v="1302.3"/>
    <s v="Misaligned"/>
    <x v="3"/>
    <s v="High Value Tier"/>
    <x v="0"/>
  </r>
  <r>
    <s v="ORD6346"/>
    <s v="CUST2346"/>
    <n v="21"/>
    <s v="PROD1546"/>
    <x v="3"/>
    <x v="769"/>
    <s v="7/20/2022"/>
    <n v="2"/>
    <x v="0"/>
    <d v="2024-07-09T00:00:00"/>
    <s v=" $622.99 "/>
    <n v="3"/>
    <n v="13"/>
    <s v="Sports"/>
    <s v="Lipstick"/>
    <x v="3"/>
    <x v="0"/>
    <n v="1868.97"/>
    <s v="Misaligned"/>
    <x v="3"/>
    <s v="High Value Tier"/>
    <x v="0"/>
  </r>
  <r>
    <s v="ORD6347"/>
    <s v="CUST2347"/>
    <n v="45"/>
    <s v="PROD1547"/>
    <x v="0"/>
    <x v="770"/>
    <s v="6/30/2024"/>
    <n v="1"/>
    <x v="2"/>
    <s v="7/22/2024"/>
    <s v=" $175.45 "/>
    <n v="7"/>
    <n v="43"/>
    <s v="Clothing"/>
    <s v="Shampoo"/>
    <x v="3"/>
    <x v="1"/>
    <n v="1228.1500000000001"/>
    <s v="Misaligned"/>
    <x v="0"/>
    <s v="High Value Tier"/>
    <x v="1"/>
  </r>
  <r>
    <s v="ORD6348"/>
    <s v="CUST2348"/>
    <n v="47"/>
    <s v="PROD1548"/>
    <x v="3"/>
    <x v="437"/>
    <s v="1/22/2025"/>
    <n v="0"/>
    <x v="1"/>
    <s v="6/27/2022"/>
    <s v=" $212.73 "/>
    <n v="9"/>
    <n v="49"/>
    <s v="Home"/>
    <s v="Running Shoes"/>
    <x v="0"/>
    <x v="0"/>
    <n v="1914.57"/>
    <s v="Misaligned"/>
    <x v="0"/>
    <s v="High Value Tier"/>
    <x v="0"/>
  </r>
  <r>
    <s v="ORD6349"/>
    <s v="CUST2349"/>
    <n v="53"/>
    <s v="PROD1549"/>
    <x v="4"/>
    <x v="187"/>
    <s v="8/22/2021"/>
    <n v="3"/>
    <x v="1"/>
    <s v="2/28/2023"/>
    <s v=" $119.35 "/>
    <n v="9"/>
    <n v="11"/>
    <s v="Electronics"/>
    <s v="Yoga Mat"/>
    <x v="0"/>
    <x v="1"/>
    <n v="1074.1500000000001"/>
    <s v="Misaligned"/>
    <x v="1"/>
    <s v="High Value Tier"/>
    <x v="0"/>
  </r>
  <r>
    <s v="ORD6350"/>
    <s v="CUST2350"/>
    <n v="52"/>
    <s v="PROD1550"/>
    <x v="2"/>
    <x v="627"/>
    <d v="2024-08-03T00:00:00"/>
    <n v="5"/>
    <x v="0"/>
    <d v="2024-05-03T00:00:00"/>
    <s v=" $151.31 "/>
    <n v="6"/>
    <n v="1"/>
    <s v="Electronics"/>
    <s v="Shirt"/>
    <x v="2"/>
    <x v="0"/>
    <n v="907.86"/>
    <s v="Misaligned"/>
    <x v="1"/>
    <s v="Core Tier"/>
    <x v="3"/>
  </r>
  <r>
    <s v="ORD6351"/>
    <s v="CUST2351"/>
    <n v="45"/>
    <s v="PROD1551"/>
    <x v="4"/>
    <x v="469"/>
    <d v="2024-08-05T00:00:00"/>
    <n v="4"/>
    <x v="2"/>
    <s v="8/14/2025"/>
    <s v=" $445.52 "/>
    <n v="3"/>
    <n v="16"/>
    <s v="Electronics"/>
    <s v="Foundation"/>
    <x v="3"/>
    <x v="1"/>
    <n v="1336.56"/>
    <s v="Misaligned"/>
    <x v="0"/>
    <s v="High Value Tier"/>
    <x v="1"/>
  </r>
  <r>
    <s v="ORD6352"/>
    <s v="CUST2352"/>
    <n v="62"/>
    <s v="PROD1552"/>
    <x v="0"/>
    <x v="443"/>
    <d v="2025-06-05T00:00:00"/>
    <n v="0"/>
    <x v="0"/>
    <s v="2/15/2022"/>
    <s v=" $1,700.00 "/>
    <n v="1"/>
    <n v="20"/>
    <s v="Electronics"/>
    <s v="Smartphone"/>
    <x v="4"/>
    <x v="1"/>
    <n v="1700"/>
    <s v="Aligned"/>
    <x v="1"/>
    <s v="High Value Tier"/>
    <x v="0"/>
  </r>
  <r>
    <s v="ORD6353"/>
    <s v="CUST2353"/>
    <n v="45"/>
    <s v="PROD1553"/>
    <x v="3"/>
    <x v="496"/>
    <d v="2023-11-04T00:00:00"/>
    <n v="4"/>
    <x v="1"/>
    <d v="2022-09-09T00:00:00"/>
    <s v=" $22.68 "/>
    <n v="7"/>
    <n v="7"/>
    <s v="Clothing"/>
    <s v="Hoodie"/>
    <x v="2"/>
    <x v="0"/>
    <n v="158.76"/>
    <s v="Aligned"/>
    <x v="0"/>
    <s v="Core Tier"/>
    <x v="0"/>
  </r>
  <r>
    <s v="ORD6354"/>
    <s v="CUST2354"/>
    <n v="20"/>
    <s v="PROD1554"/>
    <x v="2"/>
    <x v="639"/>
    <s v="3/25/2025"/>
    <n v="1"/>
    <x v="2"/>
    <s v="7/17/2024"/>
    <s v=" $20.48 "/>
    <n v="4"/>
    <n v="10"/>
    <s v="Sports"/>
    <s v="Tennis Racket"/>
    <x v="0"/>
    <x v="0"/>
    <n v="81.92"/>
    <s v="Aligned"/>
    <x v="3"/>
    <s v="Core Tier"/>
    <x v="1"/>
  </r>
  <r>
    <s v="ORD6355"/>
    <s v="CUST2355"/>
    <n v="33"/>
    <s v="PROD1555"/>
    <x v="1"/>
    <x v="196"/>
    <d v="2025-02-02T00:00:00"/>
    <n v="0"/>
    <x v="0"/>
    <d v="2024-06-12T00:00:00"/>
    <s v=" $169.20 "/>
    <n v="8"/>
    <n v="24"/>
    <s v="Electronics"/>
    <s v="Hoodie"/>
    <x v="2"/>
    <x v="0"/>
    <n v="1353.6"/>
    <s v="Misaligned"/>
    <x v="2"/>
    <s v="High Value Tier"/>
    <x v="0"/>
  </r>
  <r>
    <s v="ORD6356"/>
    <s v="CUST2356"/>
    <n v="58"/>
    <s v="PROD1556"/>
    <x v="3"/>
    <x v="456"/>
    <d v="2025-09-06T00:00:00"/>
    <n v="0"/>
    <x v="0"/>
    <d v="2025-07-03T00:00:00"/>
    <s v=" $167.54 "/>
    <n v="2"/>
    <n v="12"/>
    <s v="Clothing"/>
    <s v="Moisturizer"/>
    <x v="3"/>
    <x v="0"/>
    <n v="335.08"/>
    <s v="Misaligned"/>
    <x v="1"/>
    <s v="High Value Tier"/>
    <x v="0"/>
  </r>
  <r>
    <s v="ORD6357"/>
    <s v="CUST2357"/>
    <n v="49"/>
    <s v="PROD1557"/>
    <x v="5"/>
    <x v="474"/>
    <s v="9/16/2023"/>
    <n v="3"/>
    <x v="1"/>
    <d v="2023-04-02T00:00:00"/>
    <s v=" $111.39 "/>
    <n v="9"/>
    <n v="29"/>
    <s v="Electronics"/>
    <s v="Camera"/>
    <x v="4"/>
    <x v="0"/>
    <n v="1002.51"/>
    <s v="Aligned"/>
    <x v="0"/>
    <s v="High Value Tier"/>
    <x v="0"/>
  </r>
  <r>
    <s v="ORD6358"/>
    <s v="CUST2358"/>
    <n v="58"/>
    <s v="PROD1558"/>
    <x v="4"/>
    <x v="147"/>
    <s v="8/16/2025"/>
    <n v="4"/>
    <x v="1"/>
    <d v="2023-06-12T00:00:00"/>
    <s v=" $188.90 "/>
    <n v="9"/>
    <n v="47"/>
    <s v="Electronics"/>
    <s v="Moisturizer"/>
    <x v="3"/>
    <x v="0"/>
    <n v="1700.1"/>
    <s v="Misaligned"/>
    <x v="1"/>
    <s v="High Value Tier"/>
    <x v="0"/>
  </r>
  <r>
    <s v="ORD6359"/>
    <s v="CUST2359"/>
    <n v="57"/>
    <s v="PROD1559"/>
    <x v="1"/>
    <x v="55"/>
    <s v="10/25/2024"/>
    <n v="0"/>
    <x v="0"/>
    <d v="2024-02-03T00:00:00"/>
    <s v=" $324.54 "/>
    <n v="3"/>
    <n v="26"/>
    <s v="Clothing"/>
    <s v="Smartwatch"/>
    <x v="4"/>
    <x v="0"/>
    <n v="973.62"/>
    <s v="Misaligned"/>
    <x v="1"/>
    <s v="High Value Tier"/>
    <x v="0"/>
  </r>
  <r>
    <s v="ORD6360"/>
    <s v="CUST2360"/>
    <n v="65"/>
    <s v="PROD1560"/>
    <x v="5"/>
    <x v="771"/>
    <d v="2025-09-02T00:00:00"/>
    <n v="3"/>
    <x v="0"/>
    <s v="4/16/2025"/>
    <s v=" $62.99 "/>
    <n v="9"/>
    <n v="3"/>
    <s v="Home"/>
    <s v="Cycling Helmet"/>
    <x v="0"/>
    <x v="0"/>
    <n v="566.91"/>
    <s v="Misaligned"/>
    <x v="4"/>
    <s v="Core Tier"/>
    <x v="0"/>
  </r>
  <r>
    <s v="ORD6361"/>
    <s v="CUST2361"/>
    <n v="58"/>
    <s v="PROD1561"/>
    <x v="1"/>
    <x v="465"/>
    <s v="7/24/2023"/>
    <n v="2"/>
    <x v="0"/>
    <s v="11/27/2024"/>
    <s v=" $471.05 "/>
    <n v="4"/>
    <n v="49"/>
    <s v="Home"/>
    <s v="Jeans"/>
    <x v="2"/>
    <x v="1"/>
    <n v="1884.2"/>
    <s v="Misaligned"/>
    <x v="1"/>
    <s v="High Value Tier"/>
    <x v="0"/>
  </r>
  <r>
    <s v="ORD6362"/>
    <s v="CUST2362"/>
    <n v="67"/>
    <s v="PROD1562"/>
    <x v="0"/>
    <x v="652"/>
    <s v="7/24/2025"/>
    <n v="1"/>
    <x v="2"/>
    <s v="3/25/2025"/>
    <s v=" $23.01 "/>
    <n v="8"/>
    <n v="3"/>
    <s v="Sports"/>
    <s v="Camera"/>
    <x v="4"/>
    <x v="0"/>
    <n v="184.08"/>
    <s v="Misaligned"/>
    <x v="4"/>
    <s v="Value Tier"/>
    <x v="1"/>
  </r>
  <r>
    <s v="ORD6363"/>
    <s v="CUST2363"/>
    <n v="41"/>
    <s v="PROD1563"/>
    <x v="2"/>
    <x v="772"/>
    <d v="2025-12-04T00:00:00"/>
    <n v="2"/>
    <x v="2"/>
    <s v="11/26/2023"/>
    <s v=" $115.09 "/>
    <n v="6"/>
    <n v="36"/>
    <s v="Electronics"/>
    <s v="Headphones"/>
    <x v="4"/>
    <x v="0"/>
    <n v="690.54"/>
    <s v="Aligned"/>
    <x v="0"/>
    <s v="High Value Tier"/>
    <x v="1"/>
  </r>
  <r>
    <s v="ORD6364"/>
    <s v="CUST2364"/>
    <n v="23"/>
    <s v="PROD1564"/>
    <x v="0"/>
    <x v="704"/>
    <s v="1/15/2022"/>
    <n v="3"/>
    <x v="1"/>
    <d v="2025-06-03T00:00:00"/>
    <s v=" $1,588.58 "/>
    <n v="1"/>
    <n v="40"/>
    <s v="Sports"/>
    <s v="Blender"/>
    <x v="1"/>
    <x v="1"/>
    <n v="1588.58"/>
    <s v="Misaligned"/>
    <x v="3"/>
    <s v="High Value Tier"/>
    <x v="0"/>
  </r>
  <r>
    <s v="ORD6365"/>
    <s v="CUST2365"/>
    <n v="45"/>
    <s v="PROD1565"/>
    <x v="5"/>
    <x v="640"/>
    <s v="5/14/2023"/>
    <n v="3"/>
    <x v="2"/>
    <s v="10/17/2022"/>
    <s v=" $130.33 "/>
    <n v="7"/>
    <n v="48"/>
    <s v="Electronics"/>
    <s v="Moisturizer"/>
    <x v="3"/>
    <x v="0"/>
    <n v="912.31"/>
    <s v="Misaligned"/>
    <x v="0"/>
    <s v="High Value Tier"/>
    <x v="1"/>
  </r>
  <r>
    <s v="ORD6366"/>
    <s v="CUST2366"/>
    <n v="57"/>
    <s v="PROD1566"/>
    <x v="3"/>
    <x v="773"/>
    <s v="9/27/2022"/>
    <n v="4"/>
    <x v="0"/>
    <s v="12/21/2023"/>
    <s v=" $12.04 "/>
    <n v="7"/>
    <n v="9"/>
    <s v="Sports"/>
    <s v="Lamp"/>
    <x v="1"/>
    <x v="0"/>
    <n v="84.28"/>
    <s v="Misaligned"/>
    <x v="1"/>
    <s v="Core Tier"/>
    <x v="3"/>
  </r>
  <r>
    <s v="ORD6367"/>
    <s v="CUST2367"/>
    <n v="41"/>
    <s v="PROD1567"/>
    <x v="0"/>
    <x v="774"/>
    <d v="2025-03-08T00:00:00"/>
    <n v="4"/>
    <x v="0"/>
    <s v="2/25/2022"/>
    <s v=" $246.03 "/>
    <n v="1"/>
    <n v="17"/>
    <s v="Clothing"/>
    <s v="Refrigerator"/>
    <x v="1"/>
    <x v="0"/>
    <n v="246.03"/>
    <s v="Misaligned"/>
    <x v="0"/>
    <s v="High Value Tier"/>
    <x v="3"/>
  </r>
  <r>
    <s v="ORD6368"/>
    <s v="CUST2368"/>
    <n v="54"/>
    <s v="PROD1568"/>
    <x v="4"/>
    <x v="775"/>
    <s v="7/26/2023"/>
    <n v="4"/>
    <x v="1"/>
    <s v="8/28/2021"/>
    <s v=" $908.20 "/>
    <n v="1"/>
    <n v="18"/>
    <s v="Beauty"/>
    <s v="T-Shirt"/>
    <x v="2"/>
    <x v="1"/>
    <n v="908.2"/>
    <s v="Misaligned"/>
    <x v="1"/>
    <s v="High Value Tier"/>
    <x v="0"/>
  </r>
  <r>
    <s v="ORD6369"/>
    <s v="CUST2369"/>
    <n v="57"/>
    <s v="PROD1569"/>
    <x v="3"/>
    <x v="776"/>
    <s v="12/30/2021"/>
    <n v="2"/>
    <x v="1"/>
    <d v="2024-12-04T00:00:00"/>
    <s v=" $150.00 "/>
    <n v="9"/>
    <n v="35"/>
    <s v="Beauty"/>
    <s v="Moisturizer"/>
    <x v="3"/>
    <x v="2"/>
    <n v="1350"/>
    <s v="Aligned"/>
    <x v="1"/>
    <s v="High Value Tier"/>
    <x v="0"/>
  </r>
  <r>
    <s v="ORD6370"/>
    <s v="CUST2370"/>
    <n v="61"/>
    <s v="PROD1570"/>
    <x v="3"/>
    <x v="296"/>
    <d v="2024-04-05T00:00:00"/>
    <n v="3"/>
    <x v="0"/>
    <s v="9/13/2023"/>
    <s v=" $142.08 "/>
    <n v="5"/>
    <n v="22"/>
    <s v="Electronics"/>
    <s v="Shirt"/>
    <x v="2"/>
    <x v="1"/>
    <n v="710.4"/>
    <s v="Misaligned"/>
    <x v="1"/>
    <s v="High Value Tier"/>
    <x v="0"/>
  </r>
  <r>
    <s v="ORD6371"/>
    <s v="CUST2371"/>
    <n v="19"/>
    <s v="PROD1571"/>
    <x v="0"/>
    <x v="777"/>
    <d v="2021-08-06T00:00:00"/>
    <n v="2"/>
    <x v="0"/>
    <d v="2023-10-10T00:00:00"/>
    <s v=" $379.56 "/>
    <n v="5"/>
    <n v="9"/>
    <s v="Electronics"/>
    <s v="Microwave"/>
    <x v="1"/>
    <x v="1"/>
    <n v="1897.8"/>
    <s v="Misaligned"/>
    <x v="3"/>
    <s v="High Value Tier"/>
    <x v="0"/>
  </r>
  <r>
    <s v="ORD6372"/>
    <s v="CUST2372"/>
    <n v="23"/>
    <s v="PROD1572"/>
    <x v="0"/>
    <x v="778"/>
    <d v="2024-11-07T00:00:00"/>
    <n v="2"/>
    <x v="0"/>
    <s v="4/22/2023"/>
    <s v=" $102.98 "/>
    <n v="5"/>
    <n v="37"/>
    <s v="Home"/>
    <s v="Nail Polish"/>
    <x v="3"/>
    <x v="0"/>
    <n v="514.9"/>
    <s v="Misaligned"/>
    <x v="3"/>
    <s v="High Value Tier"/>
    <x v="0"/>
  </r>
  <r>
    <s v="ORD6373"/>
    <s v="CUST2373"/>
    <n v="64"/>
    <s v="PROD1573"/>
    <x v="0"/>
    <x v="450"/>
    <s v="9/15/2024"/>
    <n v="3"/>
    <x v="2"/>
    <d v="2022-06-03T00:00:00"/>
    <s v=" $253.18 "/>
    <n v="7"/>
    <n v="36"/>
    <s v="Clothing"/>
    <s v="Headphones"/>
    <x v="4"/>
    <x v="0"/>
    <n v="1772.26"/>
    <s v="Misaligned"/>
    <x v="1"/>
    <s v="High Value Tier"/>
    <x v="1"/>
  </r>
  <r>
    <s v="ORD6374"/>
    <s v="CUST2374"/>
    <n v="64"/>
    <s v="PROD1574"/>
    <x v="0"/>
    <x v="215"/>
    <s v="6/18/2023"/>
    <n v="3"/>
    <x v="1"/>
    <s v="12/18/2024"/>
    <s v=" $194.77 "/>
    <n v="3"/>
    <n v="39"/>
    <s v="Sports"/>
    <s v="T-Shirt"/>
    <x v="2"/>
    <x v="1"/>
    <n v="584.30999999999995"/>
    <s v="Misaligned"/>
    <x v="1"/>
    <s v="High Value Tier"/>
    <x v="0"/>
  </r>
  <r>
    <s v="ORD6375"/>
    <s v="CUST2375"/>
    <n v="50"/>
    <s v="PROD1575"/>
    <x v="5"/>
    <x v="779"/>
    <s v="1/21/2025"/>
    <n v="4"/>
    <x v="0"/>
    <d v="2024-04-03T00:00:00"/>
    <s v=" $684.85 "/>
    <n v="1"/>
    <n v="13"/>
    <s v="Beauty"/>
    <s v="Yoga Mat"/>
    <x v="0"/>
    <x v="1"/>
    <n v="684.85"/>
    <s v="Misaligned"/>
    <x v="1"/>
    <s v="High Value Tier"/>
    <x v="3"/>
  </r>
  <r>
    <s v="ORD6376"/>
    <s v="CUST2376"/>
    <n v="63"/>
    <s v="PROD1576"/>
    <x v="2"/>
    <x v="87"/>
    <s v="5/19/2025"/>
    <n v="0"/>
    <x v="0"/>
    <s v="9/16/2024"/>
    <s v=" $79.84 "/>
    <n v="5"/>
    <n v="3"/>
    <s v="Sports"/>
    <s v="Sofa"/>
    <x v="1"/>
    <x v="0"/>
    <n v="399.2"/>
    <s v="Misaligned"/>
    <x v="1"/>
    <s v="Core Tier"/>
    <x v="0"/>
  </r>
  <r>
    <s v="ORD6377"/>
    <s v="CUST2377"/>
    <n v="38"/>
    <s v="PROD1577"/>
    <x v="0"/>
    <x v="780"/>
    <s v="7/13/2024"/>
    <n v="4"/>
    <x v="1"/>
    <d v="2021-06-03T00:00:00"/>
    <s v=" $59.01 "/>
    <n v="9"/>
    <n v="47"/>
    <s v="Beauty"/>
    <s v="Dumbbells"/>
    <x v="0"/>
    <x v="0"/>
    <n v="531.09"/>
    <s v="Misaligned"/>
    <x v="0"/>
    <s v="High Value Tier"/>
    <x v="0"/>
  </r>
  <r>
    <s v="ORD6378"/>
    <s v="CUST2378"/>
    <n v="33"/>
    <s v="PROD1578"/>
    <x v="4"/>
    <x v="172"/>
    <d v="2025-07-07T00:00:00"/>
    <n v="4"/>
    <x v="1"/>
    <d v="2024-03-07T00:00:00"/>
    <s v=" $291.00 "/>
    <n v="2"/>
    <n v="47"/>
    <s v="Sports"/>
    <s v="Nail Polish"/>
    <x v="3"/>
    <x v="0"/>
    <n v="582"/>
    <s v="Misaligned"/>
    <x v="2"/>
    <s v="High Value Tier"/>
    <x v="0"/>
  </r>
  <r>
    <s v="ORD6379"/>
    <s v="CUST2379"/>
    <n v="22"/>
    <s v="PROD1579"/>
    <x v="1"/>
    <x v="262"/>
    <s v="8/29/2022"/>
    <n v="1"/>
    <x v="2"/>
    <d v="2021-12-09T00:00:00"/>
    <s v=" $159.40 "/>
    <n v="7"/>
    <n v="37"/>
    <s v="Clothing"/>
    <s v="Cricket Bat"/>
    <x v="0"/>
    <x v="0"/>
    <n v="1115.8"/>
    <s v="Misaligned"/>
    <x v="3"/>
    <s v="High Value Tier"/>
    <x v="1"/>
  </r>
  <r>
    <s v="ORD6380"/>
    <s v="CUST2380"/>
    <n v="67"/>
    <s v="PROD1580"/>
    <x v="1"/>
    <x v="168"/>
    <s v="10/22/2024"/>
    <n v="3"/>
    <x v="1"/>
    <d v="2023-02-02T00:00:00"/>
    <s v=" $755.57 "/>
    <n v="1"/>
    <n v="20"/>
    <s v="Clothing"/>
    <s v="Sneakers"/>
    <x v="2"/>
    <x v="0"/>
    <n v="755.57"/>
    <s v="Aligned"/>
    <x v="4"/>
    <s v="High Value Tier"/>
    <x v="0"/>
  </r>
  <r>
    <s v="ORD6381"/>
    <s v="CUST2381"/>
    <n v="63"/>
    <s v="PROD1581"/>
    <x v="1"/>
    <x v="781"/>
    <s v="10/27/2024"/>
    <n v="1"/>
    <x v="0"/>
    <s v="4/20/2022"/>
    <s v=" $191.24 "/>
    <n v="9"/>
    <n v="5"/>
    <s v="Electronics"/>
    <s v="Foundation"/>
    <x v="3"/>
    <x v="1"/>
    <n v="1721.16"/>
    <s v="Misaligned"/>
    <x v="1"/>
    <s v="High Value Tier"/>
    <x v="0"/>
  </r>
  <r>
    <s v="ORD6382"/>
    <s v="CUST2382"/>
    <n v="64"/>
    <s v="PROD1582"/>
    <x v="1"/>
    <x v="310"/>
    <s v="10/21/2023"/>
    <n v="3"/>
    <x v="2"/>
    <d v="2023-02-10T00:00:00"/>
    <s v=" $161.58 "/>
    <n v="1"/>
    <n v="10"/>
    <s v="Clothing"/>
    <s v="Skirt"/>
    <x v="2"/>
    <x v="2"/>
    <n v="161.58000000000001"/>
    <s v="Aligned"/>
    <x v="1"/>
    <s v="Core Tier"/>
    <x v="1"/>
  </r>
  <r>
    <s v="ORD6383"/>
    <s v="CUST2383"/>
    <n v="67"/>
    <s v="PROD1583"/>
    <x v="4"/>
    <x v="194"/>
    <d v="2025-07-01T00:00:00"/>
    <n v="3"/>
    <x v="2"/>
    <d v="2024-04-03T00:00:00"/>
    <s v=" $15.82 "/>
    <n v="8"/>
    <n v="34"/>
    <s v="Electronics"/>
    <s v="Jeans"/>
    <x v="2"/>
    <x v="0"/>
    <n v="126.56"/>
    <s v="Misaligned"/>
    <x v="4"/>
    <s v="High Value Tier"/>
    <x v="1"/>
  </r>
  <r>
    <s v="ORD6384"/>
    <s v="CUST2384"/>
    <n v="53"/>
    <s v="PROD1584"/>
    <x v="2"/>
    <x v="460"/>
    <d v="2024-01-09T00:00:00"/>
    <n v="3"/>
    <x v="0"/>
    <d v="2025-07-01T00:00:00"/>
    <s v=" $796.22 "/>
    <n v="2"/>
    <n v="2"/>
    <s v="Clothing"/>
    <s v="Microwave"/>
    <x v="1"/>
    <x v="1"/>
    <n v="1592.44"/>
    <s v="Misaligned"/>
    <x v="1"/>
    <s v="High Value Tier"/>
    <x v="0"/>
  </r>
  <r>
    <s v="ORD6385"/>
    <s v="CUST2385"/>
    <n v="44"/>
    <s v="PROD1585"/>
    <x v="2"/>
    <x v="368"/>
    <s v="7/14/2024"/>
    <n v="2"/>
    <x v="1"/>
    <s v="11/16/2023"/>
    <s v=" $205.61 "/>
    <n v="4"/>
    <n v="39"/>
    <s v="Electronics"/>
    <s v="Jeans"/>
    <x v="2"/>
    <x v="1"/>
    <n v="822.44"/>
    <s v="Misaligned"/>
    <x v="0"/>
    <s v="High Value Tier"/>
    <x v="0"/>
  </r>
  <r>
    <s v="ORD6386"/>
    <s v="CUST2386"/>
    <n v="26"/>
    <s v="PROD1586"/>
    <x v="3"/>
    <x v="582"/>
    <d v="2025-05-01T00:00:00"/>
    <n v="2"/>
    <x v="0"/>
    <s v="1/18/2025"/>
    <s v=" $271.70 "/>
    <n v="3"/>
    <n v="18"/>
    <s v="Clothing"/>
    <s v="Microwave"/>
    <x v="1"/>
    <x v="1"/>
    <n v="815.1"/>
    <s v="Misaligned"/>
    <x v="2"/>
    <s v="High Value Tier"/>
    <x v="0"/>
  </r>
  <r>
    <s v="ORD6387"/>
    <s v="CUST2387"/>
    <n v="25"/>
    <s v="PROD1587"/>
    <x v="2"/>
    <x v="625"/>
    <s v="11/25/2023"/>
    <n v="1"/>
    <x v="0"/>
    <d v="2025-10-08T00:00:00"/>
    <s v=" $46.96 "/>
    <n v="6"/>
    <n v="15"/>
    <s v="Clothing"/>
    <s v="Smartphone"/>
    <x v="4"/>
    <x v="0"/>
    <n v="281.76"/>
    <s v="Misaligned"/>
    <x v="2"/>
    <s v="High Value Tier"/>
    <x v="0"/>
  </r>
  <r>
    <s v="ORD6388"/>
    <s v="CUST2388"/>
    <n v="64"/>
    <s v="PROD1588"/>
    <x v="4"/>
    <x v="39"/>
    <s v="9/25/2024"/>
    <n v="2"/>
    <x v="0"/>
    <s v="11/26/2023"/>
    <s v=" $1,221.69 "/>
    <n v="1"/>
    <n v="8"/>
    <s v="Beauty"/>
    <s v="Sofa"/>
    <x v="1"/>
    <x v="0"/>
    <n v="1221.69"/>
    <s v="Misaligned"/>
    <x v="1"/>
    <s v="High Value Tier"/>
    <x v="0"/>
  </r>
  <r>
    <s v="ORD6389"/>
    <s v="CUST2389"/>
    <n v="39"/>
    <s v="PROD1589"/>
    <x v="4"/>
    <x v="247"/>
    <d v="2024-03-01T00:00:00"/>
    <n v="3"/>
    <x v="1"/>
    <s v="2/17/2023"/>
    <s v=" $423.54 "/>
    <n v="3"/>
    <n v="12"/>
    <s v="Beauty"/>
    <s v="Conditioner"/>
    <x v="3"/>
    <x v="1"/>
    <n v="1270.6199999999999"/>
    <s v="Aligned"/>
    <x v="0"/>
    <s v="High Value Tier"/>
    <x v="0"/>
  </r>
  <r>
    <s v="ORD6390"/>
    <s v="CUST2390"/>
    <n v="26"/>
    <s v="PROD1590"/>
    <x v="3"/>
    <x v="644"/>
    <s v="6/30/2024"/>
    <n v="3"/>
    <x v="1"/>
    <s v="4/14/2023"/>
    <s v=" $179.20 "/>
    <n v="9"/>
    <n v="40"/>
    <s v="Home"/>
    <s v="Foundation"/>
    <x v="3"/>
    <x v="0"/>
    <n v="1612.8"/>
    <s v="Misaligned"/>
    <x v="2"/>
    <s v="High Value Tier"/>
    <x v="0"/>
  </r>
  <r>
    <s v="ORD6391"/>
    <s v="CUST2391"/>
    <n v="54"/>
    <s v="PROD1591"/>
    <x v="1"/>
    <x v="469"/>
    <s v="5/25/2021"/>
    <n v="0"/>
    <x v="0"/>
    <s v="7/19/2021"/>
    <s v=" $37.03 "/>
    <n v="4"/>
    <n v="31"/>
    <s v="Home"/>
    <s v="Smartwatch"/>
    <x v="4"/>
    <x v="1"/>
    <n v="148.12"/>
    <s v="Misaligned"/>
    <x v="1"/>
    <s v="High Value Tier"/>
    <x v="0"/>
  </r>
  <r>
    <s v="ORD6392"/>
    <s v="CUST2392"/>
    <n v="63"/>
    <s v="PROD1592"/>
    <x v="3"/>
    <x v="782"/>
    <d v="2021-03-07T00:00:00"/>
    <n v="0"/>
    <x v="0"/>
    <s v="6/27/2024"/>
    <s v=" $118.63 "/>
    <n v="8"/>
    <n v="47"/>
    <s v="Electronics"/>
    <s v="Bluetooth Speaker"/>
    <x v="4"/>
    <x v="1"/>
    <n v="949.04"/>
    <s v="Aligned"/>
    <x v="1"/>
    <s v="High Value Tier"/>
    <x v="0"/>
  </r>
  <r>
    <s v="ORD6393"/>
    <s v="CUST2393"/>
    <n v="33"/>
    <s v="PROD1593"/>
    <x v="5"/>
    <x v="6"/>
    <d v="2024-08-09T00:00:00"/>
    <n v="1"/>
    <x v="2"/>
    <s v="2/26/2025"/>
    <s v=" $259.76 "/>
    <n v="5"/>
    <n v="15"/>
    <s v="Sports"/>
    <s v="Cricket Bat"/>
    <x v="0"/>
    <x v="1"/>
    <n v="1298.8"/>
    <s v="Aligned"/>
    <x v="2"/>
    <s v="High Value Tier"/>
    <x v="1"/>
  </r>
  <r>
    <s v="ORD6394"/>
    <s v="CUST2394"/>
    <n v="51"/>
    <s v="PROD1594"/>
    <x v="5"/>
    <x v="296"/>
    <s v="6/16/2024"/>
    <n v="2"/>
    <x v="2"/>
    <s v="3/29/2023"/>
    <s v=" $169.48 "/>
    <n v="5"/>
    <n v="39"/>
    <s v="Clothing"/>
    <s v="T-Shirt"/>
    <x v="2"/>
    <x v="1"/>
    <n v="847.4"/>
    <s v="Aligned"/>
    <x v="1"/>
    <s v="High Value Tier"/>
    <x v="1"/>
  </r>
  <r>
    <s v="ORD6395"/>
    <s v="CUST2395"/>
    <n v="59"/>
    <s v="PROD1595"/>
    <x v="5"/>
    <x v="663"/>
    <d v="2024-04-02T00:00:00"/>
    <n v="4"/>
    <x v="1"/>
    <d v="2024-01-10T00:00:00"/>
    <s v=" $99.51 "/>
    <n v="9"/>
    <n v="31"/>
    <s v="Home"/>
    <s v="Smartphone"/>
    <x v="4"/>
    <x v="1"/>
    <n v="895.59"/>
    <s v="Misaligned"/>
    <x v="1"/>
    <s v="High Value Tier"/>
    <x v="0"/>
  </r>
  <r>
    <s v="ORD6396"/>
    <s v="CUST2396"/>
    <n v="62"/>
    <s v="PROD1596"/>
    <x v="5"/>
    <x v="86"/>
    <s v="1/18/2025"/>
    <n v="3"/>
    <x v="0"/>
    <d v="2023-05-07T00:00:00"/>
    <s v=" $1,615.80 "/>
    <n v="1"/>
    <n v="9"/>
    <s v="Home"/>
    <s v="Dining Table"/>
    <x v="1"/>
    <x v="0"/>
    <n v="1615.8"/>
    <s v="Aligned"/>
    <x v="1"/>
    <s v="High Value Tier"/>
    <x v="0"/>
  </r>
  <r>
    <s v="ORD6397"/>
    <s v="CUST2397"/>
    <n v="67"/>
    <s v="PROD1597"/>
    <x v="2"/>
    <x v="300"/>
    <s v="2/25/2025"/>
    <n v="2"/>
    <x v="0"/>
    <s v="2/26/2024"/>
    <s v=" $1,785.74 "/>
    <n v="1"/>
    <n v="41"/>
    <s v="Sports"/>
    <s v="Refrigerator"/>
    <x v="1"/>
    <x v="0"/>
    <n v="1785.74"/>
    <s v="Misaligned"/>
    <x v="4"/>
    <s v="High Value Tier"/>
    <x v="0"/>
  </r>
  <r>
    <s v="ORD6398"/>
    <s v="CUST2398"/>
    <n v="69"/>
    <s v="PROD1598"/>
    <x v="0"/>
    <x v="552"/>
    <d v="2022-05-11T00:00:00"/>
    <n v="4"/>
    <x v="0"/>
    <s v="2/22/2023"/>
    <s v=" $83.28 "/>
    <n v="7"/>
    <n v="33"/>
    <s v="Sports"/>
    <s v="Tennis Racket"/>
    <x v="0"/>
    <x v="1"/>
    <n v="582.96"/>
    <s v="Aligned"/>
    <x v="4"/>
    <s v="High Value Tier"/>
    <x v="3"/>
  </r>
  <r>
    <s v="ORD6399"/>
    <s v="CUST2399"/>
    <n v="31"/>
    <s v="PROD1599"/>
    <x v="1"/>
    <x v="783"/>
    <d v="2023-04-05T00:00:00"/>
    <n v="1"/>
    <x v="0"/>
    <s v="12/31/2023"/>
    <s v=" $43.76 "/>
    <n v="9"/>
    <n v="49"/>
    <s v="Sports"/>
    <s v="Lipstick"/>
    <x v="3"/>
    <x v="1"/>
    <n v="393.84"/>
    <s v="Misaligned"/>
    <x v="2"/>
    <s v="High Value Tier"/>
    <x v="0"/>
  </r>
  <r>
    <s v="ORD6400"/>
    <s v="CUST2400"/>
    <n v="18"/>
    <s v="PROD1600"/>
    <x v="0"/>
    <x v="137"/>
    <d v="2024-09-11T00:00:00"/>
    <n v="4"/>
    <x v="0"/>
    <s v="6/29/2023"/>
    <s v=" $415.22 "/>
    <n v="4"/>
    <n v="35"/>
    <s v="Electronics"/>
    <s v="Vacuum Cleaner"/>
    <x v="1"/>
    <x v="1"/>
    <n v="1660.88"/>
    <s v="Misaligned"/>
    <x v="3"/>
    <s v="High Value Tier"/>
    <x v="3"/>
  </r>
  <r>
    <s v="ORD6401"/>
    <s v="CUST2401"/>
    <n v="56"/>
    <s v="PROD1601"/>
    <x v="3"/>
    <x v="784"/>
    <s v="9/15/2024"/>
    <n v="2"/>
    <x v="1"/>
    <d v="2022-01-04T00:00:00"/>
    <s v=" $261.32 "/>
    <n v="6"/>
    <n v="32"/>
    <s v="Electronics"/>
    <s v="Cycling Helmet"/>
    <x v="0"/>
    <x v="1"/>
    <n v="1567.92"/>
    <s v="Misaligned"/>
    <x v="1"/>
    <s v="High Value Tier"/>
    <x v="0"/>
  </r>
  <r>
    <s v="ORD6402"/>
    <s v="CUST2402"/>
    <n v="57"/>
    <s v="PROD1602"/>
    <x v="1"/>
    <x v="447"/>
    <s v="10/28/2023"/>
    <n v="3"/>
    <x v="0"/>
    <d v="2023-01-05T00:00:00"/>
    <s v=" $266.39 "/>
    <n v="3"/>
    <n v="32"/>
    <s v="Sports"/>
    <s v="Bluetooth Speaker"/>
    <x v="4"/>
    <x v="0"/>
    <n v="799.17"/>
    <s v="Misaligned"/>
    <x v="1"/>
    <s v="High Value Tier"/>
    <x v="0"/>
  </r>
  <r>
    <s v="ORD6403"/>
    <s v="CUST2403"/>
    <n v="35"/>
    <s v="PROD1603"/>
    <x v="1"/>
    <x v="785"/>
    <d v="2021-10-11T00:00:00"/>
    <n v="2"/>
    <x v="2"/>
    <s v="3/21/2024"/>
    <s v=" $132.31 "/>
    <n v="8"/>
    <n v="11"/>
    <s v="Sports"/>
    <s v="Shampoo"/>
    <x v="3"/>
    <x v="2"/>
    <n v="1058.48"/>
    <s v="Misaligned"/>
    <x v="0"/>
    <s v="High Value Tier"/>
    <x v="1"/>
  </r>
  <r>
    <s v="ORD6404"/>
    <s v="CUST2404"/>
    <n v="56"/>
    <s v="PROD1604"/>
    <x v="5"/>
    <x v="772"/>
    <s v="5/27/2023"/>
    <n v="3"/>
    <x v="0"/>
    <s v="7/20/2024"/>
    <s v=" $384.68 "/>
    <n v="5"/>
    <n v="18"/>
    <s v="Electronics"/>
    <s v="Laptop"/>
    <x v="4"/>
    <x v="1"/>
    <n v="1923.4"/>
    <s v="Aligned"/>
    <x v="1"/>
    <s v="High Value Tier"/>
    <x v="0"/>
  </r>
  <r>
    <s v="ORD6405"/>
    <s v="CUST2405"/>
    <n v="20"/>
    <s v="PROD1605"/>
    <x v="0"/>
    <x v="339"/>
    <s v="2/18/2023"/>
    <n v="5"/>
    <x v="0"/>
    <s v="2/26/2025"/>
    <s v=" $1,914.38 "/>
    <n v="1"/>
    <n v="10"/>
    <s v="Home"/>
    <s v="Dumbbells"/>
    <x v="0"/>
    <x v="1"/>
    <n v="1914.38"/>
    <s v="Misaligned"/>
    <x v="3"/>
    <s v="High Value Tier"/>
    <x v="3"/>
  </r>
  <r>
    <s v="ORD6406"/>
    <s v="CUST2406"/>
    <n v="49"/>
    <s v="PROD1606"/>
    <x v="2"/>
    <x v="460"/>
    <s v="7/15/2023"/>
    <n v="0"/>
    <x v="0"/>
    <s v="7/21/2024"/>
    <s v=" $679.41 "/>
    <n v="2"/>
    <n v="41"/>
    <s v="Clothing"/>
    <s v="Skirt"/>
    <x v="2"/>
    <x v="1"/>
    <n v="1358.82"/>
    <s v="Aligned"/>
    <x v="0"/>
    <s v="High Value Tier"/>
    <x v="0"/>
  </r>
  <r>
    <s v="ORD6407"/>
    <s v="CUST2407"/>
    <n v="63"/>
    <s v="PROD1607"/>
    <x v="2"/>
    <x v="465"/>
    <d v="2021-11-11T00:00:00"/>
    <n v="2"/>
    <x v="1"/>
    <d v="2021-04-11T00:00:00"/>
    <s v=" $145.38 "/>
    <n v="3"/>
    <n v="30"/>
    <s v="Electronics"/>
    <s v="Conditioner"/>
    <x v="3"/>
    <x v="1"/>
    <n v="436.14"/>
    <s v="Misaligned"/>
    <x v="1"/>
    <s v="High Value Tier"/>
    <x v="0"/>
  </r>
  <r>
    <s v="ORD6408"/>
    <s v="CUST2408"/>
    <n v="33"/>
    <s v="PROD1608"/>
    <x v="4"/>
    <x v="786"/>
    <s v="4/18/2021"/>
    <n v="3"/>
    <x v="0"/>
    <s v="8/20/2025"/>
    <s v=" $219.08 "/>
    <n v="7"/>
    <n v="16"/>
    <s v="Clothing"/>
    <s v="Chair"/>
    <x v="1"/>
    <x v="0"/>
    <n v="1533.56"/>
    <s v="Misaligned"/>
    <x v="2"/>
    <s v="High Value Tier"/>
    <x v="0"/>
  </r>
  <r>
    <s v="ORD6409"/>
    <s v="CUST2409"/>
    <n v="43"/>
    <s v="PROD1609"/>
    <x v="3"/>
    <x v="124"/>
    <s v="9/15/2021"/>
    <n v="2"/>
    <x v="0"/>
    <s v="5/19/2022"/>
    <s v=" $90.87 "/>
    <n v="7"/>
    <n v="25"/>
    <s v="Sports"/>
    <s v="Dumbbells"/>
    <x v="0"/>
    <x v="1"/>
    <n v="636.09"/>
    <s v="Aligned"/>
    <x v="0"/>
    <s v="High Value Tier"/>
    <x v="0"/>
  </r>
  <r>
    <s v="ORD6410"/>
    <s v="CUST2410"/>
    <n v="21"/>
    <s v="PROD1610"/>
    <x v="4"/>
    <x v="787"/>
    <s v="6/14/2024"/>
    <n v="4"/>
    <x v="2"/>
    <s v="6/18/2024"/>
    <s v=" $36.01 "/>
    <n v="2"/>
    <n v="9"/>
    <s v="Sports"/>
    <s v="Smartphone"/>
    <x v="4"/>
    <x v="1"/>
    <n v="72.02"/>
    <s v="Misaligned"/>
    <x v="3"/>
    <s v="Value Tier"/>
    <x v="1"/>
  </r>
  <r>
    <s v="ORD6411"/>
    <s v="CUST2411"/>
    <n v="65"/>
    <s v="PROD1611"/>
    <x v="1"/>
    <x v="717"/>
    <s v="8/13/2024"/>
    <n v="2"/>
    <x v="2"/>
    <s v="12/17/2024"/>
    <s v=" $388.06 "/>
    <n v="5"/>
    <n v="45"/>
    <s v="Beauty"/>
    <s v="Bluetooth Speaker"/>
    <x v="4"/>
    <x v="1"/>
    <n v="1940.3"/>
    <s v="Misaligned"/>
    <x v="4"/>
    <s v="High Value Tier"/>
    <x v="1"/>
  </r>
  <r>
    <s v="ORD6412"/>
    <s v="CUST2412"/>
    <n v="48"/>
    <s v="PROD1612"/>
    <x v="0"/>
    <x v="788"/>
    <s v="3/23/2025"/>
    <n v="5"/>
    <x v="0"/>
    <s v="4/26/2022"/>
    <s v=" $81.82 "/>
    <n v="4"/>
    <n v="33"/>
    <s v="Electronics"/>
    <s v="Laptop"/>
    <x v="4"/>
    <x v="0"/>
    <n v="327.27999999999997"/>
    <s v="Aligned"/>
    <x v="0"/>
    <s v="High Value Tier"/>
    <x v="3"/>
  </r>
  <r>
    <s v="ORD6413"/>
    <s v="CUST2413"/>
    <n v="42"/>
    <s v="PROD1613"/>
    <x v="4"/>
    <x v="213"/>
    <d v="2025-08-05T00:00:00"/>
    <n v="0"/>
    <x v="0"/>
    <d v="2023-08-07T00:00:00"/>
    <s v=" $107.40 "/>
    <n v="8"/>
    <n v="5"/>
    <s v="Sports"/>
    <s v="Moisturizer"/>
    <x v="3"/>
    <x v="0"/>
    <n v="859.2"/>
    <s v="Misaligned"/>
    <x v="0"/>
    <s v="High Value Tier"/>
    <x v="0"/>
  </r>
  <r>
    <s v="ORD6414"/>
    <s v="CUST2414"/>
    <n v="38"/>
    <s v="PROD1614"/>
    <x v="1"/>
    <x v="344"/>
    <d v="2024-01-05T00:00:00"/>
    <n v="3"/>
    <x v="0"/>
    <d v="2024-09-10T00:00:00"/>
    <s v=" $656.65 "/>
    <n v="3"/>
    <n v="13"/>
    <s v="Home"/>
    <s v="Conditioner"/>
    <x v="3"/>
    <x v="1"/>
    <n v="1969.95"/>
    <s v="Misaligned"/>
    <x v="0"/>
    <s v="High Value Tier"/>
    <x v="0"/>
  </r>
  <r>
    <s v="ORD6415"/>
    <s v="CUST2415"/>
    <n v="69"/>
    <s v="PROD1615"/>
    <x v="5"/>
    <x v="419"/>
    <s v="12/17/2024"/>
    <n v="1"/>
    <x v="0"/>
    <d v="2024-07-07T00:00:00"/>
    <s v=" $213.07 "/>
    <n v="8"/>
    <n v="47"/>
    <s v="Home"/>
    <s v="Dumbbells"/>
    <x v="0"/>
    <x v="1"/>
    <n v="1704.56"/>
    <s v="Misaligned"/>
    <x v="4"/>
    <s v="High Value Tier"/>
    <x v="0"/>
  </r>
  <r>
    <s v="ORD6416"/>
    <s v="CUST2416"/>
    <n v="63"/>
    <s v="PROD1616"/>
    <x v="0"/>
    <x v="772"/>
    <d v="2024-08-10T00:00:00"/>
    <n v="4"/>
    <x v="1"/>
    <d v="2024-07-03T00:00:00"/>
    <s v=" $259.90 "/>
    <n v="6"/>
    <n v="34"/>
    <s v="Clothing"/>
    <s v="Sneakers"/>
    <x v="2"/>
    <x v="0"/>
    <n v="1559.4"/>
    <s v="Aligned"/>
    <x v="1"/>
    <s v="High Value Tier"/>
    <x v="0"/>
  </r>
  <r>
    <s v="ORD6417"/>
    <s v="CUST2417"/>
    <n v="59"/>
    <s v="PROD1617"/>
    <x v="5"/>
    <x v="789"/>
    <s v="12/19/2024"/>
    <n v="1"/>
    <x v="0"/>
    <s v="10/15/2024"/>
    <s v=" $1,499.25 "/>
    <n v="1"/>
    <n v="4"/>
    <s v="Home"/>
    <s v="Moisturizer"/>
    <x v="3"/>
    <x v="0"/>
    <n v="1499.25"/>
    <s v="Misaligned"/>
    <x v="1"/>
    <s v="High Value Tier"/>
    <x v="0"/>
  </r>
  <r>
    <s v="ORD6418"/>
    <s v="CUST2418"/>
    <n v="57"/>
    <s v="PROD1618"/>
    <x v="5"/>
    <x v="524"/>
    <s v="6/21/2024"/>
    <n v="2"/>
    <x v="0"/>
    <d v="2023-04-09T00:00:00"/>
    <s v=" $161.93 "/>
    <n v="9"/>
    <n v="39"/>
    <s v="Sports"/>
    <s v="Laptop"/>
    <x v="4"/>
    <x v="0"/>
    <n v="1457.37"/>
    <s v="Misaligned"/>
    <x v="1"/>
    <s v="High Value Tier"/>
    <x v="0"/>
  </r>
  <r>
    <s v="ORD6419"/>
    <s v="CUST2419"/>
    <n v="33"/>
    <s v="PROD1619"/>
    <x v="2"/>
    <x v="247"/>
    <s v="8/17/2025"/>
    <n v="3"/>
    <x v="0"/>
    <s v="12/25/2024"/>
    <s v=" $229.55 "/>
    <n v="8"/>
    <n v="21"/>
    <s v="Electronics"/>
    <s v="Jacket"/>
    <x v="2"/>
    <x v="1"/>
    <n v="1836.4"/>
    <s v="Misaligned"/>
    <x v="2"/>
    <s v="High Value Tier"/>
    <x v="0"/>
  </r>
  <r>
    <s v="ORD6420"/>
    <s v="CUST2420"/>
    <n v="66"/>
    <s v="PROD1620"/>
    <x v="1"/>
    <x v="573"/>
    <s v="4/25/2024"/>
    <n v="1"/>
    <x v="1"/>
    <s v="9/18/2024"/>
    <s v=" $298.18 "/>
    <n v="1"/>
    <n v="13"/>
    <s v="Home"/>
    <s v="Jeans"/>
    <x v="2"/>
    <x v="0"/>
    <n v="298.18"/>
    <s v="Misaligned"/>
    <x v="4"/>
    <s v="High Value Tier"/>
    <x v="0"/>
  </r>
  <r>
    <s v="ORD6421"/>
    <s v="CUST2421"/>
    <n v="56"/>
    <s v="PROD1621"/>
    <x v="3"/>
    <x v="380"/>
    <d v="2024-12-11T00:00:00"/>
    <n v="1"/>
    <x v="1"/>
    <d v="2022-07-03T00:00:00"/>
    <s v=" $1,299.21 "/>
    <n v="1"/>
    <n v="8"/>
    <s v="Beauty"/>
    <s v="Foundation"/>
    <x v="3"/>
    <x v="0"/>
    <n v="1299.21"/>
    <s v="Aligned"/>
    <x v="1"/>
    <s v="High Value Tier"/>
    <x v="0"/>
  </r>
  <r>
    <s v="ORD6422"/>
    <s v="CUST2422"/>
    <n v="28"/>
    <s v="PROD1622"/>
    <x v="3"/>
    <x v="790"/>
    <d v="2022-05-07T00:00:00"/>
    <n v="0"/>
    <x v="0"/>
    <s v="5/14/2021"/>
    <s v=" $172.69 "/>
    <n v="7"/>
    <n v="19"/>
    <s v="Home"/>
    <s v="Hoodie"/>
    <x v="2"/>
    <x v="0"/>
    <n v="1208.83"/>
    <s v="Misaligned"/>
    <x v="2"/>
    <s v="High Value Tier"/>
    <x v="0"/>
  </r>
  <r>
    <s v="ORD6423"/>
    <s v="CUST2423"/>
    <n v="56"/>
    <s v="PROD1623"/>
    <x v="5"/>
    <x v="289"/>
    <d v="2024-03-02T00:00:00"/>
    <n v="3"/>
    <x v="0"/>
    <d v="2024-01-09T00:00:00"/>
    <s v=" $479.12 "/>
    <n v="3"/>
    <n v="35"/>
    <s v="Electronics"/>
    <s v="Cycling Helmet"/>
    <x v="0"/>
    <x v="0"/>
    <n v="1437.36"/>
    <s v="Misaligned"/>
    <x v="1"/>
    <s v="High Value Tier"/>
    <x v="0"/>
  </r>
  <r>
    <s v="ORD6424"/>
    <s v="CUST2424"/>
    <n v="53"/>
    <s v="PROD1624"/>
    <x v="5"/>
    <x v="791"/>
    <s v="10/21/2023"/>
    <n v="2"/>
    <x v="0"/>
    <s v="11/16/2024"/>
    <s v=" $140.61 "/>
    <n v="8"/>
    <n v="2"/>
    <s v="Sports"/>
    <s v="Smartwatch"/>
    <x v="4"/>
    <x v="0"/>
    <n v="1124.8800000000001"/>
    <s v="Misaligned"/>
    <x v="1"/>
    <s v="Core Tier"/>
    <x v="0"/>
  </r>
  <r>
    <s v="ORD6425"/>
    <s v="CUST2425"/>
    <n v="49"/>
    <s v="PROD1625"/>
    <x v="5"/>
    <x v="74"/>
    <s v="5/21/2022"/>
    <n v="0"/>
    <x v="2"/>
    <s v="12/25/2024"/>
    <s v=" $208.33 "/>
    <n v="7"/>
    <n v="30"/>
    <s v="Home"/>
    <s v="Lipstick"/>
    <x v="3"/>
    <x v="1"/>
    <n v="1458.31"/>
    <s v="Misaligned"/>
    <x v="0"/>
    <s v="High Value Tier"/>
    <x v="1"/>
  </r>
  <r>
    <s v="ORD6426"/>
    <s v="CUST2426"/>
    <n v="23"/>
    <s v="PROD1626"/>
    <x v="4"/>
    <x v="720"/>
    <s v="5/26/2024"/>
    <n v="1"/>
    <x v="0"/>
    <d v="2021-11-07T00:00:00"/>
    <s v=" $100.62 "/>
    <n v="9"/>
    <n v="13"/>
    <s v="Beauty"/>
    <s v="Cricket Bat"/>
    <x v="0"/>
    <x v="0"/>
    <n v="905.58"/>
    <s v="Misaligned"/>
    <x v="3"/>
    <s v="High Value Tier"/>
    <x v="0"/>
  </r>
  <r>
    <s v="ORD6427"/>
    <s v="CUST2427"/>
    <n v="21"/>
    <s v="PROD1627"/>
    <x v="4"/>
    <x v="269"/>
    <s v="4/13/2023"/>
    <n v="0"/>
    <x v="1"/>
    <s v="12/21/2022"/>
    <s v=" $6.64 "/>
    <n v="8"/>
    <n v="15"/>
    <s v="Beauty"/>
    <s v="Football"/>
    <x v="0"/>
    <x v="1"/>
    <n v="53.12"/>
    <s v="Misaligned"/>
    <x v="3"/>
    <s v="Core Tier"/>
    <x v="0"/>
  </r>
  <r>
    <s v="ORD6428"/>
    <s v="CUST2428"/>
    <n v="48"/>
    <s v="PROD1628"/>
    <x v="4"/>
    <x v="40"/>
    <d v="2024-08-01T00:00:00"/>
    <n v="4"/>
    <x v="2"/>
    <d v="2023-11-07T00:00:00"/>
    <s v=" $131.34 "/>
    <n v="8"/>
    <n v="31"/>
    <s v="Home"/>
    <s v="Camera"/>
    <x v="4"/>
    <x v="0"/>
    <n v="1050.72"/>
    <s v="Misaligned"/>
    <x v="0"/>
    <s v="High Value Tier"/>
    <x v="1"/>
  </r>
  <r>
    <s v="ORD6429"/>
    <s v="CUST2429"/>
    <n v="36"/>
    <s v="PROD1629"/>
    <x v="4"/>
    <x v="792"/>
    <d v="2024-04-09T00:00:00"/>
    <n v="5"/>
    <x v="0"/>
    <s v="9/28/2023"/>
    <s v=" $1,092.39 "/>
    <n v="1"/>
    <n v="45"/>
    <s v="Electronics"/>
    <s v="Camera"/>
    <x v="4"/>
    <x v="1"/>
    <n v="1092.3900000000001"/>
    <s v="Aligned"/>
    <x v="0"/>
    <s v="High Value Tier"/>
    <x v="3"/>
  </r>
  <r>
    <s v="ORD6430"/>
    <s v="CUST2430"/>
    <n v="50"/>
    <s v="PROD1630"/>
    <x v="5"/>
    <x v="793"/>
    <d v="2023-05-11T00:00:00"/>
    <n v="2"/>
    <x v="1"/>
    <s v="4/20/2023"/>
    <s v=" $409.65 "/>
    <n v="4"/>
    <n v="41"/>
    <s v="Home"/>
    <s v="Dumbbells"/>
    <x v="0"/>
    <x v="0"/>
    <n v="1638.6"/>
    <s v="Misaligned"/>
    <x v="1"/>
    <s v="High Value Tier"/>
    <x v="0"/>
  </r>
  <r>
    <s v="ORD6431"/>
    <s v="CUST2431"/>
    <n v="25"/>
    <s v="PROD1631"/>
    <x v="1"/>
    <x v="585"/>
    <s v="11/17/2023"/>
    <n v="4"/>
    <x v="1"/>
    <s v="10/27/2024"/>
    <s v=" $155.73 "/>
    <n v="4"/>
    <n v="4"/>
    <s v="Clothing"/>
    <s v="Lamp"/>
    <x v="1"/>
    <x v="1"/>
    <n v="622.91999999999996"/>
    <s v="Misaligned"/>
    <x v="2"/>
    <s v="Core Tier"/>
    <x v="0"/>
  </r>
  <r>
    <s v="ORD6432"/>
    <s v="CUST2432"/>
    <n v="47"/>
    <s v="PROD1632"/>
    <x v="5"/>
    <x v="244"/>
    <s v="11/23/2024"/>
    <n v="3"/>
    <x v="2"/>
    <s v="1/13/2022"/>
    <s v=" $226.08 "/>
    <n v="8"/>
    <n v="5"/>
    <s v="Beauty"/>
    <s v="Cricket Bat"/>
    <x v="0"/>
    <x v="0"/>
    <n v="1808.64"/>
    <s v="Misaligned"/>
    <x v="0"/>
    <s v="High Value Tier"/>
    <x v="1"/>
  </r>
  <r>
    <s v="ORD6433"/>
    <s v="CUST2433"/>
    <n v="31"/>
    <s v="PROD1633"/>
    <x v="4"/>
    <x v="440"/>
    <d v="2024-05-05T00:00:00"/>
    <n v="0"/>
    <x v="0"/>
    <s v="9/23/2023"/>
    <s v=" $1,695.00 "/>
    <n v="1"/>
    <n v="32"/>
    <s v="Home"/>
    <s v="Laptop"/>
    <x v="4"/>
    <x v="0"/>
    <n v="1695"/>
    <s v="Misaligned"/>
    <x v="2"/>
    <s v="High Value Tier"/>
    <x v="0"/>
  </r>
  <r>
    <s v="ORD6434"/>
    <s v="CUST2434"/>
    <n v="54"/>
    <s v="PROD1634"/>
    <x v="4"/>
    <x v="388"/>
    <s v="9/17/2023"/>
    <n v="0"/>
    <x v="0"/>
    <s v="6/18/2024"/>
    <s v=" $100.53 "/>
    <n v="7"/>
    <n v="10"/>
    <s v="Sports"/>
    <s v="Dress"/>
    <x v="2"/>
    <x v="1"/>
    <n v="703.71"/>
    <s v="Misaligned"/>
    <x v="1"/>
    <s v="High Value Tier"/>
    <x v="0"/>
  </r>
  <r>
    <s v="ORD6435"/>
    <s v="CUST2435"/>
    <n v="68"/>
    <s v="PROD1635"/>
    <x v="0"/>
    <x v="190"/>
    <d v="2024-06-11T00:00:00"/>
    <n v="2"/>
    <x v="1"/>
    <s v="4/16/2025"/>
    <s v=" $751.06 "/>
    <n v="2"/>
    <n v="37"/>
    <s v="Clothing"/>
    <s v="Microwave"/>
    <x v="1"/>
    <x v="0"/>
    <n v="1502.12"/>
    <s v="Misaligned"/>
    <x v="4"/>
    <s v="High Value Tier"/>
    <x v="0"/>
  </r>
  <r>
    <s v="ORD6436"/>
    <s v="CUST2436"/>
    <n v="36"/>
    <s v="PROD1636"/>
    <x v="0"/>
    <x v="295"/>
    <s v="2/20/2024"/>
    <n v="1"/>
    <x v="2"/>
    <d v="2024-01-02T00:00:00"/>
    <s v=" $454.17 "/>
    <n v="2"/>
    <n v="34"/>
    <s v="Clothing"/>
    <s v="Vacuum Cleaner"/>
    <x v="1"/>
    <x v="0"/>
    <n v="908.34"/>
    <s v="Misaligned"/>
    <x v="0"/>
    <s v="High Value Tier"/>
    <x v="1"/>
  </r>
  <r>
    <s v="ORD6437"/>
    <s v="CUST2437"/>
    <n v="51"/>
    <s v="PROD1637"/>
    <x v="4"/>
    <x v="794"/>
    <s v="9/16/2023"/>
    <n v="0"/>
    <x v="0"/>
    <d v="2025-04-05T00:00:00"/>
    <s v=" $299.30 "/>
    <n v="4"/>
    <n v="15"/>
    <s v="Beauty"/>
    <s v="Headphones"/>
    <x v="4"/>
    <x v="1"/>
    <n v="1197.2"/>
    <s v="Misaligned"/>
    <x v="1"/>
    <s v="High Value Tier"/>
    <x v="0"/>
  </r>
  <r>
    <s v="ORD6438"/>
    <s v="CUST2438"/>
    <n v="64"/>
    <s v="PROD1638"/>
    <x v="1"/>
    <x v="147"/>
    <s v="7/26/2024"/>
    <n v="1"/>
    <x v="0"/>
    <d v="2022-10-04T00:00:00"/>
    <s v=" $234.74 "/>
    <n v="1"/>
    <n v="36"/>
    <s v="Home"/>
    <s v="Perfume"/>
    <x v="3"/>
    <x v="0"/>
    <n v="234.74"/>
    <s v="Misaligned"/>
    <x v="1"/>
    <s v="High Value Tier"/>
    <x v="0"/>
  </r>
  <r>
    <s v="ORD6439"/>
    <s v="CUST2439"/>
    <n v="63"/>
    <s v="PROD1639"/>
    <x v="1"/>
    <x v="795"/>
    <d v="2023-02-03T00:00:00"/>
    <n v="2"/>
    <x v="1"/>
    <s v="5/14/2024"/>
    <s v=" $221.69 "/>
    <n v="6"/>
    <n v="11"/>
    <s v="Clothing"/>
    <s v="Sofa"/>
    <x v="1"/>
    <x v="0"/>
    <n v="1330.14"/>
    <s v="Misaligned"/>
    <x v="1"/>
    <s v="High Value Tier"/>
    <x v="0"/>
  </r>
  <r>
    <s v="ORD6440"/>
    <s v="CUST2440"/>
    <n v="66"/>
    <s v="PROD1640"/>
    <x v="5"/>
    <x v="252"/>
    <d v="2022-11-03T00:00:00"/>
    <n v="4"/>
    <x v="2"/>
    <d v="2022-02-02T00:00:00"/>
    <s v=" $744.56 "/>
    <n v="2"/>
    <n v="37"/>
    <s v="Electronics"/>
    <s v="Sofa"/>
    <x v="1"/>
    <x v="1"/>
    <n v="1489.12"/>
    <s v="Misaligned"/>
    <x v="4"/>
    <s v="High Value Tier"/>
    <x v="1"/>
  </r>
  <r>
    <s v="ORD6441"/>
    <s v="CUST2441"/>
    <n v="26"/>
    <s v="PROD1641"/>
    <x v="5"/>
    <x v="310"/>
    <d v="2021-04-12T00:00:00"/>
    <n v="3"/>
    <x v="0"/>
    <d v="2021-05-12T00:00:00"/>
    <s v=" $400.07 "/>
    <n v="3"/>
    <n v="24"/>
    <s v="Beauty"/>
    <s v="T-Shirt"/>
    <x v="2"/>
    <x v="1"/>
    <n v="1200.21"/>
    <s v="Misaligned"/>
    <x v="2"/>
    <s v="High Value Tier"/>
    <x v="0"/>
  </r>
  <r>
    <s v="ORD6442"/>
    <s v="CUST2442"/>
    <n v="21"/>
    <s v="PROD1642"/>
    <x v="1"/>
    <x v="291"/>
    <d v="2024-03-12T00:00:00"/>
    <n v="5"/>
    <x v="1"/>
    <d v="2022-04-06T00:00:00"/>
    <s v=" $390.99 "/>
    <n v="3"/>
    <n v="34"/>
    <s v="Sports"/>
    <s v="Tablet"/>
    <x v="4"/>
    <x v="1"/>
    <n v="1172.97"/>
    <s v="Misaligned"/>
    <x v="3"/>
    <s v="High Value Tier"/>
    <x v="0"/>
  </r>
  <r>
    <s v="ORD6443"/>
    <s v="CUST2443"/>
    <n v="64"/>
    <s v="PROD1643"/>
    <x v="3"/>
    <x v="796"/>
    <d v="2022-02-02T00:00:00"/>
    <n v="2"/>
    <x v="1"/>
    <s v="8/25/2024"/>
    <s v=" $111.28 "/>
    <n v="4"/>
    <n v="8"/>
    <s v="Sports"/>
    <s v="Lipstick"/>
    <x v="3"/>
    <x v="1"/>
    <n v="445.12"/>
    <s v="Misaligned"/>
    <x v="1"/>
    <s v="High Value Tier"/>
    <x v="0"/>
  </r>
  <r>
    <s v="ORD6444"/>
    <s v="CUST2444"/>
    <n v="45"/>
    <s v="PROD1644"/>
    <x v="3"/>
    <x v="668"/>
    <s v="2/25/2024"/>
    <n v="3"/>
    <x v="0"/>
    <d v="2025-04-07T00:00:00"/>
    <s v=" $260.36 "/>
    <n v="7"/>
    <n v="49"/>
    <s v="Beauty"/>
    <s v="Hoodie"/>
    <x v="2"/>
    <x v="0"/>
    <n v="1822.52"/>
    <s v="Misaligned"/>
    <x v="0"/>
    <s v="High Value Tier"/>
    <x v="0"/>
  </r>
  <r>
    <s v="ORD6445"/>
    <s v="CUST2445"/>
    <n v="26"/>
    <s v="PROD1645"/>
    <x v="3"/>
    <x v="797"/>
    <s v="6/19/2024"/>
    <n v="5"/>
    <x v="2"/>
    <s v="6/23/2024"/>
    <s v=" $228.34 "/>
    <n v="6"/>
    <n v="15"/>
    <s v="Home"/>
    <s v="Face Wash"/>
    <x v="3"/>
    <x v="0"/>
    <n v="1370.04"/>
    <s v="Misaligned"/>
    <x v="2"/>
    <s v="High Value Tier"/>
    <x v="1"/>
  </r>
  <r>
    <s v="ORD6446"/>
    <s v="CUST2446"/>
    <n v="31"/>
    <s v="PROD1646"/>
    <x v="5"/>
    <x v="798"/>
    <s v="3/22/2024"/>
    <n v="2"/>
    <x v="0"/>
    <d v="2022-05-01T00:00:00"/>
    <s v=" $149.01 "/>
    <n v="8"/>
    <n v="45"/>
    <s v="Beauty"/>
    <s v="Sofa"/>
    <x v="1"/>
    <x v="0"/>
    <n v="1192.08"/>
    <s v="Misaligned"/>
    <x v="2"/>
    <s v="High Value Tier"/>
    <x v="0"/>
  </r>
  <r>
    <s v="ORD6447"/>
    <s v="CUST2447"/>
    <n v="67"/>
    <s v="PROD1647"/>
    <x v="5"/>
    <x v="799"/>
    <d v="2022-12-12T00:00:00"/>
    <n v="1"/>
    <x v="0"/>
    <s v="12/23/2024"/>
    <s v=" $602.62 "/>
    <n v="2"/>
    <n v="6"/>
    <s v="Home"/>
    <s v="Shampoo"/>
    <x v="3"/>
    <x v="0"/>
    <n v="1205.24"/>
    <s v="Misaligned"/>
    <x v="4"/>
    <s v="High Value Tier"/>
    <x v="0"/>
  </r>
  <r>
    <s v="ORD6448"/>
    <s v="CUST2448"/>
    <n v="52"/>
    <s v="PROD1648"/>
    <x v="1"/>
    <x v="800"/>
    <d v="2025-05-05T00:00:00"/>
    <n v="5"/>
    <x v="0"/>
    <s v="7/14/2023"/>
    <s v=" $323.71 "/>
    <n v="5"/>
    <n v="22"/>
    <s v="Clothing"/>
    <s v="Foundation"/>
    <x v="3"/>
    <x v="1"/>
    <n v="1618.55"/>
    <s v="Misaligned"/>
    <x v="1"/>
    <s v="High Value Tier"/>
    <x v="3"/>
  </r>
  <r>
    <s v="ORD6449"/>
    <s v="CUST2449"/>
    <n v="58"/>
    <s v="PROD1649"/>
    <x v="3"/>
    <x v="740"/>
    <s v="1/20/2025"/>
    <n v="1"/>
    <x v="0"/>
    <s v="9/21/2023"/>
    <s v=" $204.33 "/>
    <n v="9"/>
    <n v="44"/>
    <s v="Beauty"/>
    <s v="Sneakers"/>
    <x v="2"/>
    <x v="1"/>
    <n v="1838.97"/>
    <s v="Misaligned"/>
    <x v="1"/>
    <s v="High Value Tier"/>
    <x v="0"/>
  </r>
  <r>
    <s v="ORD6450"/>
    <s v="CUST2450"/>
    <n v="42"/>
    <s v="PROD1650"/>
    <x v="2"/>
    <x v="164"/>
    <d v="2025-04-07T00:00:00"/>
    <n v="1"/>
    <x v="0"/>
    <d v="2024-01-11T00:00:00"/>
    <s v=" $271.08 "/>
    <n v="6"/>
    <n v="14"/>
    <s v="Clothing"/>
    <s v="Laptop"/>
    <x v="4"/>
    <x v="1"/>
    <n v="1626.48"/>
    <s v="Misaligned"/>
    <x v="0"/>
    <s v="High Value Tier"/>
    <x v="0"/>
  </r>
  <r>
    <s v="ORD6451"/>
    <s v="CUST2451"/>
    <n v="52"/>
    <s v="PROD1651"/>
    <x v="0"/>
    <x v="742"/>
    <d v="2024-05-10T00:00:00"/>
    <n v="5"/>
    <x v="0"/>
    <d v="2024-10-09T00:00:00"/>
    <s v=" $153.01 "/>
    <n v="8"/>
    <n v="48"/>
    <s v="Beauty"/>
    <s v="Football"/>
    <x v="0"/>
    <x v="0"/>
    <n v="1224.08"/>
    <s v="Misaligned"/>
    <x v="1"/>
    <s v="High Value Tier"/>
    <x v="3"/>
  </r>
  <r>
    <s v="ORD6452"/>
    <s v="CUST2452"/>
    <n v="65"/>
    <s v="PROD1652"/>
    <x v="2"/>
    <x v="262"/>
    <s v="4/28/2021"/>
    <n v="1"/>
    <x v="1"/>
    <s v="4/22/2025"/>
    <s v=" $230.35 "/>
    <n v="8"/>
    <n v="32"/>
    <s v="Beauty"/>
    <s v="Dumbbells"/>
    <x v="0"/>
    <x v="0"/>
    <n v="1842.8"/>
    <s v="Misaligned"/>
    <x v="4"/>
    <s v="High Value Tier"/>
    <x v="0"/>
  </r>
  <r>
    <s v="ORD6453"/>
    <s v="CUST2453"/>
    <n v="60"/>
    <s v="PROD1653"/>
    <x v="5"/>
    <x v="801"/>
    <s v="1/24/2024"/>
    <n v="1"/>
    <x v="1"/>
    <s v="3/17/2024"/>
    <s v=" $67.11 "/>
    <n v="9"/>
    <n v="17"/>
    <s v="Electronics"/>
    <s v="Tennis Racket"/>
    <x v="0"/>
    <x v="0"/>
    <n v="603.99"/>
    <s v="Misaligned"/>
    <x v="1"/>
    <s v="High Value Tier"/>
    <x v="0"/>
  </r>
  <r>
    <s v="ORD6454"/>
    <s v="CUST2454"/>
    <n v="23"/>
    <s v="PROD1654"/>
    <x v="5"/>
    <x v="29"/>
    <s v="4/23/2021"/>
    <n v="1"/>
    <x v="2"/>
    <s v="4/15/2021"/>
    <s v=" $17.40 "/>
    <n v="6"/>
    <n v="27"/>
    <s v="Home"/>
    <s v="Laptop"/>
    <x v="4"/>
    <x v="0"/>
    <n v="104.4"/>
    <s v="Misaligned"/>
    <x v="3"/>
    <s v="High Value Tier"/>
    <x v="1"/>
  </r>
  <r>
    <s v="ORD6455"/>
    <s v="CUST2455"/>
    <n v="48"/>
    <s v="PROD1655"/>
    <x v="5"/>
    <x v="369"/>
    <s v="9/23/2024"/>
    <n v="1"/>
    <x v="0"/>
    <d v="2024-06-12T00:00:00"/>
    <s v=" $697.20 "/>
    <n v="2"/>
    <n v="16"/>
    <s v="Home"/>
    <s v="Smartwatch"/>
    <x v="4"/>
    <x v="1"/>
    <n v="1394.4"/>
    <s v="Misaligned"/>
    <x v="0"/>
    <s v="High Value Tier"/>
    <x v="0"/>
  </r>
  <r>
    <s v="ORD6456"/>
    <s v="CUST2456"/>
    <n v="44"/>
    <s v="PROD1656"/>
    <x v="4"/>
    <x v="802"/>
    <d v="2022-01-11T00:00:00"/>
    <n v="5"/>
    <x v="0"/>
    <s v="5/13/2025"/>
    <s v=" $976.01 "/>
    <n v="2"/>
    <n v="45"/>
    <s v="Clothing"/>
    <s v="Yoga Mat"/>
    <x v="0"/>
    <x v="1"/>
    <n v="1952.02"/>
    <s v="Misaligned"/>
    <x v="0"/>
    <s v="High Value Tier"/>
    <x v="3"/>
  </r>
  <r>
    <s v="ORD6457"/>
    <s v="CUST2457"/>
    <n v="35"/>
    <s v="PROD1657"/>
    <x v="5"/>
    <x v="803"/>
    <s v="4/21/2024"/>
    <n v="1"/>
    <x v="0"/>
    <s v="6/20/2023"/>
    <s v=" $240.13 "/>
    <n v="7"/>
    <n v="15"/>
    <s v="Beauty"/>
    <s v="Lipstick"/>
    <x v="3"/>
    <x v="1"/>
    <n v="1680.91"/>
    <s v="Aligned"/>
    <x v="0"/>
    <s v="High Value Tier"/>
    <x v="0"/>
  </r>
  <r>
    <s v="ORD6458"/>
    <s v="CUST2458"/>
    <n v="43"/>
    <s v="PROD1658"/>
    <x v="1"/>
    <x v="243"/>
    <d v="2023-11-04T00:00:00"/>
    <n v="5"/>
    <x v="1"/>
    <s v="9/27/2024"/>
    <s v=" $81.84 "/>
    <n v="7"/>
    <n v="19"/>
    <s v="Electronics"/>
    <s v="Dress"/>
    <x v="2"/>
    <x v="1"/>
    <n v="572.88"/>
    <s v="Misaligned"/>
    <x v="0"/>
    <s v="High Value Tier"/>
    <x v="0"/>
  </r>
  <r>
    <s v="ORD6459"/>
    <s v="CUST2459"/>
    <n v="66"/>
    <s v="PROD1659"/>
    <x v="3"/>
    <x v="292"/>
    <s v="4/27/2021"/>
    <n v="2"/>
    <x v="0"/>
    <s v="7/27/2025"/>
    <s v=" $126.39 "/>
    <n v="7"/>
    <n v="22"/>
    <s v="Home"/>
    <s v="Running Shoes"/>
    <x v="0"/>
    <x v="0"/>
    <n v="884.73"/>
    <s v="Misaligned"/>
    <x v="4"/>
    <s v="High Value Tier"/>
    <x v="0"/>
  </r>
  <r>
    <s v="ORD6460"/>
    <s v="CUST2460"/>
    <n v="42"/>
    <s v="PROD1660"/>
    <x v="4"/>
    <x v="108"/>
    <d v="2023-06-06T00:00:00"/>
    <n v="3"/>
    <x v="2"/>
    <s v="10/26/2021"/>
    <s v=" $50.66 "/>
    <n v="4"/>
    <n v="27"/>
    <s v="Clothing"/>
    <s v="Shirt"/>
    <x v="2"/>
    <x v="1"/>
    <n v="202.64"/>
    <s v="Aligned"/>
    <x v="0"/>
    <s v="High Value Tier"/>
    <x v="1"/>
  </r>
  <r>
    <s v="ORD6461"/>
    <s v="CUST2461"/>
    <n v="20"/>
    <s v="PROD1661"/>
    <x v="2"/>
    <x v="730"/>
    <s v="4/20/2023"/>
    <n v="4"/>
    <x v="0"/>
    <s v="6/20/2025"/>
    <s v=" $1,034.24 "/>
    <n v="1"/>
    <n v="18"/>
    <s v="Electronics"/>
    <s v="Laptop"/>
    <x v="4"/>
    <x v="0"/>
    <n v="1034.24"/>
    <s v="Aligned"/>
    <x v="3"/>
    <s v="High Value Tier"/>
    <x v="3"/>
  </r>
  <r>
    <s v="ORD6462"/>
    <s v="CUST2462"/>
    <n v="47"/>
    <s v="PROD1662"/>
    <x v="0"/>
    <x v="788"/>
    <d v="2025-02-03T00:00:00"/>
    <n v="4"/>
    <x v="2"/>
    <s v="8/21/2024"/>
    <s v=" $43.76 "/>
    <n v="9"/>
    <n v="24"/>
    <s v="Electronics"/>
    <s v="Dining Table"/>
    <x v="1"/>
    <x v="0"/>
    <n v="393.84"/>
    <s v="Misaligned"/>
    <x v="0"/>
    <s v="High Value Tier"/>
    <x v="1"/>
  </r>
  <r>
    <s v="ORD6463"/>
    <s v="CUST2463"/>
    <n v="68"/>
    <s v="PROD1663"/>
    <x v="1"/>
    <x v="69"/>
    <d v="2024-07-12T00:00:00"/>
    <n v="2"/>
    <x v="0"/>
    <s v="7/18/2024"/>
    <s v=" $85.89 "/>
    <n v="9"/>
    <n v="27"/>
    <s v="Electronics"/>
    <s v="Lipstick"/>
    <x v="3"/>
    <x v="0"/>
    <n v="773.01"/>
    <s v="Misaligned"/>
    <x v="4"/>
    <s v="High Value Tier"/>
    <x v="0"/>
  </r>
  <r>
    <s v="ORD6464"/>
    <s v="CUST2464"/>
    <n v="46"/>
    <s v="PROD1664"/>
    <x v="2"/>
    <x v="804"/>
    <d v="2024-12-04T00:00:00"/>
    <n v="0"/>
    <x v="2"/>
    <d v="2023-02-06T00:00:00"/>
    <s v=" $271.63 "/>
    <n v="5"/>
    <n v="21"/>
    <s v="Clothing"/>
    <s v="Lipstick"/>
    <x v="3"/>
    <x v="1"/>
    <n v="1358.15"/>
    <s v="Misaligned"/>
    <x v="0"/>
    <s v="High Value Tier"/>
    <x v="1"/>
  </r>
  <r>
    <s v="ORD6465"/>
    <s v="CUST2465"/>
    <n v="43"/>
    <s v="PROD1665"/>
    <x v="2"/>
    <x v="630"/>
    <s v="7/19/2023"/>
    <n v="5"/>
    <x v="0"/>
    <s v="1/21/2023"/>
    <s v=" $8.14 "/>
    <n v="5"/>
    <n v="30"/>
    <s v="Sports"/>
    <s v="Nail Polish"/>
    <x v="3"/>
    <x v="1"/>
    <n v="40.700000000000003"/>
    <s v="Misaligned"/>
    <x v="0"/>
    <s v="Core Tier"/>
    <x v="3"/>
  </r>
  <r>
    <s v="ORD6466"/>
    <s v="CUST2466"/>
    <n v="33"/>
    <s v="PROD1666"/>
    <x v="3"/>
    <x v="729"/>
    <d v="2021-02-10T00:00:00"/>
    <n v="1"/>
    <x v="0"/>
    <d v="2021-04-08T00:00:00"/>
    <s v=" $594.86 "/>
    <n v="2"/>
    <n v="9"/>
    <s v="Sports"/>
    <s v="Hoodie"/>
    <x v="2"/>
    <x v="0"/>
    <n v="1189.72"/>
    <s v="Misaligned"/>
    <x v="2"/>
    <s v="High Value Tier"/>
    <x v="0"/>
  </r>
  <r>
    <s v="ORD6467"/>
    <s v="CUST2467"/>
    <n v="36"/>
    <s v="PROD1667"/>
    <x v="0"/>
    <x v="492"/>
    <s v="11/16/2023"/>
    <n v="2"/>
    <x v="2"/>
    <s v="3/18/2024"/>
    <s v=" $170.65 "/>
    <n v="4"/>
    <n v="36"/>
    <s v="Beauty"/>
    <s v="Jeans"/>
    <x v="2"/>
    <x v="1"/>
    <n v="682.6"/>
    <s v="Misaligned"/>
    <x v="0"/>
    <s v="High Value Tier"/>
    <x v="1"/>
  </r>
  <r>
    <s v="ORD6468"/>
    <s v="CUST2468"/>
    <n v="23"/>
    <s v="PROD1668"/>
    <x v="2"/>
    <x v="805"/>
    <s v="9/22/2023"/>
    <n v="2"/>
    <x v="0"/>
    <s v="8/22/2023"/>
    <s v=" $358.17 "/>
    <n v="5"/>
    <n v="8"/>
    <s v="Sports"/>
    <s v="Camera"/>
    <x v="4"/>
    <x v="0"/>
    <n v="1790.85"/>
    <s v="Misaligned"/>
    <x v="3"/>
    <s v="High Value Tier"/>
    <x v="0"/>
  </r>
  <r>
    <s v="ORD6469"/>
    <s v="CUST2469"/>
    <n v="36"/>
    <s v="PROD1669"/>
    <x v="5"/>
    <x v="806"/>
    <s v="5/29/2023"/>
    <n v="4"/>
    <x v="0"/>
    <d v="2024-08-01T00:00:00"/>
    <s v=" $623.62 "/>
    <n v="1"/>
    <n v="4"/>
    <s v="Electronics"/>
    <s v="Shampoo"/>
    <x v="3"/>
    <x v="0"/>
    <n v="623.62"/>
    <s v="Misaligned"/>
    <x v="0"/>
    <s v="Core Tier"/>
    <x v="3"/>
  </r>
  <r>
    <s v="ORD6470"/>
    <s v="CUST2470"/>
    <n v="52"/>
    <s v="PROD1670"/>
    <x v="4"/>
    <x v="131"/>
    <s v="2/16/2024"/>
    <n v="0"/>
    <x v="0"/>
    <s v="8/15/2024"/>
    <s v=" $666.92 "/>
    <n v="1"/>
    <n v="34"/>
    <s v="Home"/>
    <s v="Sofa"/>
    <x v="1"/>
    <x v="1"/>
    <n v="666.92"/>
    <s v="Aligned"/>
    <x v="1"/>
    <s v="High Value Tier"/>
    <x v="0"/>
  </r>
  <r>
    <s v="ORD6471"/>
    <s v="CUST2471"/>
    <n v="54"/>
    <s v="PROD1671"/>
    <x v="3"/>
    <x v="807"/>
    <d v="2025-04-08T00:00:00"/>
    <n v="2"/>
    <x v="0"/>
    <d v="2025-07-05T00:00:00"/>
    <s v=" $240.82 "/>
    <n v="1"/>
    <n v="17"/>
    <s v="Beauty"/>
    <s v="Chair"/>
    <x v="1"/>
    <x v="0"/>
    <n v="240.82"/>
    <s v="Misaligned"/>
    <x v="1"/>
    <s v="High Value Tier"/>
    <x v="0"/>
  </r>
  <r>
    <s v="ORD6472"/>
    <s v="CUST2472"/>
    <n v="21"/>
    <s v="PROD1672"/>
    <x v="3"/>
    <x v="322"/>
    <s v="4/30/2023"/>
    <n v="5"/>
    <x v="1"/>
    <s v="9/25/2022"/>
    <s v=" $72.58 "/>
    <n v="7"/>
    <n v="31"/>
    <s v="Clothing"/>
    <s v="Face Wash"/>
    <x v="3"/>
    <x v="1"/>
    <n v="508.06"/>
    <s v="Misaligned"/>
    <x v="3"/>
    <s v="High Value Tier"/>
    <x v="0"/>
  </r>
  <r>
    <s v="ORD6473"/>
    <s v="CUST2473"/>
    <n v="67"/>
    <s v="PROD1673"/>
    <x v="1"/>
    <x v="808"/>
    <s v="2/18/2025"/>
    <n v="1"/>
    <x v="1"/>
    <s v="10/19/2023"/>
    <s v=" $86.11 "/>
    <n v="5"/>
    <n v="23"/>
    <s v="Home"/>
    <s v="Nail Polish"/>
    <x v="3"/>
    <x v="2"/>
    <n v="430.55"/>
    <s v="Misaligned"/>
    <x v="4"/>
    <s v="High Value Tier"/>
    <x v="0"/>
  </r>
  <r>
    <s v="ORD6474"/>
    <s v="CUST2474"/>
    <n v="64"/>
    <s v="PROD1674"/>
    <x v="4"/>
    <x v="359"/>
    <d v="2022-07-10T00:00:00"/>
    <n v="2"/>
    <x v="0"/>
    <d v="2024-07-11T00:00:00"/>
    <s v=" $28.47 "/>
    <n v="4"/>
    <n v="9"/>
    <s v="Clothing"/>
    <s v="Perfume"/>
    <x v="3"/>
    <x v="1"/>
    <n v="113.88"/>
    <s v="Misaligned"/>
    <x v="1"/>
    <s v="Core Tier"/>
    <x v="0"/>
  </r>
  <r>
    <s v="ORD6475"/>
    <s v="CUST2475"/>
    <n v="50"/>
    <s v="PROD1675"/>
    <x v="5"/>
    <x v="809"/>
    <s v="11/30/2022"/>
    <n v="2"/>
    <x v="0"/>
    <d v="2024-06-04T00:00:00"/>
    <s v=" $501.52 "/>
    <n v="2"/>
    <n v="24"/>
    <s v="Sports"/>
    <s v="Football"/>
    <x v="0"/>
    <x v="0"/>
    <n v="1003.04"/>
    <s v="Aligned"/>
    <x v="1"/>
    <s v="High Value Tier"/>
    <x v="0"/>
  </r>
  <r>
    <s v="ORD6476"/>
    <s v="CUST2476"/>
    <n v="42"/>
    <s v="PROD1676"/>
    <x v="0"/>
    <x v="556"/>
    <d v="2024-07-05T00:00:00"/>
    <n v="2"/>
    <x v="0"/>
    <s v="7/26/2025"/>
    <s v=" $916.46 "/>
    <n v="2"/>
    <n v="8"/>
    <s v="Clothing"/>
    <s v="Laptop"/>
    <x v="4"/>
    <x v="1"/>
    <n v="1832.92"/>
    <s v="Misaligned"/>
    <x v="0"/>
    <s v="High Value Tier"/>
    <x v="0"/>
  </r>
  <r>
    <s v="ORD6477"/>
    <s v="CUST2477"/>
    <n v="36"/>
    <s v="PROD1677"/>
    <x v="5"/>
    <x v="297"/>
    <d v="2023-12-07T00:00:00"/>
    <n v="1"/>
    <x v="2"/>
    <s v="12/18/2021"/>
    <s v=" $339.31 "/>
    <n v="5"/>
    <n v="43"/>
    <s v="Home"/>
    <s v="Skirt"/>
    <x v="2"/>
    <x v="1"/>
    <n v="1696.55"/>
    <s v="Misaligned"/>
    <x v="0"/>
    <s v="High Value Tier"/>
    <x v="1"/>
  </r>
  <r>
    <s v="ORD6478"/>
    <s v="CUST2478"/>
    <n v="52"/>
    <s v="PROD1678"/>
    <x v="4"/>
    <x v="810"/>
    <d v="2024-07-06T00:00:00"/>
    <n v="2"/>
    <x v="0"/>
    <d v="2025-02-01T00:00:00"/>
    <s v=" $589.66 "/>
    <n v="1"/>
    <n v="25"/>
    <s v="Clothing"/>
    <s v="Microwave"/>
    <x v="1"/>
    <x v="1"/>
    <n v="589.66"/>
    <s v="Misaligned"/>
    <x v="1"/>
    <s v="High Value Tier"/>
    <x v="0"/>
  </r>
  <r>
    <s v="ORD6479"/>
    <s v="CUST2479"/>
    <n v="46"/>
    <s v="PROD1679"/>
    <x v="1"/>
    <x v="390"/>
    <s v="3/19/2021"/>
    <n v="0"/>
    <x v="0"/>
    <s v="4/27/2024"/>
    <s v=" $214.73 "/>
    <n v="7"/>
    <n v="47"/>
    <s v="Sports"/>
    <s v="Moisturizer"/>
    <x v="3"/>
    <x v="0"/>
    <n v="1503.11"/>
    <s v="Misaligned"/>
    <x v="0"/>
    <s v="High Value Tier"/>
    <x v="0"/>
  </r>
  <r>
    <s v="ORD6480"/>
    <s v="CUST2480"/>
    <n v="64"/>
    <s v="PROD1680"/>
    <x v="3"/>
    <x v="113"/>
    <s v="8/21/2024"/>
    <n v="3"/>
    <x v="1"/>
    <s v="5/15/2023"/>
    <s v=" $913.56 "/>
    <n v="1"/>
    <n v="46"/>
    <s v="Beauty"/>
    <s v="Cycling Helmet"/>
    <x v="0"/>
    <x v="0"/>
    <n v="913.56"/>
    <s v="Misaligned"/>
    <x v="1"/>
    <s v="High Value Tier"/>
    <x v="0"/>
  </r>
  <r>
    <s v="ORD6481"/>
    <s v="CUST2481"/>
    <n v="41"/>
    <s v="PROD1681"/>
    <x v="3"/>
    <x v="756"/>
    <s v="12/31/2024"/>
    <n v="0"/>
    <x v="0"/>
    <s v="7/31/2022"/>
    <s v=" $515.65 "/>
    <n v="2"/>
    <n v="44"/>
    <s v="Sports"/>
    <s v="Foundation"/>
    <x v="3"/>
    <x v="1"/>
    <n v="1031.3"/>
    <s v="Misaligned"/>
    <x v="0"/>
    <s v="High Value Tier"/>
    <x v="0"/>
  </r>
  <r>
    <s v="ORD6482"/>
    <s v="CUST2482"/>
    <n v="46"/>
    <s v="PROD1682"/>
    <x v="2"/>
    <x v="342"/>
    <s v="11/19/2023"/>
    <n v="3"/>
    <x v="2"/>
    <s v="7/25/2024"/>
    <s v=" $67.77 "/>
    <n v="3"/>
    <n v="8"/>
    <s v="Clothing"/>
    <s v="Football"/>
    <x v="0"/>
    <x v="0"/>
    <n v="203.31"/>
    <s v="Misaligned"/>
    <x v="0"/>
    <s v="Core Tier"/>
    <x v="1"/>
  </r>
  <r>
    <s v="ORD6483"/>
    <s v="CUST2483"/>
    <n v="37"/>
    <s v="PROD1683"/>
    <x v="5"/>
    <x v="123"/>
    <s v="7/15/2025"/>
    <n v="3"/>
    <x v="1"/>
    <d v="2023-07-04T00:00:00"/>
    <s v=" $485.61 "/>
    <n v="4"/>
    <n v="11"/>
    <s v="Sports"/>
    <s v="Lipstick"/>
    <x v="3"/>
    <x v="0"/>
    <n v="1942.44"/>
    <s v="Misaligned"/>
    <x v="0"/>
    <s v="High Value Tier"/>
    <x v="0"/>
  </r>
  <r>
    <s v="ORD6484"/>
    <s v="CUST2484"/>
    <n v="33"/>
    <s v="PROD1684"/>
    <x v="5"/>
    <x v="575"/>
    <s v="11/21/2024"/>
    <n v="0"/>
    <x v="1"/>
    <s v="5/22/2025"/>
    <s v=" $176.45 "/>
    <n v="2"/>
    <n v="19"/>
    <s v="Clothing"/>
    <s v="Perfume"/>
    <x v="3"/>
    <x v="0"/>
    <n v="352.9"/>
    <s v="Misaligned"/>
    <x v="2"/>
    <s v="High Value Tier"/>
    <x v="0"/>
  </r>
  <r>
    <s v="ORD6485"/>
    <s v="CUST2485"/>
    <n v="56"/>
    <s v="PROD1685"/>
    <x v="4"/>
    <x v="332"/>
    <d v="2023-04-07T00:00:00"/>
    <n v="0"/>
    <x v="0"/>
    <s v="5/30/2023"/>
    <s v=" $8.27 "/>
    <n v="6"/>
    <n v="39"/>
    <s v="Clothing"/>
    <s v="Blender"/>
    <x v="1"/>
    <x v="1"/>
    <n v="49.62"/>
    <s v="Misaligned"/>
    <x v="1"/>
    <s v="Core Tier"/>
    <x v="0"/>
  </r>
  <r>
    <s v="ORD6486"/>
    <s v="CUST2486"/>
    <n v="59"/>
    <s v="PROD1686"/>
    <x v="0"/>
    <x v="203"/>
    <d v="2025-10-02T00:00:00"/>
    <n v="4"/>
    <x v="0"/>
    <s v="12/16/2023"/>
    <s v=" $407.74 "/>
    <n v="4"/>
    <n v="49"/>
    <s v="Clothing"/>
    <s v="Conditioner"/>
    <x v="3"/>
    <x v="0"/>
    <n v="1630.96"/>
    <s v="Misaligned"/>
    <x v="1"/>
    <s v="High Value Tier"/>
    <x v="3"/>
  </r>
  <r>
    <s v="ORD6487"/>
    <s v="CUST2487"/>
    <n v="56"/>
    <s v="PROD1687"/>
    <x v="0"/>
    <x v="811"/>
    <s v="5/21/2023"/>
    <n v="3"/>
    <x v="0"/>
    <s v="3/30/2022"/>
    <s v=" $348.65 "/>
    <n v="5"/>
    <n v="24"/>
    <s v="Electronics"/>
    <s v="Foundation"/>
    <x v="3"/>
    <x v="1"/>
    <n v="1743.25"/>
    <s v="Misaligned"/>
    <x v="1"/>
    <s v="High Value Tier"/>
    <x v="0"/>
  </r>
  <r>
    <s v="ORD6488"/>
    <s v="CUST2488"/>
    <n v="63"/>
    <s v="PROD1688"/>
    <x v="3"/>
    <x v="695"/>
    <s v="12/14/2022"/>
    <n v="5"/>
    <x v="1"/>
    <d v="2025-09-04T00:00:00"/>
    <s v=" $123.75 "/>
    <n v="7"/>
    <n v="11"/>
    <s v="Clothing"/>
    <s v="Foundation"/>
    <x v="3"/>
    <x v="0"/>
    <n v="866.25"/>
    <s v="Misaligned"/>
    <x v="1"/>
    <s v="High Value Tier"/>
    <x v="0"/>
  </r>
  <r>
    <s v="ORD6489"/>
    <s v="CUST2489"/>
    <n v="29"/>
    <s v="PROD1689"/>
    <x v="1"/>
    <x v="25"/>
    <d v="2022-02-04T00:00:00"/>
    <n v="5"/>
    <x v="0"/>
    <s v="12/22/2023"/>
    <s v=" $187.84 "/>
    <n v="4"/>
    <n v="45"/>
    <s v="Home"/>
    <s v="Cycling Helmet"/>
    <x v="0"/>
    <x v="0"/>
    <n v="751.36"/>
    <s v="Misaligned"/>
    <x v="2"/>
    <s v="High Value Tier"/>
    <x v="3"/>
  </r>
  <r>
    <s v="ORD6490"/>
    <s v="CUST2490"/>
    <n v="47"/>
    <s v="PROD1690"/>
    <x v="1"/>
    <x v="249"/>
    <s v="4/14/2024"/>
    <n v="2"/>
    <x v="1"/>
    <s v="3/15/2025"/>
    <s v=" $204.11 "/>
    <n v="4"/>
    <n v="34"/>
    <s v="Clothing"/>
    <s v="Jacket"/>
    <x v="2"/>
    <x v="1"/>
    <n v="816.44"/>
    <s v="Aligned"/>
    <x v="0"/>
    <s v="High Value Tier"/>
    <x v="0"/>
  </r>
  <r>
    <s v="ORD6491"/>
    <s v="CUST2491"/>
    <n v="55"/>
    <s v="PROD1691"/>
    <x v="1"/>
    <x v="483"/>
    <s v="8/17/2024"/>
    <n v="2"/>
    <x v="1"/>
    <d v="2022-10-06T00:00:00"/>
    <s v=" $130.04 "/>
    <n v="8"/>
    <n v="40"/>
    <s v="Home"/>
    <s v="Blender"/>
    <x v="1"/>
    <x v="1"/>
    <n v="1040.32"/>
    <s v="Aligned"/>
    <x v="1"/>
    <s v="High Value Tier"/>
    <x v="0"/>
  </r>
  <r>
    <s v="ORD6492"/>
    <s v="CUST2492"/>
    <n v="68"/>
    <s v="PROD1692"/>
    <x v="3"/>
    <x v="112"/>
    <d v="2023-05-04T00:00:00"/>
    <n v="3"/>
    <x v="0"/>
    <s v="11/28/2023"/>
    <s v=" $328.35 "/>
    <n v="4"/>
    <n v="40"/>
    <s v="Electronics"/>
    <s v="Face Wash"/>
    <x v="3"/>
    <x v="1"/>
    <n v="1313.4"/>
    <s v="Misaligned"/>
    <x v="4"/>
    <s v="High Value Tier"/>
    <x v="0"/>
  </r>
  <r>
    <s v="ORD6493"/>
    <s v="CUST2493"/>
    <n v="39"/>
    <s v="PROD1693"/>
    <x v="0"/>
    <x v="550"/>
    <d v="2024-10-09T00:00:00"/>
    <n v="4"/>
    <x v="2"/>
    <d v="2025-05-06T00:00:00"/>
    <s v=" $181.01 "/>
    <n v="6"/>
    <n v="46"/>
    <s v="Electronics"/>
    <s v="Yoga Mat"/>
    <x v="0"/>
    <x v="1"/>
    <n v="1086.06"/>
    <s v="Misaligned"/>
    <x v="0"/>
    <s v="High Value Tier"/>
    <x v="1"/>
  </r>
  <r>
    <s v="ORD6494"/>
    <s v="CUST2494"/>
    <n v="43"/>
    <s v="PROD1694"/>
    <x v="5"/>
    <x v="812"/>
    <s v="9/15/2022"/>
    <n v="2"/>
    <x v="0"/>
    <s v="10/18/2024"/>
    <s v=" $20.16 "/>
    <n v="8"/>
    <n v="2"/>
    <s v="Sports"/>
    <s v="T-Shirt"/>
    <x v="2"/>
    <x v="1"/>
    <n v="161.28"/>
    <s v="Misaligned"/>
    <x v="0"/>
    <s v="Value Tier"/>
    <x v="0"/>
  </r>
  <r>
    <s v="ORD6495"/>
    <s v="CUST2495"/>
    <n v="18"/>
    <s v="PROD1695"/>
    <x v="5"/>
    <x v="291"/>
    <s v="12/31/2024"/>
    <n v="4"/>
    <x v="1"/>
    <s v="10/18/2024"/>
    <s v=" $198.39 "/>
    <n v="7"/>
    <n v="46"/>
    <s v="Beauty"/>
    <s v="Camera"/>
    <x v="4"/>
    <x v="1"/>
    <n v="1388.73"/>
    <s v="Misaligned"/>
    <x v="3"/>
    <s v="High Value Tier"/>
    <x v="0"/>
  </r>
  <r>
    <s v="ORD6496"/>
    <s v="CUST2496"/>
    <n v="39"/>
    <s v="PROD1696"/>
    <x v="4"/>
    <x v="634"/>
    <d v="2023-02-03T00:00:00"/>
    <n v="0"/>
    <x v="1"/>
    <d v="2025-04-04T00:00:00"/>
    <s v=" $193.90 "/>
    <n v="5"/>
    <n v="6"/>
    <s v="Home"/>
    <s v="Football"/>
    <x v="0"/>
    <x v="1"/>
    <n v="969.5"/>
    <s v="Misaligned"/>
    <x v="0"/>
    <s v="High Value Tier"/>
    <x v="0"/>
  </r>
  <r>
    <s v="ORD6497"/>
    <s v="CUST2497"/>
    <n v="52"/>
    <s v="PROD1697"/>
    <x v="3"/>
    <x v="28"/>
    <s v="7/19/2023"/>
    <n v="3"/>
    <x v="1"/>
    <s v="3/29/2022"/>
    <s v=" $413.80 "/>
    <n v="2"/>
    <n v="18"/>
    <s v="Clothing"/>
    <s v="Skirt"/>
    <x v="2"/>
    <x v="0"/>
    <n v="827.6"/>
    <s v="Aligned"/>
    <x v="1"/>
    <s v="High Value Tier"/>
    <x v="0"/>
  </r>
  <r>
    <s v="ORD6498"/>
    <s v="CUST2498"/>
    <n v="42"/>
    <s v="PROD1698"/>
    <x v="4"/>
    <x v="631"/>
    <s v="7/26/2024"/>
    <n v="0"/>
    <x v="0"/>
    <d v="2024-10-03T00:00:00"/>
    <s v=" $341.64 "/>
    <n v="2"/>
    <n v="12"/>
    <s v="Sports"/>
    <s v="Dress"/>
    <x v="2"/>
    <x v="0"/>
    <n v="683.28"/>
    <s v="Misaligned"/>
    <x v="0"/>
    <s v="High Value Tier"/>
    <x v="0"/>
  </r>
  <r>
    <s v="ORD6499"/>
    <s v="CUST2499"/>
    <n v="38"/>
    <s v="PROD1699"/>
    <x v="3"/>
    <x v="573"/>
    <d v="2023-02-06T00:00:00"/>
    <n v="4"/>
    <x v="0"/>
    <s v="12/15/2024"/>
    <s v=" $388.60 "/>
    <n v="3"/>
    <n v="26"/>
    <s v="Home"/>
    <s v="Foundation"/>
    <x v="3"/>
    <x v="1"/>
    <n v="1165.8"/>
    <s v="Misaligned"/>
    <x v="0"/>
    <s v="High Value Tier"/>
    <x v="3"/>
  </r>
  <r>
    <s v="ORD6500"/>
    <s v="CUST2500"/>
    <n v="35"/>
    <s v="PROD1700"/>
    <x v="3"/>
    <x v="481"/>
    <d v="2023-07-03T00:00:00"/>
    <n v="2"/>
    <x v="0"/>
    <s v="3/28/2025"/>
    <s v=" $187.87 "/>
    <n v="5"/>
    <n v="42"/>
    <s v="Home"/>
    <s v="Laptop"/>
    <x v="4"/>
    <x v="1"/>
    <n v="939.35"/>
    <s v="Misaligned"/>
    <x v="0"/>
    <s v="High Value Tier"/>
    <x v="0"/>
  </r>
  <r>
    <s v="ORD6501"/>
    <s v="CUST2501"/>
    <n v="66"/>
    <s v="PROD1701"/>
    <x v="3"/>
    <x v="813"/>
    <s v="3/23/2023"/>
    <n v="2"/>
    <x v="1"/>
    <s v="9/30/2021"/>
    <s v=" $618.99 "/>
    <n v="3"/>
    <n v="3"/>
    <s v="Home"/>
    <s v="Microwave"/>
    <x v="1"/>
    <x v="1"/>
    <n v="1856.97"/>
    <s v="Aligned"/>
    <x v="4"/>
    <s v="High Value Tier"/>
    <x v="0"/>
  </r>
  <r>
    <s v="ORD6502"/>
    <s v="CUST2502"/>
    <n v="28"/>
    <s v="PROD1702"/>
    <x v="4"/>
    <x v="255"/>
    <d v="2022-12-03T00:00:00"/>
    <n v="4"/>
    <x v="0"/>
    <d v="2025-01-05T00:00:00"/>
    <s v=" $1,155.20 "/>
    <n v="1"/>
    <n v="29"/>
    <s v="Home"/>
    <s v="Face Wash"/>
    <x v="3"/>
    <x v="0"/>
    <n v="1155.2"/>
    <s v="Misaligned"/>
    <x v="2"/>
    <s v="High Value Tier"/>
    <x v="3"/>
  </r>
  <r>
    <s v="ORD6503"/>
    <s v="CUST2503"/>
    <n v="40"/>
    <s v="PROD1703"/>
    <x v="4"/>
    <x v="380"/>
    <s v="11/30/2024"/>
    <n v="4"/>
    <x v="0"/>
    <s v="5/17/2022"/>
    <s v=" $82.63 "/>
    <n v="9"/>
    <n v="48"/>
    <s v="Clothing"/>
    <s v="Lamp"/>
    <x v="1"/>
    <x v="1"/>
    <n v="743.67"/>
    <s v="Misaligned"/>
    <x v="0"/>
    <s v="High Value Tier"/>
    <x v="3"/>
  </r>
  <r>
    <s v="ORD6504"/>
    <s v="CUST2504"/>
    <n v="49"/>
    <s v="PROD1704"/>
    <x v="1"/>
    <x v="452"/>
    <d v="2024-07-02T00:00:00"/>
    <n v="5"/>
    <x v="2"/>
    <d v="2023-05-11T00:00:00"/>
    <s v=" $262.10 "/>
    <n v="4"/>
    <n v="37"/>
    <s v="Sports"/>
    <s v="Sofa"/>
    <x v="1"/>
    <x v="1"/>
    <n v="1048.4000000000001"/>
    <s v="Misaligned"/>
    <x v="0"/>
    <s v="High Value Tier"/>
    <x v="1"/>
  </r>
  <r>
    <s v="ORD6505"/>
    <s v="CUST2505"/>
    <n v="55"/>
    <s v="PROD1705"/>
    <x v="2"/>
    <x v="536"/>
    <d v="2022-02-10T00:00:00"/>
    <n v="3"/>
    <x v="0"/>
    <d v="2025-04-03T00:00:00"/>
    <s v=" $738.66 "/>
    <n v="2"/>
    <n v="37"/>
    <s v="Sports"/>
    <s v="Tablet"/>
    <x v="4"/>
    <x v="1"/>
    <n v="1477.32"/>
    <s v="Misaligned"/>
    <x v="1"/>
    <s v="High Value Tier"/>
    <x v="0"/>
  </r>
  <r>
    <s v="ORD6506"/>
    <s v="CUST2506"/>
    <n v="25"/>
    <s v="PROD1706"/>
    <x v="1"/>
    <x v="389"/>
    <d v="2024-05-03T00:00:00"/>
    <n v="1"/>
    <x v="0"/>
    <s v="5/28/2023"/>
    <s v=" $2.91 "/>
    <n v="8"/>
    <n v="48"/>
    <s v="Beauty"/>
    <s v="Sofa"/>
    <x v="1"/>
    <x v="0"/>
    <n v="23.28"/>
    <s v="Misaligned"/>
    <x v="2"/>
    <s v="Core Tier"/>
    <x v="0"/>
  </r>
  <r>
    <s v="ORD6507"/>
    <s v="CUST2507"/>
    <n v="26"/>
    <s v="PROD1707"/>
    <x v="0"/>
    <x v="494"/>
    <s v="11/30/2023"/>
    <n v="3"/>
    <x v="0"/>
    <s v="7/14/2025"/>
    <s v=" $486.08 "/>
    <n v="4"/>
    <n v="26"/>
    <s v="Beauty"/>
    <s v="Basketball"/>
    <x v="0"/>
    <x v="1"/>
    <n v="1944.32"/>
    <s v="Misaligned"/>
    <x v="2"/>
    <s v="High Value Tier"/>
    <x v="0"/>
  </r>
  <r>
    <s v="ORD6508"/>
    <s v="CUST2508"/>
    <n v="64"/>
    <s v="PROD1708"/>
    <x v="2"/>
    <x v="737"/>
    <s v="4/22/2025"/>
    <n v="0"/>
    <x v="1"/>
    <s v="8/25/2023"/>
    <s v=" $62.60 "/>
    <n v="6"/>
    <n v="3"/>
    <s v="Beauty"/>
    <s v="Dining Table"/>
    <x v="1"/>
    <x v="1"/>
    <n v="375.6"/>
    <s v="Misaligned"/>
    <x v="1"/>
    <s v="Core Tier"/>
    <x v="0"/>
  </r>
  <r>
    <s v="ORD6509"/>
    <s v="CUST2509"/>
    <n v="34"/>
    <s v="PROD1709"/>
    <x v="3"/>
    <x v="631"/>
    <s v="10/30/2022"/>
    <n v="3"/>
    <x v="2"/>
    <d v="2022-05-03T00:00:00"/>
    <s v=" $522.52 "/>
    <n v="1"/>
    <n v="11"/>
    <s v="Sports"/>
    <s v="Tablet"/>
    <x v="4"/>
    <x v="1"/>
    <n v="522.52"/>
    <s v="Misaligned"/>
    <x v="2"/>
    <s v="High Value Tier"/>
    <x v="1"/>
  </r>
  <r>
    <s v="ORD6510"/>
    <s v="CUST2510"/>
    <n v="46"/>
    <s v="PROD1710"/>
    <x v="5"/>
    <x v="319"/>
    <d v="2023-06-08T00:00:00"/>
    <n v="5"/>
    <x v="0"/>
    <d v="2022-09-11T00:00:00"/>
    <s v=" $30.67 "/>
    <n v="5"/>
    <n v="38"/>
    <s v="Clothing"/>
    <s v="Basketball"/>
    <x v="0"/>
    <x v="1"/>
    <n v="153.35"/>
    <s v="Misaligned"/>
    <x v="0"/>
    <s v="High Value Tier"/>
    <x v="3"/>
  </r>
  <r>
    <s v="ORD6511"/>
    <s v="CUST2511"/>
    <n v="32"/>
    <s v="PROD1711"/>
    <x v="0"/>
    <x v="781"/>
    <s v="4/26/2022"/>
    <n v="5"/>
    <x v="1"/>
    <s v="7/25/2024"/>
    <s v=" $224.96 "/>
    <n v="8"/>
    <n v="15"/>
    <s v="Home"/>
    <s v="Jacket"/>
    <x v="2"/>
    <x v="0"/>
    <n v="1799.68"/>
    <s v="Misaligned"/>
    <x v="2"/>
    <s v="High Value Tier"/>
    <x v="0"/>
  </r>
  <r>
    <s v="ORD6512"/>
    <s v="CUST2512"/>
    <n v="20"/>
    <s v="PROD1712"/>
    <x v="5"/>
    <x v="364"/>
    <s v="2/15/2023"/>
    <n v="2"/>
    <x v="1"/>
    <s v="8/18/2025"/>
    <s v=" $2.85 "/>
    <n v="9"/>
    <n v="34"/>
    <s v="Clothing"/>
    <s v="Cycling Helmet"/>
    <x v="0"/>
    <x v="1"/>
    <n v="25.65"/>
    <s v="Misaligned"/>
    <x v="3"/>
    <s v="Core Tier"/>
    <x v="0"/>
  </r>
  <r>
    <s v="ORD6513"/>
    <s v="CUST2513"/>
    <n v="29"/>
    <s v="PROD1713"/>
    <x v="5"/>
    <x v="725"/>
    <d v="2023-04-11T00:00:00"/>
    <n v="4"/>
    <x v="0"/>
    <d v="2023-09-02T00:00:00"/>
    <s v=" $571.46 "/>
    <n v="2"/>
    <n v="14"/>
    <s v="Electronics"/>
    <s v="Headphones"/>
    <x v="4"/>
    <x v="0"/>
    <n v="1142.92"/>
    <s v="Aligned"/>
    <x v="2"/>
    <s v="High Value Tier"/>
    <x v="3"/>
  </r>
  <r>
    <s v="ORD6514"/>
    <s v="CUST2514"/>
    <n v="35"/>
    <s v="PROD1714"/>
    <x v="3"/>
    <x v="814"/>
    <s v="12/26/2024"/>
    <n v="3"/>
    <x v="0"/>
    <s v="9/24/2021"/>
    <s v=" $558.66 "/>
    <n v="2"/>
    <n v="35"/>
    <s v="Sports"/>
    <s v="Tablet"/>
    <x v="4"/>
    <x v="0"/>
    <n v="1117.32"/>
    <s v="Misaligned"/>
    <x v="0"/>
    <s v="High Value Tier"/>
    <x v="0"/>
  </r>
  <r>
    <s v="ORD6515"/>
    <s v="CUST2515"/>
    <n v="20"/>
    <s v="PROD1715"/>
    <x v="2"/>
    <x v="598"/>
    <d v="2025-09-04T00:00:00"/>
    <n v="1"/>
    <x v="1"/>
    <d v="2023-03-12T00:00:00"/>
    <s v=" $34.92 "/>
    <n v="5"/>
    <n v="7"/>
    <s v="Electronics"/>
    <s v="Blender"/>
    <x v="1"/>
    <x v="1"/>
    <n v="174.6"/>
    <s v="Misaligned"/>
    <x v="3"/>
    <s v="Core Tier"/>
    <x v="0"/>
  </r>
  <r>
    <s v="ORD6516"/>
    <s v="CUST2516"/>
    <n v="30"/>
    <s v="PROD1716"/>
    <x v="2"/>
    <x v="287"/>
    <s v="4/29/2022"/>
    <n v="1"/>
    <x v="0"/>
    <d v="2022-08-07T00:00:00"/>
    <s v=" $316.57 "/>
    <n v="6"/>
    <n v="18"/>
    <s v="Home"/>
    <s v="Vacuum Cleaner"/>
    <x v="1"/>
    <x v="1"/>
    <n v="1899.42"/>
    <s v="Aligned"/>
    <x v="2"/>
    <s v="High Value Tier"/>
    <x v="0"/>
  </r>
  <r>
    <s v="ORD6517"/>
    <s v="CUST2517"/>
    <n v="28"/>
    <s v="PROD1717"/>
    <x v="1"/>
    <x v="522"/>
    <s v="6/18/2025"/>
    <n v="2"/>
    <x v="0"/>
    <s v="10/18/2024"/>
    <s v=" $243.66 "/>
    <n v="5"/>
    <n v="37"/>
    <s v="Clothing"/>
    <s v="Lamp"/>
    <x v="1"/>
    <x v="0"/>
    <n v="1218.3"/>
    <s v="Misaligned"/>
    <x v="2"/>
    <s v="High Value Tier"/>
    <x v="0"/>
  </r>
  <r>
    <s v="ORD6518"/>
    <s v="CUST2518"/>
    <n v="55"/>
    <s v="PROD1718"/>
    <x v="0"/>
    <x v="70"/>
    <s v="7/29/2022"/>
    <n v="5"/>
    <x v="0"/>
    <d v="2025-10-04T00:00:00"/>
    <s v=" $158.84 "/>
    <n v="9"/>
    <n v="9"/>
    <s v="Clothing"/>
    <s v="Sneakers"/>
    <x v="2"/>
    <x v="0"/>
    <n v="1429.56"/>
    <s v="Aligned"/>
    <x v="1"/>
    <s v="High Value Tier"/>
    <x v="3"/>
  </r>
  <r>
    <s v="ORD6519"/>
    <s v="CUST2519"/>
    <n v="64"/>
    <s v="PROD1719"/>
    <x v="4"/>
    <x v="505"/>
    <d v="2025-03-04T00:00:00"/>
    <n v="0"/>
    <x v="1"/>
    <s v="2/25/2022"/>
    <s v=" $30.74 "/>
    <n v="7"/>
    <n v="27"/>
    <s v="Beauty"/>
    <s v="Shirt"/>
    <x v="2"/>
    <x v="1"/>
    <n v="215.18"/>
    <s v="Misaligned"/>
    <x v="1"/>
    <s v="High Value Tier"/>
    <x v="0"/>
  </r>
  <r>
    <s v="ORD6520"/>
    <s v="CUST2520"/>
    <n v="57"/>
    <s v="PROD1720"/>
    <x v="5"/>
    <x v="218"/>
    <s v="3/23/2024"/>
    <n v="3"/>
    <x v="1"/>
    <s v="9/22/2023"/>
    <s v=" $793.80 "/>
    <n v="2"/>
    <n v="37"/>
    <s v="Clothing"/>
    <s v="Bluetooth Speaker"/>
    <x v="4"/>
    <x v="0"/>
    <n v="1587.6"/>
    <s v="Misaligned"/>
    <x v="1"/>
    <s v="High Value Tier"/>
    <x v="0"/>
  </r>
  <r>
    <s v="ORD6521"/>
    <s v="CUST2521"/>
    <n v="20"/>
    <s v="PROD1721"/>
    <x v="4"/>
    <x v="815"/>
    <s v="10/14/2023"/>
    <n v="1"/>
    <x v="0"/>
    <s v="9/13/2023"/>
    <s v=" $292.99 "/>
    <n v="6"/>
    <n v="8"/>
    <s v="Sports"/>
    <s v="Conditioner"/>
    <x v="3"/>
    <x v="1"/>
    <n v="1757.94"/>
    <s v="Misaligned"/>
    <x v="3"/>
    <s v="High Value Tier"/>
    <x v="0"/>
  </r>
  <r>
    <s v="ORD6522"/>
    <s v="CUST2522"/>
    <n v="62"/>
    <s v="PROD1722"/>
    <x v="3"/>
    <x v="239"/>
    <s v="11/29/2022"/>
    <n v="4"/>
    <x v="1"/>
    <s v="8/30/2021"/>
    <s v=" $341.04 "/>
    <n v="2"/>
    <n v="5"/>
    <s v="Beauty"/>
    <s v="Moisturizer"/>
    <x v="3"/>
    <x v="0"/>
    <n v="682.08"/>
    <s v="Aligned"/>
    <x v="1"/>
    <s v="High Value Tier"/>
    <x v="0"/>
  </r>
  <r>
    <s v="ORD6523"/>
    <s v="CUST2523"/>
    <n v="58"/>
    <s v="PROD1723"/>
    <x v="4"/>
    <x v="816"/>
    <s v="3/21/2024"/>
    <n v="0"/>
    <x v="2"/>
    <d v="2023-05-03T00:00:00"/>
    <s v=" $205.75 "/>
    <n v="7"/>
    <n v="5"/>
    <s v="Clothing"/>
    <s v="Gaming Console"/>
    <x v="4"/>
    <x v="1"/>
    <n v="1440.25"/>
    <s v="Misaligned"/>
    <x v="1"/>
    <s v="High Value Tier"/>
    <x v="1"/>
  </r>
  <r>
    <s v="ORD6524"/>
    <s v="CUST2524"/>
    <n v="19"/>
    <s v="PROD1724"/>
    <x v="5"/>
    <x v="444"/>
    <s v="4/29/2024"/>
    <n v="5"/>
    <x v="0"/>
    <s v="7/21/2023"/>
    <s v=" $126.42 "/>
    <n v="7"/>
    <n v="45"/>
    <s v="Clothing"/>
    <s v="Gaming Console"/>
    <x v="4"/>
    <x v="0"/>
    <n v="884.94"/>
    <s v="Misaligned"/>
    <x v="3"/>
    <s v="High Value Tier"/>
    <x v="3"/>
  </r>
  <r>
    <s v="ORD6525"/>
    <s v="CUST2525"/>
    <n v="18"/>
    <s v="PROD1725"/>
    <x v="0"/>
    <x v="597"/>
    <s v="3/22/2025"/>
    <n v="5"/>
    <x v="0"/>
    <s v="9/14/2023"/>
    <s v=" $205.06 "/>
    <n v="6"/>
    <n v="40"/>
    <s v="Sports"/>
    <s v="Nail Polish"/>
    <x v="3"/>
    <x v="0"/>
    <n v="1230.3599999999999"/>
    <s v="Misaligned"/>
    <x v="3"/>
    <s v="High Value Tier"/>
    <x v="3"/>
  </r>
  <r>
    <s v="ORD6526"/>
    <s v="CUST2526"/>
    <n v="18"/>
    <s v="PROD1726"/>
    <x v="0"/>
    <x v="10"/>
    <d v="2025-05-05T00:00:00"/>
    <n v="4"/>
    <x v="0"/>
    <d v="2025-05-01T00:00:00"/>
    <s v=" $87.18 "/>
    <n v="2"/>
    <n v="14"/>
    <s v="Home"/>
    <s v="Microwave"/>
    <x v="1"/>
    <x v="1"/>
    <n v="174.36"/>
    <s v="Aligned"/>
    <x v="3"/>
    <s v="Core Tier"/>
    <x v="3"/>
  </r>
  <r>
    <s v="ORD6527"/>
    <s v="CUST2527"/>
    <n v="37"/>
    <s v="PROD1727"/>
    <x v="1"/>
    <x v="331"/>
    <s v="5/21/2024"/>
    <n v="5"/>
    <x v="0"/>
    <s v="11/24/2024"/>
    <s v=" $40.23 "/>
    <n v="7"/>
    <n v="40"/>
    <s v="Home"/>
    <s v="Bluetooth Speaker"/>
    <x v="4"/>
    <x v="1"/>
    <n v="281.61"/>
    <s v="Misaligned"/>
    <x v="0"/>
    <s v="High Value Tier"/>
    <x v="3"/>
  </r>
  <r>
    <s v="ORD6528"/>
    <s v="CUST2528"/>
    <n v="21"/>
    <s v="PROD1728"/>
    <x v="1"/>
    <x v="817"/>
    <d v="2023-01-12T00:00:00"/>
    <n v="4"/>
    <x v="1"/>
    <d v="2024-01-05T00:00:00"/>
    <s v=" $375.80 "/>
    <n v="5"/>
    <n v="12"/>
    <s v="Clothing"/>
    <s v="Sneakers"/>
    <x v="2"/>
    <x v="1"/>
    <n v="1879"/>
    <s v="Aligned"/>
    <x v="3"/>
    <s v="High Value Tier"/>
    <x v="0"/>
  </r>
  <r>
    <s v="ORD6529"/>
    <s v="CUST2529"/>
    <n v="20"/>
    <s v="PROD1729"/>
    <x v="1"/>
    <x v="503"/>
    <d v="2024-10-03T00:00:00"/>
    <n v="2"/>
    <x v="1"/>
    <d v="2023-03-02T00:00:00"/>
    <s v=" $277.50 "/>
    <n v="5"/>
    <n v="42"/>
    <s v="Clothing"/>
    <s v="Nail Polish"/>
    <x v="3"/>
    <x v="1"/>
    <n v="1387.5"/>
    <s v="Misaligned"/>
    <x v="3"/>
    <s v="High Value Tier"/>
    <x v="0"/>
  </r>
  <r>
    <s v="ORD6530"/>
    <s v="CUST2530"/>
    <n v="65"/>
    <s v="PROD1730"/>
    <x v="3"/>
    <x v="102"/>
    <s v="10/24/2023"/>
    <n v="5"/>
    <x v="0"/>
    <d v="2022-11-11T00:00:00"/>
    <s v=" $122.48 "/>
    <n v="8"/>
    <n v="39"/>
    <s v="Sports"/>
    <s v="Sofa"/>
    <x v="1"/>
    <x v="2"/>
    <n v="979.84"/>
    <s v="Misaligned"/>
    <x v="4"/>
    <s v="High Value Tier"/>
    <x v="3"/>
  </r>
  <r>
    <s v="ORD6531"/>
    <s v="CUST2531"/>
    <n v="47"/>
    <s v="PROD1731"/>
    <x v="0"/>
    <x v="818"/>
    <s v="9/27/2023"/>
    <n v="3"/>
    <x v="0"/>
    <s v="6/20/2023"/>
    <s v=" $114.92 "/>
    <n v="4"/>
    <n v="4"/>
    <s v="Beauty"/>
    <s v="Jeans"/>
    <x v="2"/>
    <x v="1"/>
    <n v="459.68"/>
    <s v="Misaligned"/>
    <x v="0"/>
    <s v="Core Tier"/>
    <x v="0"/>
  </r>
  <r>
    <s v="ORD6532"/>
    <s v="CUST2532"/>
    <n v="53"/>
    <s v="PROD1732"/>
    <x v="1"/>
    <x v="819"/>
    <d v="2024-10-07T00:00:00"/>
    <n v="5"/>
    <x v="0"/>
    <s v="5/17/2025"/>
    <s v=" $292.53 "/>
    <n v="1"/>
    <n v="4"/>
    <s v="Sports"/>
    <s v="Vacuum Cleaner"/>
    <x v="1"/>
    <x v="1"/>
    <n v="292.52999999999997"/>
    <s v="Misaligned"/>
    <x v="1"/>
    <s v="Core Tier"/>
    <x v="3"/>
  </r>
  <r>
    <s v="ORD6533"/>
    <s v="CUST2533"/>
    <n v="66"/>
    <s v="PROD1733"/>
    <x v="2"/>
    <x v="550"/>
    <d v="2025-02-05T00:00:00"/>
    <n v="1"/>
    <x v="0"/>
    <d v="2024-08-08T00:00:00"/>
    <s v=" $239.23 "/>
    <n v="3"/>
    <n v="11"/>
    <s v="Beauty"/>
    <s v="Smartwatch"/>
    <x v="4"/>
    <x v="1"/>
    <n v="717.69"/>
    <s v="Misaligned"/>
    <x v="4"/>
    <s v="High Value Tier"/>
    <x v="0"/>
  </r>
  <r>
    <s v="ORD6534"/>
    <s v="CUST2534"/>
    <n v="35"/>
    <s v="PROD1734"/>
    <x v="5"/>
    <x v="347"/>
    <s v="12/28/2022"/>
    <n v="3"/>
    <x v="1"/>
    <d v="2022-11-03T00:00:00"/>
    <s v=" $120.66 "/>
    <n v="3"/>
    <n v="10"/>
    <s v="Electronics"/>
    <s v="Foundation"/>
    <x v="3"/>
    <x v="1"/>
    <n v="361.98"/>
    <s v="Misaligned"/>
    <x v="0"/>
    <s v="High Value Tier"/>
    <x v="0"/>
  </r>
  <r>
    <s v="ORD6535"/>
    <s v="CUST2535"/>
    <n v="41"/>
    <s v="PROD1735"/>
    <x v="2"/>
    <x v="250"/>
    <s v="8/17/2024"/>
    <n v="2"/>
    <x v="1"/>
    <s v="8/17/2024"/>
    <s v=" $129.00 "/>
    <n v="9"/>
    <n v="30"/>
    <s v="Sports"/>
    <s v="Yoga Mat"/>
    <x v="0"/>
    <x v="0"/>
    <n v="1161"/>
    <s v="Aligned"/>
    <x v="0"/>
    <s v="High Value Tier"/>
    <x v="0"/>
  </r>
  <r>
    <s v="ORD6536"/>
    <s v="CUST2536"/>
    <n v="41"/>
    <s v="PROD1736"/>
    <x v="4"/>
    <x v="251"/>
    <d v="2024-02-09T00:00:00"/>
    <n v="2"/>
    <x v="0"/>
    <d v="2025-07-07T00:00:00"/>
    <s v=" $184.41 "/>
    <n v="9"/>
    <n v="41"/>
    <s v="Sports"/>
    <s v="Tennis Racket"/>
    <x v="0"/>
    <x v="1"/>
    <n v="1659.69"/>
    <s v="Aligned"/>
    <x v="0"/>
    <s v="High Value Tier"/>
    <x v="0"/>
  </r>
  <r>
    <s v="ORD6537"/>
    <s v="CUST2537"/>
    <n v="43"/>
    <s v="PROD1737"/>
    <x v="0"/>
    <x v="820"/>
    <s v="12/31/2023"/>
    <n v="2"/>
    <x v="0"/>
    <d v="2025-12-04T00:00:00"/>
    <s v=" $90.24 "/>
    <n v="6"/>
    <n v="16"/>
    <s v="Home"/>
    <s v="Skirt"/>
    <x v="2"/>
    <x v="0"/>
    <n v="541.44000000000005"/>
    <s v="Misaligned"/>
    <x v="0"/>
    <s v="High Value Tier"/>
    <x v="0"/>
  </r>
  <r>
    <s v="ORD6538"/>
    <s v="CUST2538"/>
    <n v="58"/>
    <s v="PROD1738"/>
    <x v="2"/>
    <x v="106"/>
    <d v="2023-03-04T00:00:00"/>
    <n v="2"/>
    <x v="1"/>
    <s v="9/15/2023"/>
    <s v=" $135.02 "/>
    <n v="4"/>
    <n v="38"/>
    <s v="Beauty"/>
    <s v="Jacket"/>
    <x v="2"/>
    <x v="1"/>
    <n v="540.08000000000004"/>
    <s v="Misaligned"/>
    <x v="1"/>
    <s v="High Value Tier"/>
    <x v="0"/>
  </r>
  <r>
    <s v="ORD6539"/>
    <s v="CUST2539"/>
    <n v="59"/>
    <s v="PROD1739"/>
    <x v="0"/>
    <x v="821"/>
    <s v="9/14/2023"/>
    <n v="4"/>
    <x v="0"/>
    <s v="9/21/2024"/>
    <s v=" $73.10 "/>
    <n v="6"/>
    <n v="32"/>
    <s v="Sports"/>
    <s v="Tablet"/>
    <x v="4"/>
    <x v="0"/>
    <n v="438.6"/>
    <s v="Misaligned"/>
    <x v="1"/>
    <s v="High Value Tier"/>
    <x v="3"/>
  </r>
  <r>
    <s v="ORD6540"/>
    <s v="CUST2540"/>
    <n v="30"/>
    <s v="PROD1740"/>
    <x v="0"/>
    <x v="535"/>
    <s v="1/24/2021"/>
    <n v="3"/>
    <x v="2"/>
    <s v="10/16/2023"/>
    <s v=" $314.70 "/>
    <n v="2"/>
    <n v="4"/>
    <s v="Beauty"/>
    <s v="Bluetooth Speaker"/>
    <x v="4"/>
    <x v="1"/>
    <n v="629.4"/>
    <s v="Misaligned"/>
    <x v="2"/>
    <s v="High Value Tier"/>
    <x v="1"/>
  </r>
  <r>
    <s v="ORD6541"/>
    <s v="CUST2541"/>
    <n v="54"/>
    <s v="PROD1741"/>
    <x v="0"/>
    <x v="820"/>
    <d v="2024-02-01T00:00:00"/>
    <n v="4"/>
    <x v="0"/>
    <s v="3/27/2025"/>
    <s v=" $195.83 "/>
    <n v="3"/>
    <n v="17"/>
    <s v="Beauty"/>
    <s v="Moisturizer"/>
    <x v="3"/>
    <x v="0"/>
    <n v="587.49"/>
    <s v="Aligned"/>
    <x v="1"/>
    <s v="High Value Tier"/>
    <x v="3"/>
  </r>
  <r>
    <s v="ORD6542"/>
    <s v="CUST2542"/>
    <n v="40"/>
    <s v="PROD1742"/>
    <x v="0"/>
    <x v="804"/>
    <s v="10/22/2024"/>
    <n v="4"/>
    <x v="1"/>
    <d v="2025-07-01T00:00:00"/>
    <s v=" $226.27 "/>
    <n v="8"/>
    <n v="15"/>
    <s v="Home"/>
    <s v="Skirt"/>
    <x v="2"/>
    <x v="1"/>
    <n v="1810.16"/>
    <s v="Misaligned"/>
    <x v="0"/>
    <s v="High Value Tier"/>
    <x v="0"/>
  </r>
  <r>
    <s v="ORD6543"/>
    <s v="CUST2543"/>
    <n v="49"/>
    <s v="PROD1743"/>
    <x v="4"/>
    <x v="586"/>
    <s v="7/30/2021"/>
    <n v="4"/>
    <x v="0"/>
    <s v="6/25/2023"/>
    <s v=" $486.70 "/>
    <n v="3"/>
    <n v="5"/>
    <s v="Clothing"/>
    <s v="Sneakers"/>
    <x v="2"/>
    <x v="0"/>
    <n v="1460.1"/>
    <s v="Aligned"/>
    <x v="0"/>
    <s v="High Value Tier"/>
    <x v="3"/>
  </r>
  <r>
    <s v="ORD6544"/>
    <s v="CUST2544"/>
    <n v="36"/>
    <s v="PROD1744"/>
    <x v="1"/>
    <x v="155"/>
    <s v="5/16/2024"/>
    <n v="1"/>
    <x v="1"/>
    <s v="6/19/2025"/>
    <s v=" $588.03 "/>
    <n v="3"/>
    <n v="3"/>
    <s v="Home"/>
    <s v="Lipstick"/>
    <x v="3"/>
    <x v="0"/>
    <n v="1764.09"/>
    <s v="Misaligned"/>
    <x v="0"/>
    <s v="High Value Tier"/>
    <x v="0"/>
  </r>
  <r>
    <s v="ORD6545"/>
    <s v="CUST2545"/>
    <n v="34"/>
    <s v="PROD1745"/>
    <x v="4"/>
    <x v="430"/>
    <s v="2/14/2024"/>
    <n v="3"/>
    <x v="1"/>
    <s v="10/31/2023"/>
    <s v=" $841.79 "/>
    <n v="2"/>
    <n v="41"/>
    <s v="Clothing"/>
    <s v="Hoodie"/>
    <x v="2"/>
    <x v="0"/>
    <n v="1683.58"/>
    <s v="Aligned"/>
    <x v="2"/>
    <s v="High Value Tier"/>
    <x v="0"/>
  </r>
  <r>
    <s v="ORD6546"/>
    <s v="CUST2546"/>
    <n v="18"/>
    <s v="PROD1746"/>
    <x v="3"/>
    <x v="822"/>
    <s v="7/29/2024"/>
    <n v="1"/>
    <x v="2"/>
    <s v="9/19/2024"/>
    <s v=" $151.42 "/>
    <n v="1"/>
    <n v="45"/>
    <s v="Sports"/>
    <s v="Lamp"/>
    <x v="1"/>
    <x v="0"/>
    <n v="151.41999999999999"/>
    <s v="Misaligned"/>
    <x v="3"/>
    <s v="High Value Tier"/>
    <x v="1"/>
  </r>
  <r>
    <s v="ORD6547"/>
    <s v="CUST2547"/>
    <n v="65"/>
    <s v="PROD1747"/>
    <x v="4"/>
    <x v="784"/>
    <s v="5/18/2021"/>
    <n v="2"/>
    <x v="0"/>
    <s v="8/27/2022"/>
    <s v=" $263.28 "/>
    <n v="4"/>
    <n v="25"/>
    <s v="Home"/>
    <s v="Skirt"/>
    <x v="2"/>
    <x v="0"/>
    <n v="1053.1199999999999"/>
    <s v="Misaligned"/>
    <x v="4"/>
    <s v="High Value Tier"/>
    <x v="0"/>
  </r>
  <r>
    <s v="ORD6548"/>
    <s v="CUST2548"/>
    <n v="20"/>
    <s v="PROD1748"/>
    <x v="0"/>
    <x v="712"/>
    <s v="1/24/2025"/>
    <n v="2"/>
    <x v="1"/>
    <d v="2024-02-08T00:00:00"/>
    <s v=" $129.67 "/>
    <n v="8"/>
    <n v="20"/>
    <s v="Home"/>
    <s v="Nail Polish"/>
    <x v="3"/>
    <x v="0"/>
    <n v="1037.3599999999999"/>
    <s v="Misaligned"/>
    <x v="3"/>
    <s v="High Value Tier"/>
    <x v="0"/>
  </r>
  <r>
    <s v="ORD6549"/>
    <s v="CUST2549"/>
    <n v="30"/>
    <s v="PROD1749"/>
    <x v="5"/>
    <x v="819"/>
    <d v="2024-06-11T00:00:00"/>
    <n v="2"/>
    <x v="0"/>
    <s v="10/31/2023"/>
    <s v=" $1,735.82 "/>
    <n v="1"/>
    <n v="42"/>
    <s v="Sports"/>
    <s v="Hoodie"/>
    <x v="2"/>
    <x v="0"/>
    <n v="1735.82"/>
    <s v="Misaligned"/>
    <x v="2"/>
    <s v="High Value Tier"/>
    <x v="0"/>
  </r>
  <r>
    <s v="ORD6550"/>
    <s v="CUST2550"/>
    <n v="68"/>
    <s v="PROD1750"/>
    <x v="5"/>
    <x v="258"/>
    <s v="6/26/2023"/>
    <n v="2"/>
    <x v="0"/>
    <s v="1/19/2025"/>
    <s v=" $89.49 "/>
    <n v="4"/>
    <n v="48"/>
    <s v="Clothing"/>
    <s v="Vacuum Cleaner"/>
    <x v="1"/>
    <x v="0"/>
    <n v="357.96"/>
    <s v="Misaligned"/>
    <x v="4"/>
    <s v="High Value Tier"/>
    <x v="0"/>
  </r>
  <r>
    <s v="ORD6551"/>
    <s v="CUST2551"/>
    <n v="40"/>
    <s v="PROD1751"/>
    <x v="0"/>
    <x v="640"/>
    <s v="11/28/2023"/>
    <n v="0"/>
    <x v="1"/>
    <s v="6/14/2025"/>
    <s v=" $84.45 "/>
    <n v="8"/>
    <n v="31"/>
    <s v="Beauty"/>
    <s v="Chair"/>
    <x v="1"/>
    <x v="1"/>
    <n v="675.6"/>
    <s v="Misaligned"/>
    <x v="0"/>
    <s v="High Value Tier"/>
    <x v="0"/>
  </r>
  <r>
    <s v="ORD6552"/>
    <s v="CUST2552"/>
    <n v="65"/>
    <s v="PROD1752"/>
    <x v="2"/>
    <x v="254"/>
    <d v="2021-12-11T00:00:00"/>
    <n v="0"/>
    <x v="0"/>
    <s v="1/17/2022"/>
    <s v=" $101.16 "/>
    <n v="7"/>
    <n v="21"/>
    <s v="Beauty"/>
    <s v="Shampoo"/>
    <x v="3"/>
    <x v="1"/>
    <n v="708.12"/>
    <s v="Aligned"/>
    <x v="4"/>
    <s v="High Value Tier"/>
    <x v="0"/>
  </r>
  <r>
    <s v="ORD6553"/>
    <s v="CUST2553"/>
    <n v="54"/>
    <s v="PROD1753"/>
    <x v="4"/>
    <x v="823"/>
    <s v="4/28/2024"/>
    <n v="3"/>
    <x v="0"/>
    <d v="2022-03-03T00:00:00"/>
    <s v=" $274.23 "/>
    <n v="4"/>
    <n v="22"/>
    <s v="Beauty"/>
    <s v="Perfume"/>
    <x v="3"/>
    <x v="0"/>
    <n v="1096.92"/>
    <s v="Aligned"/>
    <x v="1"/>
    <s v="High Value Tier"/>
    <x v="0"/>
  </r>
  <r>
    <s v="ORD6554"/>
    <s v="CUST2554"/>
    <n v="63"/>
    <s v="PROD1754"/>
    <x v="3"/>
    <x v="334"/>
    <d v="2024-08-02T00:00:00"/>
    <n v="2"/>
    <x v="2"/>
    <s v="5/29/2025"/>
    <s v=" $62.25 "/>
    <n v="9"/>
    <n v="45"/>
    <s v="Beauty"/>
    <s v="Tennis Racket"/>
    <x v="0"/>
    <x v="1"/>
    <n v="560.25"/>
    <s v="Misaligned"/>
    <x v="1"/>
    <s v="High Value Tier"/>
    <x v="1"/>
  </r>
  <r>
    <s v="ORD6555"/>
    <s v="CUST2555"/>
    <n v="45"/>
    <s v="PROD1755"/>
    <x v="1"/>
    <x v="824"/>
    <d v="2024-06-08T00:00:00"/>
    <n v="5"/>
    <x v="1"/>
    <s v="10/25/2024"/>
    <s v=" $323.67 "/>
    <n v="5"/>
    <n v="12"/>
    <s v="Clothing"/>
    <s v="Chair"/>
    <x v="1"/>
    <x v="0"/>
    <n v="1618.35"/>
    <s v="Misaligned"/>
    <x v="0"/>
    <s v="High Value Tier"/>
    <x v="0"/>
  </r>
  <r>
    <s v="ORD6556"/>
    <s v="CUST2556"/>
    <n v="65"/>
    <s v="PROD1756"/>
    <x v="0"/>
    <x v="241"/>
    <s v="3/21/2024"/>
    <n v="4"/>
    <x v="0"/>
    <d v="2025-03-07T00:00:00"/>
    <s v=" $960.43 "/>
    <n v="1"/>
    <n v="44"/>
    <s v="Clothing"/>
    <s v="Refrigerator"/>
    <x v="1"/>
    <x v="1"/>
    <n v="960.43"/>
    <s v="Misaligned"/>
    <x v="4"/>
    <s v="High Value Tier"/>
    <x v="3"/>
  </r>
  <r>
    <s v="ORD6557"/>
    <s v="CUST2557"/>
    <n v="29"/>
    <s v="PROD1757"/>
    <x v="0"/>
    <x v="825"/>
    <s v="11/25/2022"/>
    <n v="3"/>
    <x v="0"/>
    <s v="5/18/2024"/>
    <s v=" $16.74 "/>
    <n v="4"/>
    <n v="3"/>
    <s v="Electronics"/>
    <s v="Dumbbells"/>
    <x v="0"/>
    <x v="0"/>
    <n v="66.959999999999994"/>
    <s v="Misaligned"/>
    <x v="2"/>
    <s v="Value Tier"/>
    <x v="0"/>
  </r>
  <r>
    <s v="ORD6558"/>
    <s v="CUST2558"/>
    <n v="30"/>
    <s v="PROD1758"/>
    <x v="1"/>
    <x v="184"/>
    <s v="9/15/2023"/>
    <n v="2"/>
    <x v="0"/>
    <d v="2022-09-12T00:00:00"/>
    <s v=" $202.24 "/>
    <n v="6"/>
    <n v="10"/>
    <s v="Electronics"/>
    <s v="Nail Polish"/>
    <x v="3"/>
    <x v="1"/>
    <n v="1213.44"/>
    <s v="Misaligned"/>
    <x v="2"/>
    <s v="High Value Tier"/>
    <x v="0"/>
  </r>
  <r>
    <s v="ORD6559"/>
    <s v="CUST2559"/>
    <n v="57"/>
    <s v="PROD1759"/>
    <x v="4"/>
    <x v="196"/>
    <d v="2025-09-08T00:00:00"/>
    <n v="5"/>
    <x v="0"/>
    <s v="8/17/2025"/>
    <s v=" $143.16 "/>
    <n v="8"/>
    <n v="12"/>
    <s v="Electronics"/>
    <s v="Nail Polish"/>
    <x v="3"/>
    <x v="0"/>
    <n v="1145.28"/>
    <s v="Misaligned"/>
    <x v="1"/>
    <s v="High Value Tier"/>
    <x v="3"/>
  </r>
  <r>
    <s v="ORD6560"/>
    <s v="CUST2560"/>
    <n v="39"/>
    <s v="PROD1760"/>
    <x v="4"/>
    <x v="155"/>
    <s v="4/13/2024"/>
    <n v="2"/>
    <x v="0"/>
    <d v="2023-04-10T00:00:00"/>
    <s v=" $1,785.86 "/>
    <n v="1"/>
    <n v="37"/>
    <s v="Clothing"/>
    <s v="Dumbbells"/>
    <x v="0"/>
    <x v="0"/>
    <n v="1785.86"/>
    <s v="Misaligned"/>
    <x v="0"/>
    <s v="High Value Tier"/>
    <x v="0"/>
  </r>
  <r>
    <s v="ORD6561"/>
    <s v="CUST2561"/>
    <n v="65"/>
    <s v="PROD1761"/>
    <x v="3"/>
    <x v="403"/>
    <d v="2025-03-07T00:00:00"/>
    <n v="1"/>
    <x v="2"/>
    <s v="4/22/2022"/>
    <s v=" $328.43 "/>
    <n v="5"/>
    <n v="26"/>
    <s v="Beauty"/>
    <s v="Jacket"/>
    <x v="2"/>
    <x v="0"/>
    <n v="1642.15"/>
    <s v="Misaligned"/>
    <x v="4"/>
    <s v="High Value Tier"/>
    <x v="1"/>
  </r>
  <r>
    <s v="ORD6562"/>
    <s v="CUST2562"/>
    <n v="48"/>
    <s v="PROD1762"/>
    <x v="3"/>
    <x v="826"/>
    <d v="2023-09-04T00:00:00"/>
    <n v="4"/>
    <x v="0"/>
    <d v="2021-07-03T00:00:00"/>
    <s v=" $298.07 "/>
    <n v="3"/>
    <n v="7"/>
    <s v="Clothing"/>
    <s v="Skirt"/>
    <x v="2"/>
    <x v="1"/>
    <n v="894.21"/>
    <s v="Aligned"/>
    <x v="0"/>
    <s v="High Value Tier"/>
    <x v="3"/>
  </r>
  <r>
    <s v="ORD6563"/>
    <s v="CUST2563"/>
    <n v="41"/>
    <s v="PROD1763"/>
    <x v="2"/>
    <x v="827"/>
    <s v="9/14/2022"/>
    <n v="2"/>
    <x v="1"/>
    <s v="1/22/2025"/>
    <s v=" $506.96 "/>
    <n v="1"/>
    <n v="28"/>
    <s v="Sports"/>
    <s v="T-Shirt"/>
    <x v="2"/>
    <x v="0"/>
    <n v="506.96"/>
    <s v="Misaligned"/>
    <x v="0"/>
    <s v="High Value Tier"/>
    <x v="0"/>
  </r>
  <r>
    <s v="ORD6564"/>
    <s v="CUST2564"/>
    <n v="43"/>
    <s v="PROD1764"/>
    <x v="2"/>
    <x v="699"/>
    <s v="7/20/2025"/>
    <n v="1"/>
    <x v="0"/>
    <s v="10/17/2022"/>
    <s v=" $234.68 "/>
    <n v="4"/>
    <n v="43"/>
    <s v="Electronics"/>
    <s v="T-Shirt"/>
    <x v="2"/>
    <x v="1"/>
    <n v="938.72"/>
    <s v="Misaligned"/>
    <x v="0"/>
    <s v="High Value Tier"/>
    <x v="0"/>
  </r>
  <r>
    <s v="ORD6565"/>
    <s v="CUST2565"/>
    <n v="19"/>
    <s v="PROD1765"/>
    <x v="0"/>
    <x v="380"/>
    <d v="2023-09-04T00:00:00"/>
    <n v="5"/>
    <x v="0"/>
    <s v="2/15/2025"/>
    <s v=" $346.97 "/>
    <n v="3"/>
    <n v="33"/>
    <s v="Home"/>
    <s v="Basketball"/>
    <x v="0"/>
    <x v="2"/>
    <n v="1040.9100000000001"/>
    <s v="Misaligned"/>
    <x v="3"/>
    <s v="High Value Tier"/>
    <x v="3"/>
  </r>
  <r>
    <s v="ORD6566"/>
    <s v="CUST2566"/>
    <n v="42"/>
    <s v="PROD1766"/>
    <x v="3"/>
    <x v="828"/>
    <s v="11/20/2022"/>
    <n v="0"/>
    <x v="1"/>
    <s v="11/15/2022"/>
    <s v=" $347.84 "/>
    <n v="5"/>
    <n v="5"/>
    <s v="Electronics"/>
    <s v="Smartwatch"/>
    <x v="4"/>
    <x v="1"/>
    <n v="1739.2"/>
    <s v="Aligned"/>
    <x v="0"/>
    <s v="High Value Tier"/>
    <x v="0"/>
  </r>
  <r>
    <s v="ORD6567"/>
    <s v="CUST2567"/>
    <n v="35"/>
    <s v="PROD1767"/>
    <x v="3"/>
    <x v="775"/>
    <d v="2021-07-09T00:00:00"/>
    <n v="1"/>
    <x v="1"/>
    <s v="8/13/2024"/>
    <s v=" $121.64 "/>
    <n v="8"/>
    <n v="38"/>
    <s v="Home"/>
    <s v="Chair"/>
    <x v="1"/>
    <x v="1"/>
    <n v="973.12"/>
    <s v="Aligned"/>
    <x v="0"/>
    <s v="High Value Tier"/>
    <x v="0"/>
  </r>
  <r>
    <s v="ORD6568"/>
    <s v="CUST2568"/>
    <n v="38"/>
    <s v="PROD1768"/>
    <x v="3"/>
    <x v="829"/>
    <s v="7/26/2023"/>
    <n v="5"/>
    <x v="0"/>
    <s v="12/17/2021"/>
    <s v=" $323.96 "/>
    <n v="6"/>
    <n v="5"/>
    <s v="Sports"/>
    <s v="Jeans"/>
    <x v="2"/>
    <x v="0"/>
    <n v="1943.76"/>
    <s v="Misaligned"/>
    <x v="0"/>
    <s v="High Value Tier"/>
    <x v="3"/>
  </r>
  <r>
    <s v="ORD6569"/>
    <s v="CUST2569"/>
    <n v="28"/>
    <s v="PROD1769"/>
    <x v="3"/>
    <x v="111"/>
    <d v="2022-11-10T00:00:00"/>
    <n v="5"/>
    <x v="0"/>
    <s v="10/31/2022"/>
    <s v=" $171.03 "/>
    <n v="9"/>
    <n v="17"/>
    <s v="Home"/>
    <s v="Cycling Helmet"/>
    <x v="0"/>
    <x v="0"/>
    <n v="1539.27"/>
    <s v="Misaligned"/>
    <x v="2"/>
    <s v="High Value Tier"/>
    <x v="3"/>
  </r>
  <r>
    <s v="ORD6570"/>
    <s v="CUST2570"/>
    <n v="65"/>
    <s v="PROD1770"/>
    <x v="3"/>
    <x v="261"/>
    <d v="2024-12-03T00:00:00"/>
    <n v="2"/>
    <x v="2"/>
    <s v="11/28/2022"/>
    <s v=" $46.66 "/>
    <n v="2"/>
    <n v="8"/>
    <s v="Beauty"/>
    <s v="Nail Polish"/>
    <x v="3"/>
    <x v="1"/>
    <n v="93.32"/>
    <s v="Aligned"/>
    <x v="4"/>
    <s v="Value Tier"/>
    <x v="1"/>
  </r>
  <r>
    <s v="ORD6571"/>
    <s v="CUST2571"/>
    <n v="49"/>
    <s v="PROD1771"/>
    <x v="4"/>
    <x v="775"/>
    <d v="2023-10-05T00:00:00"/>
    <n v="2"/>
    <x v="2"/>
    <s v="6/16/2025"/>
    <s v=" $87.07 "/>
    <n v="8"/>
    <n v="38"/>
    <s v="Beauty"/>
    <s v="Smartwatch"/>
    <x v="4"/>
    <x v="0"/>
    <n v="696.56"/>
    <s v="Misaligned"/>
    <x v="0"/>
    <s v="High Value Tier"/>
    <x v="1"/>
  </r>
  <r>
    <s v="ORD6572"/>
    <s v="CUST2572"/>
    <n v="45"/>
    <s v="PROD1772"/>
    <x v="4"/>
    <x v="24"/>
    <d v="2022-06-10T00:00:00"/>
    <n v="1"/>
    <x v="0"/>
    <d v="2025-06-03T00:00:00"/>
    <s v=" $169.39 "/>
    <n v="7"/>
    <n v="5"/>
    <s v="Sports"/>
    <s v="Smartphone"/>
    <x v="4"/>
    <x v="0"/>
    <n v="1185.73"/>
    <s v="Misaligned"/>
    <x v="0"/>
    <s v="High Value Tier"/>
    <x v="0"/>
  </r>
  <r>
    <s v="ORD6573"/>
    <s v="CUST2573"/>
    <n v="42"/>
    <s v="PROD1773"/>
    <x v="2"/>
    <x v="497"/>
    <d v="2023-01-01T00:00:00"/>
    <n v="0"/>
    <x v="2"/>
    <s v="11/26/2022"/>
    <s v=" $206.04 "/>
    <n v="7"/>
    <n v="29"/>
    <s v="Electronics"/>
    <s v="Football"/>
    <x v="0"/>
    <x v="0"/>
    <n v="1442.28"/>
    <s v="Misaligned"/>
    <x v="0"/>
    <s v="High Value Tier"/>
    <x v="1"/>
  </r>
  <r>
    <s v="ORD6574"/>
    <s v="CUST2574"/>
    <n v="64"/>
    <s v="PROD1774"/>
    <x v="2"/>
    <x v="804"/>
    <d v="2023-12-02T00:00:00"/>
    <n v="1"/>
    <x v="0"/>
    <d v="2022-05-07T00:00:00"/>
    <s v=" $131.98 "/>
    <n v="9"/>
    <n v="26"/>
    <s v="Clothing"/>
    <s v="Sneakers"/>
    <x v="2"/>
    <x v="1"/>
    <n v="1187.82"/>
    <s v="Aligned"/>
    <x v="1"/>
    <s v="High Value Tier"/>
    <x v="0"/>
  </r>
  <r>
    <s v="ORD6575"/>
    <s v="CUST2575"/>
    <n v="41"/>
    <s v="PROD1775"/>
    <x v="0"/>
    <x v="453"/>
    <s v="12/27/2024"/>
    <n v="3"/>
    <x v="0"/>
    <d v="2024-05-06T00:00:00"/>
    <s v=" $22.25 "/>
    <n v="2"/>
    <n v="12"/>
    <s v="Beauty"/>
    <s v="Tablet"/>
    <x v="4"/>
    <x v="1"/>
    <n v="44.5"/>
    <s v="Misaligned"/>
    <x v="0"/>
    <s v="Value Tier"/>
    <x v="0"/>
  </r>
  <r>
    <s v="ORD6576"/>
    <s v="CUST2576"/>
    <n v="49"/>
    <s v="PROD1776"/>
    <x v="0"/>
    <x v="830"/>
    <s v="5/18/2025"/>
    <n v="3"/>
    <x v="1"/>
    <s v="6/15/2021"/>
    <s v=" $124.98 "/>
    <n v="6"/>
    <n v="18"/>
    <s v="Home"/>
    <s v="Jeans"/>
    <x v="2"/>
    <x v="0"/>
    <n v="749.88"/>
    <s v="Misaligned"/>
    <x v="0"/>
    <s v="High Value Tier"/>
    <x v="0"/>
  </r>
  <r>
    <s v="ORD6577"/>
    <s v="CUST2577"/>
    <n v="61"/>
    <s v="PROD1777"/>
    <x v="0"/>
    <x v="495"/>
    <d v="2024-04-01T00:00:00"/>
    <n v="2"/>
    <x v="0"/>
    <s v="5/24/2025"/>
    <s v=" $265.51 "/>
    <n v="5"/>
    <n v="16"/>
    <s v="Clothing"/>
    <s v="Vacuum Cleaner"/>
    <x v="1"/>
    <x v="1"/>
    <n v="1327.55"/>
    <s v="Misaligned"/>
    <x v="1"/>
    <s v="High Value Tier"/>
    <x v="0"/>
  </r>
  <r>
    <s v="ORD6578"/>
    <s v="CUST2578"/>
    <n v="54"/>
    <s v="PROD1778"/>
    <x v="4"/>
    <x v="275"/>
    <s v="3/31/2021"/>
    <n v="1"/>
    <x v="2"/>
    <d v="2024-10-06T00:00:00"/>
    <s v=" $219.54 "/>
    <n v="9"/>
    <n v="19"/>
    <s v="Beauty"/>
    <s v="Jacket"/>
    <x v="2"/>
    <x v="1"/>
    <n v="1975.86"/>
    <s v="Misaligned"/>
    <x v="1"/>
    <s v="High Value Tier"/>
    <x v="1"/>
  </r>
  <r>
    <s v="ORD6579"/>
    <s v="CUST2579"/>
    <n v="61"/>
    <s v="PROD1779"/>
    <x v="2"/>
    <x v="205"/>
    <d v="2023-04-08T00:00:00"/>
    <n v="4"/>
    <x v="0"/>
    <s v="3/27/2021"/>
    <s v=" $255.15 "/>
    <n v="5"/>
    <n v="41"/>
    <s v="Electronics"/>
    <s v="Laptop"/>
    <x v="4"/>
    <x v="1"/>
    <n v="1275.75"/>
    <s v="Aligned"/>
    <x v="1"/>
    <s v="High Value Tier"/>
    <x v="3"/>
  </r>
  <r>
    <s v="ORD6580"/>
    <s v="CUST2580"/>
    <n v="27"/>
    <s v="PROD1780"/>
    <x v="2"/>
    <x v="782"/>
    <s v="5/26/2021"/>
    <n v="0"/>
    <x v="0"/>
    <d v="2021-01-02T00:00:00"/>
    <s v=" $264.99 "/>
    <n v="7"/>
    <n v="3"/>
    <s v="Clothing"/>
    <s v="Nail Polish"/>
    <x v="3"/>
    <x v="0"/>
    <n v="1854.93"/>
    <s v="Misaligned"/>
    <x v="2"/>
    <s v="High Value Tier"/>
    <x v="0"/>
  </r>
  <r>
    <s v="ORD6581"/>
    <s v="CUST2581"/>
    <n v="57"/>
    <s v="PROD1781"/>
    <x v="4"/>
    <x v="831"/>
    <d v="2022-05-05T00:00:00"/>
    <n v="0"/>
    <x v="1"/>
    <s v="4/26/2021"/>
    <s v=" $253.66 "/>
    <n v="6"/>
    <n v="38"/>
    <s v="Home"/>
    <s v="Skirt"/>
    <x v="2"/>
    <x v="0"/>
    <n v="1521.96"/>
    <s v="Misaligned"/>
    <x v="1"/>
    <s v="High Value Tier"/>
    <x v="0"/>
  </r>
  <r>
    <s v="ORD6582"/>
    <s v="CUST2582"/>
    <n v="59"/>
    <s v="PROD1782"/>
    <x v="5"/>
    <x v="275"/>
    <s v="9/23/2024"/>
    <n v="0"/>
    <x v="0"/>
    <s v="6/21/2021"/>
    <s v=" $215.04 "/>
    <n v="3"/>
    <n v="14"/>
    <s v="Electronics"/>
    <s v="Shirt"/>
    <x v="2"/>
    <x v="0"/>
    <n v="645.12"/>
    <s v="Misaligned"/>
    <x v="1"/>
    <s v="High Value Tier"/>
    <x v="0"/>
  </r>
  <r>
    <s v="ORD6583"/>
    <s v="CUST2583"/>
    <n v="61"/>
    <s v="PROD1783"/>
    <x v="0"/>
    <x v="718"/>
    <d v="2024-11-07T00:00:00"/>
    <n v="5"/>
    <x v="1"/>
    <s v="5/22/2025"/>
    <s v=" $1,226.37 "/>
    <n v="1"/>
    <n v="11"/>
    <s v="Sports"/>
    <s v="Laptop"/>
    <x v="4"/>
    <x v="1"/>
    <n v="1226.3699999999999"/>
    <s v="Misaligned"/>
    <x v="1"/>
    <s v="High Value Tier"/>
    <x v="0"/>
  </r>
  <r>
    <s v="ORD6584"/>
    <s v="CUST2584"/>
    <n v="55"/>
    <s v="PROD1784"/>
    <x v="2"/>
    <x v="485"/>
    <s v="3/17/2024"/>
    <n v="1"/>
    <x v="0"/>
    <s v="11/19/2024"/>
    <s v=" $31.81 "/>
    <n v="5"/>
    <n v="40"/>
    <s v="Clothing"/>
    <s v="Sneakers"/>
    <x v="2"/>
    <x v="0"/>
    <n v="159.05000000000001"/>
    <s v="Aligned"/>
    <x v="1"/>
    <s v="High Value Tier"/>
    <x v="0"/>
  </r>
  <r>
    <s v="ORD6585"/>
    <s v="CUST2585"/>
    <n v="24"/>
    <s v="PROD1785"/>
    <x v="4"/>
    <x v="832"/>
    <d v="2024-03-11T00:00:00"/>
    <n v="4"/>
    <x v="0"/>
    <s v="12/14/2022"/>
    <s v=" $966.86 "/>
    <n v="1"/>
    <n v="44"/>
    <s v="Clothing"/>
    <s v="Skirt"/>
    <x v="2"/>
    <x v="1"/>
    <n v="966.86"/>
    <s v="Aligned"/>
    <x v="3"/>
    <s v="High Value Tier"/>
    <x v="3"/>
  </r>
  <r>
    <s v="ORD6586"/>
    <s v="CUST2586"/>
    <n v="58"/>
    <s v="PROD1786"/>
    <x v="1"/>
    <x v="481"/>
    <d v="2025-01-05T00:00:00"/>
    <n v="5"/>
    <x v="0"/>
    <s v="3/26/2024"/>
    <s v=" $196.24 "/>
    <n v="6"/>
    <n v="31"/>
    <s v="Sports"/>
    <s v="Smartphone"/>
    <x v="4"/>
    <x v="1"/>
    <n v="1177.44"/>
    <s v="Misaligned"/>
    <x v="1"/>
    <s v="High Value Tier"/>
    <x v="3"/>
  </r>
  <r>
    <s v="ORD6587"/>
    <s v="CUST2587"/>
    <n v="24"/>
    <s v="PROD1787"/>
    <x v="4"/>
    <x v="135"/>
    <s v="11/13/2023"/>
    <n v="0"/>
    <x v="0"/>
    <s v="5/21/2025"/>
    <s v=" $279.32 "/>
    <n v="7"/>
    <n v="23"/>
    <s v="Electronics"/>
    <s v="Sneakers"/>
    <x v="2"/>
    <x v="0"/>
    <n v="1955.24"/>
    <s v="Misaligned"/>
    <x v="3"/>
    <s v="High Value Tier"/>
    <x v="0"/>
  </r>
  <r>
    <s v="ORD6588"/>
    <s v="CUST2588"/>
    <n v="65"/>
    <s v="PROD1788"/>
    <x v="2"/>
    <x v="39"/>
    <d v="2024-08-08T00:00:00"/>
    <n v="5"/>
    <x v="2"/>
    <d v="2024-09-07T00:00:00"/>
    <s v=" $125.73 "/>
    <n v="8"/>
    <n v="17"/>
    <s v="Clothing"/>
    <s v="Blender"/>
    <x v="1"/>
    <x v="1"/>
    <n v="1005.84"/>
    <s v="Misaligned"/>
    <x v="4"/>
    <s v="High Value Tier"/>
    <x v="1"/>
  </r>
  <r>
    <s v="ORD6589"/>
    <s v="CUST2589"/>
    <n v="41"/>
    <s v="PROD1789"/>
    <x v="2"/>
    <x v="833"/>
    <d v="2024-07-03T00:00:00"/>
    <n v="4"/>
    <x v="0"/>
    <d v="2024-02-09T00:00:00"/>
    <s v=" $480.90 "/>
    <n v="3"/>
    <n v="12"/>
    <s v="Home"/>
    <s v="Smartwatch"/>
    <x v="4"/>
    <x v="1"/>
    <n v="1442.7"/>
    <s v="Misaligned"/>
    <x v="0"/>
    <s v="High Value Tier"/>
    <x v="3"/>
  </r>
  <r>
    <s v="ORD6590"/>
    <s v="CUST2590"/>
    <n v="59"/>
    <s v="PROD1790"/>
    <x v="0"/>
    <x v="696"/>
    <s v="12/23/2024"/>
    <n v="5"/>
    <x v="0"/>
    <d v="2022-09-12T00:00:00"/>
    <s v=" $359.75 "/>
    <n v="5"/>
    <n v="25"/>
    <s v="Clothing"/>
    <s v="Shirt"/>
    <x v="2"/>
    <x v="1"/>
    <n v="1798.75"/>
    <s v="Aligned"/>
    <x v="1"/>
    <s v="High Value Tier"/>
    <x v="3"/>
  </r>
  <r>
    <s v="ORD6591"/>
    <s v="CUST2591"/>
    <n v="63"/>
    <s v="PROD1791"/>
    <x v="4"/>
    <x v="803"/>
    <s v="3/21/2025"/>
    <n v="2"/>
    <x v="0"/>
    <s v="2/22/2024"/>
    <s v=" $159.41 "/>
    <n v="7"/>
    <n v="32"/>
    <s v="Home"/>
    <s v="Sneakers"/>
    <x v="2"/>
    <x v="2"/>
    <n v="1115.8699999999999"/>
    <s v="Misaligned"/>
    <x v="1"/>
    <s v="High Value Tier"/>
    <x v="0"/>
  </r>
  <r>
    <s v="ORD6592"/>
    <s v="CUST2592"/>
    <n v="26"/>
    <s v="PROD1792"/>
    <x v="3"/>
    <x v="534"/>
    <s v="3/13/2022"/>
    <n v="0"/>
    <x v="1"/>
    <s v="6/20/2024"/>
    <s v=" $623.01 "/>
    <n v="2"/>
    <n v="8"/>
    <s v="Beauty"/>
    <s v="Chair"/>
    <x v="1"/>
    <x v="2"/>
    <n v="1246.02"/>
    <s v="Misaligned"/>
    <x v="2"/>
    <s v="High Value Tier"/>
    <x v="0"/>
  </r>
  <r>
    <s v="ORD6593"/>
    <s v="CUST2593"/>
    <n v="34"/>
    <s v="PROD1793"/>
    <x v="5"/>
    <x v="834"/>
    <d v="2022-09-02T00:00:00"/>
    <n v="1"/>
    <x v="2"/>
    <s v="9/28/2023"/>
    <s v=" $171.77 "/>
    <n v="4"/>
    <n v="43"/>
    <s v="Clothing"/>
    <s v="Shirt"/>
    <x v="2"/>
    <x v="0"/>
    <n v="687.08"/>
    <s v="Aligned"/>
    <x v="2"/>
    <s v="High Value Tier"/>
    <x v="1"/>
  </r>
  <r>
    <s v="ORD6594"/>
    <s v="CUST2594"/>
    <n v="53"/>
    <s v="PROD1794"/>
    <x v="4"/>
    <x v="673"/>
    <d v="2024-10-05T00:00:00"/>
    <n v="5"/>
    <x v="0"/>
    <s v="6/29/2025"/>
    <s v=" $140.03 "/>
    <n v="3"/>
    <n v="25"/>
    <s v="Sports"/>
    <s v="Dress"/>
    <x v="2"/>
    <x v="0"/>
    <n v="420.09"/>
    <s v="Misaligned"/>
    <x v="1"/>
    <s v="High Value Tier"/>
    <x v="3"/>
  </r>
  <r>
    <s v="ORD6595"/>
    <s v="CUST2595"/>
    <n v="42"/>
    <s v="PROD1795"/>
    <x v="4"/>
    <x v="322"/>
    <s v="10/17/2024"/>
    <n v="4"/>
    <x v="0"/>
    <s v="2/19/2022"/>
    <s v=" $222.75 "/>
    <n v="5"/>
    <n v="35"/>
    <s v="Sports"/>
    <s v="Sneakers"/>
    <x v="2"/>
    <x v="1"/>
    <n v="1113.75"/>
    <s v="Misaligned"/>
    <x v="0"/>
    <s v="High Value Tier"/>
    <x v="3"/>
  </r>
  <r>
    <s v="ORD6596"/>
    <s v="CUST2596"/>
    <n v="58"/>
    <s v="PROD1796"/>
    <x v="0"/>
    <x v="149"/>
    <s v="12/20/2022"/>
    <n v="2"/>
    <x v="2"/>
    <s v="3/25/2025"/>
    <s v=" $867.89 "/>
    <n v="2"/>
    <n v="12"/>
    <s v="Home"/>
    <s v="Bluetooth Speaker"/>
    <x v="4"/>
    <x v="1"/>
    <n v="1735.78"/>
    <s v="Misaligned"/>
    <x v="1"/>
    <s v="High Value Tier"/>
    <x v="1"/>
  </r>
  <r>
    <s v="ORD6597"/>
    <s v="CUST2597"/>
    <n v="61"/>
    <s v="PROD1797"/>
    <x v="5"/>
    <x v="660"/>
    <d v="2023-10-12T00:00:00"/>
    <n v="5"/>
    <x v="2"/>
    <s v="5/18/2022"/>
    <s v=" $426.44 "/>
    <n v="2"/>
    <n v="10"/>
    <s v="Beauty"/>
    <s v="Skirt"/>
    <x v="2"/>
    <x v="0"/>
    <n v="852.88"/>
    <s v="Misaligned"/>
    <x v="1"/>
    <s v="High Value Tier"/>
    <x v="1"/>
  </r>
  <r>
    <s v="ORD6598"/>
    <s v="CUST2598"/>
    <n v="47"/>
    <s v="PROD1798"/>
    <x v="1"/>
    <x v="684"/>
    <s v="8/13/2022"/>
    <n v="2"/>
    <x v="0"/>
    <s v="8/18/2024"/>
    <s v=" $274.02 "/>
    <n v="5"/>
    <n v="22"/>
    <s v="Sports"/>
    <s v="Refrigerator"/>
    <x v="1"/>
    <x v="0"/>
    <n v="1370.1"/>
    <s v="Misaligned"/>
    <x v="0"/>
    <s v="High Value Tier"/>
    <x v="0"/>
  </r>
  <r>
    <s v="ORD6599"/>
    <s v="CUST2599"/>
    <n v="33"/>
    <s v="PROD1799"/>
    <x v="4"/>
    <x v="835"/>
    <s v="5/18/2025"/>
    <n v="4"/>
    <x v="0"/>
    <s v="6/29/2025"/>
    <s v=" $222.60 "/>
    <n v="6"/>
    <n v="12"/>
    <s v="Clothing"/>
    <s v="Perfume"/>
    <x v="3"/>
    <x v="1"/>
    <n v="1335.6"/>
    <s v="Misaligned"/>
    <x v="2"/>
    <s v="High Value Tier"/>
    <x v="3"/>
  </r>
  <r>
    <s v="ORD6600"/>
    <s v="CUST2600"/>
    <n v="44"/>
    <s v="PROD1800"/>
    <x v="2"/>
    <x v="122"/>
    <s v="6/17/2023"/>
    <n v="2"/>
    <x v="0"/>
    <d v="2023-02-01T00:00:00"/>
    <s v=" $177.18 "/>
    <n v="9"/>
    <n v="30"/>
    <s v="Electronics"/>
    <s v="Tablet"/>
    <x v="4"/>
    <x v="0"/>
    <n v="1594.62"/>
    <s v="Aligned"/>
    <x v="0"/>
    <s v="High Value Tier"/>
    <x v="0"/>
  </r>
  <r>
    <s v="ORD6601"/>
    <s v="CUST2601"/>
    <n v="58"/>
    <s v="PROD1801"/>
    <x v="5"/>
    <x v="836"/>
    <s v="2/23/2023"/>
    <n v="3"/>
    <x v="1"/>
    <s v="8/31/2024"/>
    <s v=" $506.88 "/>
    <n v="2"/>
    <n v="47"/>
    <s v="Clothing"/>
    <s v="Camera"/>
    <x v="4"/>
    <x v="0"/>
    <n v="1013.76"/>
    <s v="Misaligned"/>
    <x v="1"/>
    <s v="High Value Tier"/>
    <x v="0"/>
  </r>
  <r>
    <s v="ORD6602"/>
    <s v="CUST2602"/>
    <n v="59"/>
    <s v="PROD1802"/>
    <x v="3"/>
    <x v="424"/>
    <d v="2021-04-06T00:00:00"/>
    <n v="2"/>
    <x v="1"/>
    <d v="2020-04-11T00:00:00"/>
    <s v=" $142.16 "/>
    <n v="8"/>
    <n v="1"/>
    <s v="Clothing"/>
    <s v="Laptop"/>
    <x v="4"/>
    <x v="0"/>
    <n v="1137.28"/>
    <s v="Misaligned"/>
    <x v="1"/>
    <s v="Core Tier"/>
    <x v="0"/>
  </r>
  <r>
    <s v="ORD6603"/>
    <s v="CUST2603"/>
    <n v="50"/>
    <s v="PROD1803"/>
    <x v="3"/>
    <x v="87"/>
    <s v="7/15/2025"/>
    <n v="4"/>
    <x v="0"/>
    <s v="12/28/2023"/>
    <s v=" $186.90 "/>
    <n v="6"/>
    <n v="29"/>
    <s v="Clothing"/>
    <s v="Vacuum Cleaner"/>
    <x v="1"/>
    <x v="0"/>
    <n v="1121.4000000000001"/>
    <s v="Misaligned"/>
    <x v="1"/>
    <s v="High Value Tier"/>
    <x v="3"/>
  </r>
  <r>
    <s v="ORD6604"/>
    <s v="CUST2604"/>
    <n v="20"/>
    <s v="PROD1804"/>
    <x v="4"/>
    <x v="85"/>
    <s v="3/18/2023"/>
    <n v="4"/>
    <x v="0"/>
    <s v="9/26/2022"/>
    <s v=" $46.03 "/>
    <n v="8"/>
    <n v="24"/>
    <s v="Clothing"/>
    <s v="Tennis Racket"/>
    <x v="0"/>
    <x v="0"/>
    <n v="368.24"/>
    <s v="Misaligned"/>
    <x v="3"/>
    <s v="High Value Tier"/>
    <x v="3"/>
  </r>
  <r>
    <s v="ORD6605"/>
    <s v="CUST2605"/>
    <n v="60"/>
    <s v="PROD1805"/>
    <x v="4"/>
    <x v="837"/>
    <s v="4/15/2024"/>
    <n v="5"/>
    <x v="0"/>
    <d v="2024-01-07T00:00:00"/>
    <s v=" $119.98 "/>
    <n v="7"/>
    <n v="14"/>
    <s v="Home"/>
    <s v="Hoodie"/>
    <x v="2"/>
    <x v="1"/>
    <n v="839.86"/>
    <s v="Misaligned"/>
    <x v="1"/>
    <s v="High Value Tier"/>
    <x v="3"/>
  </r>
  <r>
    <s v="ORD6606"/>
    <s v="CUST2606"/>
    <n v="43"/>
    <s v="PROD1806"/>
    <x v="5"/>
    <x v="517"/>
    <d v="2023-06-09T00:00:00"/>
    <n v="0"/>
    <x v="0"/>
    <d v="2022-02-01T00:00:00"/>
    <s v=" $428.32 "/>
    <n v="1"/>
    <n v="38"/>
    <s v="Electronics"/>
    <s v="Gaming Console"/>
    <x v="4"/>
    <x v="0"/>
    <n v="428.32"/>
    <s v="Aligned"/>
    <x v="0"/>
    <s v="High Value Tier"/>
    <x v="0"/>
  </r>
  <r>
    <s v="ORD6607"/>
    <s v="CUST2607"/>
    <n v="62"/>
    <s v="PROD1807"/>
    <x v="3"/>
    <x v="658"/>
    <d v="2023-11-11T00:00:00"/>
    <n v="4"/>
    <x v="0"/>
    <s v="1/14/2024"/>
    <s v=" $434.76 "/>
    <n v="4"/>
    <n v="30"/>
    <s v="Clothing"/>
    <s v="Camera"/>
    <x v="4"/>
    <x v="1"/>
    <n v="1739.04"/>
    <s v="Misaligned"/>
    <x v="1"/>
    <s v="High Value Tier"/>
    <x v="3"/>
  </r>
  <r>
    <s v="ORD6608"/>
    <s v="CUST2608"/>
    <n v="64"/>
    <s v="PROD1808"/>
    <x v="5"/>
    <x v="408"/>
    <d v="2023-02-03T00:00:00"/>
    <n v="1"/>
    <x v="0"/>
    <d v="2024-12-12T00:00:00"/>
    <s v=" $823.43 "/>
    <n v="1"/>
    <n v="16"/>
    <s v="Electronics"/>
    <s v="Smartwatch"/>
    <x v="4"/>
    <x v="0"/>
    <n v="823.43"/>
    <s v="Aligned"/>
    <x v="1"/>
    <s v="High Value Tier"/>
    <x v="0"/>
  </r>
  <r>
    <s v="ORD6609"/>
    <s v="CUST2609"/>
    <n v="35"/>
    <s v="PROD1809"/>
    <x v="1"/>
    <x v="577"/>
    <s v="8/27/2022"/>
    <n v="4"/>
    <x v="0"/>
    <s v="4/24/2024"/>
    <s v=" $457.86 "/>
    <n v="4"/>
    <n v="11"/>
    <s v="Electronics"/>
    <s v="Refrigerator"/>
    <x v="1"/>
    <x v="0"/>
    <n v="1831.44"/>
    <s v="Misaligned"/>
    <x v="0"/>
    <s v="High Value Tier"/>
    <x v="3"/>
  </r>
  <r>
    <s v="ORD6610"/>
    <s v="CUST2610"/>
    <n v="18"/>
    <s v="PROD1810"/>
    <x v="1"/>
    <x v="838"/>
    <s v="2/26/2023"/>
    <n v="0"/>
    <x v="2"/>
    <s v="3/29/2024"/>
    <s v=" $101.26 "/>
    <n v="7"/>
    <n v="2"/>
    <s v="Clothing"/>
    <s v="Dining Table"/>
    <x v="1"/>
    <x v="0"/>
    <n v="708.82"/>
    <s v="Misaligned"/>
    <x v="3"/>
    <s v="Core Tier"/>
    <x v="1"/>
  </r>
  <r>
    <s v="ORD6611"/>
    <s v="CUST2611"/>
    <n v="55"/>
    <s v="PROD1811"/>
    <x v="2"/>
    <x v="30"/>
    <s v="4/30/2025"/>
    <n v="4"/>
    <x v="2"/>
    <s v="4/17/2022"/>
    <s v=" $96.22 "/>
    <n v="6"/>
    <n v="20"/>
    <s v="Beauty"/>
    <s v="Headphones"/>
    <x v="4"/>
    <x v="1"/>
    <n v="577.32000000000005"/>
    <s v="Misaligned"/>
    <x v="1"/>
    <s v="High Value Tier"/>
    <x v="1"/>
  </r>
  <r>
    <s v="ORD6612"/>
    <s v="CUST2612"/>
    <n v="54"/>
    <s v="PROD1812"/>
    <x v="4"/>
    <x v="839"/>
    <d v="2024-04-09T00:00:00"/>
    <n v="1"/>
    <x v="1"/>
    <d v="2023-04-06T00:00:00"/>
    <s v=" $231.80 "/>
    <n v="5"/>
    <n v="16"/>
    <s v="Clothing"/>
    <s v="Football"/>
    <x v="0"/>
    <x v="0"/>
    <n v="1159"/>
    <s v="Misaligned"/>
    <x v="1"/>
    <s v="High Value Tier"/>
    <x v="0"/>
  </r>
  <r>
    <s v="ORD6613"/>
    <s v="CUST2613"/>
    <n v="46"/>
    <s v="PROD1813"/>
    <x v="0"/>
    <x v="840"/>
    <s v="7/26/2024"/>
    <n v="0"/>
    <x v="0"/>
    <s v="4/20/2024"/>
    <s v=" $322.05 "/>
    <n v="5"/>
    <n v="24"/>
    <s v="Clothing"/>
    <s v="Laptop"/>
    <x v="4"/>
    <x v="0"/>
    <n v="1610.25"/>
    <s v="Misaligned"/>
    <x v="0"/>
    <s v="High Value Tier"/>
    <x v="0"/>
  </r>
  <r>
    <s v="ORD6614"/>
    <s v="CUST2614"/>
    <n v="60"/>
    <s v="PROD1814"/>
    <x v="0"/>
    <x v="841"/>
    <s v="6/26/2021"/>
    <n v="1"/>
    <x v="1"/>
    <s v="2/19/2023"/>
    <s v=" $69.27 "/>
    <n v="6"/>
    <n v="43"/>
    <s v="Sports"/>
    <s v="Sneakers"/>
    <x v="2"/>
    <x v="1"/>
    <n v="415.62"/>
    <s v="Misaligned"/>
    <x v="1"/>
    <s v="High Value Tier"/>
    <x v="0"/>
  </r>
  <r>
    <s v="ORD6615"/>
    <s v="CUST2615"/>
    <n v="65"/>
    <s v="PROD1815"/>
    <x v="4"/>
    <x v="296"/>
    <s v="3/18/2025"/>
    <n v="4"/>
    <x v="0"/>
    <d v="2021-10-12T00:00:00"/>
    <s v=" $1,699.62 "/>
    <n v="1"/>
    <n v="17"/>
    <s v="Clothing"/>
    <s v="Hoodie"/>
    <x v="2"/>
    <x v="1"/>
    <n v="1699.62"/>
    <s v="Aligned"/>
    <x v="4"/>
    <s v="High Value Tier"/>
    <x v="3"/>
  </r>
  <r>
    <s v="ORD6616"/>
    <s v="CUST2616"/>
    <n v="32"/>
    <s v="PROD1816"/>
    <x v="3"/>
    <x v="678"/>
    <d v="2024-03-12T00:00:00"/>
    <n v="0"/>
    <x v="0"/>
    <s v="10/24/2024"/>
    <s v=" $260.12 "/>
    <n v="7"/>
    <n v="44"/>
    <s v="Beauty"/>
    <s v="Cricket Bat"/>
    <x v="0"/>
    <x v="1"/>
    <n v="1820.84"/>
    <s v="Misaligned"/>
    <x v="2"/>
    <s v="High Value Tier"/>
    <x v="0"/>
  </r>
  <r>
    <s v="ORD6617"/>
    <s v="CUST2617"/>
    <n v="50"/>
    <s v="PROD1817"/>
    <x v="0"/>
    <x v="767"/>
    <s v="3/16/2023"/>
    <n v="0"/>
    <x v="0"/>
    <d v="2023-01-09T00:00:00"/>
    <s v=" $161.93 "/>
    <n v="8"/>
    <n v="43"/>
    <s v="Beauty"/>
    <s v="Cricket Bat"/>
    <x v="0"/>
    <x v="0"/>
    <n v="1295.44"/>
    <s v="Misaligned"/>
    <x v="1"/>
    <s v="High Value Tier"/>
    <x v="0"/>
  </r>
  <r>
    <s v="ORD6618"/>
    <s v="CUST2618"/>
    <n v="45"/>
    <s v="PROD1818"/>
    <x v="5"/>
    <x v="501"/>
    <d v="2024-03-08T00:00:00"/>
    <n v="1"/>
    <x v="0"/>
    <s v="10/20/2024"/>
    <s v=" $191.99 "/>
    <n v="7"/>
    <n v="3"/>
    <s v="Electronics"/>
    <s v="Lamp"/>
    <x v="1"/>
    <x v="0"/>
    <n v="1343.93"/>
    <s v="Misaligned"/>
    <x v="0"/>
    <s v="High Value Tier"/>
    <x v="0"/>
  </r>
  <r>
    <s v="ORD6619"/>
    <s v="CUST2619"/>
    <n v="22"/>
    <s v="PROD1819"/>
    <x v="4"/>
    <x v="579"/>
    <s v="9/18/2024"/>
    <n v="2"/>
    <x v="1"/>
    <s v="2/28/2022"/>
    <s v=" $91.60 "/>
    <n v="9"/>
    <n v="37"/>
    <s v="Home"/>
    <s v="Shirt"/>
    <x v="2"/>
    <x v="1"/>
    <n v="824.4"/>
    <s v="Misaligned"/>
    <x v="3"/>
    <s v="High Value Tier"/>
    <x v="0"/>
  </r>
  <r>
    <s v="ORD6620"/>
    <s v="CUST2620"/>
    <n v="65"/>
    <s v="PROD1820"/>
    <x v="3"/>
    <x v="23"/>
    <d v="2022-05-09T00:00:00"/>
    <n v="0"/>
    <x v="0"/>
    <d v="2022-08-04T00:00:00"/>
    <s v=" $109.84 "/>
    <n v="8"/>
    <n v="12"/>
    <s v="Home"/>
    <s v="Chair"/>
    <x v="1"/>
    <x v="1"/>
    <n v="878.72"/>
    <s v="Aligned"/>
    <x v="4"/>
    <s v="High Value Tier"/>
    <x v="0"/>
  </r>
  <r>
    <s v="ORD6621"/>
    <s v="CUST2621"/>
    <n v="57"/>
    <s v="PROD1821"/>
    <x v="1"/>
    <x v="600"/>
    <d v="2025-06-01T00:00:00"/>
    <n v="2"/>
    <x v="2"/>
    <s v="5/31/2024"/>
    <s v=" $502.39 "/>
    <n v="2"/>
    <n v="34"/>
    <s v="Clothing"/>
    <s v="Laptop"/>
    <x v="4"/>
    <x v="1"/>
    <n v="1004.78"/>
    <s v="Misaligned"/>
    <x v="1"/>
    <s v="High Value Tier"/>
    <x v="1"/>
  </r>
  <r>
    <s v="ORD6622"/>
    <s v="CUST2622"/>
    <n v="66"/>
    <s v="PROD1822"/>
    <x v="2"/>
    <x v="808"/>
    <s v="1/28/2024"/>
    <n v="3"/>
    <x v="0"/>
    <s v="12/19/2023"/>
    <s v=" $201.65 "/>
    <n v="9"/>
    <n v="21"/>
    <s v="Beauty"/>
    <s v="T-Shirt"/>
    <x v="2"/>
    <x v="1"/>
    <n v="1814.85"/>
    <s v="Misaligned"/>
    <x v="4"/>
    <s v="High Value Tier"/>
    <x v="0"/>
  </r>
  <r>
    <s v="ORD6623"/>
    <s v="CUST2623"/>
    <n v="24"/>
    <s v="PROD1823"/>
    <x v="3"/>
    <x v="842"/>
    <s v="7/18/2024"/>
    <n v="4"/>
    <x v="0"/>
    <s v="8/14/2025"/>
    <s v=" $418.77 "/>
    <n v="4"/>
    <n v="32"/>
    <s v="Home"/>
    <s v="Skirt"/>
    <x v="2"/>
    <x v="0"/>
    <n v="1675.08"/>
    <s v="Misaligned"/>
    <x v="3"/>
    <s v="High Value Tier"/>
    <x v="3"/>
  </r>
  <r>
    <s v="ORD6624"/>
    <s v="CUST2624"/>
    <n v="46"/>
    <s v="PROD1824"/>
    <x v="4"/>
    <x v="23"/>
    <s v="8/29/2023"/>
    <n v="4"/>
    <x v="1"/>
    <d v="2023-05-05T00:00:00"/>
    <s v=" $642.34 "/>
    <n v="2"/>
    <n v="42"/>
    <s v="Beauty"/>
    <s v="Shirt"/>
    <x v="2"/>
    <x v="0"/>
    <n v="1284.68"/>
    <s v="Misaligned"/>
    <x v="0"/>
    <s v="High Value Tier"/>
    <x v="0"/>
  </r>
  <r>
    <s v="ORD6625"/>
    <s v="CUST2625"/>
    <n v="50"/>
    <s v="PROD1825"/>
    <x v="4"/>
    <x v="697"/>
    <d v="2025-07-01T00:00:00"/>
    <n v="4"/>
    <x v="2"/>
    <d v="2023-03-07T00:00:00"/>
    <s v=" $935.56 "/>
    <n v="2"/>
    <n v="47"/>
    <s v="Beauty"/>
    <s v="Gaming Console"/>
    <x v="4"/>
    <x v="1"/>
    <n v="1871.12"/>
    <s v="Misaligned"/>
    <x v="1"/>
    <s v="High Value Tier"/>
    <x v="1"/>
  </r>
  <r>
    <s v="ORD6626"/>
    <s v="CUST2626"/>
    <n v="46"/>
    <s v="PROD1826"/>
    <x v="2"/>
    <x v="537"/>
    <d v="2022-02-09T00:00:00"/>
    <n v="2"/>
    <x v="1"/>
    <d v="2024-02-06T00:00:00"/>
    <s v=" $339.15 "/>
    <n v="4"/>
    <n v="27"/>
    <s v="Home"/>
    <s v="Basketball"/>
    <x v="0"/>
    <x v="1"/>
    <n v="1356.6"/>
    <s v="Misaligned"/>
    <x v="0"/>
    <s v="High Value Tier"/>
    <x v="0"/>
  </r>
  <r>
    <s v="ORD6627"/>
    <s v="CUST2627"/>
    <n v="23"/>
    <s v="PROD1827"/>
    <x v="5"/>
    <x v="586"/>
    <d v="2023-07-06T00:00:00"/>
    <n v="4"/>
    <x v="0"/>
    <d v="2024-11-01T00:00:00"/>
    <s v=" $375.92 "/>
    <n v="4"/>
    <n v="26"/>
    <s v="Electronics"/>
    <s v="Smartwatch"/>
    <x v="4"/>
    <x v="1"/>
    <n v="1503.68"/>
    <s v="Aligned"/>
    <x v="3"/>
    <s v="High Value Tier"/>
    <x v="3"/>
  </r>
  <r>
    <s v="ORD6628"/>
    <s v="CUST2628"/>
    <n v="64"/>
    <s v="PROD1828"/>
    <x v="0"/>
    <x v="693"/>
    <d v="2022-01-08T00:00:00"/>
    <n v="1"/>
    <x v="0"/>
    <s v="10/28/2022"/>
    <s v=" $1,105.58 "/>
    <n v="1"/>
    <n v="30"/>
    <s v="Sports"/>
    <s v="Foundation"/>
    <x v="3"/>
    <x v="0"/>
    <n v="1105.58"/>
    <s v="Misaligned"/>
    <x v="1"/>
    <s v="High Value Tier"/>
    <x v="0"/>
  </r>
  <r>
    <s v="ORD6629"/>
    <s v="CUST2629"/>
    <n v="32"/>
    <s v="PROD1829"/>
    <x v="4"/>
    <x v="229"/>
    <d v="2024-10-06T00:00:00"/>
    <n v="5"/>
    <x v="0"/>
    <s v="12/27/2023"/>
    <s v=" $95.07 "/>
    <n v="9"/>
    <n v="45"/>
    <s v="Electronics"/>
    <s v="T-Shirt"/>
    <x v="2"/>
    <x v="0"/>
    <n v="855.63"/>
    <s v="Misaligned"/>
    <x v="2"/>
    <s v="High Value Tier"/>
    <x v="3"/>
  </r>
  <r>
    <s v="ORD6630"/>
    <s v="CUST2630"/>
    <n v="36"/>
    <s v="PROD1830"/>
    <x v="1"/>
    <x v="679"/>
    <s v="12/26/2024"/>
    <n v="3"/>
    <x v="1"/>
    <d v="2025-09-08T00:00:00"/>
    <s v=" $166.35 "/>
    <n v="8"/>
    <n v="43"/>
    <s v="Beauty"/>
    <s v="Cricket Bat"/>
    <x v="0"/>
    <x v="1"/>
    <n v="1330.8"/>
    <s v="Misaligned"/>
    <x v="0"/>
    <s v="High Value Tier"/>
    <x v="0"/>
  </r>
  <r>
    <s v="ORD6631"/>
    <s v="CUST2631"/>
    <n v="26"/>
    <s v="PROD1831"/>
    <x v="2"/>
    <x v="320"/>
    <d v="2024-02-10T00:00:00"/>
    <n v="2"/>
    <x v="0"/>
    <d v="2024-04-02T00:00:00"/>
    <s v=" $476.29 "/>
    <n v="4"/>
    <n v="21"/>
    <s v="Home"/>
    <s v="Football"/>
    <x v="0"/>
    <x v="1"/>
    <n v="1905.16"/>
    <s v="Misaligned"/>
    <x v="2"/>
    <s v="High Value Tier"/>
    <x v="0"/>
  </r>
  <r>
    <s v="ORD6632"/>
    <s v="CUST2632"/>
    <n v="67"/>
    <s v="PROD1832"/>
    <x v="5"/>
    <x v="843"/>
    <s v="12/30/2022"/>
    <n v="3"/>
    <x v="2"/>
    <d v="2022-03-09T00:00:00"/>
    <s v=" $498.96 "/>
    <n v="3"/>
    <n v="40"/>
    <s v="Sports"/>
    <s v="Football"/>
    <x v="0"/>
    <x v="1"/>
    <n v="1496.88"/>
    <s v="Aligned"/>
    <x v="4"/>
    <s v="High Value Tier"/>
    <x v="1"/>
  </r>
  <r>
    <s v="ORD6633"/>
    <s v="CUST2633"/>
    <n v="61"/>
    <s v="PROD1833"/>
    <x v="0"/>
    <x v="515"/>
    <s v="5/14/2025"/>
    <n v="0"/>
    <x v="2"/>
    <s v="7/14/2024"/>
    <s v=" $212.70 "/>
    <n v="4"/>
    <n v="29"/>
    <s v="Electronics"/>
    <s v="Moisturizer"/>
    <x v="3"/>
    <x v="1"/>
    <n v="850.8"/>
    <s v="Misaligned"/>
    <x v="1"/>
    <s v="High Value Tier"/>
    <x v="1"/>
  </r>
  <r>
    <s v="ORD6634"/>
    <s v="CUST2634"/>
    <n v="22"/>
    <s v="PROD1834"/>
    <x v="0"/>
    <x v="483"/>
    <s v="6/20/2024"/>
    <n v="1"/>
    <x v="0"/>
    <s v="12/24/2023"/>
    <s v=" $1,839.20 "/>
    <n v="1"/>
    <n v="48"/>
    <s v="Clothing"/>
    <s v="Lipstick"/>
    <x v="3"/>
    <x v="0"/>
    <n v="1839.2"/>
    <s v="Misaligned"/>
    <x v="3"/>
    <s v="High Value Tier"/>
    <x v="0"/>
  </r>
  <r>
    <s v="ORD6635"/>
    <s v="CUST2635"/>
    <n v="62"/>
    <s v="PROD1835"/>
    <x v="5"/>
    <x v="629"/>
    <d v="2025-09-07T00:00:00"/>
    <n v="1"/>
    <x v="0"/>
    <d v="2024-10-10T00:00:00"/>
    <s v=" $317.92 "/>
    <n v="4"/>
    <n v="23"/>
    <s v="Electronics"/>
    <s v="Running Shoes"/>
    <x v="0"/>
    <x v="1"/>
    <n v="1271.68"/>
    <s v="Misaligned"/>
    <x v="1"/>
    <s v="High Value Tier"/>
    <x v="0"/>
  </r>
  <r>
    <s v="ORD6636"/>
    <s v="CUST2636"/>
    <n v="45"/>
    <s v="PROD1836"/>
    <x v="2"/>
    <x v="844"/>
    <s v="8/17/2023"/>
    <n v="1"/>
    <x v="2"/>
    <s v="10/31/2024"/>
    <s v=" $125.84 "/>
    <n v="9"/>
    <n v="49"/>
    <s v="Electronics"/>
    <s v="Smartwatch"/>
    <x v="4"/>
    <x v="0"/>
    <n v="1132.56"/>
    <s v="Aligned"/>
    <x v="0"/>
    <s v="High Value Tier"/>
    <x v="1"/>
  </r>
  <r>
    <s v="ORD6637"/>
    <s v="CUST2637"/>
    <n v="59"/>
    <s v="PROD1837"/>
    <x v="3"/>
    <x v="120"/>
    <s v="9/16/2023"/>
    <n v="3"/>
    <x v="0"/>
    <d v="2025-08-07T00:00:00"/>
    <s v=" $53.62 "/>
    <n v="8"/>
    <n v="30"/>
    <s v="Home"/>
    <s v="Dining Table"/>
    <x v="1"/>
    <x v="1"/>
    <n v="428.96"/>
    <s v="Aligned"/>
    <x v="1"/>
    <s v="High Value Tier"/>
    <x v="0"/>
  </r>
  <r>
    <s v="ORD6638"/>
    <s v="CUST2638"/>
    <n v="42"/>
    <s v="PROD1838"/>
    <x v="4"/>
    <x v="166"/>
    <s v="11/27/2024"/>
    <n v="5"/>
    <x v="0"/>
    <d v="2022-03-06T00:00:00"/>
    <s v=" $223.59 "/>
    <n v="7"/>
    <n v="4"/>
    <s v="Sports"/>
    <s v="Bluetooth Speaker"/>
    <x v="4"/>
    <x v="1"/>
    <n v="1565.13"/>
    <s v="Misaligned"/>
    <x v="0"/>
    <s v="High Value Tier"/>
    <x v="3"/>
  </r>
  <r>
    <s v="ORD6639"/>
    <s v="CUST2639"/>
    <n v="26"/>
    <s v="PROD1839"/>
    <x v="1"/>
    <x v="345"/>
    <d v="2022-10-11T00:00:00"/>
    <n v="0"/>
    <x v="2"/>
    <s v="4/14/2025"/>
    <s v=" $49.19 "/>
    <n v="3"/>
    <n v="29"/>
    <s v="Home"/>
    <s v="Sofa"/>
    <x v="1"/>
    <x v="0"/>
    <n v="147.57"/>
    <s v="Aligned"/>
    <x v="2"/>
    <s v="High Value Tier"/>
    <x v="1"/>
  </r>
  <r>
    <s v="ORD6640"/>
    <s v="CUST2640"/>
    <n v="37"/>
    <s v="PROD1840"/>
    <x v="3"/>
    <x v="342"/>
    <s v="4/24/2024"/>
    <n v="2"/>
    <x v="0"/>
    <d v="2023-03-10T00:00:00"/>
    <s v=" $211.00 "/>
    <n v="7"/>
    <n v="15"/>
    <s v="Sports"/>
    <s v="Shampoo"/>
    <x v="3"/>
    <x v="0"/>
    <n v="1477"/>
    <s v="Misaligned"/>
    <x v="0"/>
    <s v="High Value Tier"/>
    <x v="0"/>
  </r>
  <r>
    <s v="ORD6641"/>
    <s v="CUST2641"/>
    <n v="36"/>
    <s v="PROD1841"/>
    <x v="4"/>
    <x v="300"/>
    <s v="9/23/2022"/>
    <n v="0"/>
    <x v="0"/>
    <d v="2024-03-01T00:00:00"/>
    <s v=" $905.81 "/>
    <n v="2"/>
    <n v="46"/>
    <s v="Beauty"/>
    <s v="Headphones"/>
    <x v="4"/>
    <x v="1"/>
    <n v="1811.62"/>
    <s v="Misaligned"/>
    <x v="0"/>
    <s v="High Value Tier"/>
    <x v="0"/>
  </r>
  <r>
    <s v="ORD6642"/>
    <s v="CUST2642"/>
    <n v="60"/>
    <s v="PROD1842"/>
    <x v="4"/>
    <x v="172"/>
    <d v="2023-06-06T00:00:00"/>
    <n v="5"/>
    <x v="0"/>
    <d v="2025-02-04T00:00:00"/>
    <s v=" $97.72 "/>
    <n v="8"/>
    <n v="2"/>
    <s v="Clothing"/>
    <s v="Skirt"/>
    <x v="2"/>
    <x v="0"/>
    <n v="781.76"/>
    <s v="Aligned"/>
    <x v="1"/>
    <s v="Core Tier"/>
    <x v="3"/>
  </r>
  <r>
    <s v="ORD6643"/>
    <s v="CUST2643"/>
    <n v="34"/>
    <s v="PROD1843"/>
    <x v="3"/>
    <x v="70"/>
    <s v="2/28/2022"/>
    <n v="1"/>
    <x v="1"/>
    <d v="2025-10-06T00:00:00"/>
    <s v=" $410.74 "/>
    <n v="3"/>
    <n v="39"/>
    <s v="Home"/>
    <s v="Smartphone"/>
    <x v="4"/>
    <x v="1"/>
    <n v="1232.22"/>
    <s v="Misaligned"/>
    <x v="2"/>
    <s v="High Value Tier"/>
    <x v="0"/>
  </r>
  <r>
    <s v="ORD6644"/>
    <s v="CUST2644"/>
    <n v="43"/>
    <s v="PROD1844"/>
    <x v="0"/>
    <x v="91"/>
    <s v="7/21/2024"/>
    <n v="0"/>
    <x v="0"/>
    <s v="7/25/2023"/>
    <s v=" $91.62 "/>
    <n v="6"/>
    <n v="9"/>
    <s v="Sports"/>
    <s v="Hoodie"/>
    <x v="2"/>
    <x v="0"/>
    <n v="549.72"/>
    <s v="Misaligned"/>
    <x v="0"/>
    <s v="High Value Tier"/>
    <x v="0"/>
  </r>
  <r>
    <s v="ORD6645"/>
    <s v="CUST2645"/>
    <n v="55"/>
    <s v="PROD1845"/>
    <x v="3"/>
    <x v="845"/>
    <d v="2024-11-06T00:00:00"/>
    <n v="2"/>
    <x v="1"/>
    <s v="5/16/2023"/>
    <s v=" $173.84 "/>
    <n v="5"/>
    <n v="46"/>
    <s v="Home"/>
    <s v="Laptop"/>
    <x v="4"/>
    <x v="0"/>
    <n v="869.2"/>
    <s v="Misaligned"/>
    <x v="1"/>
    <s v="High Value Tier"/>
    <x v="0"/>
  </r>
  <r>
    <s v="ORD6646"/>
    <s v="CUST2646"/>
    <n v="33"/>
    <s v="PROD1846"/>
    <x v="5"/>
    <x v="610"/>
    <d v="2025-07-05T00:00:00"/>
    <n v="5"/>
    <x v="0"/>
    <s v="7/22/2021"/>
    <s v=" $255.81 "/>
    <n v="6"/>
    <n v="35"/>
    <s v="Electronics"/>
    <s v="Yoga Mat"/>
    <x v="0"/>
    <x v="0"/>
    <n v="1534.86"/>
    <s v="Misaligned"/>
    <x v="2"/>
    <s v="High Value Tier"/>
    <x v="3"/>
  </r>
  <r>
    <s v="ORD6647"/>
    <s v="CUST2647"/>
    <n v="40"/>
    <s v="PROD1847"/>
    <x v="2"/>
    <x v="846"/>
    <s v="11/16/2023"/>
    <n v="2"/>
    <x v="1"/>
    <s v="4/14/2024"/>
    <s v=" $358.63 "/>
    <n v="2"/>
    <n v="6"/>
    <s v="Clothing"/>
    <s v="Nail Polish"/>
    <x v="3"/>
    <x v="1"/>
    <n v="717.26"/>
    <s v="Misaligned"/>
    <x v="0"/>
    <s v="High Value Tier"/>
    <x v="0"/>
  </r>
  <r>
    <s v="ORD6648"/>
    <s v="CUST2648"/>
    <n v="47"/>
    <s v="PROD1848"/>
    <x v="4"/>
    <x v="847"/>
    <d v="2023-11-12T00:00:00"/>
    <n v="2"/>
    <x v="2"/>
    <s v="7/25/2023"/>
    <s v=" $12.28 "/>
    <n v="4"/>
    <n v="35"/>
    <s v="Clothing"/>
    <s v="Yoga Mat"/>
    <x v="0"/>
    <x v="0"/>
    <n v="49.12"/>
    <s v="Misaligned"/>
    <x v="0"/>
    <s v="Core Tier"/>
    <x v="1"/>
  </r>
  <r>
    <s v="ORD6649"/>
    <s v="CUST2649"/>
    <n v="54"/>
    <s v="PROD1849"/>
    <x v="3"/>
    <x v="366"/>
    <s v="9/24/2021"/>
    <n v="4"/>
    <x v="0"/>
    <d v="2025-08-02T00:00:00"/>
    <s v=" $112.04 "/>
    <n v="8"/>
    <n v="29"/>
    <s v="Clothing"/>
    <s v="Skirt"/>
    <x v="2"/>
    <x v="1"/>
    <n v="896.32"/>
    <s v="Aligned"/>
    <x v="1"/>
    <s v="High Value Tier"/>
    <x v="3"/>
  </r>
  <r>
    <s v="ORD6650"/>
    <s v="CUST2650"/>
    <n v="36"/>
    <s v="PROD1850"/>
    <x v="5"/>
    <x v="848"/>
    <d v="2024-12-10T00:00:00"/>
    <n v="0"/>
    <x v="2"/>
    <d v="2024-10-08T00:00:00"/>
    <s v=" $1,885.06 "/>
    <n v="1"/>
    <n v="33"/>
    <s v="Electronics"/>
    <s v="Camera"/>
    <x v="4"/>
    <x v="0"/>
    <n v="1885.06"/>
    <s v="Aligned"/>
    <x v="0"/>
    <s v="High Value Tier"/>
    <x v="1"/>
  </r>
  <r>
    <s v="ORD6651"/>
    <s v="CUST2651"/>
    <n v="26"/>
    <s v="PROD1851"/>
    <x v="2"/>
    <x v="816"/>
    <s v="1/18/2022"/>
    <n v="3"/>
    <x v="2"/>
    <s v="7/27/2024"/>
    <s v=" $714.40 "/>
    <n v="2"/>
    <n v="30"/>
    <s v="Electronics"/>
    <s v="Sofa"/>
    <x v="1"/>
    <x v="1"/>
    <n v="1428.8"/>
    <s v="Misaligned"/>
    <x v="2"/>
    <s v="High Value Tier"/>
    <x v="1"/>
  </r>
  <r>
    <s v="ORD6652"/>
    <s v="CUST2652"/>
    <n v="21"/>
    <s v="PROD1852"/>
    <x v="3"/>
    <x v="295"/>
    <d v="2022-01-09T00:00:00"/>
    <n v="2"/>
    <x v="0"/>
    <s v="2/17/2023"/>
    <s v=" $277.69 "/>
    <n v="6"/>
    <n v="10"/>
    <s v="Electronics"/>
    <s v="Sneakers"/>
    <x v="2"/>
    <x v="0"/>
    <n v="1666.14"/>
    <s v="Misaligned"/>
    <x v="3"/>
    <s v="High Value Tier"/>
    <x v="0"/>
  </r>
  <r>
    <s v="ORD6653"/>
    <s v="CUST2653"/>
    <n v="62"/>
    <s v="PROD1853"/>
    <x v="2"/>
    <x v="849"/>
    <d v="2023-09-05T00:00:00"/>
    <n v="5"/>
    <x v="1"/>
    <s v="2/24/2024"/>
    <s v=" $108.33 "/>
    <n v="8"/>
    <n v="33"/>
    <s v="Electronics"/>
    <s v="Laptop"/>
    <x v="4"/>
    <x v="1"/>
    <n v="866.64"/>
    <s v="Aligned"/>
    <x v="1"/>
    <s v="High Value Tier"/>
    <x v="0"/>
  </r>
  <r>
    <s v="ORD6654"/>
    <s v="CUST2654"/>
    <n v="55"/>
    <s v="PROD1854"/>
    <x v="4"/>
    <x v="850"/>
    <d v="2021-07-10T00:00:00"/>
    <n v="5"/>
    <x v="2"/>
    <d v="2023-01-01T00:00:00"/>
    <s v=" $1,831.40 "/>
    <n v="1"/>
    <n v="4"/>
    <s v="Sports"/>
    <s v="Headphones"/>
    <x v="4"/>
    <x v="0"/>
    <n v="1831.4"/>
    <s v="Misaligned"/>
    <x v="1"/>
    <s v="High Value Tier"/>
    <x v="1"/>
  </r>
  <r>
    <s v="ORD6655"/>
    <s v="CUST2655"/>
    <n v="42"/>
    <s v="PROD1855"/>
    <x v="4"/>
    <x v="851"/>
    <s v="5/29/2021"/>
    <n v="2"/>
    <x v="1"/>
    <d v="2021-01-12T00:00:00"/>
    <s v=" $524.46 "/>
    <n v="1"/>
    <n v="12"/>
    <s v="Beauty"/>
    <s v="Nail Polish"/>
    <x v="3"/>
    <x v="0"/>
    <n v="524.46"/>
    <s v="Aligned"/>
    <x v="0"/>
    <s v="High Value Tier"/>
    <x v="0"/>
  </r>
  <r>
    <s v="ORD6656"/>
    <s v="CUST2656"/>
    <n v="35"/>
    <s v="PROD1856"/>
    <x v="0"/>
    <x v="146"/>
    <d v="2025-05-05T00:00:00"/>
    <n v="5"/>
    <x v="0"/>
    <d v="2024-05-07T00:00:00"/>
    <s v=" $351.58 "/>
    <n v="3"/>
    <n v="13"/>
    <s v="Sports"/>
    <s v="Shampoo"/>
    <x v="3"/>
    <x v="1"/>
    <n v="1054.74"/>
    <s v="Misaligned"/>
    <x v="0"/>
    <s v="High Value Tier"/>
    <x v="3"/>
  </r>
  <r>
    <s v="ORD6657"/>
    <s v="CUST2657"/>
    <n v="69"/>
    <s v="PROD1857"/>
    <x v="3"/>
    <x v="730"/>
    <s v="8/20/2025"/>
    <n v="5"/>
    <x v="0"/>
    <s v="6/17/2022"/>
    <s v=" $79.30 "/>
    <n v="9"/>
    <n v="34"/>
    <s v="Electronics"/>
    <s v="Hoodie"/>
    <x v="2"/>
    <x v="2"/>
    <n v="713.7"/>
    <s v="Misaligned"/>
    <x v="4"/>
    <s v="High Value Tier"/>
    <x v="3"/>
  </r>
  <r>
    <s v="ORD6658"/>
    <s v="CUST2658"/>
    <n v="42"/>
    <s v="PROD1858"/>
    <x v="5"/>
    <x v="852"/>
    <s v="3/19/2025"/>
    <n v="0"/>
    <x v="0"/>
    <d v="2024-01-10T00:00:00"/>
    <s v=" $428.49 "/>
    <n v="3"/>
    <n v="38"/>
    <s v="Beauty"/>
    <s v="Bluetooth Speaker"/>
    <x v="4"/>
    <x v="1"/>
    <n v="1285.47"/>
    <s v="Misaligned"/>
    <x v="0"/>
    <s v="High Value Tier"/>
    <x v="0"/>
  </r>
  <r>
    <s v="ORD6659"/>
    <s v="CUST2659"/>
    <n v="34"/>
    <s v="PROD1859"/>
    <x v="3"/>
    <x v="831"/>
    <s v="1/17/2023"/>
    <n v="2"/>
    <x v="0"/>
    <s v="5/14/2025"/>
    <s v=" $63.22 "/>
    <n v="5"/>
    <n v="15"/>
    <s v="Beauty"/>
    <s v="Sofa"/>
    <x v="1"/>
    <x v="1"/>
    <n v="316.10000000000002"/>
    <s v="Misaligned"/>
    <x v="2"/>
    <s v="High Value Tier"/>
    <x v="0"/>
  </r>
  <r>
    <s v="ORD6660"/>
    <s v="CUST2660"/>
    <n v="39"/>
    <s v="PROD1860"/>
    <x v="4"/>
    <x v="853"/>
    <d v="2022-02-10T00:00:00"/>
    <n v="0"/>
    <x v="2"/>
    <d v="2025-04-07T00:00:00"/>
    <s v=" $137.12 "/>
    <n v="8"/>
    <n v="20"/>
    <s v="Clothing"/>
    <s v="Perfume"/>
    <x v="3"/>
    <x v="1"/>
    <n v="1096.96"/>
    <s v="Misaligned"/>
    <x v="0"/>
    <s v="High Value Tier"/>
    <x v="1"/>
  </r>
  <r>
    <s v="ORD6661"/>
    <s v="CUST2661"/>
    <n v="21"/>
    <s v="PROD1861"/>
    <x v="1"/>
    <x v="195"/>
    <d v="2023-07-12T00:00:00"/>
    <n v="1"/>
    <x v="0"/>
    <s v="4/23/2022"/>
    <s v=" $209.09 "/>
    <n v="3"/>
    <n v="16"/>
    <s v="Clothing"/>
    <s v="Football"/>
    <x v="0"/>
    <x v="1"/>
    <n v="627.27"/>
    <s v="Misaligned"/>
    <x v="3"/>
    <s v="High Value Tier"/>
    <x v="0"/>
  </r>
  <r>
    <s v="ORD6662"/>
    <s v="CUST2662"/>
    <n v="55"/>
    <s v="PROD1862"/>
    <x v="4"/>
    <x v="367"/>
    <s v="11/25/2024"/>
    <n v="4"/>
    <x v="0"/>
    <d v="2022-08-11T00:00:00"/>
    <s v=" $294.64 "/>
    <n v="4"/>
    <n v="22"/>
    <s v="Home"/>
    <s v="Camera"/>
    <x v="4"/>
    <x v="0"/>
    <n v="1178.56"/>
    <s v="Misaligned"/>
    <x v="1"/>
    <s v="High Value Tier"/>
    <x v="3"/>
  </r>
  <r>
    <s v="ORD6663"/>
    <s v="CUST2663"/>
    <n v="51"/>
    <s v="PROD1863"/>
    <x v="2"/>
    <x v="376"/>
    <d v="2024-12-05T00:00:00"/>
    <n v="5"/>
    <x v="0"/>
    <s v="1/19/2024"/>
    <s v=" $147.02 "/>
    <n v="5"/>
    <n v="31"/>
    <s v="Clothing"/>
    <s v="Skirt"/>
    <x v="2"/>
    <x v="0"/>
    <n v="735.1"/>
    <s v="Aligned"/>
    <x v="1"/>
    <s v="High Value Tier"/>
    <x v="3"/>
  </r>
  <r>
    <s v="ORD6664"/>
    <s v="CUST2664"/>
    <n v="64"/>
    <s v="PROD1864"/>
    <x v="2"/>
    <x v="854"/>
    <d v="2023-11-09T00:00:00"/>
    <n v="5"/>
    <x v="1"/>
    <s v="4/26/2024"/>
    <s v=" $327.61 "/>
    <n v="6"/>
    <n v="19"/>
    <s v="Clothing"/>
    <s v="Cycling Helmet"/>
    <x v="0"/>
    <x v="1"/>
    <n v="1965.66"/>
    <s v="Misaligned"/>
    <x v="1"/>
    <s v="High Value Tier"/>
    <x v="0"/>
  </r>
  <r>
    <s v="ORD6665"/>
    <s v="CUST2665"/>
    <n v="64"/>
    <s v="PROD1865"/>
    <x v="1"/>
    <x v="756"/>
    <d v="2024-05-08T00:00:00"/>
    <n v="3"/>
    <x v="2"/>
    <s v="1/17/2023"/>
    <s v=" $823.69 "/>
    <n v="2"/>
    <n v="2"/>
    <s v="Home"/>
    <s v="Bluetooth Speaker"/>
    <x v="4"/>
    <x v="1"/>
    <n v="1647.38"/>
    <s v="Misaligned"/>
    <x v="1"/>
    <s v="High Value Tier"/>
    <x v="1"/>
  </r>
  <r>
    <s v="ORD6666"/>
    <s v="CUST2666"/>
    <n v="66"/>
    <s v="PROD1866"/>
    <x v="1"/>
    <x v="87"/>
    <s v="2/25/2024"/>
    <n v="2"/>
    <x v="0"/>
    <d v="2024-02-07T00:00:00"/>
    <s v=" $20.04 "/>
    <n v="7"/>
    <n v="8"/>
    <s v="Clothing"/>
    <s v="Skirt"/>
    <x v="2"/>
    <x v="0"/>
    <n v="140.28"/>
    <s v="Aligned"/>
    <x v="4"/>
    <s v="Core Tier"/>
    <x v="0"/>
  </r>
  <r>
    <s v="ORD6667"/>
    <s v="CUST2667"/>
    <n v="32"/>
    <s v="PROD1867"/>
    <x v="0"/>
    <x v="2"/>
    <d v="2025-08-06T00:00:00"/>
    <n v="4"/>
    <x v="1"/>
    <d v="2023-07-07T00:00:00"/>
    <s v=" $175.23 "/>
    <n v="9"/>
    <n v="22"/>
    <s v="Clothing"/>
    <s v="Hoodie"/>
    <x v="2"/>
    <x v="0"/>
    <n v="1577.07"/>
    <s v="Aligned"/>
    <x v="2"/>
    <s v="High Value Tier"/>
    <x v="0"/>
  </r>
  <r>
    <s v="ORD6668"/>
    <s v="CUST2668"/>
    <n v="55"/>
    <s v="PROD1868"/>
    <x v="4"/>
    <x v="850"/>
    <d v="2024-12-02T00:00:00"/>
    <n v="5"/>
    <x v="0"/>
    <s v="10/23/2022"/>
    <s v=" $330.08 "/>
    <n v="5"/>
    <n v="34"/>
    <s v="Electronics"/>
    <s v="Chair"/>
    <x v="1"/>
    <x v="1"/>
    <n v="1650.4"/>
    <s v="Misaligned"/>
    <x v="1"/>
    <s v="High Value Tier"/>
    <x v="3"/>
  </r>
  <r>
    <s v="ORD6669"/>
    <s v="CUST2669"/>
    <n v="59"/>
    <s v="PROD1869"/>
    <x v="1"/>
    <x v="131"/>
    <d v="2023-02-07T00:00:00"/>
    <n v="5"/>
    <x v="2"/>
    <s v="6/21/2025"/>
    <s v=" $240.04 "/>
    <n v="2"/>
    <n v="36"/>
    <s v="Home"/>
    <s v="Camera"/>
    <x v="4"/>
    <x v="1"/>
    <n v="480.08"/>
    <s v="Misaligned"/>
    <x v="1"/>
    <s v="High Value Tier"/>
    <x v="1"/>
  </r>
  <r>
    <s v="ORD6670"/>
    <s v="CUST2670"/>
    <n v="24"/>
    <s v="PROD1870"/>
    <x v="2"/>
    <x v="855"/>
    <d v="2022-04-12T00:00:00"/>
    <n v="0"/>
    <x v="0"/>
    <s v="5/18/2024"/>
    <s v=" $3.68 "/>
    <n v="9"/>
    <n v="47"/>
    <s v="Home"/>
    <s v="Headphones"/>
    <x v="4"/>
    <x v="0"/>
    <n v="33.119999999999997"/>
    <s v="Misaligned"/>
    <x v="3"/>
    <s v="Core Tier"/>
    <x v="0"/>
  </r>
  <r>
    <s v="ORD6671"/>
    <s v="CUST2671"/>
    <n v="66"/>
    <s v="PROD1871"/>
    <x v="0"/>
    <x v="619"/>
    <s v="1/19/2022"/>
    <n v="3"/>
    <x v="0"/>
    <d v="2023-10-08T00:00:00"/>
    <s v=" $323.89 "/>
    <n v="2"/>
    <n v="37"/>
    <s v="Home"/>
    <s v="Lipstick"/>
    <x v="3"/>
    <x v="0"/>
    <n v="647.78"/>
    <s v="Misaligned"/>
    <x v="4"/>
    <s v="High Value Tier"/>
    <x v="0"/>
  </r>
  <r>
    <s v="ORD6672"/>
    <s v="CUST2672"/>
    <n v="48"/>
    <s v="PROD1872"/>
    <x v="4"/>
    <x v="856"/>
    <d v="2025-12-06T00:00:00"/>
    <n v="4"/>
    <x v="1"/>
    <s v="7/18/2025"/>
    <s v=" $29.26 "/>
    <n v="9"/>
    <n v="34"/>
    <s v="Electronics"/>
    <s v="Face Wash"/>
    <x v="3"/>
    <x v="0"/>
    <n v="263.33999999999997"/>
    <s v="Misaligned"/>
    <x v="0"/>
    <s v="High Value Tier"/>
    <x v="0"/>
  </r>
  <r>
    <s v="ORD6673"/>
    <s v="CUST2673"/>
    <n v="22"/>
    <s v="PROD1873"/>
    <x v="2"/>
    <x v="367"/>
    <s v="2/23/2024"/>
    <n v="3"/>
    <x v="2"/>
    <d v="2024-03-08T00:00:00"/>
    <s v=" $119.12 "/>
    <n v="5"/>
    <n v="2"/>
    <s v="Clothing"/>
    <s v="Lipstick"/>
    <x v="3"/>
    <x v="0"/>
    <n v="595.6"/>
    <s v="Misaligned"/>
    <x v="3"/>
    <s v="Core Tier"/>
    <x v="1"/>
  </r>
  <r>
    <s v="ORD6674"/>
    <s v="CUST2674"/>
    <n v="66"/>
    <s v="PROD1874"/>
    <x v="5"/>
    <x v="166"/>
    <s v="4/23/2023"/>
    <n v="5"/>
    <x v="0"/>
    <s v="3/31/2023"/>
    <s v=" $156.26 "/>
    <n v="8"/>
    <n v="42"/>
    <s v="Home"/>
    <s v="Laptop"/>
    <x v="4"/>
    <x v="1"/>
    <n v="1250.08"/>
    <s v="Misaligned"/>
    <x v="4"/>
    <s v="High Value Tier"/>
    <x v="3"/>
  </r>
  <r>
    <s v="ORD6675"/>
    <s v="CUST2675"/>
    <n v="28"/>
    <s v="PROD1875"/>
    <x v="5"/>
    <x v="857"/>
    <s v="10/26/2024"/>
    <n v="4"/>
    <x v="2"/>
    <s v="7/29/2024"/>
    <s v=" $135.47 "/>
    <n v="6"/>
    <n v="3"/>
    <s v="Electronics"/>
    <s v="Gaming Console"/>
    <x v="4"/>
    <x v="1"/>
    <n v="812.82"/>
    <s v="Aligned"/>
    <x v="2"/>
    <s v="Core Tier"/>
    <x v="1"/>
  </r>
  <r>
    <s v="ORD6676"/>
    <s v="CUST2676"/>
    <n v="48"/>
    <s v="PROD1876"/>
    <x v="0"/>
    <x v="586"/>
    <s v="2/24/2024"/>
    <n v="3"/>
    <x v="0"/>
    <d v="2021-05-07T00:00:00"/>
    <s v=" $814.81 "/>
    <n v="2"/>
    <n v="25"/>
    <s v="Beauty"/>
    <s v="T-Shirt"/>
    <x v="2"/>
    <x v="1"/>
    <n v="1629.62"/>
    <s v="Misaligned"/>
    <x v="0"/>
    <s v="High Value Tier"/>
    <x v="0"/>
  </r>
  <r>
    <s v="ORD6677"/>
    <s v="CUST2677"/>
    <n v="35"/>
    <s v="PROD1877"/>
    <x v="3"/>
    <x v="567"/>
    <d v="2023-09-05T00:00:00"/>
    <n v="0"/>
    <x v="0"/>
    <s v="3/24/2024"/>
    <s v=" $403.86 "/>
    <n v="2"/>
    <n v="43"/>
    <s v="Beauty"/>
    <s v="Headphones"/>
    <x v="4"/>
    <x v="0"/>
    <n v="807.72"/>
    <s v="Misaligned"/>
    <x v="0"/>
    <s v="High Value Tier"/>
    <x v="0"/>
  </r>
  <r>
    <s v="ORD6678"/>
    <s v="CUST2678"/>
    <n v="27"/>
    <s v="PROD1878"/>
    <x v="1"/>
    <x v="305"/>
    <s v="1/20/2024"/>
    <n v="0"/>
    <x v="0"/>
    <s v="3/25/2023"/>
    <s v=" $163.55 "/>
    <n v="6"/>
    <n v="48"/>
    <s v="Electronics"/>
    <s v="Foundation"/>
    <x v="3"/>
    <x v="0"/>
    <n v="981.3"/>
    <s v="Misaligned"/>
    <x v="2"/>
    <s v="High Value Tier"/>
    <x v="0"/>
  </r>
  <r>
    <s v="ORD6679"/>
    <s v="CUST2679"/>
    <n v="24"/>
    <s v="PROD1879"/>
    <x v="4"/>
    <x v="136"/>
    <s v="7/24/2023"/>
    <n v="2"/>
    <x v="2"/>
    <d v="2024-12-05T00:00:00"/>
    <s v=" $75.07 "/>
    <n v="5"/>
    <n v="32"/>
    <s v="Electronics"/>
    <s v="T-Shirt"/>
    <x v="2"/>
    <x v="0"/>
    <n v="375.35"/>
    <s v="Misaligned"/>
    <x v="3"/>
    <s v="High Value Tier"/>
    <x v="1"/>
  </r>
  <r>
    <s v="ORD6680"/>
    <s v="CUST2680"/>
    <n v="69"/>
    <s v="PROD1880"/>
    <x v="2"/>
    <x v="11"/>
    <d v="2022-09-04T00:00:00"/>
    <n v="0"/>
    <x v="0"/>
    <s v="10/16/2023"/>
    <s v=" $118.64 "/>
    <n v="8"/>
    <n v="1"/>
    <s v="Clothing"/>
    <s v="Headphones"/>
    <x v="4"/>
    <x v="0"/>
    <n v="949.12"/>
    <s v="Misaligned"/>
    <x v="4"/>
    <s v="Core Tier"/>
    <x v="0"/>
  </r>
  <r>
    <s v="ORD6681"/>
    <s v="CUST2681"/>
    <n v="65"/>
    <s v="PROD1881"/>
    <x v="5"/>
    <x v="614"/>
    <s v="6/25/2021"/>
    <n v="4"/>
    <x v="0"/>
    <d v="2021-10-11T00:00:00"/>
    <s v=" $53.37 "/>
    <n v="7"/>
    <n v="34"/>
    <s v="Beauty"/>
    <s v="Microwave"/>
    <x v="1"/>
    <x v="0"/>
    <n v="373.59"/>
    <s v="Misaligned"/>
    <x v="4"/>
    <s v="High Value Tier"/>
    <x v="3"/>
  </r>
  <r>
    <s v="ORD6682"/>
    <s v="CUST2682"/>
    <n v="65"/>
    <s v="PROD1882"/>
    <x v="5"/>
    <x v="858"/>
    <d v="2024-05-04T00:00:00"/>
    <n v="3"/>
    <x v="0"/>
    <d v="2024-09-12T00:00:00"/>
    <s v=" $101.28 "/>
    <n v="6"/>
    <n v="38"/>
    <s v="Clothing"/>
    <s v="Cycling Helmet"/>
    <x v="0"/>
    <x v="0"/>
    <n v="607.67999999999995"/>
    <s v="Misaligned"/>
    <x v="4"/>
    <s v="High Value Tier"/>
    <x v="0"/>
  </r>
  <r>
    <s v="ORD6683"/>
    <s v="CUST2683"/>
    <n v="55"/>
    <s v="PROD1883"/>
    <x v="1"/>
    <x v="656"/>
    <s v="4/21/2025"/>
    <n v="4"/>
    <x v="0"/>
    <s v="4/18/2024"/>
    <s v=" $86.01 "/>
    <n v="5"/>
    <n v="48"/>
    <s v="Home"/>
    <s v="Laptop"/>
    <x v="4"/>
    <x v="1"/>
    <n v="430.05"/>
    <s v="Misaligned"/>
    <x v="1"/>
    <s v="High Value Tier"/>
    <x v="3"/>
  </r>
  <r>
    <s v="ORD6684"/>
    <s v="CUST2684"/>
    <n v="26"/>
    <s v="PROD1884"/>
    <x v="3"/>
    <x v="859"/>
    <s v="11/26/2024"/>
    <n v="3"/>
    <x v="0"/>
    <d v="2024-09-01T00:00:00"/>
    <s v=" $306.85 "/>
    <n v="5"/>
    <n v="11"/>
    <s v="Home"/>
    <s v="Microwave"/>
    <x v="1"/>
    <x v="1"/>
    <n v="1534.25"/>
    <s v="Aligned"/>
    <x v="2"/>
    <s v="High Value Tier"/>
    <x v="0"/>
  </r>
  <r>
    <s v="ORD6685"/>
    <s v="CUST2685"/>
    <n v="20"/>
    <s v="PROD1885"/>
    <x v="0"/>
    <x v="381"/>
    <s v="6/18/2025"/>
    <n v="1"/>
    <x v="0"/>
    <s v="5/18/2022"/>
    <s v=" $177.19 "/>
    <n v="3"/>
    <n v="27"/>
    <s v="Beauty"/>
    <s v="Bluetooth Speaker"/>
    <x v="4"/>
    <x v="2"/>
    <n v="531.57000000000005"/>
    <s v="Misaligned"/>
    <x v="3"/>
    <s v="High Value Tier"/>
    <x v="0"/>
  </r>
  <r>
    <s v="ORD6686"/>
    <s v="CUST2686"/>
    <n v="51"/>
    <s v="PROD1886"/>
    <x v="2"/>
    <x v="379"/>
    <d v="2023-07-08T00:00:00"/>
    <n v="0"/>
    <x v="1"/>
    <s v="9/17/2023"/>
    <s v=" $1,804.28 "/>
    <n v="1"/>
    <n v="32"/>
    <s v="Home"/>
    <s v="Jacket"/>
    <x v="2"/>
    <x v="0"/>
    <n v="1804.28"/>
    <s v="Misaligned"/>
    <x v="1"/>
    <s v="High Value Tier"/>
    <x v="0"/>
  </r>
  <r>
    <s v="ORD6687"/>
    <s v="CUST2687"/>
    <n v="35"/>
    <s v="PROD1887"/>
    <x v="5"/>
    <x v="428"/>
    <s v="3/15/2025"/>
    <n v="0"/>
    <x v="2"/>
    <d v="2025-02-05T00:00:00"/>
    <s v=" $25.63 "/>
    <n v="4"/>
    <n v="2"/>
    <s v="Electronics"/>
    <s v="Sofa"/>
    <x v="1"/>
    <x v="1"/>
    <n v="102.52"/>
    <s v="Misaligned"/>
    <x v="0"/>
    <s v="Value Tier"/>
    <x v="1"/>
  </r>
  <r>
    <s v="ORD6688"/>
    <s v="CUST2688"/>
    <n v="58"/>
    <s v="PROD1888"/>
    <x v="1"/>
    <x v="760"/>
    <d v="2021-10-08T00:00:00"/>
    <n v="2"/>
    <x v="0"/>
    <s v="9/20/2024"/>
    <s v=" $18.20 "/>
    <n v="6"/>
    <n v="23"/>
    <s v="Sports"/>
    <s v="Jacket"/>
    <x v="2"/>
    <x v="1"/>
    <n v="109.2"/>
    <s v="Misaligned"/>
    <x v="1"/>
    <s v="High Value Tier"/>
    <x v="0"/>
  </r>
  <r>
    <s v="ORD6689"/>
    <s v="CUST2689"/>
    <n v="50"/>
    <s v="PROD1889"/>
    <x v="1"/>
    <x v="860"/>
    <s v="3/19/2024"/>
    <n v="4"/>
    <x v="0"/>
    <d v="2023-06-04T00:00:00"/>
    <s v=" $200.74 "/>
    <n v="5"/>
    <n v="38"/>
    <s v="Sports"/>
    <s v="Tablet"/>
    <x v="4"/>
    <x v="0"/>
    <n v="1003.7"/>
    <s v="Misaligned"/>
    <x v="1"/>
    <s v="High Value Tier"/>
    <x v="3"/>
  </r>
  <r>
    <s v="ORD6690"/>
    <s v="CUST2690"/>
    <n v="42"/>
    <s v="PROD1890"/>
    <x v="0"/>
    <x v="564"/>
    <s v="8/20/2025"/>
    <n v="0"/>
    <x v="0"/>
    <s v="4/28/2025"/>
    <s v=" $301.07 "/>
    <n v="6"/>
    <n v="46"/>
    <s v="Beauty"/>
    <s v="Lamp"/>
    <x v="1"/>
    <x v="0"/>
    <n v="1806.42"/>
    <s v="Misaligned"/>
    <x v="0"/>
    <s v="High Value Tier"/>
    <x v="0"/>
  </r>
  <r>
    <s v="ORD6691"/>
    <s v="CUST2691"/>
    <n v="21"/>
    <s v="PROD1891"/>
    <x v="1"/>
    <x v="772"/>
    <s v="6/15/2023"/>
    <n v="0"/>
    <x v="0"/>
    <d v="2025-06-07T00:00:00"/>
    <s v=" $383.59 "/>
    <n v="3"/>
    <n v="33"/>
    <s v="Beauty"/>
    <s v="Yoga Mat"/>
    <x v="0"/>
    <x v="1"/>
    <n v="1150.77"/>
    <s v="Misaligned"/>
    <x v="3"/>
    <s v="High Value Tier"/>
    <x v="0"/>
  </r>
  <r>
    <s v="ORD6692"/>
    <s v="CUST2692"/>
    <n v="46"/>
    <s v="PROD1892"/>
    <x v="5"/>
    <x v="500"/>
    <s v="5/22/2024"/>
    <n v="4"/>
    <x v="1"/>
    <d v="2025-06-07T00:00:00"/>
    <s v=" $159.88 "/>
    <n v="5"/>
    <n v="31"/>
    <s v="Electronics"/>
    <s v="Perfume"/>
    <x v="3"/>
    <x v="1"/>
    <n v="799.4"/>
    <s v="Misaligned"/>
    <x v="0"/>
    <s v="High Value Tier"/>
    <x v="0"/>
  </r>
  <r>
    <s v="ORD6693"/>
    <s v="CUST2693"/>
    <n v="62"/>
    <s v="PROD1893"/>
    <x v="5"/>
    <x v="445"/>
    <s v="8/19/2024"/>
    <n v="3"/>
    <x v="0"/>
    <s v="11/24/2024"/>
    <s v=" $96.74 "/>
    <n v="6"/>
    <n v="17"/>
    <s v="Home"/>
    <s v="Headphones"/>
    <x v="4"/>
    <x v="1"/>
    <n v="580.44000000000005"/>
    <s v="Misaligned"/>
    <x v="1"/>
    <s v="High Value Tier"/>
    <x v="0"/>
  </r>
  <r>
    <s v="ORD6694"/>
    <s v="CUST2694"/>
    <n v="33"/>
    <s v="PROD1894"/>
    <x v="2"/>
    <x v="841"/>
    <s v="1/14/2025"/>
    <n v="1"/>
    <x v="2"/>
    <d v="2024-04-08T00:00:00"/>
    <s v=" $147.04 "/>
    <n v="8"/>
    <n v="12"/>
    <s v="Sports"/>
    <s v="Yoga Mat"/>
    <x v="0"/>
    <x v="2"/>
    <n v="1176.32"/>
    <s v="Aligned"/>
    <x v="2"/>
    <s v="High Value Tier"/>
    <x v="1"/>
  </r>
  <r>
    <s v="ORD6695"/>
    <s v="CUST2695"/>
    <n v="59"/>
    <s v="PROD1895"/>
    <x v="5"/>
    <x v="133"/>
    <s v="12/30/2024"/>
    <n v="0"/>
    <x v="0"/>
    <d v="2024-08-04T00:00:00"/>
    <s v=" $67.84 "/>
    <n v="9"/>
    <n v="12"/>
    <s v="Electronics"/>
    <s v="Chair"/>
    <x v="1"/>
    <x v="1"/>
    <n v="610.55999999999995"/>
    <s v="Misaligned"/>
    <x v="1"/>
    <s v="High Value Tier"/>
    <x v="0"/>
  </r>
  <r>
    <s v="ORD6696"/>
    <s v="CUST2696"/>
    <n v="60"/>
    <s v="PROD1896"/>
    <x v="5"/>
    <x v="839"/>
    <s v="1/16/2024"/>
    <n v="3"/>
    <x v="0"/>
    <s v="4/17/2024"/>
    <s v=" $488.97 "/>
    <n v="1"/>
    <n v="49"/>
    <s v="Clothing"/>
    <s v="Laptop"/>
    <x v="4"/>
    <x v="1"/>
    <n v="488.97"/>
    <s v="Misaligned"/>
    <x v="1"/>
    <s v="High Value Tier"/>
    <x v="0"/>
  </r>
  <r>
    <s v="ORD6697"/>
    <s v="CUST2697"/>
    <n v="21"/>
    <s v="PROD1897"/>
    <x v="2"/>
    <x v="861"/>
    <s v="2/27/2024"/>
    <n v="1"/>
    <x v="0"/>
    <s v="1/23/2024"/>
    <s v=" $257.60 "/>
    <n v="7"/>
    <n v="34"/>
    <s v="Sports"/>
    <s v="Conditioner"/>
    <x v="3"/>
    <x v="1"/>
    <n v="1803.2"/>
    <s v="Misaligned"/>
    <x v="3"/>
    <s v="High Value Tier"/>
    <x v="0"/>
  </r>
  <r>
    <s v="ORD6698"/>
    <s v="CUST2698"/>
    <n v="62"/>
    <s v="PROD1898"/>
    <x v="2"/>
    <x v="862"/>
    <d v="2022-11-07T00:00:00"/>
    <n v="4"/>
    <x v="2"/>
    <s v="7/17/2025"/>
    <s v=" $200.49 "/>
    <n v="2"/>
    <n v="41"/>
    <s v="Electronics"/>
    <s v="Smartphone"/>
    <x v="4"/>
    <x v="0"/>
    <n v="400.98"/>
    <s v="Aligned"/>
    <x v="1"/>
    <s v="High Value Tier"/>
    <x v="1"/>
  </r>
  <r>
    <s v="ORD6699"/>
    <s v="CUST2699"/>
    <n v="52"/>
    <s v="PROD1899"/>
    <x v="2"/>
    <x v="5"/>
    <s v="5/19/2025"/>
    <n v="3"/>
    <x v="0"/>
    <s v="6/22/2023"/>
    <s v=" $80.90 "/>
    <n v="9"/>
    <n v="22"/>
    <s v="Electronics"/>
    <s v="Camera"/>
    <x v="4"/>
    <x v="1"/>
    <n v="728.1"/>
    <s v="Aligned"/>
    <x v="1"/>
    <s v="High Value Tier"/>
    <x v="0"/>
  </r>
  <r>
    <s v="ORD6700"/>
    <s v="CUST2700"/>
    <n v="44"/>
    <s v="PROD1900"/>
    <x v="4"/>
    <x v="863"/>
    <s v="5/17/2024"/>
    <n v="3"/>
    <x v="1"/>
    <d v="2024-01-06T00:00:00"/>
    <s v=" $157.67 "/>
    <n v="9"/>
    <n v="13"/>
    <s v="Sports"/>
    <s v="Tablet"/>
    <x v="4"/>
    <x v="1"/>
    <n v="1419.03"/>
    <s v="Misaligned"/>
    <x v="0"/>
    <s v="High Value Tier"/>
    <x v="0"/>
  </r>
  <r>
    <s v="ORD6701"/>
    <s v="CUST2701"/>
    <n v="65"/>
    <s v="PROD1901"/>
    <x v="1"/>
    <x v="864"/>
    <s v="1/16/2024"/>
    <n v="5"/>
    <x v="0"/>
    <s v="6/20/2024"/>
    <s v=" $104.98 "/>
    <n v="8"/>
    <n v="26"/>
    <s v="Home"/>
    <s v="Shirt"/>
    <x v="2"/>
    <x v="0"/>
    <n v="839.84"/>
    <s v="Misaligned"/>
    <x v="4"/>
    <s v="High Value Tier"/>
    <x v="3"/>
  </r>
  <r>
    <s v="ORD6702"/>
    <s v="CUST2702"/>
    <n v="50"/>
    <s v="PROD1902"/>
    <x v="2"/>
    <x v="458"/>
    <d v="2024-08-07T00:00:00"/>
    <n v="4"/>
    <x v="0"/>
    <d v="2024-05-09T00:00:00"/>
    <s v=" $62.90 "/>
    <n v="4"/>
    <n v="13"/>
    <s v="Clothing"/>
    <s v="Foundation"/>
    <x v="3"/>
    <x v="0"/>
    <n v="251.6"/>
    <s v="Misaligned"/>
    <x v="1"/>
    <s v="High Value Tier"/>
    <x v="3"/>
  </r>
  <r>
    <s v="ORD6703"/>
    <s v="CUST2703"/>
    <n v="30"/>
    <s v="PROD1903"/>
    <x v="0"/>
    <x v="865"/>
    <s v="4/22/2025"/>
    <n v="4"/>
    <x v="1"/>
    <s v="7/20/2023"/>
    <s v=" $145.29 "/>
    <n v="3"/>
    <n v="24"/>
    <s v="Clothing"/>
    <s v="Chair"/>
    <x v="1"/>
    <x v="1"/>
    <n v="435.87"/>
    <s v="Misaligned"/>
    <x v="2"/>
    <s v="High Value Tier"/>
    <x v="0"/>
  </r>
  <r>
    <s v="ORD6704"/>
    <s v="CUST2704"/>
    <n v="28"/>
    <s v="PROD1904"/>
    <x v="3"/>
    <x v="799"/>
    <s v="10/16/2024"/>
    <n v="4"/>
    <x v="1"/>
    <s v="10/30/2024"/>
    <s v=" $858.36 "/>
    <n v="2"/>
    <n v="44"/>
    <s v="Home"/>
    <s v="Camera"/>
    <x v="4"/>
    <x v="0"/>
    <n v="1716.72"/>
    <s v="Misaligned"/>
    <x v="2"/>
    <s v="High Value Tier"/>
    <x v="0"/>
  </r>
  <r>
    <s v="ORD6705"/>
    <s v="CUST2705"/>
    <n v="57"/>
    <s v="PROD1905"/>
    <x v="0"/>
    <x v="127"/>
    <d v="2021-06-08T00:00:00"/>
    <n v="1"/>
    <x v="1"/>
    <s v="7/23/2024"/>
    <s v=" $821.24 "/>
    <n v="2"/>
    <n v="23"/>
    <s v="Home"/>
    <s v="Football"/>
    <x v="0"/>
    <x v="1"/>
    <n v="1642.48"/>
    <s v="Misaligned"/>
    <x v="1"/>
    <s v="High Value Tier"/>
    <x v="0"/>
  </r>
  <r>
    <s v="ORD6706"/>
    <s v="CUST2706"/>
    <n v="40"/>
    <s v="PROD1906"/>
    <x v="5"/>
    <x v="125"/>
    <s v="1/24/2025"/>
    <n v="3"/>
    <x v="1"/>
    <s v="7/14/2022"/>
    <s v=" $165.58 "/>
    <n v="8"/>
    <n v="21"/>
    <s v="Electronics"/>
    <s v="Blender"/>
    <x v="1"/>
    <x v="1"/>
    <n v="1324.64"/>
    <s v="Misaligned"/>
    <x v="0"/>
    <s v="High Value Tier"/>
    <x v="0"/>
  </r>
  <r>
    <s v="ORD6707"/>
    <s v="CUST2707"/>
    <n v="39"/>
    <s v="PROD1907"/>
    <x v="1"/>
    <x v="461"/>
    <s v="6/14/2025"/>
    <n v="5"/>
    <x v="0"/>
    <s v="11/20/2022"/>
    <s v=" $93.48 "/>
    <n v="9"/>
    <n v="39"/>
    <s v="Clothing"/>
    <s v="Headphones"/>
    <x v="4"/>
    <x v="0"/>
    <n v="841.32"/>
    <s v="Misaligned"/>
    <x v="0"/>
    <s v="High Value Tier"/>
    <x v="3"/>
  </r>
  <r>
    <s v="ORD6708"/>
    <s v="CUST2708"/>
    <n v="33"/>
    <s v="PROD1908"/>
    <x v="1"/>
    <x v="293"/>
    <d v="2024-12-10T00:00:00"/>
    <n v="1"/>
    <x v="1"/>
    <d v="2025-10-08T00:00:00"/>
    <s v=" $227.54 "/>
    <n v="8"/>
    <n v="10"/>
    <s v="Sports"/>
    <s v="Sofa"/>
    <x v="1"/>
    <x v="0"/>
    <n v="1820.32"/>
    <s v="Misaligned"/>
    <x v="2"/>
    <s v="High Value Tier"/>
    <x v="0"/>
  </r>
  <r>
    <s v="ORD6709"/>
    <s v="CUST2709"/>
    <n v="40"/>
    <s v="PROD1909"/>
    <x v="1"/>
    <x v="635"/>
    <s v="4/20/2025"/>
    <n v="1"/>
    <x v="2"/>
    <s v="8/20/2023"/>
    <s v=" $259.94 "/>
    <n v="6"/>
    <n v="35"/>
    <s v="Clothing"/>
    <s v="Jeans"/>
    <x v="2"/>
    <x v="1"/>
    <n v="1559.64"/>
    <s v="Aligned"/>
    <x v="0"/>
    <s v="High Value Tier"/>
    <x v="1"/>
  </r>
  <r>
    <s v="ORD6710"/>
    <s v="CUST2710"/>
    <n v="20"/>
    <s v="PROD1910"/>
    <x v="3"/>
    <x v="866"/>
    <d v="2024-09-02T00:00:00"/>
    <n v="0"/>
    <x v="0"/>
    <s v="1/26/2024"/>
    <s v=" $232.00 "/>
    <n v="8"/>
    <n v="39"/>
    <s v="Electronics"/>
    <s v="Shirt"/>
    <x v="2"/>
    <x v="0"/>
    <n v="1856"/>
    <s v="Misaligned"/>
    <x v="3"/>
    <s v="High Value Tier"/>
    <x v="0"/>
  </r>
  <r>
    <s v="ORD6711"/>
    <s v="CUST2711"/>
    <n v="47"/>
    <s v="PROD1911"/>
    <x v="3"/>
    <x v="693"/>
    <d v="2024-04-09T00:00:00"/>
    <n v="5"/>
    <x v="2"/>
    <d v="2023-01-02T00:00:00"/>
    <s v=" $184.92 "/>
    <n v="7"/>
    <n v="34"/>
    <s v="Home"/>
    <s v="Tablet"/>
    <x v="4"/>
    <x v="1"/>
    <n v="1294.44"/>
    <s v="Misaligned"/>
    <x v="0"/>
    <s v="High Value Tier"/>
    <x v="1"/>
  </r>
  <r>
    <s v="ORD6712"/>
    <s v="CUST2712"/>
    <n v="53"/>
    <s v="PROD1912"/>
    <x v="5"/>
    <x v="336"/>
    <s v="5/21/2025"/>
    <n v="2"/>
    <x v="0"/>
    <d v="2024-02-04T00:00:00"/>
    <s v=" $186.91 "/>
    <n v="6"/>
    <n v="30"/>
    <s v="Clothing"/>
    <s v="Jeans"/>
    <x v="2"/>
    <x v="1"/>
    <n v="1121.46"/>
    <s v="Aligned"/>
    <x v="1"/>
    <s v="High Value Tier"/>
    <x v="0"/>
  </r>
  <r>
    <s v="ORD6713"/>
    <s v="CUST2713"/>
    <n v="66"/>
    <s v="PROD1913"/>
    <x v="3"/>
    <x v="387"/>
    <d v="2025-09-04T00:00:00"/>
    <n v="4"/>
    <x v="0"/>
    <d v="2024-11-01T00:00:00"/>
    <s v=" $82.59 "/>
    <n v="9"/>
    <n v="46"/>
    <s v="Beauty"/>
    <s v="Refrigerator"/>
    <x v="1"/>
    <x v="0"/>
    <n v="743.31"/>
    <s v="Misaligned"/>
    <x v="4"/>
    <s v="High Value Tier"/>
    <x v="3"/>
  </r>
  <r>
    <s v="ORD6714"/>
    <s v="CUST2714"/>
    <n v="27"/>
    <s v="PROD1914"/>
    <x v="1"/>
    <x v="229"/>
    <s v="3/20/2023"/>
    <n v="4"/>
    <x v="0"/>
    <s v="3/14/2024"/>
    <s v=" $31.93 "/>
    <n v="3"/>
    <n v="36"/>
    <s v="Home"/>
    <s v="Sofa"/>
    <x v="1"/>
    <x v="1"/>
    <n v="95.79"/>
    <s v="Aligned"/>
    <x v="2"/>
    <s v="High Value Tier"/>
    <x v="3"/>
  </r>
  <r>
    <s v="ORD6715"/>
    <s v="CUST2715"/>
    <n v="48"/>
    <s v="PROD1915"/>
    <x v="2"/>
    <x v="359"/>
    <s v="5/13/2024"/>
    <n v="4"/>
    <x v="2"/>
    <s v="12/20/2023"/>
    <s v=" $244.96 "/>
    <n v="4"/>
    <n v="7"/>
    <s v="Electronics"/>
    <s v="Chair"/>
    <x v="1"/>
    <x v="1"/>
    <n v="979.84"/>
    <s v="Misaligned"/>
    <x v="0"/>
    <s v="High Value Tier"/>
    <x v="1"/>
  </r>
  <r>
    <s v="ORD6716"/>
    <s v="CUST2716"/>
    <n v="36"/>
    <s v="PROD1916"/>
    <x v="3"/>
    <x v="867"/>
    <d v="2021-10-10T00:00:00"/>
    <n v="2"/>
    <x v="1"/>
    <s v="10/27/2024"/>
    <s v=" $79.27 "/>
    <n v="4"/>
    <n v="48"/>
    <s v="Clothing"/>
    <s v="Sofa"/>
    <x v="1"/>
    <x v="0"/>
    <n v="317.08"/>
    <s v="Misaligned"/>
    <x v="0"/>
    <s v="High Value Tier"/>
    <x v="0"/>
  </r>
  <r>
    <s v="ORD6717"/>
    <s v="CUST2717"/>
    <n v="43"/>
    <s v="PROD1917"/>
    <x v="2"/>
    <x v="848"/>
    <s v="1/22/2025"/>
    <n v="4"/>
    <x v="0"/>
    <d v="2023-12-05T00:00:00"/>
    <s v=" $27.61 "/>
    <n v="9"/>
    <n v="42"/>
    <s v="Clothing"/>
    <s v="Dumbbells"/>
    <x v="0"/>
    <x v="1"/>
    <n v="248.49"/>
    <s v="Misaligned"/>
    <x v="0"/>
    <s v="High Value Tier"/>
    <x v="3"/>
  </r>
  <r>
    <s v="ORD6718"/>
    <s v="CUST2718"/>
    <n v="18"/>
    <s v="PROD1918"/>
    <x v="0"/>
    <x v="322"/>
    <s v="2/13/2022"/>
    <n v="5"/>
    <x v="1"/>
    <s v="1/24/2025"/>
    <s v=" $30.43 "/>
    <n v="9"/>
    <n v="18"/>
    <s v="Beauty"/>
    <s v="Camera"/>
    <x v="4"/>
    <x v="1"/>
    <n v="273.87"/>
    <s v="Misaligned"/>
    <x v="3"/>
    <s v="High Value Tier"/>
    <x v="0"/>
  </r>
  <r>
    <s v="ORD6719"/>
    <s v="CUST2719"/>
    <n v="40"/>
    <s v="PROD1919"/>
    <x v="2"/>
    <x v="868"/>
    <d v="2023-08-03T00:00:00"/>
    <n v="1"/>
    <x v="1"/>
    <d v="2024-07-11T00:00:00"/>
    <s v=" $870.22 "/>
    <n v="2"/>
    <n v="35"/>
    <s v="Beauty"/>
    <s v="Sneakers"/>
    <x v="2"/>
    <x v="0"/>
    <n v="1740.44"/>
    <s v="Misaligned"/>
    <x v="0"/>
    <s v="High Value Tier"/>
    <x v="0"/>
  </r>
  <r>
    <s v="ORD6720"/>
    <s v="CUST2720"/>
    <n v="22"/>
    <s v="PROD1920"/>
    <x v="1"/>
    <x v="212"/>
    <s v="5/26/2025"/>
    <n v="3"/>
    <x v="2"/>
    <s v="12/21/2024"/>
    <s v=" $175.59 "/>
    <n v="9"/>
    <n v="41"/>
    <s v="Home"/>
    <s v="Jeans"/>
    <x v="2"/>
    <x v="0"/>
    <n v="1580.31"/>
    <s v="Misaligned"/>
    <x v="3"/>
    <s v="High Value Tier"/>
    <x v="1"/>
  </r>
  <r>
    <s v="ORD6721"/>
    <s v="CUST2721"/>
    <n v="18"/>
    <s v="PROD1921"/>
    <x v="5"/>
    <x v="830"/>
    <d v="2024-06-04T00:00:00"/>
    <n v="2"/>
    <x v="0"/>
    <s v="12/25/2023"/>
    <s v=" $362.98 "/>
    <n v="4"/>
    <n v="27"/>
    <s v="Clothing"/>
    <s v="Dining Table"/>
    <x v="1"/>
    <x v="0"/>
    <n v="1451.92"/>
    <s v="Misaligned"/>
    <x v="3"/>
    <s v="High Value Tier"/>
    <x v="0"/>
  </r>
  <r>
    <s v="ORD6722"/>
    <s v="CUST2722"/>
    <n v="25"/>
    <s v="PROD1922"/>
    <x v="1"/>
    <x v="284"/>
    <s v="1/22/2024"/>
    <n v="3"/>
    <x v="1"/>
    <s v="8/28/2024"/>
    <s v=" $473.31 "/>
    <n v="3"/>
    <n v="2"/>
    <s v="Electronics"/>
    <s v="Face Wash"/>
    <x v="3"/>
    <x v="0"/>
    <n v="1419.93"/>
    <s v="Misaligned"/>
    <x v="2"/>
    <s v="High Value Tier"/>
    <x v="0"/>
  </r>
  <r>
    <s v="ORD6723"/>
    <s v="CUST2723"/>
    <n v="18"/>
    <s v="PROD1923"/>
    <x v="5"/>
    <x v="328"/>
    <s v="9/29/2024"/>
    <n v="3"/>
    <x v="0"/>
    <s v="3/30/2023"/>
    <s v=" $156.06 "/>
    <n v="6"/>
    <n v="9"/>
    <s v="Electronics"/>
    <s v="Foundation"/>
    <x v="3"/>
    <x v="0"/>
    <n v="936.36"/>
    <s v="Misaligned"/>
    <x v="3"/>
    <s v="High Value Tier"/>
    <x v="0"/>
  </r>
  <r>
    <s v="ORD6724"/>
    <s v="CUST2724"/>
    <n v="42"/>
    <s v="PROD1924"/>
    <x v="1"/>
    <x v="869"/>
    <s v="9/13/2023"/>
    <n v="4"/>
    <x v="0"/>
    <s v="7/28/2023"/>
    <s v=" $14.15 "/>
    <n v="5"/>
    <n v="31"/>
    <s v="Home"/>
    <s v="Dumbbells"/>
    <x v="0"/>
    <x v="1"/>
    <n v="70.75"/>
    <s v="Misaligned"/>
    <x v="0"/>
    <s v="Core Tier"/>
    <x v="3"/>
  </r>
  <r>
    <s v="ORD6725"/>
    <s v="CUST2725"/>
    <n v="26"/>
    <s v="PROD1925"/>
    <x v="0"/>
    <x v="23"/>
    <s v="6/13/2021"/>
    <n v="5"/>
    <x v="1"/>
    <s v="3/14/2023"/>
    <s v=" $164.04 "/>
    <n v="8"/>
    <n v="13"/>
    <s v="Home"/>
    <s v="Shirt"/>
    <x v="2"/>
    <x v="1"/>
    <n v="1312.32"/>
    <s v="Misaligned"/>
    <x v="2"/>
    <s v="High Value Tier"/>
    <x v="0"/>
  </r>
  <r>
    <s v="ORD6726"/>
    <s v="CUST2726"/>
    <n v="53"/>
    <s v="PROD1926"/>
    <x v="0"/>
    <x v="606"/>
    <s v="5/30/2021"/>
    <n v="5"/>
    <x v="0"/>
    <s v="4/28/2021"/>
    <s v=" $206.77 "/>
    <n v="3"/>
    <n v="23"/>
    <s v="Sports"/>
    <s v="Shampoo"/>
    <x v="3"/>
    <x v="0"/>
    <n v="620.30999999999995"/>
    <s v="Misaligned"/>
    <x v="1"/>
    <s v="High Value Tier"/>
    <x v="3"/>
  </r>
  <r>
    <s v="ORD6727"/>
    <s v="CUST2727"/>
    <n v="49"/>
    <s v="PROD1927"/>
    <x v="4"/>
    <x v="160"/>
    <s v="2/14/2023"/>
    <n v="1"/>
    <x v="1"/>
    <s v="7/29/2021"/>
    <s v=" $972.15 "/>
    <n v="2"/>
    <n v="1"/>
    <s v="Home"/>
    <s v="Shirt"/>
    <x v="2"/>
    <x v="2"/>
    <n v="1944.3"/>
    <s v="Misaligned"/>
    <x v="0"/>
    <s v="Core Tier"/>
    <x v="0"/>
  </r>
  <r>
    <s v="ORD6728"/>
    <s v="CUST2728"/>
    <n v="43"/>
    <s v="PROD1928"/>
    <x v="1"/>
    <x v="718"/>
    <s v="5/25/2025"/>
    <n v="3"/>
    <x v="0"/>
    <s v="4/21/2023"/>
    <s v=" $33.55 "/>
    <n v="2"/>
    <n v="36"/>
    <s v="Clothing"/>
    <s v="Shirt"/>
    <x v="2"/>
    <x v="0"/>
    <n v="67.099999999999994"/>
    <s v="Aligned"/>
    <x v="0"/>
    <s v="Core Tier"/>
    <x v="0"/>
  </r>
  <r>
    <s v="ORD6729"/>
    <s v="CUST2729"/>
    <n v="18"/>
    <s v="PROD1929"/>
    <x v="2"/>
    <x v="63"/>
    <d v="2023-07-03T00:00:00"/>
    <n v="5"/>
    <x v="0"/>
    <s v="8/20/2022"/>
    <s v=" $227.40 "/>
    <n v="4"/>
    <n v="18"/>
    <s v="Home"/>
    <s v="Conditioner"/>
    <x v="3"/>
    <x v="2"/>
    <n v="909.6"/>
    <s v="Misaligned"/>
    <x v="3"/>
    <s v="High Value Tier"/>
    <x v="3"/>
  </r>
  <r>
    <s v="ORD6730"/>
    <s v="CUST2730"/>
    <n v="25"/>
    <s v="PROD1930"/>
    <x v="1"/>
    <x v="580"/>
    <s v="7/24/2023"/>
    <n v="2"/>
    <x v="1"/>
    <d v="2022-10-11T00:00:00"/>
    <s v=" $262.56 "/>
    <n v="4"/>
    <n v="26"/>
    <s v="Sports"/>
    <s v="Laptop"/>
    <x v="4"/>
    <x v="1"/>
    <n v="1050.24"/>
    <s v="Misaligned"/>
    <x v="2"/>
    <s v="High Value Tier"/>
    <x v="0"/>
  </r>
  <r>
    <s v="ORD6731"/>
    <s v="CUST2731"/>
    <n v="42"/>
    <s v="PROD1931"/>
    <x v="3"/>
    <x v="845"/>
    <d v="2023-03-02T00:00:00"/>
    <n v="3"/>
    <x v="0"/>
    <d v="2022-05-10T00:00:00"/>
    <s v=" $388.38 "/>
    <n v="2"/>
    <n v="35"/>
    <s v="Clothing"/>
    <s v="Dining Table"/>
    <x v="1"/>
    <x v="0"/>
    <n v="776.76"/>
    <s v="Misaligned"/>
    <x v="0"/>
    <s v="High Value Tier"/>
    <x v="0"/>
  </r>
  <r>
    <s v="ORD6732"/>
    <s v="CUST2732"/>
    <n v="47"/>
    <s v="PROD1932"/>
    <x v="4"/>
    <x v="640"/>
    <d v="2025-08-04T00:00:00"/>
    <n v="3"/>
    <x v="0"/>
    <s v="3/13/2024"/>
    <s v=" $157.06 "/>
    <n v="9"/>
    <n v="34"/>
    <s v="Sports"/>
    <s v="Gaming Console"/>
    <x v="4"/>
    <x v="1"/>
    <n v="1413.54"/>
    <s v="Misaligned"/>
    <x v="0"/>
    <s v="High Value Tier"/>
    <x v="0"/>
  </r>
  <r>
    <s v="ORD6733"/>
    <s v="CUST2733"/>
    <n v="20"/>
    <s v="PROD1933"/>
    <x v="0"/>
    <x v="100"/>
    <s v="6/25/2025"/>
    <n v="2"/>
    <x v="0"/>
    <d v="2023-09-11T00:00:00"/>
    <s v=" $171.09 "/>
    <n v="5"/>
    <n v="36"/>
    <s v="Electronics"/>
    <s v="Tennis Racket"/>
    <x v="0"/>
    <x v="0"/>
    <n v="855.45"/>
    <s v="Misaligned"/>
    <x v="3"/>
    <s v="High Value Tier"/>
    <x v="0"/>
  </r>
  <r>
    <s v="ORD6734"/>
    <s v="CUST2734"/>
    <n v="41"/>
    <s v="PROD1934"/>
    <x v="3"/>
    <x v="838"/>
    <s v="6/24/2023"/>
    <n v="1"/>
    <x v="0"/>
    <s v="9/24/2024"/>
    <s v=" $317.36 "/>
    <n v="5"/>
    <n v="19"/>
    <s v="Clothing"/>
    <s v="Lamp"/>
    <x v="1"/>
    <x v="0"/>
    <n v="1586.8"/>
    <s v="Misaligned"/>
    <x v="0"/>
    <s v="High Value Tier"/>
    <x v="0"/>
  </r>
  <r>
    <s v="ORD6735"/>
    <s v="CUST2735"/>
    <n v="65"/>
    <s v="PROD1935"/>
    <x v="5"/>
    <x v="394"/>
    <d v="2024-06-07T00:00:00"/>
    <n v="0"/>
    <x v="0"/>
    <d v="2022-08-07T00:00:00"/>
    <s v=" $613.07 "/>
    <n v="3"/>
    <n v="22"/>
    <s v="Clothing"/>
    <s v="Vacuum Cleaner"/>
    <x v="1"/>
    <x v="1"/>
    <n v="1839.21"/>
    <s v="Misaligned"/>
    <x v="4"/>
    <s v="High Value Tier"/>
    <x v="0"/>
  </r>
  <r>
    <s v="ORD6736"/>
    <s v="CUST2736"/>
    <n v="33"/>
    <s v="PROD1936"/>
    <x v="4"/>
    <x v="358"/>
    <d v="2023-07-08T00:00:00"/>
    <n v="4"/>
    <x v="0"/>
    <s v="5/21/2024"/>
    <s v=" $87.29 "/>
    <n v="9"/>
    <n v="40"/>
    <s v="Home"/>
    <s v="Skirt"/>
    <x v="2"/>
    <x v="1"/>
    <n v="785.61"/>
    <s v="Misaligned"/>
    <x v="2"/>
    <s v="High Value Tier"/>
    <x v="3"/>
  </r>
  <r>
    <s v="ORD6737"/>
    <s v="CUST2737"/>
    <n v="69"/>
    <s v="PROD1937"/>
    <x v="1"/>
    <x v="242"/>
    <s v="10/17/2022"/>
    <n v="4"/>
    <x v="0"/>
    <s v="5/26/2025"/>
    <s v=" $90.99 "/>
    <n v="5"/>
    <n v="35"/>
    <s v="Sports"/>
    <s v="Shirt"/>
    <x v="2"/>
    <x v="0"/>
    <n v="454.95"/>
    <s v="Misaligned"/>
    <x v="4"/>
    <s v="High Value Tier"/>
    <x v="3"/>
  </r>
  <r>
    <s v="ORD6738"/>
    <s v="CUST2738"/>
    <n v="27"/>
    <s v="PROD1938"/>
    <x v="4"/>
    <x v="238"/>
    <s v="2/22/2024"/>
    <n v="4"/>
    <x v="0"/>
    <d v="2024-11-03T00:00:00"/>
    <s v=" $291.43 "/>
    <n v="3"/>
    <n v="40"/>
    <s v="Home"/>
    <s v="Chair"/>
    <x v="1"/>
    <x v="1"/>
    <n v="874.29"/>
    <s v="Aligned"/>
    <x v="2"/>
    <s v="High Value Tier"/>
    <x v="3"/>
  </r>
  <r>
    <s v="ORD6739"/>
    <s v="CUST2739"/>
    <n v="36"/>
    <s v="PROD1939"/>
    <x v="2"/>
    <x v="99"/>
    <s v="9/16/2023"/>
    <n v="3"/>
    <x v="1"/>
    <s v="6/22/2023"/>
    <s v=" $407.69 "/>
    <n v="1"/>
    <n v="47"/>
    <s v="Home"/>
    <s v="Basketball"/>
    <x v="0"/>
    <x v="1"/>
    <n v="407.69"/>
    <s v="Misaligned"/>
    <x v="0"/>
    <s v="High Value Tier"/>
    <x v="0"/>
  </r>
  <r>
    <s v="ORD6740"/>
    <s v="CUST2740"/>
    <n v="69"/>
    <s v="PROD1940"/>
    <x v="3"/>
    <x v="792"/>
    <d v="2025-08-05T00:00:00"/>
    <n v="3"/>
    <x v="0"/>
    <s v="5/28/2025"/>
    <s v=" $52.80 "/>
    <n v="8"/>
    <n v="33"/>
    <s v="Clothing"/>
    <s v="Dress"/>
    <x v="2"/>
    <x v="1"/>
    <n v="422.4"/>
    <s v="Aligned"/>
    <x v="4"/>
    <s v="High Value Tier"/>
    <x v="0"/>
  </r>
  <r>
    <s v="ORD6741"/>
    <s v="CUST2741"/>
    <n v="32"/>
    <s v="PROD1941"/>
    <x v="1"/>
    <x v="492"/>
    <s v="10/17/2020"/>
    <n v="4"/>
    <x v="0"/>
    <d v="2022-04-12T00:00:00"/>
    <s v=" $248.17 "/>
    <n v="1"/>
    <n v="18"/>
    <s v="Sports"/>
    <s v="Vacuum Cleaner"/>
    <x v="1"/>
    <x v="0"/>
    <n v="248.17"/>
    <s v="Misaligned"/>
    <x v="2"/>
    <s v="High Value Tier"/>
    <x v="3"/>
  </r>
  <r>
    <s v="ORD6742"/>
    <s v="CUST2742"/>
    <n v="52"/>
    <s v="PROD1942"/>
    <x v="3"/>
    <x v="29"/>
    <s v="6/19/2025"/>
    <n v="1"/>
    <x v="0"/>
    <s v="7/25/2025"/>
    <s v=" $406.40 "/>
    <n v="4"/>
    <n v="19"/>
    <s v="Clothing"/>
    <s v="Laptop"/>
    <x v="4"/>
    <x v="0"/>
    <n v="1625.6"/>
    <s v="Misaligned"/>
    <x v="1"/>
    <s v="High Value Tier"/>
    <x v="0"/>
  </r>
  <r>
    <s v="ORD6743"/>
    <s v="CUST2743"/>
    <n v="62"/>
    <s v="PROD1943"/>
    <x v="0"/>
    <x v="813"/>
    <s v="1/27/2022"/>
    <n v="2"/>
    <x v="0"/>
    <s v="10/31/2022"/>
    <s v=" $49.62 "/>
    <n v="6"/>
    <n v="49"/>
    <s v="Sports"/>
    <s v="Hoodie"/>
    <x v="2"/>
    <x v="0"/>
    <n v="297.72000000000003"/>
    <s v="Misaligned"/>
    <x v="1"/>
    <s v="High Value Tier"/>
    <x v="0"/>
  </r>
  <r>
    <s v="ORD6744"/>
    <s v="CUST2744"/>
    <n v="26"/>
    <s v="PROD1944"/>
    <x v="2"/>
    <x v="517"/>
    <s v="1/17/2022"/>
    <n v="5"/>
    <x v="0"/>
    <s v="3/29/2025"/>
    <s v=" $194.30 "/>
    <n v="6"/>
    <n v="11"/>
    <s v="Clothing"/>
    <s v="Headphones"/>
    <x v="4"/>
    <x v="1"/>
    <n v="1165.8"/>
    <s v="Misaligned"/>
    <x v="2"/>
    <s v="High Value Tier"/>
    <x v="3"/>
  </r>
  <r>
    <s v="ORD6745"/>
    <s v="CUST2745"/>
    <n v="33"/>
    <s v="PROD1945"/>
    <x v="1"/>
    <x v="855"/>
    <s v="1/27/2023"/>
    <n v="0"/>
    <x v="0"/>
    <d v="2024-09-01T00:00:00"/>
    <s v=" $141.25 "/>
    <n v="7"/>
    <n v="16"/>
    <s v="Beauty"/>
    <s v="Smartphone"/>
    <x v="4"/>
    <x v="0"/>
    <n v="988.75"/>
    <s v="Misaligned"/>
    <x v="2"/>
    <s v="High Value Tier"/>
    <x v="0"/>
  </r>
  <r>
    <s v="ORD6746"/>
    <s v="CUST2746"/>
    <n v="53"/>
    <s v="PROD1946"/>
    <x v="0"/>
    <x v="218"/>
    <s v="5/25/2024"/>
    <n v="1"/>
    <x v="2"/>
    <d v="2024-01-01T00:00:00"/>
    <s v=" $499.41 "/>
    <n v="3"/>
    <n v="35"/>
    <s v="Electronics"/>
    <s v="Hoodie"/>
    <x v="2"/>
    <x v="0"/>
    <n v="1498.23"/>
    <s v="Misaligned"/>
    <x v="1"/>
    <s v="High Value Tier"/>
    <x v="1"/>
  </r>
  <r>
    <s v="ORD6747"/>
    <s v="CUST2747"/>
    <n v="56"/>
    <s v="PROD1947"/>
    <x v="5"/>
    <x v="836"/>
    <d v="2024-12-08T00:00:00"/>
    <n v="1"/>
    <x v="1"/>
    <d v="2025-06-05T00:00:00"/>
    <s v=" $242.33 "/>
    <n v="1"/>
    <n v="12"/>
    <s v="Beauty"/>
    <s v="Blender"/>
    <x v="1"/>
    <x v="0"/>
    <n v="242.33"/>
    <s v="Misaligned"/>
    <x v="1"/>
    <s v="High Value Tier"/>
    <x v="0"/>
  </r>
  <r>
    <s v="ORD6748"/>
    <s v="CUST2748"/>
    <n v="52"/>
    <s v="PROD1948"/>
    <x v="5"/>
    <x v="774"/>
    <s v="8/19/2023"/>
    <n v="2"/>
    <x v="0"/>
    <s v="10/15/2023"/>
    <s v=" $946.91 "/>
    <n v="1"/>
    <n v="21"/>
    <s v="Electronics"/>
    <s v="Laptop"/>
    <x v="4"/>
    <x v="0"/>
    <n v="946.91"/>
    <s v="Aligned"/>
    <x v="1"/>
    <s v="High Value Tier"/>
    <x v="0"/>
  </r>
  <r>
    <s v="ORD6749"/>
    <s v="CUST2749"/>
    <n v="50"/>
    <s v="PROD1949"/>
    <x v="5"/>
    <x v="643"/>
    <d v="2022-11-04T00:00:00"/>
    <n v="0"/>
    <x v="0"/>
    <s v="3/16/2022"/>
    <s v=" $411.67 "/>
    <n v="1"/>
    <n v="25"/>
    <s v="Clothing"/>
    <s v="Lamp"/>
    <x v="1"/>
    <x v="1"/>
    <n v="411.67"/>
    <s v="Misaligned"/>
    <x v="1"/>
    <s v="High Value Tier"/>
    <x v="0"/>
  </r>
  <r>
    <s v="ORD6750"/>
    <s v="CUST2750"/>
    <n v="34"/>
    <s v="PROD1950"/>
    <x v="0"/>
    <x v="315"/>
    <d v="2025-07-03T00:00:00"/>
    <n v="1"/>
    <x v="0"/>
    <s v="5/16/2024"/>
    <s v=" $177.74 "/>
    <n v="8"/>
    <n v="34"/>
    <s v="Clothing"/>
    <s v="Moisturizer"/>
    <x v="3"/>
    <x v="0"/>
    <n v="1421.92"/>
    <s v="Misaligned"/>
    <x v="2"/>
    <s v="High Value Tier"/>
    <x v="0"/>
  </r>
  <r>
    <s v="ORD6751"/>
    <s v="CUST2751"/>
    <n v="26"/>
    <s v="PROD1951"/>
    <x v="5"/>
    <x v="300"/>
    <d v="2022-12-11T00:00:00"/>
    <n v="4"/>
    <x v="0"/>
    <d v="2023-01-07T00:00:00"/>
    <s v=" $500.06 "/>
    <n v="3"/>
    <n v="4"/>
    <s v="Sports"/>
    <s v="Chair"/>
    <x v="1"/>
    <x v="0"/>
    <n v="1500.18"/>
    <s v="Misaligned"/>
    <x v="2"/>
    <s v="High Value Tier"/>
    <x v="3"/>
  </r>
  <r>
    <s v="ORD6752"/>
    <s v="CUST2752"/>
    <n v="59"/>
    <s v="PROD1952"/>
    <x v="0"/>
    <x v="309"/>
    <s v="1/29/2024"/>
    <n v="5"/>
    <x v="0"/>
    <d v="2022-11-10T00:00:00"/>
    <s v=" $397.85 "/>
    <n v="3"/>
    <n v="24"/>
    <s v="Clothing"/>
    <s v="Bluetooth Speaker"/>
    <x v="4"/>
    <x v="0"/>
    <n v="1193.55"/>
    <s v="Misaligned"/>
    <x v="1"/>
    <s v="High Value Tier"/>
    <x v="3"/>
  </r>
  <r>
    <s v="ORD6753"/>
    <s v="CUST2753"/>
    <n v="29"/>
    <s v="PROD1953"/>
    <x v="5"/>
    <x v="232"/>
    <s v="1/25/2024"/>
    <n v="3"/>
    <x v="0"/>
    <s v="4/29/2025"/>
    <s v=" $48.17 "/>
    <n v="5"/>
    <n v="12"/>
    <s v="Electronics"/>
    <s v="Jacket"/>
    <x v="2"/>
    <x v="1"/>
    <n v="240.85"/>
    <s v="Misaligned"/>
    <x v="2"/>
    <s v="High Value Tier"/>
    <x v="0"/>
  </r>
  <r>
    <s v="ORD6754"/>
    <s v="CUST2754"/>
    <n v="41"/>
    <s v="PROD1954"/>
    <x v="1"/>
    <x v="506"/>
    <s v="4/30/2022"/>
    <n v="4"/>
    <x v="2"/>
    <s v="10/19/2023"/>
    <s v=" $205.14 "/>
    <n v="6"/>
    <n v="38"/>
    <s v="Clothing"/>
    <s v="Face Wash"/>
    <x v="3"/>
    <x v="1"/>
    <n v="1230.8399999999999"/>
    <s v="Misaligned"/>
    <x v="0"/>
    <s v="High Value Tier"/>
    <x v="1"/>
  </r>
  <r>
    <s v="ORD6755"/>
    <s v="CUST2755"/>
    <n v="51"/>
    <s v="PROD1955"/>
    <x v="1"/>
    <x v="708"/>
    <s v="12/18/2023"/>
    <n v="4"/>
    <x v="0"/>
    <s v="4/30/2024"/>
    <s v=" $168.77 "/>
    <n v="5"/>
    <n v="25"/>
    <s v="Sports"/>
    <s v="Shirt"/>
    <x v="2"/>
    <x v="0"/>
    <n v="843.85"/>
    <s v="Misaligned"/>
    <x v="1"/>
    <s v="High Value Tier"/>
    <x v="3"/>
  </r>
  <r>
    <s v="ORD6756"/>
    <s v="CUST2756"/>
    <n v="56"/>
    <s v="PROD1956"/>
    <x v="2"/>
    <x v="428"/>
    <d v="2023-07-08T00:00:00"/>
    <n v="5"/>
    <x v="0"/>
    <s v="4/28/2024"/>
    <s v=" $246.43 "/>
    <n v="6"/>
    <n v="25"/>
    <s v="Electronics"/>
    <s v="Sneakers"/>
    <x v="2"/>
    <x v="1"/>
    <n v="1478.58"/>
    <s v="Misaligned"/>
    <x v="1"/>
    <s v="High Value Tier"/>
    <x v="3"/>
  </r>
  <r>
    <s v="ORD6757"/>
    <s v="CUST2757"/>
    <n v="22"/>
    <s v="PROD1957"/>
    <x v="4"/>
    <x v="870"/>
    <d v="2025-02-08T00:00:00"/>
    <n v="0"/>
    <x v="0"/>
    <s v="6/21/2022"/>
    <s v=" $292.64 "/>
    <n v="5"/>
    <n v="32"/>
    <s v="Beauty"/>
    <s v="T-Shirt"/>
    <x v="2"/>
    <x v="1"/>
    <n v="1463.2"/>
    <s v="Misaligned"/>
    <x v="3"/>
    <s v="High Value Tier"/>
    <x v="0"/>
  </r>
  <r>
    <s v="ORD6758"/>
    <s v="CUST2758"/>
    <n v="61"/>
    <s v="PROD1958"/>
    <x v="0"/>
    <x v="871"/>
    <d v="2025-09-03T00:00:00"/>
    <n v="4"/>
    <x v="1"/>
    <d v="2024-10-05T00:00:00"/>
    <s v=" $203.28 "/>
    <n v="5"/>
    <n v="47"/>
    <s v="Home"/>
    <s v="Shampoo"/>
    <x v="3"/>
    <x v="0"/>
    <n v="1016.4"/>
    <s v="Misaligned"/>
    <x v="1"/>
    <s v="High Value Tier"/>
    <x v="0"/>
  </r>
  <r>
    <s v="ORD6759"/>
    <s v="CUST2759"/>
    <n v="37"/>
    <s v="PROD1959"/>
    <x v="2"/>
    <x v="582"/>
    <d v="2023-09-04T00:00:00"/>
    <n v="4"/>
    <x v="2"/>
    <s v="4/21/2024"/>
    <s v=" $931.80 "/>
    <n v="2"/>
    <n v="46"/>
    <s v="Clothing"/>
    <s v="Laptop"/>
    <x v="4"/>
    <x v="1"/>
    <n v="1863.6"/>
    <s v="Misaligned"/>
    <x v="0"/>
    <s v="High Value Tier"/>
    <x v="1"/>
  </r>
  <r>
    <s v="ORD6760"/>
    <s v="CUST2760"/>
    <n v="62"/>
    <s v="PROD1960"/>
    <x v="1"/>
    <x v="39"/>
    <s v="7/18/2023"/>
    <n v="1"/>
    <x v="1"/>
    <d v="2024-01-12T00:00:00"/>
    <s v=" $117.18 "/>
    <n v="9"/>
    <n v="9"/>
    <s v="Electronics"/>
    <s v="Football"/>
    <x v="0"/>
    <x v="1"/>
    <n v="1054.6199999999999"/>
    <s v="Misaligned"/>
    <x v="1"/>
    <s v="High Value Tier"/>
    <x v="0"/>
  </r>
  <r>
    <s v="ORD6761"/>
    <s v="CUST2761"/>
    <n v="42"/>
    <s v="PROD1961"/>
    <x v="0"/>
    <x v="387"/>
    <d v="2022-02-07T00:00:00"/>
    <n v="4"/>
    <x v="1"/>
    <s v="5/22/2024"/>
    <s v=" $39.66 "/>
    <n v="7"/>
    <n v="34"/>
    <s v="Electronics"/>
    <s v="Football"/>
    <x v="0"/>
    <x v="1"/>
    <n v="277.62"/>
    <s v="Misaligned"/>
    <x v="0"/>
    <s v="High Value Tier"/>
    <x v="0"/>
  </r>
  <r>
    <s v="ORD6762"/>
    <s v="CUST2762"/>
    <n v="26"/>
    <s v="PROD1962"/>
    <x v="2"/>
    <x v="339"/>
    <d v="2022-10-06T00:00:00"/>
    <n v="1"/>
    <x v="1"/>
    <d v="2023-04-11T00:00:00"/>
    <s v=" $47.52 "/>
    <n v="5"/>
    <n v="25"/>
    <s v="Sports"/>
    <s v="Face Wash"/>
    <x v="3"/>
    <x v="1"/>
    <n v="237.6"/>
    <s v="Misaligned"/>
    <x v="2"/>
    <s v="High Value Tier"/>
    <x v="0"/>
  </r>
  <r>
    <s v="ORD6763"/>
    <s v="CUST2763"/>
    <n v="34"/>
    <s v="PROD1963"/>
    <x v="4"/>
    <x v="621"/>
    <s v="7/29/2025"/>
    <n v="1"/>
    <x v="1"/>
    <s v="4/21/2024"/>
    <s v=" $165.16 "/>
    <n v="9"/>
    <n v="9"/>
    <s v="Electronics"/>
    <s v="Foundation"/>
    <x v="3"/>
    <x v="1"/>
    <n v="1486.44"/>
    <s v="Misaligned"/>
    <x v="2"/>
    <s v="High Value Tier"/>
    <x v="0"/>
  </r>
  <r>
    <s v="ORD6764"/>
    <s v="CUST2764"/>
    <n v="46"/>
    <s v="PROD1964"/>
    <x v="3"/>
    <x v="605"/>
    <d v="2024-05-01T00:00:00"/>
    <n v="5"/>
    <x v="0"/>
    <d v="2024-11-09T00:00:00"/>
    <s v=" $28.80 "/>
    <n v="2"/>
    <n v="15"/>
    <s v="Clothing"/>
    <s v="Dumbbells"/>
    <x v="0"/>
    <x v="0"/>
    <n v="57.6"/>
    <s v="Misaligned"/>
    <x v="0"/>
    <s v="Core Tier"/>
    <x v="3"/>
  </r>
  <r>
    <s v="ORD6765"/>
    <s v="CUST2765"/>
    <n v="44"/>
    <s v="PROD1965"/>
    <x v="3"/>
    <x v="56"/>
    <d v="2025-01-04T00:00:00"/>
    <n v="1"/>
    <x v="0"/>
    <d v="2025-03-06T00:00:00"/>
    <s v=" $64.24 "/>
    <n v="9"/>
    <n v="39"/>
    <s v="Home"/>
    <s v="Hoodie"/>
    <x v="2"/>
    <x v="0"/>
    <n v="578.16"/>
    <s v="Misaligned"/>
    <x v="0"/>
    <s v="High Value Tier"/>
    <x v="0"/>
  </r>
  <r>
    <s v="ORD6766"/>
    <s v="CUST2766"/>
    <n v="29"/>
    <s v="PROD1966"/>
    <x v="1"/>
    <x v="872"/>
    <s v="6/30/2025"/>
    <n v="1"/>
    <x v="0"/>
    <s v="6/15/2025"/>
    <s v=" $493.60 "/>
    <n v="2"/>
    <n v="31"/>
    <s v="Sports"/>
    <s v="Tablet"/>
    <x v="4"/>
    <x v="1"/>
    <n v="987.2"/>
    <s v="Misaligned"/>
    <x v="2"/>
    <s v="High Value Tier"/>
    <x v="0"/>
  </r>
  <r>
    <s v="ORD6767"/>
    <s v="CUST2767"/>
    <n v="42"/>
    <s v="PROD1967"/>
    <x v="4"/>
    <x v="873"/>
    <s v="3/26/2023"/>
    <n v="2"/>
    <x v="2"/>
    <s v="5/24/2023"/>
    <s v=" $180.20 "/>
    <n v="7"/>
    <n v="39"/>
    <s v="Home"/>
    <s v="Jacket"/>
    <x v="2"/>
    <x v="1"/>
    <n v="1261.4000000000001"/>
    <s v="Misaligned"/>
    <x v="0"/>
    <s v="High Value Tier"/>
    <x v="1"/>
  </r>
  <r>
    <s v="ORD6768"/>
    <s v="CUST2768"/>
    <n v="37"/>
    <s v="PROD1968"/>
    <x v="5"/>
    <x v="874"/>
    <d v="2024-09-02T00:00:00"/>
    <n v="4"/>
    <x v="0"/>
    <d v="2023-05-09T00:00:00"/>
    <s v=" $121.43 "/>
    <n v="3"/>
    <n v="36"/>
    <s v="Sports"/>
    <s v="Football"/>
    <x v="0"/>
    <x v="0"/>
    <n v="364.29"/>
    <s v="Aligned"/>
    <x v="0"/>
    <s v="High Value Tier"/>
    <x v="3"/>
  </r>
  <r>
    <s v="ORD6769"/>
    <s v="CUST2769"/>
    <n v="46"/>
    <s v="PROD1969"/>
    <x v="5"/>
    <x v="775"/>
    <s v="1/14/2023"/>
    <n v="0"/>
    <x v="2"/>
    <s v="7/31/2024"/>
    <s v=" $322.70 "/>
    <n v="3"/>
    <n v="26"/>
    <s v="Electronics"/>
    <s v="Shampoo"/>
    <x v="3"/>
    <x v="2"/>
    <n v="968.1"/>
    <s v="Misaligned"/>
    <x v="0"/>
    <s v="High Value Tier"/>
    <x v="1"/>
  </r>
  <r>
    <s v="ORD6770"/>
    <s v="CUST2770"/>
    <n v="58"/>
    <s v="PROD1970"/>
    <x v="4"/>
    <x v="842"/>
    <s v="5/15/2023"/>
    <n v="4"/>
    <x v="1"/>
    <d v="2024-06-06T00:00:00"/>
    <s v=" $527.36 "/>
    <n v="1"/>
    <n v="35"/>
    <s v="Home"/>
    <s v="Moisturizer"/>
    <x v="3"/>
    <x v="0"/>
    <n v="527.36"/>
    <s v="Misaligned"/>
    <x v="1"/>
    <s v="High Value Tier"/>
    <x v="0"/>
  </r>
  <r>
    <s v="ORD6771"/>
    <s v="CUST2771"/>
    <n v="50"/>
    <s v="PROD1971"/>
    <x v="0"/>
    <x v="222"/>
    <d v="2024-09-11T00:00:00"/>
    <n v="3"/>
    <x v="0"/>
    <s v="5/18/2025"/>
    <s v=" $101.44 "/>
    <n v="9"/>
    <n v="33"/>
    <s v="Clothing"/>
    <s v="Jacket"/>
    <x v="2"/>
    <x v="1"/>
    <n v="912.96"/>
    <s v="Aligned"/>
    <x v="1"/>
    <s v="High Value Tier"/>
    <x v="0"/>
  </r>
  <r>
    <s v="ORD6772"/>
    <s v="CUST2772"/>
    <n v="44"/>
    <s v="PROD1972"/>
    <x v="0"/>
    <x v="796"/>
    <s v="1/16/2022"/>
    <n v="2"/>
    <x v="0"/>
    <s v="6/24/2022"/>
    <s v=" $225.41 "/>
    <n v="5"/>
    <n v="1"/>
    <s v="Sports"/>
    <s v="Shampoo"/>
    <x v="3"/>
    <x v="1"/>
    <n v="1127.05"/>
    <s v="Misaligned"/>
    <x v="0"/>
    <s v="Core Tier"/>
    <x v="0"/>
  </r>
  <r>
    <s v="ORD6773"/>
    <s v="CUST2773"/>
    <n v="33"/>
    <s v="PROD1973"/>
    <x v="5"/>
    <x v="97"/>
    <s v="2/27/2024"/>
    <n v="1"/>
    <x v="0"/>
    <s v="12/31/2023"/>
    <s v=" $554.73 "/>
    <n v="1"/>
    <n v="16"/>
    <s v="Beauty"/>
    <s v="Dress"/>
    <x v="2"/>
    <x v="0"/>
    <n v="554.73"/>
    <s v="Misaligned"/>
    <x v="2"/>
    <s v="High Value Tier"/>
    <x v="0"/>
  </r>
  <r>
    <s v="ORD6774"/>
    <s v="CUST2774"/>
    <n v="58"/>
    <s v="PROD1974"/>
    <x v="5"/>
    <x v="604"/>
    <d v="2023-12-06T00:00:00"/>
    <n v="2"/>
    <x v="0"/>
    <s v="9/30/2023"/>
    <s v=" $641.76 "/>
    <n v="3"/>
    <n v="18"/>
    <s v="Home"/>
    <s v="Nail Polish"/>
    <x v="3"/>
    <x v="1"/>
    <n v="1925.28"/>
    <s v="Misaligned"/>
    <x v="1"/>
    <s v="High Value Tier"/>
    <x v="0"/>
  </r>
  <r>
    <s v="ORD6775"/>
    <s v="CUST2775"/>
    <n v="26"/>
    <s v="PROD1975"/>
    <x v="4"/>
    <x v="745"/>
    <s v="9/28/2023"/>
    <n v="0"/>
    <x v="2"/>
    <s v="5/24/2023"/>
    <s v=" $116.39 "/>
    <n v="9"/>
    <n v="38"/>
    <s v="Beauty"/>
    <s v="Jacket"/>
    <x v="2"/>
    <x v="1"/>
    <n v="1047.51"/>
    <s v="Misaligned"/>
    <x v="2"/>
    <s v="High Value Tier"/>
    <x v="1"/>
  </r>
  <r>
    <s v="ORD6776"/>
    <s v="CUST2776"/>
    <n v="48"/>
    <s v="PROD1976"/>
    <x v="1"/>
    <x v="693"/>
    <s v="9/13/2023"/>
    <n v="4"/>
    <x v="1"/>
    <s v="2/27/2023"/>
    <s v=" $277.09 "/>
    <n v="3"/>
    <n v="12"/>
    <s v="Electronics"/>
    <s v="Dumbbells"/>
    <x v="0"/>
    <x v="1"/>
    <n v="831.27"/>
    <s v="Misaligned"/>
    <x v="0"/>
    <s v="High Value Tier"/>
    <x v="0"/>
  </r>
  <r>
    <s v="ORD6777"/>
    <s v="CUST2777"/>
    <n v="60"/>
    <s v="PROD1977"/>
    <x v="4"/>
    <x v="875"/>
    <d v="2025-02-07T00:00:00"/>
    <n v="5"/>
    <x v="0"/>
    <s v="7/26/2021"/>
    <s v=" $68.30 "/>
    <n v="8"/>
    <n v="9"/>
    <s v="Electronics"/>
    <s v="Smartphone"/>
    <x v="4"/>
    <x v="0"/>
    <n v="546.4"/>
    <s v="Aligned"/>
    <x v="1"/>
    <s v="High Value Tier"/>
    <x v="3"/>
  </r>
  <r>
    <s v="ORD6778"/>
    <s v="CUST2778"/>
    <n v="33"/>
    <s v="PROD1978"/>
    <x v="4"/>
    <x v="599"/>
    <d v="2024-05-06T00:00:00"/>
    <n v="3"/>
    <x v="1"/>
    <s v="10/28/2022"/>
    <s v=" $978.54 "/>
    <n v="2"/>
    <n v="37"/>
    <s v="Electronics"/>
    <s v="Chair"/>
    <x v="1"/>
    <x v="1"/>
    <n v="1957.08"/>
    <s v="Misaligned"/>
    <x v="2"/>
    <s v="High Value Tier"/>
    <x v="0"/>
  </r>
  <r>
    <s v="ORD6779"/>
    <s v="CUST2779"/>
    <n v="35"/>
    <s v="PROD1979"/>
    <x v="2"/>
    <x v="781"/>
    <d v="2024-12-11T00:00:00"/>
    <n v="0"/>
    <x v="0"/>
    <s v="5/21/2025"/>
    <s v=" $1,241.77 "/>
    <n v="1"/>
    <n v="36"/>
    <s v="Electronics"/>
    <s v="Tennis Racket"/>
    <x v="0"/>
    <x v="1"/>
    <n v="1241.77"/>
    <s v="Misaligned"/>
    <x v="0"/>
    <s v="High Value Tier"/>
    <x v="0"/>
  </r>
  <r>
    <s v="ORD6780"/>
    <s v="CUST2780"/>
    <n v="30"/>
    <s v="PROD1980"/>
    <x v="3"/>
    <x v="609"/>
    <d v="2025-04-06T00:00:00"/>
    <n v="0"/>
    <x v="0"/>
    <d v="2025-04-08T00:00:00"/>
    <s v=" $394.54 "/>
    <n v="3"/>
    <n v="11"/>
    <s v="Clothing"/>
    <s v="Headphones"/>
    <x v="4"/>
    <x v="1"/>
    <n v="1183.6199999999999"/>
    <s v="Misaligned"/>
    <x v="2"/>
    <s v="High Value Tier"/>
    <x v="0"/>
  </r>
  <r>
    <s v="ORD6781"/>
    <s v="CUST2781"/>
    <n v="50"/>
    <s v="PROD1981"/>
    <x v="3"/>
    <x v="876"/>
    <s v="10/15/2024"/>
    <n v="1"/>
    <x v="1"/>
    <d v="2024-03-08T00:00:00"/>
    <s v=" $5.39 "/>
    <n v="8"/>
    <n v="38"/>
    <s v="Electronics"/>
    <s v="Smartwatch"/>
    <x v="4"/>
    <x v="0"/>
    <n v="43.12"/>
    <s v="Aligned"/>
    <x v="1"/>
    <s v="Core Tier"/>
    <x v="0"/>
  </r>
  <r>
    <s v="ORD6782"/>
    <s v="CUST2782"/>
    <n v="40"/>
    <s v="PROD1982"/>
    <x v="3"/>
    <x v="699"/>
    <s v="1/19/2025"/>
    <n v="5"/>
    <x v="0"/>
    <d v="2023-03-01T00:00:00"/>
    <s v=" $120.41 "/>
    <n v="8"/>
    <n v="19"/>
    <s v="Home"/>
    <s v="Yoga Mat"/>
    <x v="0"/>
    <x v="1"/>
    <n v="963.28"/>
    <s v="Misaligned"/>
    <x v="0"/>
    <s v="High Value Tier"/>
    <x v="3"/>
  </r>
  <r>
    <s v="ORD6783"/>
    <s v="CUST2783"/>
    <n v="48"/>
    <s v="PROD1983"/>
    <x v="5"/>
    <x v="877"/>
    <d v="2023-02-05T00:00:00"/>
    <n v="3"/>
    <x v="0"/>
    <s v="1/21/2025"/>
    <s v=" $124.30 "/>
    <n v="8"/>
    <n v="15"/>
    <s v="Sports"/>
    <s v="Yoga Mat"/>
    <x v="0"/>
    <x v="1"/>
    <n v="994.4"/>
    <s v="Aligned"/>
    <x v="0"/>
    <s v="High Value Tier"/>
    <x v="0"/>
  </r>
  <r>
    <s v="ORD6784"/>
    <s v="CUST2784"/>
    <n v="48"/>
    <s v="PROD1984"/>
    <x v="5"/>
    <x v="383"/>
    <s v="10/23/2021"/>
    <n v="5"/>
    <x v="0"/>
    <s v="4/26/2024"/>
    <s v=" $179.90 "/>
    <n v="2"/>
    <n v="40"/>
    <s v="Electronics"/>
    <s v="Nail Polish"/>
    <x v="3"/>
    <x v="1"/>
    <n v="359.8"/>
    <s v="Misaligned"/>
    <x v="0"/>
    <s v="High Value Tier"/>
    <x v="3"/>
  </r>
  <r>
    <s v="ORD6785"/>
    <s v="CUST2785"/>
    <n v="64"/>
    <s v="PROD1985"/>
    <x v="0"/>
    <x v="295"/>
    <d v="2022-11-10T00:00:00"/>
    <n v="1"/>
    <x v="1"/>
    <d v="2024-09-03T00:00:00"/>
    <s v=" $151.58 "/>
    <n v="7"/>
    <n v="47"/>
    <s v="Home"/>
    <s v="Jeans"/>
    <x v="2"/>
    <x v="1"/>
    <n v="1061.06"/>
    <s v="Misaligned"/>
    <x v="1"/>
    <s v="High Value Tier"/>
    <x v="0"/>
  </r>
  <r>
    <s v="ORD6786"/>
    <s v="CUST2786"/>
    <n v="61"/>
    <s v="PROD1986"/>
    <x v="1"/>
    <x v="164"/>
    <d v="2023-08-11T00:00:00"/>
    <n v="3"/>
    <x v="0"/>
    <s v="12/15/2023"/>
    <s v=" $165.18 "/>
    <n v="8"/>
    <n v="19"/>
    <s v="Home"/>
    <s v="Refrigerator"/>
    <x v="1"/>
    <x v="0"/>
    <n v="1321.44"/>
    <s v="Aligned"/>
    <x v="1"/>
    <s v="High Value Tier"/>
    <x v="0"/>
  </r>
  <r>
    <s v="ORD6787"/>
    <s v="CUST2787"/>
    <n v="29"/>
    <s v="PROD1987"/>
    <x v="0"/>
    <x v="609"/>
    <s v="10/14/2023"/>
    <n v="4"/>
    <x v="0"/>
    <s v="11/28/2024"/>
    <s v=" $65.76 "/>
    <n v="7"/>
    <n v="5"/>
    <s v="Electronics"/>
    <s v="Running Shoes"/>
    <x v="0"/>
    <x v="1"/>
    <n v="460.32"/>
    <s v="Misaligned"/>
    <x v="2"/>
    <s v="Core Tier"/>
    <x v="3"/>
  </r>
  <r>
    <s v="ORD6788"/>
    <s v="CUST2788"/>
    <n v="64"/>
    <s v="PROD1988"/>
    <x v="2"/>
    <x v="356"/>
    <s v="3/30/2025"/>
    <n v="1"/>
    <x v="1"/>
    <d v="2021-01-08T00:00:00"/>
    <s v=" $123.74 "/>
    <n v="9"/>
    <n v="8"/>
    <s v="Home"/>
    <s v="Dining Table"/>
    <x v="1"/>
    <x v="0"/>
    <n v="1113.6600000000001"/>
    <s v="Aligned"/>
    <x v="1"/>
    <s v="High Value Tier"/>
    <x v="0"/>
  </r>
  <r>
    <s v="ORD6789"/>
    <s v="CUST2789"/>
    <n v="22"/>
    <s v="PROD1989"/>
    <x v="0"/>
    <x v="700"/>
    <s v="5/29/2021"/>
    <n v="1"/>
    <x v="0"/>
    <d v="2021-05-04T00:00:00"/>
    <s v=" $62.20 "/>
    <n v="4"/>
    <n v="11"/>
    <s v="Electronics"/>
    <s v="Basketball"/>
    <x v="0"/>
    <x v="1"/>
    <n v="248.8"/>
    <s v="Misaligned"/>
    <x v="3"/>
    <s v="High Value Tier"/>
    <x v="0"/>
  </r>
  <r>
    <s v="ORD6790"/>
    <s v="CUST2790"/>
    <n v="54"/>
    <s v="PROD1990"/>
    <x v="4"/>
    <x v="878"/>
    <d v="2023-12-05T00:00:00"/>
    <n v="3"/>
    <x v="0"/>
    <s v="8/29/2024"/>
    <s v=" $10.18 "/>
    <n v="4"/>
    <n v="13"/>
    <s v="Electronics"/>
    <s v="Dress"/>
    <x v="2"/>
    <x v="0"/>
    <n v="40.72"/>
    <s v="Misaligned"/>
    <x v="1"/>
    <s v="Value Tier"/>
    <x v="0"/>
  </r>
  <r>
    <s v="ORD6791"/>
    <s v="CUST2791"/>
    <n v="52"/>
    <s v="PROD1991"/>
    <x v="4"/>
    <x v="732"/>
    <d v="2025-05-06T00:00:00"/>
    <n v="5"/>
    <x v="2"/>
    <d v="2024-08-07T00:00:00"/>
    <s v=" $178.14 "/>
    <n v="7"/>
    <n v="31"/>
    <s v="Home"/>
    <s v="Dress"/>
    <x v="2"/>
    <x v="0"/>
    <n v="1246.98"/>
    <s v="Misaligned"/>
    <x v="1"/>
    <s v="High Value Tier"/>
    <x v="1"/>
  </r>
  <r>
    <s v="ORD6792"/>
    <s v="CUST2792"/>
    <n v="47"/>
    <s v="PROD1992"/>
    <x v="0"/>
    <x v="828"/>
    <s v="2/22/2025"/>
    <n v="4"/>
    <x v="0"/>
    <s v="11/19/2023"/>
    <s v=" $821.69 "/>
    <n v="1"/>
    <n v="44"/>
    <s v="Sports"/>
    <s v="Lipstick"/>
    <x v="3"/>
    <x v="1"/>
    <n v="821.69"/>
    <s v="Misaligned"/>
    <x v="0"/>
    <s v="High Value Tier"/>
    <x v="3"/>
  </r>
  <r>
    <s v="ORD6793"/>
    <s v="CUST2793"/>
    <n v="63"/>
    <s v="PROD1993"/>
    <x v="0"/>
    <x v="757"/>
    <d v="2023-01-10T00:00:00"/>
    <n v="0"/>
    <x v="2"/>
    <s v="3/17/2025"/>
    <s v=" $166.66 "/>
    <n v="7"/>
    <n v="16"/>
    <s v="Home"/>
    <s v="Tablet"/>
    <x v="4"/>
    <x v="1"/>
    <n v="1166.6199999999999"/>
    <s v="Misaligned"/>
    <x v="1"/>
    <s v="High Value Tier"/>
    <x v="1"/>
  </r>
  <r>
    <s v="ORD6794"/>
    <s v="CUST2794"/>
    <n v="25"/>
    <s v="PROD1994"/>
    <x v="3"/>
    <x v="181"/>
    <s v="11/30/2023"/>
    <n v="2"/>
    <x v="2"/>
    <s v="11/23/2024"/>
    <s v=" $715.99 "/>
    <n v="1"/>
    <n v="39"/>
    <s v="Beauty"/>
    <s v="Dining Table"/>
    <x v="1"/>
    <x v="0"/>
    <n v="715.99"/>
    <s v="Misaligned"/>
    <x v="2"/>
    <s v="High Value Tier"/>
    <x v="1"/>
  </r>
  <r>
    <s v="ORD6795"/>
    <s v="CUST2795"/>
    <n v="50"/>
    <s v="PROD1995"/>
    <x v="3"/>
    <x v="624"/>
    <s v="1/30/2025"/>
    <n v="1"/>
    <x v="1"/>
    <s v="1/13/2025"/>
    <s v=" $1,397.94 "/>
    <n v="1"/>
    <n v="5"/>
    <s v="Sports"/>
    <s v="Cricket Bat"/>
    <x v="0"/>
    <x v="1"/>
    <n v="1397.94"/>
    <s v="Aligned"/>
    <x v="1"/>
    <s v="High Value Tier"/>
    <x v="0"/>
  </r>
  <r>
    <s v="ORD6796"/>
    <s v="CUST2796"/>
    <n v="21"/>
    <s v="PROD1996"/>
    <x v="4"/>
    <x v="761"/>
    <s v="11/15/2023"/>
    <n v="1"/>
    <x v="0"/>
    <s v="9/14/2021"/>
    <s v=" $307.89 "/>
    <n v="5"/>
    <n v="35"/>
    <s v="Sports"/>
    <s v="Bluetooth Speaker"/>
    <x v="4"/>
    <x v="0"/>
    <n v="1539.45"/>
    <s v="Misaligned"/>
    <x v="3"/>
    <s v="High Value Tier"/>
    <x v="0"/>
  </r>
  <r>
    <s v="ORD6797"/>
    <s v="CUST2797"/>
    <n v="68"/>
    <s v="PROD1997"/>
    <x v="4"/>
    <x v="222"/>
    <d v="2024-05-12T00:00:00"/>
    <n v="4"/>
    <x v="0"/>
    <s v="2/13/2023"/>
    <s v=" $146.78 "/>
    <n v="9"/>
    <n v="6"/>
    <s v="Electronics"/>
    <s v="Shirt"/>
    <x v="2"/>
    <x v="0"/>
    <n v="1321.02"/>
    <s v="Misaligned"/>
    <x v="4"/>
    <s v="High Value Tier"/>
    <x v="3"/>
  </r>
  <r>
    <s v="ORD6798"/>
    <s v="CUST2798"/>
    <n v="40"/>
    <s v="PROD1998"/>
    <x v="4"/>
    <x v="873"/>
    <s v="1/28/2025"/>
    <n v="1"/>
    <x v="0"/>
    <s v="5/17/2024"/>
    <s v=" $82.46 "/>
    <n v="3"/>
    <n v="41"/>
    <s v="Clothing"/>
    <s v="Headphones"/>
    <x v="4"/>
    <x v="0"/>
    <n v="247.38"/>
    <s v="Misaligned"/>
    <x v="0"/>
    <s v="High Value Tier"/>
    <x v="0"/>
  </r>
  <r>
    <s v="ORD6799"/>
    <s v="CUST2799"/>
    <n v="20"/>
    <s v="PROD1999"/>
    <x v="4"/>
    <x v="403"/>
    <d v="2021-11-10T00:00:00"/>
    <n v="1"/>
    <x v="0"/>
    <d v="2023-07-09T00:00:00"/>
    <s v=" $406.43 "/>
    <n v="4"/>
    <n v="11"/>
    <s v="Sports"/>
    <s v="Yoga Mat"/>
    <x v="0"/>
    <x v="0"/>
    <n v="1625.72"/>
    <s v="Aligned"/>
    <x v="3"/>
    <s v="High Value Tier"/>
    <x v="0"/>
  </r>
  <r>
    <s v="ORD6800"/>
    <s v="CUST2800"/>
    <n v="20"/>
    <s v="PROD2000"/>
    <x v="4"/>
    <x v="188"/>
    <d v="2022-04-05T00:00:00"/>
    <n v="2"/>
    <x v="0"/>
    <s v="1/29/2024"/>
    <s v=" $871.44 "/>
    <n v="2"/>
    <n v="35"/>
    <s v="Home"/>
    <s v="Nail Polish"/>
    <x v="3"/>
    <x v="0"/>
    <n v="1742.88"/>
    <s v="Misaligned"/>
    <x v="3"/>
    <s v="High Value Tier"/>
    <x v="0"/>
  </r>
  <r>
    <s v="ORD6801"/>
    <s v="CUST2801"/>
    <n v="51"/>
    <s v="PROD2001"/>
    <x v="4"/>
    <x v="270"/>
    <s v="6/21/2025"/>
    <n v="5"/>
    <x v="0"/>
    <s v="1/14/2024"/>
    <s v=" $204.50 "/>
    <n v="8"/>
    <n v="9"/>
    <s v="Home"/>
    <s v="Running Shoes"/>
    <x v="0"/>
    <x v="0"/>
    <n v="1636"/>
    <s v="Misaligned"/>
    <x v="1"/>
    <s v="High Value Tier"/>
    <x v="3"/>
  </r>
  <r>
    <s v="ORD6802"/>
    <s v="CUST2802"/>
    <n v="37"/>
    <s v="PROD2002"/>
    <x v="2"/>
    <x v="879"/>
    <s v="12/14/2021"/>
    <n v="4"/>
    <x v="0"/>
    <d v="2022-08-01T00:00:00"/>
    <s v=" $390.24 "/>
    <n v="2"/>
    <n v="49"/>
    <s v="Electronics"/>
    <s v="Football"/>
    <x v="0"/>
    <x v="0"/>
    <n v="780.48"/>
    <s v="Misaligned"/>
    <x v="0"/>
    <s v="High Value Tier"/>
    <x v="3"/>
  </r>
  <r>
    <s v="ORD6803"/>
    <s v="CUST2803"/>
    <n v="57"/>
    <s v="PROD2003"/>
    <x v="2"/>
    <x v="523"/>
    <s v="3/19/2025"/>
    <n v="1"/>
    <x v="0"/>
    <s v="7/30/2024"/>
    <s v=" $295.37 "/>
    <n v="6"/>
    <n v="27"/>
    <s v="Sports"/>
    <s v="Lamp"/>
    <x v="1"/>
    <x v="1"/>
    <n v="1772.22"/>
    <s v="Misaligned"/>
    <x v="1"/>
    <s v="High Value Tier"/>
    <x v="0"/>
  </r>
  <r>
    <s v="ORD6804"/>
    <s v="CUST2804"/>
    <n v="40"/>
    <s v="PROD2004"/>
    <x v="4"/>
    <x v="880"/>
    <d v="2025-11-01T00:00:00"/>
    <n v="5"/>
    <x v="1"/>
    <s v="6/19/2024"/>
    <s v=" $855.07 "/>
    <n v="2"/>
    <n v="2"/>
    <s v="Sports"/>
    <s v="Moisturizer"/>
    <x v="3"/>
    <x v="1"/>
    <n v="1710.14"/>
    <s v="Misaligned"/>
    <x v="0"/>
    <s v="High Value Tier"/>
    <x v="0"/>
  </r>
  <r>
    <s v="ORD6805"/>
    <s v="CUST2805"/>
    <n v="55"/>
    <s v="PROD2005"/>
    <x v="0"/>
    <x v="196"/>
    <s v="1/29/2024"/>
    <n v="0"/>
    <x v="0"/>
    <d v="2023-03-08T00:00:00"/>
    <s v=" $1,595.97 "/>
    <n v="1"/>
    <n v="9"/>
    <s v="Electronics"/>
    <s v="T-Shirt"/>
    <x v="2"/>
    <x v="0"/>
    <n v="1595.97"/>
    <s v="Misaligned"/>
    <x v="1"/>
    <s v="High Value Tier"/>
    <x v="0"/>
  </r>
  <r>
    <s v="ORD6806"/>
    <s v="CUST2806"/>
    <n v="66"/>
    <s v="PROD2006"/>
    <x v="5"/>
    <x v="881"/>
    <d v="2023-03-03T00:00:00"/>
    <n v="5"/>
    <x v="1"/>
    <s v="12/15/2023"/>
    <s v=" $139.58 "/>
    <n v="3"/>
    <n v="17"/>
    <s v="Home"/>
    <s v="Camera"/>
    <x v="4"/>
    <x v="0"/>
    <n v="418.74"/>
    <s v="Misaligned"/>
    <x v="4"/>
    <s v="High Value Tier"/>
    <x v="0"/>
  </r>
  <r>
    <s v="ORD6807"/>
    <s v="CUST2807"/>
    <n v="44"/>
    <s v="PROD2007"/>
    <x v="2"/>
    <x v="523"/>
    <d v="2025-10-03T00:00:00"/>
    <n v="5"/>
    <x v="0"/>
    <s v="11/30/2022"/>
    <s v=" $493.19 "/>
    <n v="4"/>
    <n v="7"/>
    <s v="Clothing"/>
    <s v="Camera"/>
    <x v="4"/>
    <x v="0"/>
    <n v="1972.76"/>
    <s v="Misaligned"/>
    <x v="0"/>
    <s v="High Value Tier"/>
    <x v="3"/>
  </r>
  <r>
    <s v="ORD6808"/>
    <s v="CUST2808"/>
    <n v="25"/>
    <s v="PROD2008"/>
    <x v="5"/>
    <x v="738"/>
    <d v="2023-01-12T00:00:00"/>
    <n v="4"/>
    <x v="0"/>
    <d v="2024-03-03T00:00:00"/>
    <s v=" $3.87 "/>
    <n v="9"/>
    <n v="3"/>
    <s v="Beauty"/>
    <s v="Perfume"/>
    <x v="3"/>
    <x v="0"/>
    <n v="34.83"/>
    <s v="Aligned"/>
    <x v="2"/>
    <s v="Value Tier"/>
    <x v="3"/>
  </r>
  <r>
    <s v="ORD6809"/>
    <s v="CUST2809"/>
    <n v="53"/>
    <s v="PROD2009"/>
    <x v="1"/>
    <x v="300"/>
    <s v="8/16/2022"/>
    <n v="3"/>
    <x v="0"/>
    <s v="1/20/2024"/>
    <s v=" $646.02 "/>
    <n v="3"/>
    <n v="46"/>
    <s v="Electronics"/>
    <s v="Face Wash"/>
    <x v="3"/>
    <x v="0"/>
    <n v="1938.06"/>
    <s v="Misaligned"/>
    <x v="1"/>
    <s v="High Value Tier"/>
    <x v="0"/>
  </r>
  <r>
    <s v="ORD6810"/>
    <s v="CUST2810"/>
    <n v="65"/>
    <s v="PROD2010"/>
    <x v="2"/>
    <x v="653"/>
    <s v="4/23/2025"/>
    <n v="1"/>
    <x v="1"/>
    <s v="4/18/2025"/>
    <s v=" $331.29 "/>
    <n v="6"/>
    <n v="20"/>
    <s v="Home"/>
    <s v="Foundation"/>
    <x v="3"/>
    <x v="0"/>
    <n v="1987.74"/>
    <s v="Misaligned"/>
    <x v="4"/>
    <s v="High Value Tier"/>
    <x v="0"/>
  </r>
  <r>
    <s v="ORD6811"/>
    <s v="CUST2811"/>
    <n v="44"/>
    <s v="PROD2011"/>
    <x v="4"/>
    <x v="408"/>
    <d v="2024-04-05T00:00:00"/>
    <n v="3"/>
    <x v="0"/>
    <s v="5/26/2022"/>
    <s v=" $95.93 "/>
    <n v="5"/>
    <n v="17"/>
    <s v="Clothing"/>
    <s v="Lipstick"/>
    <x v="3"/>
    <x v="1"/>
    <n v="479.65"/>
    <s v="Misaligned"/>
    <x v="0"/>
    <s v="High Value Tier"/>
    <x v="0"/>
  </r>
  <r>
    <s v="ORD6812"/>
    <s v="CUST2812"/>
    <n v="24"/>
    <s v="PROD2012"/>
    <x v="0"/>
    <x v="882"/>
    <d v="2021-06-02T00:00:00"/>
    <n v="5"/>
    <x v="1"/>
    <d v="2025-07-07T00:00:00"/>
    <s v=" $243.85 "/>
    <n v="7"/>
    <n v="5"/>
    <s v="Electronics"/>
    <s v="Basketball"/>
    <x v="0"/>
    <x v="0"/>
    <n v="1706.95"/>
    <s v="Misaligned"/>
    <x v="3"/>
    <s v="High Value Tier"/>
    <x v="0"/>
  </r>
  <r>
    <s v="ORD6813"/>
    <s v="CUST2813"/>
    <n v="69"/>
    <s v="PROD2013"/>
    <x v="5"/>
    <x v="439"/>
    <d v="2023-02-06T00:00:00"/>
    <n v="0"/>
    <x v="0"/>
    <d v="2025-05-08T00:00:00"/>
    <s v=" $57.06 "/>
    <n v="9"/>
    <n v="36"/>
    <s v="Beauty"/>
    <s v="Lamp"/>
    <x v="1"/>
    <x v="2"/>
    <n v="513.54"/>
    <s v="Misaligned"/>
    <x v="4"/>
    <s v="High Value Tier"/>
    <x v="0"/>
  </r>
  <r>
    <s v="ORD6814"/>
    <s v="CUST2814"/>
    <n v="56"/>
    <s v="PROD2014"/>
    <x v="3"/>
    <x v="883"/>
    <s v="9/14/2021"/>
    <n v="3"/>
    <x v="0"/>
    <s v="8/17/2025"/>
    <s v=" $248.20 "/>
    <n v="5"/>
    <n v="49"/>
    <s v="Beauty"/>
    <s v="Tennis Racket"/>
    <x v="0"/>
    <x v="0"/>
    <n v="1241"/>
    <s v="Misaligned"/>
    <x v="1"/>
    <s v="High Value Tier"/>
    <x v="0"/>
  </r>
  <r>
    <s v="ORD6815"/>
    <s v="CUST2815"/>
    <n v="54"/>
    <s v="PROD2015"/>
    <x v="3"/>
    <x v="884"/>
    <s v="4/23/2023"/>
    <n v="2"/>
    <x v="0"/>
    <s v="12/31/2024"/>
    <s v=" $40.29 "/>
    <n v="8"/>
    <n v="27"/>
    <s v="Sports"/>
    <s v="Tennis Racket"/>
    <x v="0"/>
    <x v="0"/>
    <n v="322.32"/>
    <s v="Aligned"/>
    <x v="1"/>
    <s v="High Value Tier"/>
    <x v="0"/>
  </r>
  <r>
    <s v="ORD6816"/>
    <s v="CUST2816"/>
    <n v="37"/>
    <s v="PROD2016"/>
    <x v="0"/>
    <x v="156"/>
    <s v="12/17/2024"/>
    <n v="2"/>
    <x v="0"/>
    <d v="2022-11-02T00:00:00"/>
    <s v=" $294.37 "/>
    <n v="5"/>
    <n v="30"/>
    <s v="Beauty"/>
    <s v="Lamp"/>
    <x v="1"/>
    <x v="1"/>
    <n v="1471.85"/>
    <s v="Misaligned"/>
    <x v="0"/>
    <s v="High Value Tier"/>
    <x v="0"/>
  </r>
  <r>
    <s v="ORD6817"/>
    <s v="CUST2817"/>
    <n v="58"/>
    <s v="PROD2017"/>
    <x v="5"/>
    <x v="291"/>
    <s v="2/22/2022"/>
    <n v="0"/>
    <x v="0"/>
    <s v="6/24/2024"/>
    <s v=" $103.64 "/>
    <n v="9"/>
    <n v="1"/>
    <s v="Sports"/>
    <s v="Jeans"/>
    <x v="2"/>
    <x v="1"/>
    <n v="932.76"/>
    <s v="Misaligned"/>
    <x v="1"/>
    <s v="Core Tier"/>
    <x v="0"/>
  </r>
  <r>
    <s v="ORD6818"/>
    <s v="CUST2818"/>
    <n v="28"/>
    <s v="PROD2018"/>
    <x v="4"/>
    <x v="619"/>
    <d v="2022-01-03T00:00:00"/>
    <n v="2"/>
    <x v="0"/>
    <s v="8/20/2022"/>
    <s v=" $452.00 "/>
    <n v="4"/>
    <n v="20"/>
    <s v="Electronics"/>
    <s v="Lamp"/>
    <x v="1"/>
    <x v="1"/>
    <n v="1808"/>
    <s v="Misaligned"/>
    <x v="2"/>
    <s v="High Value Tier"/>
    <x v="0"/>
  </r>
  <r>
    <s v="ORD6819"/>
    <s v="CUST2819"/>
    <n v="18"/>
    <s v="PROD2019"/>
    <x v="5"/>
    <x v="512"/>
    <s v="4/23/2025"/>
    <n v="5"/>
    <x v="0"/>
    <s v="5/15/2022"/>
    <s v=" $899.63 "/>
    <n v="1"/>
    <n v="10"/>
    <s v="Electronics"/>
    <s v="Refrigerator"/>
    <x v="1"/>
    <x v="0"/>
    <n v="899.63"/>
    <s v="Misaligned"/>
    <x v="3"/>
    <s v="High Value Tier"/>
    <x v="3"/>
  </r>
  <r>
    <s v="ORD6820"/>
    <s v="CUST2820"/>
    <n v="26"/>
    <s v="PROD2020"/>
    <x v="1"/>
    <x v="615"/>
    <s v="10/31/2021"/>
    <n v="2"/>
    <x v="0"/>
    <d v="2024-03-05T00:00:00"/>
    <s v=" $219.62 "/>
    <n v="9"/>
    <n v="21"/>
    <s v="Home"/>
    <s v="Camera"/>
    <x v="4"/>
    <x v="0"/>
    <n v="1976.58"/>
    <s v="Misaligned"/>
    <x v="2"/>
    <s v="High Value Tier"/>
    <x v="0"/>
  </r>
  <r>
    <s v="ORD6821"/>
    <s v="CUST2821"/>
    <n v="21"/>
    <s v="PROD2021"/>
    <x v="1"/>
    <x v="809"/>
    <s v="4/27/2024"/>
    <n v="2"/>
    <x v="0"/>
    <s v="1/26/2022"/>
    <s v=" $183.35 "/>
    <n v="9"/>
    <n v="13"/>
    <s v="Beauty"/>
    <s v="Conditioner"/>
    <x v="3"/>
    <x v="1"/>
    <n v="1650.15"/>
    <s v="Aligned"/>
    <x v="3"/>
    <s v="High Value Tier"/>
    <x v="0"/>
  </r>
  <r>
    <s v="ORD6822"/>
    <s v="CUST2822"/>
    <n v="28"/>
    <s v="PROD2022"/>
    <x v="1"/>
    <x v="847"/>
    <s v="4/28/2024"/>
    <n v="5"/>
    <x v="0"/>
    <s v="7/22/2025"/>
    <s v=" $634.36 "/>
    <n v="3"/>
    <n v="21"/>
    <s v="Sports"/>
    <s v="Microwave"/>
    <x v="1"/>
    <x v="0"/>
    <n v="1903.08"/>
    <s v="Misaligned"/>
    <x v="2"/>
    <s v="High Value Tier"/>
    <x v="3"/>
  </r>
  <r>
    <s v="ORD6823"/>
    <s v="CUST2823"/>
    <n v="20"/>
    <s v="PROD2023"/>
    <x v="2"/>
    <x v="14"/>
    <s v="12/30/2022"/>
    <n v="0"/>
    <x v="0"/>
    <s v="11/19/2022"/>
    <s v=" $90.04 "/>
    <n v="8"/>
    <n v="47"/>
    <s v="Clothing"/>
    <s v="Smartwatch"/>
    <x v="4"/>
    <x v="0"/>
    <n v="720.32"/>
    <s v="Misaligned"/>
    <x v="3"/>
    <s v="High Value Tier"/>
    <x v="0"/>
  </r>
  <r>
    <s v="ORD6824"/>
    <s v="CUST2824"/>
    <n v="53"/>
    <s v="PROD2024"/>
    <x v="2"/>
    <x v="885"/>
    <d v="2023-01-10T00:00:00"/>
    <n v="0"/>
    <x v="0"/>
    <s v="7/23/2025"/>
    <s v=" $132.42 "/>
    <n v="3"/>
    <n v="1"/>
    <s v="Beauty"/>
    <s v="Dumbbells"/>
    <x v="0"/>
    <x v="2"/>
    <n v="397.26"/>
    <s v="Misaligned"/>
    <x v="1"/>
    <s v="Value Tier"/>
    <x v="0"/>
  </r>
  <r>
    <s v="ORD6825"/>
    <s v="CUST2825"/>
    <n v="39"/>
    <s v="PROD2025"/>
    <x v="1"/>
    <x v="754"/>
    <d v="2025-04-08T00:00:00"/>
    <n v="1"/>
    <x v="2"/>
    <s v="1/22/2024"/>
    <s v=" $369.90 "/>
    <n v="2"/>
    <n v="48"/>
    <s v="Electronics"/>
    <s v="Shampoo"/>
    <x v="3"/>
    <x v="1"/>
    <n v="739.8"/>
    <s v="Misaligned"/>
    <x v="0"/>
    <s v="High Value Tier"/>
    <x v="1"/>
  </r>
  <r>
    <s v="ORD6826"/>
    <s v="CUST2826"/>
    <n v="45"/>
    <s v="PROD2026"/>
    <x v="2"/>
    <x v="264"/>
    <d v="2022-01-01T00:00:00"/>
    <n v="2"/>
    <x v="1"/>
    <d v="2021-10-06T00:00:00"/>
    <s v=" $193.98 "/>
    <n v="6"/>
    <n v="43"/>
    <s v="Home"/>
    <s v="Football"/>
    <x v="0"/>
    <x v="1"/>
    <n v="1163.8800000000001"/>
    <s v="Misaligned"/>
    <x v="0"/>
    <s v="High Value Tier"/>
    <x v="0"/>
  </r>
  <r>
    <s v="ORD6827"/>
    <s v="CUST2827"/>
    <n v="61"/>
    <s v="PROD2027"/>
    <x v="4"/>
    <x v="175"/>
    <d v="2025-06-01T00:00:00"/>
    <n v="4"/>
    <x v="0"/>
    <s v="10/23/2024"/>
    <s v=" $213.98 "/>
    <n v="3"/>
    <n v="27"/>
    <s v="Home"/>
    <s v="Sneakers"/>
    <x v="2"/>
    <x v="0"/>
    <n v="641.94000000000005"/>
    <s v="Misaligned"/>
    <x v="1"/>
    <s v="High Value Tier"/>
    <x v="3"/>
  </r>
  <r>
    <s v="ORD6828"/>
    <s v="CUST2828"/>
    <n v="51"/>
    <s v="PROD2028"/>
    <x v="0"/>
    <x v="29"/>
    <s v="8/17/2022"/>
    <n v="5"/>
    <x v="1"/>
    <s v="12/23/2022"/>
    <s v=" $139.20 "/>
    <n v="9"/>
    <n v="48"/>
    <s v="Home"/>
    <s v="Jacket"/>
    <x v="2"/>
    <x v="0"/>
    <n v="1252.8"/>
    <s v="Misaligned"/>
    <x v="1"/>
    <s v="High Value Tier"/>
    <x v="0"/>
  </r>
  <r>
    <s v="ORD6829"/>
    <s v="CUST2829"/>
    <n v="39"/>
    <s v="PROD2029"/>
    <x v="5"/>
    <x v="286"/>
    <s v="5/30/2023"/>
    <n v="5"/>
    <x v="1"/>
    <d v="2023-01-10T00:00:00"/>
    <s v=" $429.99 "/>
    <n v="1"/>
    <n v="29"/>
    <s v="Home"/>
    <s v="Smartwatch"/>
    <x v="4"/>
    <x v="0"/>
    <n v="429.99"/>
    <s v="Misaligned"/>
    <x v="0"/>
    <s v="High Value Tier"/>
    <x v="0"/>
  </r>
  <r>
    <s v="ORD6830"/>
    <s v="CUST2830"/>
    <n v="66"/>
    <s v="PROD2030"/>
    <x v="4"/>
    <x v="6"/>
    <s v="5/29/2023"/>
    <n v="5"/>
    <x v="1"/>
    <s v="7/31/2023"/>
    <s v=" $204.48 "/>
    <n v="6"/>
    <n v="10"/>
    <s v="Electronics"/>
    <s v="Camera"/>
    <x v="4"/>
    <x v="1"/>
    <n v="1226.8800000000001"/>
    <s v="Aligned"/>
    <x v="4"/>
    <s v="High Value Tier"/>
    <x v="0"/>
  </r>
  <r>
    <s v="ORD6831"/>
    <s v="CUST2831"/>
    <n v="62"/>
    <s v="PROD2031"/>
    <x v="4"/>
    <x v="514"/>
    <d v="2025-05-06T00:00:00"/>
    <n v="0"/>
    <x v="1"/>
    <s v="9/28/2023"/>
    <s v=" $26.95 "/>
    <n v="5"/>
    <n v="33"/>
    <s v="Clothing"/>
    <s v="Nail Polish"/>
    <x v="3"/>
    <x v="0"/>
    <n v="134.75"/>
    <s v="Misaligned"/>
    <x v="1"/>
    <s v="High Value Tier"/>
    <x v="0"/>
  </r>
  <r>
    <s v="ORD6832"/>
    <s v="CUST2832"/>
    <n v="53"/>
    <s v="PROD2032"/>
    <x v="0"/>
    <x v="886"/>
    <s v="3/24/2023"/>
    <n v="1"/>
    <x v="0"/>
    <d v="2025-06-07T00:00:00"/>
    <s v=" $22.66 "/>
    <n v="6"/>
    <n v="32"/>
    <s v="Sports"/>
    <s v="Smartwatch"/>
    <x v="4"/>
    <x v="0"/>
    <n v="135.96"/>
    <s v="Misaligned"/>
    <x v="1"/>
    <s v="High Value Tier"/>
    <x v="0"/>
  </r>
  <r>
    <s v="ORD6833"/>
    <s v="CUST2833"/>
    <n v="32"/>
    <s v="PROD2033"/>
    <x v="2"/>
    <x v="6"/>
    <s v="7/28/2025"/>
    <n v="2"/>
    <x v="0"/>
    <d v="2025-03-08T00:00:00"/>
    <s v=" $150.86 "/>
    <n v="9"/>
    <n v="48"/>
    <s v="Electronics"/>
    <s v="Shampoo"/>
    <x v="3"/>
    <x v="1"/>
    <n v="1357.74"/>
    <s v="Misaligned"/>
    <x v="2"/>
    <s v="High Value Tier"/>
    <x v="0"/>
  </r>
  <r>
    <s v="ORD6834"/>
    <s v="CUST2834"/>
    <n v="38"/>
    <s v="PROD2034"/>
    <x v="3"/>
    <x v="499"/>
    <d v="2023-04-07T00:00:00"/>
    <n v="0"/>
    <x v="2"/>
    <d v="2023-06-05T00:00:00"/>
    <s v=" $347.74 "/>
    <n v="3"/>
    <n v="29"/>
    <s v="Beauty"/>
    <s v="Headphones"/>
    <x v="4"/>
    <x v="1"/>
    <n v="1043.22"/>
    <s v="Misaligned"/>
    <x v="0"/>
    <s v="High Value Tier"/>
    <x v="1"/>
  </r>
  <r>
    <s v="ORD6835"/>
    <s v="CUST2835"/>
    <n v="38"/>
    <s v="PROD2035"/>
    <x v="2"/>
    <x v="887"/>
    <s v="2/14/2024"/>
    <n v="4"/>
    <x v="1"/>
    <d v="2025-08-02T00:00:00"/>
    <s v=" $11.42 "/>
    <n v="9"/>
    <n v="34"/>
    <s v="Beauty"/>
    <s v="Cycling Helmet"/>
    <x v="0"/>
    <x v="0"/>
    <n v="102.78"/>
    <s v="Misaligned"/>
    <x v="0"/>
    <s v="High Value Tier"/>
    <x v="0"/>
  </r>
  <r>
    <s v="ORD6836"/>
    <s v="CUST2836"/>
    <n v="64"/>
    <s v="PROD2036"/>
    <x v="4"/>
    <x v="888"/>
    <s v="1/15/2023"/>
    <n v="1"/>
    <x v="0"/>
    <s v="7/25/2023"/>
    <s v=" $531.15 "/>
    <n v="3"/>
    <n v="26"/>
    <s v="Electronics"/>
    <s v="Jacket"/>
    <x v="2"/>
    <x v="1"/>
    <n v="1593.45"/>
    <s v="Misaligned"/>
    <x v="1"/>
    <s v="High Value Tier"/>
    <x v="0"/>
  </r>
  <r>
    <s v="ORD6837"/>
    <s v="CUST2837"/>
    <n v="33"/>
    <s v="PROD2037"/>
    <x v="3"/>
    <x v="846"/>
    <d v="2022-09-10T00:00:00"/>
    <n v="3"/>
    <x v="2"/>
    <s v="7/28/2024"/>
    <s v=" $1,339.00 "/>
    <n v="1"/>
    <n v="48"/>
    <s v="Clothing"/>
    <s v="Conditioner"/>
    <x v="3"/>
    <x v="0"/>
    <n v="1339"/>
    <s v="Misaligned"/>
    <x v="2"/>
    <s v="High Value Tier"/>
    <x v="1"/>
  </r>
  <r>
    <s v="ORD6838"/>
    <s v="CUST2838"/>
    <n v="23"/>
    <s v="PROD2038"/>
    <x v="3"/>
    <x v="76"/>
    <d v="2022-02-05T00:00:00"/>
    <n v="0"/>
    <x v="0"/>
    <s v="9/29/2024"/>
    <s v=" $809.03 "/>
    <n v="1"/>
    <n v="42"/>
    <s v="Home"/>
    <s v="Gaming Console"/>
    <x v="4"/>
    <x v="1"/>
    <n v="809.03"/>
    <s v="Misaligned"/>
    <x v="3"/>
    <s v="High Value Tier"/>
    <x v="0"/>
  </r>
  <r>
    <s v="ORD6839"/>
    <s v="CUST2839"/>
    <n v="45"/>
    <s v="PROD2039"/>
    <x v="1"/>
    <x v="530"/>
    <s v="5/28/2025"/>
    <n v="1"/>
    <x v="1"/>
    <s v="12/27/2023"/>
    <s v=" $423.72 "/>
    <n v="3"/>
    <n v="43"/>
    <s v="Electronics"/>
    <s v="Hoodie"/>
    <x v="2"/>
    <x v="1"/>
    <n v="1271.1600000000001"/>
    <s v="Misaligned"/>
    <x v="0"/>
    <s v="High Value Tier"/>
    <x v="0"/>
  </r>
  <r>
    <s v="ORD6840"/>
    <s v="CUST2840"/>
    <n v="31"/>
    <s v="PROD2040"/>
    <x v="1"/>
    <x v="528"/>
    <s v="1/22/2023"/>
    <n v="3"/>
    <x v="1"/>
    <d v="2023-02-11T00:00:00"/>
    <s v=" $72.44 "/>
    <n v="7"/>
    <n v="33"/>
    <s v="Beauty"/>
    <s v="Bluetooth Speaker"/>
    <x v="4"/>
    <x v="1"/>
    <n v="507.08"/>
    <s v="Misaligned"/>
    <x v="2"/>
    <s v="High Value Tier"/>
    <x v="0"/>
  </r>
  <r>
    <s v="ORD6841"/>
    <s v="CUST2841"/>
    <n v="58"/>
    <s v="PROD2041"/>
    <x v="1"/>
    <x v="457"/>
    <d v="2022-12-02T00:00:00"/>
    <n v="2"/>
    <x v="2"/>
    <s v="5/24/2025"/>
    <s v=" $156.44 "/>
    <n v="4"/>
    <n v="36"/>
    <s v="Clothing"/>
    <s v="Bluetooth Speaker"/>
    <x v="4"/>
    <x v="0"/>
    <n v="625.76"/>
    <s v="Misaligned"/>
    <x v="1"/>
    <s v="High Value Tier"/>
    <x v="1"/>
  </r>
  <r>
    <s v="ORD6842"/>
    <s v="CUST2842"/>
    <n v="34"/>
    <s v="PROD2042"/>
    <x v="0"/>
    <x v="889"/>
    <s v="2/22/2022"/>
    <n v="3"/>
    <x v="0"/>
    <s v="10/28/2021"/>
    <s v=" $158.08 "/>
    <n v="6"/>
    <n v="7"/>
    <s v="Beauty"/>
    <s v="Jeans"/>
    <x v="2"/>
    <x v="1"/>
    <n v="948.48"/>
    <s v="Misaligned"/>
    <x v="2"/>
    <s v="High Value Tier"/>
    <x v="0"/>
  </r>
  <r>
    <s v="ORD6843"/>
    <s v="CUST2843"/>
    <n v="26"/>
    <s v="PROD2043"/>
    <x v="2"/>
    <x v="648"/>
    <s v="1/21/2024"/>
    <n v="2"/>
    <x v="0"/>
    <d v="2023-12-12T00:00:00"/>
    <s v=" $644.69 "/>
    <n v="1"/>
    <n v="46"/>
    <s v="Beauty"/>
    <s v="Nail Polish"/>
    <x v="3"/>
    <x v="1"/>
    <n v="644.69000000000005"/>
    <s v="Aligned"/>
    <x v="2"/>
    <s v="High Value Tier"/>
    <x v="0"/>
  </r>
  <r>
    <s v="ORD6844"/>
    <s v="CUST2844"/>
    <n v="43"/>
    <s v="PROD2044"/>
    <x v="3"/>
    <x v="890"/>
    <s v="2/22/2024"/>
    <n v="4"/>
    <x v="0"/>
    <s v="3/25/2024"/>
    <s v=" $570.25 "/>
    <n v="3"/>
    <n v="33"/>
    <s v="Clothing"/>
    <s v="T-Shirt"/>
    <x v="2"/>
    <x v="1"/>
    <n v="1710.75"/>
    <s v="Aligned"/>
    <x v="0"/>
    <s v="High Value Tier"/>
    <x v="3"/>
  </r>
  <r>
    <s v="ORD6845"/>
    <s v="CUST2845"/>
    <n v="61"/>
    <s v="PROD2045"/>
    <x v="4"/>
    <x v="524"/>
    <s v="4/24/2023"/>
    <n v="1"/>
    <x v="0"/>
    <s v="8/21/2022"/>
    <s v=" $267.00 "/>
    <n v="7"/>
    <n v="14"/>
    <s v="Sports"/>
    <s v="Cricket Bat"/>
    <x v="0"/>
    <x v="1"/>
    <n v="1869"/>
    <s v="Aligned"/>
    <x v="1"/>
    <s v="High Value Tier"/>
    <x v="0"/>
  </r>
  <r>
    <s v="ORD6846"/>
    <s v="CUST2846"/>
    <n v="19"/>
    <s v="PROD2046"/>
    <x v="1"/>
    <x v="834"/>
    <d v="2024-03-09T00:00:00"/>
    <n v="3"/>
    <x v="0"/>
    <d v="2022-11-11T00:00:00"/>
    <s v=" $138.42 "/>
    <n v="4"/>
    <n v="14"/>
    <s v="Electronics"/>
    <s v="Face Wash"/>
    <x v="3"/>
    <x v="1"/>
    <n v="553.67999999999995"/>
    <s v="Misaligned"/>
    <x v="3"/>
    <s v="High Value Tier"/>
    <x v="0"/>
  </r>
  <r>
    <s v="ORD6847"/>
    <s v="CUST2847"/>
    <n v="47"/>
    <s v="PROD2047"/>
    <x v="2"/>
    <x v="682"/>
    <s v="5/18/2024"/>
    <n v="4"/>
    <x v="0"/>
    <s v="8/21/2023"/>
    <s v=" $71.79 "/>
    <n v="7"/>
    <n v="33"/>
    <s v="Home"/>
    <s v="Conditioner"/>
    <x v="3"/>
    <x v="0"/>
    <n v="502.53"/>
    <s v="Misaligned"/>
    <x v="0"/>
    <s v="High Value Tier"/>
    <x v="3"/>
  </r>
  <r>
    <s v="ORD6848"/>
    <s v="CUST2848"/>
    <n v="30"/>
    <s v="PROD2048"/>
    <x v="1"/>
    <x v="891"/>
    <s v="7/19/2023"/>
    <n v="3"/>
    <x v="0"/>
    <d v="2024-08-02T00:00:00"/>
    <s v=" $477.46 "/>
    <n v="4"/>
    <n v="28"/>
    <s v="Electronics"/>
    <s v="Basketball"/>
    <x v="0"/>
    <x v="1"/>
    <n v="1909.84"/>
    <s v="Misaligned"/>
    <x v="2"/>
    <s v="High Value Tier"/>
    <x v="0"/>
  </r>
  <r>
    <s v="ORD6849"/>
    <s v="CUST2849"/>
    <n v="43"/>
    <s v="PROD2049"/>
    <x v="3"/>
    <x v="181"/>
    <d v="2022-09-09T00:00:00"/>
    <n v="3"/>
    <x v="0"/>
    <d v="2023-12-05T00:00:00"/>
    <s v=" $601.04 "/>
    <n v="1"/>
    <n v="5"/>
    <s v="Clothing"/>
    <s v="Foundation"/>
    <x v="3"/>
    <x v="1"/>
    <n v="601.04"/>
    <s v="Misaligned"/>
    <x v="0"/>
    <s v="High Value Tier"/>
    <x v="0"/>
  </r>
  <r>
    <s v="ORD6850"/>
    <s v="CUST2850"/>
    <n v="28"/>
    <s v="PROD2050"/>
    <x v="5"/>
    <x v="82"/>
    <s v="10/14/2024"/>
    <n v="4"/>
    <x v="1"/>
    <d v="2025-09-03T00:00:00"/>
    <s v=" $467.71 "/>
    <n v="3"/>
    <n v="30"/>
    <s v="Electronics"/>
    <s v="Chair"/>
    <x v="1"/>
    <x v="0"/>
    <n v="1403.13"/>
    <s v="Misaligned"/>
    <x v="2"/>
    <s v="High Value Tier"/>
    <x v="0"/>
  </r>
  <r>
    <s v="ORD6851"/>
    <s v="CUST2851"/>
    <n v="47"/>
    <s v="PROD2051"/>
    <x v="4"/>
    <x v="301"/>
    <s v="3/18/2022"/>
    <n v="1"/>
    <x v="0"/>
    <s v="1/23/2021"/>
    <s v=" $147.14 "/>
    <n v="7"/>
    <n v="36"/>
    <s v="Clothing"/>
    <s v="Chair"/>
    <x v="1"/>
    <x v="1"/>
    <n v="1029.98"/>
    <s v="Misaligned"/>
    <x v="0"/>
    <s v="High Value Tier"/>
    <x v="0"/>
  </r>
  <r>
    <s v="ORD6852"/>
    <s v="CUST2852"/>
    <n v="60"/>
    <s v="PROD2052"/>
    <x v="1"/>
    <x v="327"/>
    <s v="11/30/2023"/>
    <n v="3"/>
    <x v="1"/>
    <s v="12/27/2023"/>
    <s v=" $283.39 "/>
    <n v="2"/>
    <n v="17"/>
    <s v="Electronics"/>
    <s v="Foundation"/>
    <x v="3"/>
    <x v="1"/>
    <n v="566.78"/>
    <s v="Misaligned"/>
    <x v="1"/>
    <s v="High Value Tier"/>
    <x v="0"/>
  </r>
  <r>
    <s v="ORD6853"/>
    <s v="CUST2853"/>
    <n v="21"/>
    <s v="PROD2053"/>
    <x v="4"/>
    <x v="85"/>
    <s v="7/30/2025"/>
    <n v="1"/>
    <x v="1"/>
    <s v="7/21/2022"/>
    <s v=" $743.56 "/>
    <n v="2"/>
    <n v="28"/>
    <s v="Electronics"/>
    <s v="Blender"/>
    <x v="1"/>
    <x v="0"/>
    <n v="1487.12"/>
    <s v="Misaligned"/>
    <x v="3"/>
    <s v="High Value Tier"/>
    <x v="0"/>
  </r>
  <r>
    <s v="ORD6854"/>
    <s v="CUST2854"/>
    <n v="61"/>
    <s v="PROD2054"/>
    <x v="1"/>
    <x v="168"/>
    <s v="10/13/2022"/>
    <n v="1"/>
    <x v="0"/>
    <d v="2025-12-07T00:00:00"/>
    <s v=" $63.10 "/>
    <n v="8"/>
    <n v="29"/>
    <s v="Beauty"/>
    <s v="Football"/>
    <x v="0"/>
    <x v="1"/>
    <n v="504.8"/>
    <s v="Misaligned"/>
    <x v="1"/>
    <s v="High Value Tier"/>
    <x v="0"/>
  </r>
  <r>
    <s v="ORD6855"/>
    <s v="CUST2855"/>
    <n v="28"/>
    <s v="PROD2055"/>
    <x v="5"/>
    <x v="654"/>
    <s v="7/18/2024"/>
    <n v="3"/>
    <x v="2"/>
    <s v="4/16/2025"/>
    <s v=" $189.33 "/>
    <n v="7"/>
    <n v="4"/>
    <s v="Beauty"/>
    <s v="Conditioner"/>
    <x v="3"/>
    <x v="1"/>
    <n v="1325.31"/>
    <s v="Aligned"/>
    <x v="2"/>
    <s v="High Value Tier"/>
    <x v="1"/>
  </r>
  <r>
    <s v="ORD6856"/>
    <s v="CUST2856"/>
    <n v="65"/>
    <s v="PROD2056"/>
    <x v="4"/>
    <x v="745"/>
    <d v="2024-01-09T00:00:00"/>
    <n v="0"/>
    <x v="0"/>
    <d v="2023-05-03T00:00:00"/>
    <s v=" $365.30 "/>
    <n v="4"/>
    <n v="18"/>
    <s v="Sports"/>
    <s v="Sofa"/>
    <x v="1"/>
    <x v="2"/>
    <n v="1461.2"/>
    <s v="Misaligned"/>
    <x v="4"/>
    <s v="High Value Tier"/>
    <x v="0"/>
  </r>
  <r>
    <s v="ORD6857"/>
    <s v="CUST2857"/>
    <n v="61"/>
    <s v="PROD2057"/>
    <x v="0"/>
    <x v="817"/>
    <d v="2023-10-10T00:00:00"/>
    <n v="1"/>
    <x v="0"/>
    <d v="2024-06-11T00:00:00"/>
    <s v=" $44.94 "/>
    <n v="9"/>
    <n v="7"/>
    <s v="Clothing"/>
    <s v="Sneakers"/>
    <x v="2"/>
    <x v="0"/>
    <n v="404.46"/>
    <s v="Aligned"/>
    <x v="1"/>
    <s v="High Value Tier"/>
    <x v="0"/>
  </r>
  <r>
    <s v="ORD6858"/>
    <s v="CUST2858"/>
    <n v="46"/>
    <s v="PROD2058"/>
    <x v="1"/>
    <x v="723"/>
    <s v="8/29/2023"/>
    <n v="1"/>
    <x v="0"/>
    <d v="2023-01-03T00:00:00"/>
    <s v=" $556.42 "/>
    <n v="2"/>
    <n v="6"/>
    <s v="Beauty"/>
    <s v="Vacuum Cleaner"/>
    <x v="1"/>
    <x v="1"/>
    <n v="1112.8399999999999"/>
    <s v="Misaligned"/>
    <x v="0"/>
    <s v="High Value Tier"/>
    <x v="0"/>
  </r>
  <r>
    <s v="ORD6859"/>
    <s v="CUST2859"/>
    <n v="63"/>
    <s v="PROD2059"/>
    <x v="1"/>
    <x v="421"/>
    <s v="12/18/2024"/>
    <n v="2"/>
    <x v="1"/>
    <d v="2023-06-07T00:00:00"/>
    <s v=" $103.42 "/>
    <n v="6"/>
    <n v="40"/>
    <s v="Home"/>
    <s v="Lipstick"/>
    <x v="3"/>
    <x v="1"/>
    <n v="620.52"/>
    <s v="Misaligned"/>
    <x v="1"/>
    <s v="High Value Tier"/>
    <x v="0"/>
  </r>
  <r>
    <s v="ORD6860"/>
    <s v="CUST2860"/>
    <n v="35"/>
    <s v="PROD2060"/>
    <x v="2"/>
    <x v="873"/>
    <s v="12/17/2024"/>
    <n v="0"/>
    <x v="0"/>
    <d v="2024-12-09T00:00:00"/>
    <s v=" $300.08 "/>
    <n v="4"/>
    <n v="25"/>
    <s v="Electronics"/>
    <s v="Conditioner"/>
    <x v="3"/>
    <x v="2"/>
    <n v="1200.32"/>
    <s v="Misaligned"/>
    <x v="0"/>
    <s v="High Value Tier"/>
    <x v="0"/>
  </r>
  <r>
    <s v="ORD6861"/>
    <s v="CUST2861"/>
    <n v="39"/>
    <s v="PROD2061"/>
    <x v="1"/>
    <x v="249"/>
    <s v="8/15/2024"/>
    <n v="5"/>
    <x v="0"/>
    <d v="2024-12-11T00:00:00"/>
    <s v=" $117.58 "/>
    <n v="2"/>
    <n v="4"/>
    <s v="Clothing"/>
    <s v="Sneakers"/>
    <x v="2"/>
    <x v="0"/>
    <n v="235.16"/>
    <s v="Aligned"/>
    <x v="0"/>
    <s v="Core Tier"/>
    <x v="3"/>
  </r>
  <r>
    <s v="ORD6862"/>
    <s v="CUST2862"/>
    <n v="43"/>
    <s v="PROD2062"/>
    <x v="5"/>
    <x v="711"/>
    <s v="2/24/2021"/>
    <n v="4"/>
    <x v="0"/>
    <s v="10/16/2023"/>
    <s v=" $1,685.50 "/>
    <n v="1"/>
    <n v="8"/>
    <s v="Beauty"/>
    <s v="Jacket"/>
    <x v="2"/>
    <x v="1"/>
    <n v="1685.5"/>
    <s v="Misaligned"/>
    <x v="0"/>
    <s v="High Value Tier"/>
    <x v="3"/>
  </r>
  <r>
    <s v="ORD6863"/>
    <s v="CUST2863"/>
    <n v="58"/>
    <s v="PROD2063"/>
    <x v="4"/>
    <x v="465"/>
    <d v="2023-01-10T00:00:00"/>
    <n v="4"/>
    <x v="0"/>
    <s v="10/24/2022"/>
    <s v=" $331.38 "/>
    <n v="5"/>
    <n v="6"/>
    <s v="Clothing"/>
    <s v="Gaming Console"/>
    <x v="4"/>
    <x v="1"/>
    <n v="1656.9"/>
    <s v="Misaligned"/>
    <x v="1"/>
    <s v="High Value Tier"/>
    <x v="3"/>
  </r>
  <r>
    <s v="ORD6864"/>
    <s v="CUST2864"/>
    <n v="21"/>
    <s v="PROD2064"/>
    <x v="1"/>
    <x v="892"/>
    <d v="2023-04-11T00:00:00"/>
    <n v="0"/>
    <x v="2"/>
    <s v="6/27/2021"/>
    <s v=" $529.98 "/>
    <n v="1"/>
    <n v="41"/>
    <s v="Sports"/>
    <s v="Cricket Bat"/>
    <x v="0"/>
    <x v="0"/>
    <n v="529.98"/>
    <s v="Aligned"/>
    <x v="3"/>
    <s v="High Value Tier"/>
    <x v="1"/>
  </r>
  <r>
    <s v="ORD6865"/>
    <s v="CUST2865"/>
    <n v="46"/>
    <s v="PROD2065"/>
    <x v="2"/>
    <x v="893"/>
    <s v="6/13/2025"/>
    <n v="5"/>
    <x v="1"/>
    <s v="9/18/2024"/>
    <s v=" $642.41 "/>
    <n v="3"/>
    <n v="26"/>
    <s v="Clothing"/>
    <s v="Smartphone"/>
    <x v="4"/>
    <x v="1"/>
    <n v="1927.23"/>
    <s v="Misaligned"/>
    <x v="0"/>
    <s v="High Value Tier"/>
    <x v="0"/>
  </r>
  <r>
    <s v="ORD6866"/>
    <s v="CUST2866"/>
    <n v="67"/>
    <s v="PROD2066"/>
    <x v="0"/>
    <x v="631"/>
    <s v="7/25/2025"/>
    <n v="3"/>
    <x v="0"/>
    <s v="3/17/2023"/>
    <s v=" $118.68 "/>
    <n v="9"/>
    <n v="38"/>
    <s v="Electronics"/>
    <s v="Shampoo"/>
    <x v="3"/>
    <x v="0"/>
    <n v="1068.1199999999999"/>
    <s v="Misaligned"/>
    <x v="4"/>
    <s v="High Value Tier"/>
    <x v="0"/>
  </r>
  <r>
    <s v="ORD6867"/>
    <s v="CUST2867"/>
    <n v="24"/>
    <s v="PROD2067"/>
    <x v="0"/>
    <x v="650"/>
    <s v="9/27/2022"/>
    <n v="2"/>
    <x v="1"/>
    <d v="2023-06-09T00:00:00"/>
    <s v=" $570.81 "/>
    <n v="1"/>
    <n v="40"/>
    <s v="Clothing"/>
    <s v="Face Wash"/>
    <x v="3"/>
    <x v="0"/>
    <n v="570.80999999999995"/>
    <s v="Misaligned"/>
    <x v="3"/>
    <s v="High Value Tier"/>
    <x v="0"/>
  </r>
  <r>
    <s v="ORD6868"/>
    <s v="CUST2868"/>
    <n v="28"/>
    <s v="PROD2068"/>
    <x v="0"/>
    <x v="894"/>
    <s v="12/31/2022"/>
    <n v="0"/>
    <x v="0"/>
    <s v="3/26/2023"/>
    <s v=" $410.67 "/>
    <n v="3"/>
    <n v="42"/>
    <s v="Electronics"/>
    <s v="Jacket"/>
    <x v="2"/>
    <x v="0"/>
    <n v="1232.01"/>
    <s v="Misaligned"/>
    <x v="2"/>
    <s v="High Value Tier"/>
    <x v="0"/>
  </r>
  <r>
    <s v="ORD6869"/>
    <s v="CUST2869"/>
    <n v="68"/>
    <s v="PROD2069"/>
    <x v="5"/>
    <x v="762"/>
    <s v="5/15/2023"/>
    <n v="1"/>
    <x v="0"/>
    <s v="5/14/2024"/>
    <s v=" $21.90 "/>
    <n v="8"/>
    <n v="14"/>
    <s v="Sports"/>
    <s v="Camera"/>
    <x v="4"/>
    <x v="1"/>
    <n v="175.2"/>
    <s v="Misaligned"/>
    <x v="4"/>
    <s v="Core Tier"/>
    <x v="0"/>
  </r>
  <r>
    <s v="ORD6870"/>
    <s v="CUST2870"/>
    <n v="26"/>
    <s v="PROD2070"/>
    <x v="5"/>
    <x v="895"/>
    <d v="2025-06-02T00:00:00"/>
    <n v="2"/>
    <x v="1"/>
    <d v="2024-06-11T00:00:00"/>
    <s v=" $239.88 "/>
    <n v="8"/>
    <n v="44"/>
    <s v="Home"/>
    <s v="Headphones"/>
    <x v="4"/>
    <x v="0"/>
    <n v="1919.04"/>
    <s v="Misaligned"/>
    <x v="2"/>
    <s v="High Value Tier"/>
    <x v="0"/>
  </r>
  <r>
    <s v="ORD6871"/>
    <s v="CUST2871"/>
    <n v="27"/>
    <s v="PROD2071"/>
    <x v="2"/>
    <x v="896"/>
    <d v="2025-08-07T00:00:00"/>
    <n v="1"/>
    <x v="1"/>
    <s v="9/25/2023"/>
    <s v=" $1,761.57 "/>
    <n v="1"/>
    <n v="16"/>
    <s v="Electronics"/>
    <s v="Dumbbells"/>
    <x v="0"/>
    <x v="1"/>
    <n v="1761.57"/>
    <s v="Misaligned"/>
    <x v="2"/>
    <s v="High Value Tier"/>
    <x v="0"/>
  </r>
  <r>
    <s v="ORD6872"/>
    <s v="CUST2872"/>
    <n v="48"/>
    <s v="PROD2072"/>
    <x v="1"/>
    <x v="897"/>
    <s v="4/22/2024"/>
    <n v="5"/>
    <x v="0"/>
    <s v="10/14/2024"/>
    <s v=" $1,081.80 "/>
    <n v="1"/>
    <n v="40"/>
    <s v="Clothing"/>
    <s v="Yoga Mat"/>
    <x v="0"/>
    <x v="1"/>
    <n v="1081.8"/>
    <s v="Misaligned"/>
    <x v="0"/>
    <s v="High Value Tier"/>
    <x v="3"/>
  </r>
  <r>
    <s v="ORD6873"/>
    <s v="CUST2873"/>
    <n v="37"/>
    <s v="PROD2073"/>
    <x v="4"/>
    <x v="652"/>
    <d v="2023-06-12T00:00:00"/>
    <n v="3"/>
    <x v="0"/>
    <s v="9/30/2022"/>
    <s v=" $152.49 "/>
    <n v="5"/>
    <n v="42"/>
    <s v="Sports"/>
    <s v="Cricket Bat"/>
    <x v="0"/>
    <x v="1"/>
    <n v="762.45"/>
    <s v="Aligned"/>
    <x v="0"/>
    <s v="High Value Tier"/>
    <x v="0"/>
  </r>
  <r>
    <s v="ORD6874"/>
    <s v="CUST2874"/>
    <n v="50"/>
    <s v="PROD2074"/>
    <x v="3"/>
    <x v="898"/>
    <s v="2/16/2025"/>
    <n v="0"/>
    <x v="1"/>
    <d v="2025-05-07T00:00:00"/>
    <s v=" $1,955.81 "/>
    <n v="1"/>
    <n v="30"/>
    <s v="Electronics"/>
    <s v="Skirt"/>
    <x v="2"/>
    <x v="1"/>
    <n v="1955.81"/>
    <s v="Misaligned"/>
    <x v="1"/>
    <s v="High Value Tier"/>
    <x v="0"/>
  </r>
  <r>
    <s v="ORD6875"/>
    <s v="CUST2875"/>
    <n v="44"/>
    <s v="PROD2075"/>
    <x v="0"/>
    <x v="576"/>
    <d v="2020-09-11T00:00:00"/>
    <n v="2"/>
    <x v="0"/>
    <d v="2023-09-12T00:00:00"/>
    <s v=" $92.50 "/>
    <n v="7"/>
    <n v="11"/>
    <s v="Home"/>
    <s v="Bluetooth Speaker"/>
    <x v="4"/>
    <x v="1"/>
    <n v="647.5"/>
    <s v="Misaligned"/>
    <x v="0"/>
    <s v="High Value Tier"/>
    <x v="0"/>
  </r>
  <r>
    <s v="ORD6876"/>
    <s v="CUST2876"/>
    <n v="41"/>
    <s v="PROD2076"/>
    <x v="0"/>
    <x v="295"/>
    <s v="12/25/2021"/>
    <n v="1"/>
    <x v="2"/>
    <d v="2023-03-03T00:00:00"/>
    <s v=" $207.01 "/>
    <n v="3"/>
    <n v="17"/>
    <s v="Electronics"/>
    <s v="Dining Table"/>
    <x v="1"/>
    <x v="0"/>
    <n v="621.03"/>
    <s v="Misaligned"/>
    <x v="0"/>
    <s v="High Value Tier"/>
    <x v="1"/>
  </r>
  <r>
    <s v="ORD6877"/>
    <s v="CUST2877"/>
    <n v="66"/>
    <s v="PROD2077"/>
    <x v="4"/>
    <x v="715"/>
    <s v="2/19/2023"/>
    <n v="2"/>
    <x v="2"/>
    <s v="7/26/2025"/>
    <s v=" $51.21 "/>
    <n v="8"/>
    <n v="48"/>
    <s v="Clothing"/>
    <s v="Perfume"/>
    <x v="3"/>
    <x v="2"/>
    <n v="409.68"/>
    <s v="Misaligned"/>
    <x v="4"/>
    <s v="High Value Tier"/>
    <x v="1"/>
  </r>
  <r>
    <s v="ORD6878"/>
    <s v="CUST2878"/>
    <n v="30"/>
    <s v="PROD2078"/>
    <x v="5"/>
    <x v="899"/>
    <s v="1/20/2024"/>
    <n v="5"/>
    <x v="0"/>
    <s v="11/20/2022"/>
    <s v=" $1,358.08 "/>
    <n v="1"/>
    <n v="46"/>
    <s v="Electronics"/>
    <s v="Bluetooth Speaker"/>
    <x v="4"/>
    <x v="1"/>
    <n v="1358.08"/>
    <s v="Aligned"/>
    <x v="2"/>
    <s v="High Value Tier"/>
    <x v="3"/>
  </r>
  <r>
    <s v="ORD6879"/>
    <s v="CUST2879"/>
    <n v="46"/>
    <s v="PROD2079"/>
    <x v="2"/>
    <x v="263"/>
    <s v="3/20/2022"/>
    <n v="1"/>
    <x v="0"/>
    <s v="7/27/2024"/>
    <s v=" $420.35 "/>
    <n v="2"/>
    <n v="21"/>
    <s v="Home"/>
    <s v="Lipstick"/>
    <x v="3"/>
    <x v="0"/>
    <n v="840.7"/>
    <s v="Misaligned"/>
    <x v="0"/>
    <s v="High Value Tier"/>
    <x v="0"/>
  </r>
  <r>
    <s v="ORD6880"/>
    <s v="CUST2880"/>
    <n v="51"/>
    <s v="PROD2080"/>
    <x v="3"/>
    <x v="585"/>
    <d v="2024-11-06T00:00:00"/>
    <n v="1"/>
    <x v="1"/>
    <d v="2022-02-11T00:00:00"/>
    <s v=" $418.53 "/>
    <n v="3"/>
    <n v="43"/>
    <s v="Beauty"/>
    <s v="Yoga Mat"/>
    <x v="0"/>
    <x v="1"/>
    <n v="1255.5899999999999"/>
    <s v="Misaligned"/>
    <x v="1"/>
    <s v="High Value Tier"/>
    <x v="0"/>
  </r>
  <r>
    <s v="ORD6881"/>
    <s v="CUST2881"/>
    <n v="53"/>
    <s v="PROD2081"/>
    <x v="5"/>
    <x v="900"/>
    <d v="2023-08-09T00:00:00"/>
    <n v="3"/>
    <x v="0"/>
    <d v="2021-02-04T00:00:00"/>
    <s v=" $192.16 "/>
    <n v="6"/>
    <n v="22"/>
    <s v="Clothing"/>
    <s v="Blender"/>
    <x v="1"/>
    <x v="1"/>
    <n v="1152.96"/>
    <s v="Misaligned"/>
    <x v="1"/>
    <s v="High Value Tier"/>
    <x v="0"/>
  </r>
  <r>
    <s v="ORD6882"/>
    <s v="CUST2882"/>
    <n v="54"/>
    <s v="PROD2082"/>
    <x v="1"/>
    <x v="61"/>
    <s v="3/26/2023"/>
    <n v="4"/>
    <x v="1"/>
    <s v="4/15/2025"/>
    <s v=" $410.43 "/>
    <n v="3"/>
    <n v="42"/>
    <s v="Electronics"/>
    <s v="Jacket"/>
    <x v="2"/>
    <x v="0"/>
    <n v="1231.29"/>
    <s v="Misaligned"/>
    <x v="1"/>
    <s v="High Value Tier"/>
    <x v="0"/>
  </r>
  <r>
    <s v="ORD6883"/>
    <s v="CUST2883"/>
    <n v="58"/>
    <s v="PROD2083"/>
    <x v="0"/>
    <x v="673"/>
    <s v="3/16/2024"/>
    <n v="2"/>
    <x v="0"/>
    <s v="10/25/2023"/>
    <s v=" $170.66 "/>
    <n v="6"/>
    <n v="46"/>
    <s v="Home"/>
    <s v="Refrigerator"/>
    <x v="1"/>
    <x v="1"/>
    <n v="1023.96"/>
    <s v="Aligned"/>
    <x v="1"/>
    <s v="High Value Tier"/>
    <x v="0"/>
  </r>
  <r>
    <s v="ORD6884"/>
    <s v="CUST2884"/>
    <n v="48"/>
    <s v="PROD2084"/>
    <x v="1"/>
    <x v="551"/>
    <s v="4/17/2024"/>
    <n v="0"/>
    <x v="2"/>
    <s v="3/22/2025"/>
    <s v=" $32.67 "/>
    <n v="8"/>
    <n v="9"/>
    <s v="Sports"/>
    <s v="Cycling Helmet"/>
    <x v="0"/>
    <x v="1"/>
    <n v="261.36"/>
    <s v="Aligned"/>
    <x v="0"/>
    <s v="Core Tier"/>
    <x v="1"/>
  </r>
  <r>
    <s v="ORD6885"/>
    <s v="CUST2885"/>
    <n v="59"/>
    <s v="PROD2085"/>
    <x v="4"/>
    <x v="528"/>
    <s v="3/21/2024"/>
    <n v="0"/>
    <x v="0"/>
    <s v="4/24/2024"/>
    <s v=" $1,453.08 "/>
    <n v="1"/>
    <n v="34"/>
    <s v="Electronics"/>
    <s v="Vacuum Cleaner"/>
    <x v="1"/>
    <x v="0"/>
    <n v="1453.08"/>
    <s v="Misaligned"/>
    <x v="1"/>
    <s v="High Value Tier"/>
    <x v="0"/>
  </r>
  <r>
    <s v="ORD6886"/>
    <s v="CUST2886"/>
    <n v="69"/>
    <s v="PROD2086"/>
    <x v="4"/>
    <x v="899"/>
    <d v="2024-11-07T00:00:00"/>
    <n v="0"/>
    <x v="0"/>
    <d v="2022-09-06T00:00:00"/>
    <s v=" $104.39 "/>
    <n v="9"/>
    <n v="19"/>
    <s v="Beauty"/>
    <s v="Perfume"/>
    <x v="3"/>
    <x v="0"/>
    <n v="939.51"/>
    <s v="Aligned"/>
    <x v="4"/>
    <s v="High Value Tier"/>
    <x v="0"/>
  </r>
  <r>
    <s v="ORD6887"/>
    <s v="CUST2887"/>
    <n v="25"/>
    <s v="PROD2087"/>
    <x v="3"/>
    <x v="901"/>
    <s v="10/24/2024"/>
    <n v="0"/>
    <x v="1"/>
    <d v="2025-02-01T00:00:00"/>
    <s v=" $935.95 "/>
    <n v="1"/>
    <n v="11"/>
    <s v="Electronics"/>
    <s v="Basketball"/>
    <x v="0"/>
    <x v="0"/>
    <n v="935.95"/>
    <s v="Misaligned"/>
    <x v="2"/>
    <s v="High Value Tier"/>
    <x v="0"/>
  </r>
  <r>
    <s v="ORD6888"/>
    <s v="CUST2888"/>
    <n v="28"/>
    <s v="PROD2088"/>
    <x v="3"/>
    <x v="58"/>
    <s v="3/20/2023"/>
    <n v="4"/>
    <x v="1"/>
    <d v="2024-05-11T00:00:00"/>
    <s v=" $6.43 "/>
    <n v="6"/>
    <n v="43"/>
    <s v="Beauty"/>
    <s v="Chair"/>
    <x v="1"/>
    <x v="1"/>
    <n v="38.58"/>
    <s v="Misaligned"/>
    <x v="2"/>
    <s v="Core Tier"/>
    <x v="0"/>
  </r>
  <r>
    <s v="ORD6889"/>
    <s v="CUST2889"/>
    <n v="31"/>
    <s v="PROD2089"/>
    <x v="3"/>
    <x v="239"/>
    <d v="2023-12-12T00:00:00"/>
    <n v="4"/>
    <x v="2"/>
    <d v="2023-01-11T00:00:00"/>
    <s v=" $334.50 "/>
    <n v="2"/>
    <n v="15"/>
    <s v="Electronics"/>
    <s v="Cricket Bat"/>
    <x v="0"/>
    <x v="1"/>
    <n v="669"/>
    <s v="Misaligned"/>
    <x v="2"/>
    <s v="High Value Tier"/>
    <x v="1"/>
  </r>
  <r>
    <s v="ORD6890"/>
    <s v="CUST2890"/>
    <n v="51"/>
    <s v="PROD2090"/>
    <x v="5"/>
    <x v="902"/>
    <d v="2021-04-08T00:00:00"/>
    <n v="2"/>
    <x v="0"/>
    <d v="2021-04-07T00:00:00"/>
    <s v=" $72.16 "/>
    <n v="7"/>
    <n v="4"/>
    <s v="Electronics"/>
    <s v="Football"/>
    <x v="0"/>
    <x v="0"/>
    <n v="505.12"/>
    <s v="Misaligned"/>
    <x v="1"/>
    <s v="Core Tier"/>
    <x v="0"/>
  </r>
  <r>
    <s v="ORD6891"/>
    <s v="CUST2891"/>
    <n v="22"/>
    <s v="PROD2091"/>
    <x v="3"/>
    <x v="569"/>
    <s v="9/22/2024"/>
    <n v="1"/>
    <x v="1"/>
    <s v="7/21/2022"/>
    <s v=" $198.07 "/>
    <n v="5"/>
    <n v="36"/>
    <s v="Clothing"/>
    <s v="Laptop"/>
    <x v="4"/>
    <x v="0"/>
    <n v="990.35"/>
    <s v="Misaligned"/>
    <x v="3"/>
    <s v="High Value Tier"/>
    <x v="0"/>
  </r>
  <r>
    <s v="ORD6892"/>
    <s v="CUST2892"/>
    <n v="34"/>
    <s v="PROD2092"/>
    <x v="1"/>
    <x v="161"/>
    <d v="2023-11-04T00:00:00"/>
    <n v="1"/>
    <x v="0"/>
    <s v="4/22/2022"/>
    <s v=" $1,180.59 "/>
    <n v="1"/>
    <n v="22"/>
    <s v="Beauty"/>
    <s v="Skirt"/>
    <x v="2"/>
    <x v="1"/>
    <n v="1180.5899999999999"/>
    <s v="Misaligned"/>
    <x v="2"/>
    <s v="High Value Tier"/>
    <x v="0"/>
  </r>
  <r>
    <s v="ORD6893"/>
    <s v="CUST2893"/>
    <n v="24"/>
    <s v="PROD2093"/>
    <x v="3"/>
    <x v="481"/>
    <s v="11/14/2024"/>
    <n v="3"/>
    <x v="0"/>
    <d v="2023-05-12T00:00:00"/>
    <s v=" $83.69 "/>
    <n v="5"/>
    <n v="7"/>
    <s v="Beauty"/>
    <s v="Microwave"/>
    <x v="1"/>
    <x v="0"/>
    <n v="418.45"/>
    <s v="Misaligned"/>
    <x v="3"/>
    <s v="High Value Tier"/>
    <x v="0"/>
  </r>
  <r>
    <s v="ORD6894"/>
    <s v="CUST2894"/>
    <n v="24"/>
    <s v="PROD2094"/>
    <x v="1"/>
    <x v="303"/>
    <s v="5/15/2024"/>
    <n v="5"/>
    <x v="0"/>
    <d v="2025-05-07T00:00:00"/>
    <s v=" $228.12 "/>
    <n v="7"/>
    <n v="25"/>
    <s v="Beauty"/>
    <s v="Sneakers"/>
    <x v="2"/>
    <x v="1"/>
    <n v="1596.84"/>
    <s v="Misaligned"/>
    <x v="3"/>
    <s v="High Value Tier"/>
    <x v="3"/>
  </r>
  <r>
    <s v="ORD6895"/>
    <s v="CUST2895"/>
    <n v="53"/>
    <s v="PROD2095"/>
    <x v="4"/>
    <x v="619"/>
    <d v="2022-11-02T00:00:00"/>
    <n v="4"/>
    <x v="0"/>
    <d v="2020-06-12T00:00:00"/>
    <s v=" $284.69 "/>
    <n v="5"/>
    <n v="13"/>
    <s v="Beauty"/>
    <s v="Microwave"/>
    <x v="1"/>
    <x v="0"/>
    <n v="1423.45"/>
    <s v="Misaligned"/>
    <x v="1"/>
    <s v="High Value Tier"/>
    <x v="3"/>
  </r>
  <r>
    <s v="ORD6896"/>
    <s v="CUST2896"/>
    <n v="67"/>
    <s v="PROD2096"/>
    <x v="3"/>
    <x v="788"/>
    <d v="2024-07-09T00:00:00"/>
    <n v="1"/>
    <x v="2"/>
    <d v="2022-01-01T00:00:00"/>
    <s v=" $10.34 "/>
    <n v="5"/>
    <n v="10"/>
    <s v="Home"/>
    <s v="Shirt"/>
    <x v="2"/>
    <x v="1"/>
    <n v="51.7"/>
    <s v="Misaligned"/>
    <x v="4"/>
    <s v="Value Tier"/>
    <x v="1"/>
  </r>
  <r>
    <s v="ORD6897"/>
    <s v="CUST2897"/>
    <n v="57"/>
    <s v="PROD2097"/>
    <x v="0"/>
    <x v="903"/>
    <d v="2023-10-11T00:00:00"/>
    <n v="5"/>
    <x v="0"/>
    <s v="5/28/2022"/>
    <s v=" $218.72 "/>
    <n v="6"/>
    <n v="37"/>
    <s v="Home"/>
    <s v="Bluetooth Speaker"/>
    <x v="4"/>
    <x v="0"/>
    <n v="1312.32"/>
    <s v="Misaligned"/>
    <x v="1"/>
    <s v="High Value Tier"/>
    <x v="3"/>
  </r>
  <r>
    <s v="ORD6898"/>
    <s v="CUST2898"/>
    <n v="32"/>
    <s v="PROD2098"/>
    <x v="2"/>
    <x v="633"/>
    <s v="4/22/2023"/>
    <n v="5"/>
    <x v="1"/>
    <d v="2023-06-09T00:00:00"/>
    <s v=" $211.68 "/>
    <n v="6"/>
    <n v="25"/>
    <s v="Home"/>
    <s v="Moisturizer"/>
    <x v="3"/>
    <x v="0"/>
    <n v="1270.08"/>
    <s v="Misaligned"/>
    <x v="2"/>
    <s v="High Value Tier"/>
    <x v="0"/>
  </r>
  <r>
    <s v="ORD6899"/>
    <s v="CUST2899"/>
    <n v="45"/>
    <s v="PROD2099"/>
    <x v="2"/>
    <x v="565"/>
    <d v="2024-01-04T00:00:00"/>
    <n v="1"/>
    <x v="0"/>
    <s v="4/27/2023"/>
    <s v=" $102.92 "/>
    <n v="7"/>
    <n v="2"/>
    <s v="Beauty"/>
    <s v="Vacuum Cleaner"/>
    <x v="1"/>
    <x v="1"/>
    <n v="720.44"/>
    <s v="Misaligned"/>
    <x v="0"/>
    <s v="Core Tier"/>
    <x v="0"/>
  </r>
  <r>
    <s v="ORD6900"/>
    <s v="CUST2900"/>
    <n v="52"/>
    <s v="PROD2100"/>
    <x v="2"/>
    <x v="904"/>
    <d v="2023-06-06T00:00:00"/>
    <n v="5"/>
    <x v="0"/>
    <d v="2024-03-04T00:00:00"/>
    <s v=" $277.83 "/>
    <n v="6"/>
    <n v="41"/>
    <s v="Clothing"/>
    <s v="T-Shirt"/>
    <x v="2"/>
    <x v="0"/>
    <n v="1666.98"/>
    <s v="Aligned"/>
    <x v="1"/>
    <s v="High Value Tier"/>
    <x v="3"/>
  </r>
  <r>
    <s v="ORD6901"/>
    <s v="CUST2901"/>
    <n v="51"/>
    <s v="PROD2101"/>
    <x v="0"/>
    <x v="34"/>
    <s v="2/22/2022"/>
    <n v="2"/>
    <x v="0"/>
    <d v="2025-06-01T00:00:00"/>
    <s v=" $224.46 "/>
    <n v="6"/>
    <n v="30"/>
    <s v="Beauty"/>
    <s v="Jacket"/>
    <x v="2"/>
    <x v="1"/>
    <n v="1346.76"/>
    <s v="Misaligned"/>
    <x v="1"/>
    <s v="High Value Tier"/>
    <x v="0"/>
  </r>
  <r>
    <s v="ORD6902"/>
    <s v="CUST2902"/>
    <n v="21"/>
    <s v="PROD2102"/>
    <x v="5"/>
    <x v="905"/>
    <s v="4/25/2022"/>
    <n v="4"/>
    <x v="0"/>
    <d v="2023-07-02T00:00:00"/>
    <s v=" $277.63 "/>
    <n v="3"/>
    <n v="16"/>
    <s v="Beauty"/>
    <s v="Cycling Helmet"/>
    <x v="0"/>
    <x v="1"/>
    <n v="832.89"/>
    <s v="Misaligned"/>
    <x v="3"/>
    <s v="High Value Tier"/>
    <x v="3"/>
  </r>
  <r>
    <s v="ORD6903"/>
    <s v="CUST2903"/>
    <n v="28"/>
    <s v="PROD2103"/>
    <x v="5"/>
    <x v="94"/>
    <s v="10/22/2022"/>
    <n v="4"/>
    <x v="0"/>
    <s v="3/21/2023"/>
    <s v=" $350.36 "/>
    <n v="4"/>
    <n v="22"/>
    <s v="Home"/>
    <s v="Conditioner"/>
    <x v="3"/>
    <x v="0"/>
    <n v="1401.44"/>
    <s v="Misaligned"/>
    <x v="2"/>
    <s v="High Value Tier"/>
    <x v="3"/>
  </r>
  <r>
    <s v="ORD6904"/>
    <s v="CUST2904"/>
    <n v="26"/>
    <s v="PROD2104"/>
    <x v="5"/>
    <x v="312"/>
    <d v="2024-09-06T00:00:00"/>
    <n v="2"/>
    <x v="2"/>
    <s v="11/22/2022"/>
    <s v=" $213.68 "/>
    <n v="5"/>
    <n v="35"/>
    <s v="Sports"/>
    <s v="Moisturizer"/>
    <x v="3"/>
    <x v="0"/>
    <n v="1068.4000000000001"/>
    <s v="Misaligned"/>
    <x v="2"/>
    <s v="High Value Tier"/>
    <x v="1"/>
  </r>
  <r>
    <s v="ORD6905"/>
    <s v="CUST2905"/>
    <n v="59"/>
    <s v="PROD2105"/>
    <x v="2"/>
    <x v="684"/>
    <s v="1/26/2023"/>
    <n v="4"/>
    <x v="0"/>
    <s v="12/21/2022"/>
    <s v=" $36.09 "/>
    <n v="8"/>
    <n v="27"/>
    <s v="Home"/>
    <s v="Tennis Racket"/>
    <x v="0"/>
    <x v="0"/>
    <n v="288.72000000000003"/>
    <s v="Misaligned"/>
    <x v="1"/>
    <s v="High Value Tier"/>
    <x v="3"/>
  </r>
  <r>
    <s v="ORD6906"/>
    <s v="CUST2906"/>
    <n v="18"/>
    <s v="PROD2106"/>
    <x v="3"/>
    <x v="44"/>
    <d v="2022-09-08T00:00:00"/>
    <n v="3"/>
    <x v="1"/>
    <d v="2025-02-04T00:00:00"/>
    <s v=" $267.89 "/>
    <n v="6"/>
    <n v="2"/>
    <s v="Electronics"/>
    <s v="Football"/>
    <x v="0"/>
    <x v="1"/>
    <n v="1607.34"/>
    <s v="Misaligned"/>
    <x v="3"/>
    <s v="High Value Tier"/>
    <x v="0"/>
  </r>
  <r>
    <s v="ORD6907"/>
    <s v="CUST2907"/>
    <n v="40"/>
    <s v="PROD2107"/>
    <x v="4"/>
    <x v="198"/>
    <s v="1/21/2025"/>
    <n v="5"/>
    <x v="0"/>
    <d v="2024-01-02T00:00:00"/>
    <s v=" $755.64 "/>
    <n v="2"/>
    <n v="38"/>
    <s v="Home"/>
    <s v="Bluetooth Speaker"/>
    <x v="4"/>
    <x v="1"/>
    <n v="1511.28"/>
    <s v="Misaligned"/>
    <x v="0"/>
    <s v="High Value Tier"/>
    <x v="3"/>
  </r>
  <r>
    <s v="ORD6908"/>
    <s v="CUST2908"/>
    <n v="25"/>
    <s v="PROD2108"/>
    <x v="3"/>
    <x v="292"/>
    <s v="8/31/2021"/>
    <n v="5"/>
    <x v="1"/>
    <d v="2022-07-02T00:00:00"/>
    <s v=" $1,725.32 "/>
    <n v="1"/>
    <n v="5"/>
    <s v="Clothing"/>
    <s v="Cycling Helmet"/>
    <x v="0"/>
    <x v="1"/>
    <n v="1725.32"/>
    <s v="Misaligned"/>
    <x v="2"/>
    <s v="High Value Tier"/>
    <x v="0"/>
  </r>
  <r>
    <s v="ORD6909"/>
    <s v="CUST2909"/>
    <n v="29"/>
    <s v="PROD2109"/>
    <x v="1"/>
    <x v="483"/>
    <d v="2024-10-10T00:00:00"/>
    <n v="5"/>
    <x v="0"/>
    <d v="2025-05-08T00:00:00"/>
    <s v=" $87.10 "/>
    <n v="7"/>
    <n v="45"/>
    <s v="Sports"/>
    <s v="Dumbbells"/>
    <x v="0"/>
    <x v="1"/>
    <n v="609.70000000000005"/>
    <s v="Aligned"/>
    <x v="2"/>
    <s v="High Value Tier"/>
    <x v="3"/>
  </r>
  <r>
    <s v="ORD6910"/>
    <s v="CUST2910"/>
    <n v="63"/>
    <s v="PROD2110"/>
    <x v="1"/>
    <x v="906"/>
    <s v="6/20/2024"/>
    <n v="1"/>
    <x v="0"/>
    <s v="4/17/2023"/>
    <s v=" $104.59 "/>
    <n v="6"/>
    <n v="22"/>
    <s v="Beauty"/>
    <s v="T-Shirt"/>
    <x v="2"/>
    <x v="1"/>
    <n v="627.54"/>
    <s v="Misaligned"/>
    <x v="1"/>
    <s v="High Value Tier"/>
    <x v="0"/>
  </r>
  <r>
    <s v="ORD6911"/>
    <s v="CUST2911"/>
    <n v="44"/>
    <s v="PROD2111"/>
    <x v="5"/>
    <x v="159"/>
    <s v="11/30/2023"/>
    <n v="1"/>
    <x v="1"/>
    <s v="4/15/2022"/>
    <s v=" $79.28 "/>
    <n v="2"/>
    <n v="9"/>
    <s v="Electronics"/>
    <s v="Sofa"/>
    <x v="1"/>
    <x v="0"/>
    <n v="158.56"/>
    <s v="Misaligned"/>
    <x v="0"/>
    <s v="Core Tier"/>
    <x v="0"/>
  </r>
  <r>
    <s v="ORD6912"/>
    <s v="CUST2912"/>
    <n v="48"/>
    <s v="PROD2112"/>
    <x v="2"/>
    <x v="907"/>
    <s v="9/26/2024"/>
    <n v="0"/>
    <x v="0"/>
    <s v="2/17/2024"/>
    <s v=" $197.22 "/>
    <n v="6"/>
    <n v="9"/>
    <s v="Electronics"/>
    <s v="Cycling Helmet"/>
    <x v="0"/>
    <x v="1"/>
    <n v="1183.32"/>
    <s v="Misaligned"/>
    <x v="0"/>
    <s v="High Value Tier"/>
    <x v="0"/>
  </r>
  <r>
    <s v="ORD6913"/>
    <s v="CUST2913"/>
    <n v="45"/>
    <s v="PROD2113"/>
    <x v="2"/>
    <x v="347"/>
    <d v="2022-06-06T00:00:00"/>
    <n v="4"/>
    <x v="2"/>
    <s v="5/23/2024"/>
    <s v=" $343.73 "/>
    <n v="1"/>
    <n v="23"/>
    <s v="Beauty"/>
    <s v="Face Wash"/>
    <x v="3"/>
    <x v="1"/>
    <n v="343.73"/>
    <s v="Aligned"/>
    <x v="0"/>
    <s v="High Value Tier"/>
    <x v="1"/>
  </r>
  <r>
    <s v="ORD6914"/>
    <s v="CUST2914"/>
    <n v="67"/>
    <s v="PROD2114"/>
    <x v="3"/>
    <x v="430"/>
    <s v="10/14/2023"/>
    <n v="3"/>
    <x v="0"/>
    <s v="11/26/2023"/>
    <s v=" $183.62 "/>
    <n v="6"/>
    <n v="37"/>
    <s v="Home"/>
    <s v="T-Shirt"/>
    <x v="2"/>
    <x v="0"/>
    <n v="1101.72"/>
    <s v="Misaligned"/>
    <x v="4"/>
    <s v="High Value Tier"/>
    <x v="0"/>
  </r>
  <r>
    <s v="ORD6915"/>
    <s v="CUST2915"/>
    <n v="25"/>
    <s v="PROD2115"/>
    <x v="0"/>
    <x v="62"/>
    <d v="2025-09-01T00:00:00"/>
    <n v="5"/>
    <x v="0"/>
    <s v="3/31/2025"/>
    <s v=" $266.26 "/>
    <n v="7"/>
    <n v="15"/>
    <s v="Clothing"/>
    <s v="Face Wash"/>
    <x v="3"/>
    <x v="2"/>
    <n v="1863.82"/>
    <s v="Misaligned"/>
    <x v="2"/>
    <s v="High Value Tier"/>
    <x v="3"/>
  </r>
  <r>
    <s v="ORD6916"/>
    <s v="CUST2916"/>
    <n v="39"/>
    <s v="PROD2116"/>
    <x v="4"/>
    <x v="513"/>
    <s v="4/26/2025"/>
    <n v="3"/>
    <x v="0"/>
    <s v="8/14/2025"/>
    <s v=" $231.08 "/>
    <n v="6"/>
    <n v="4"/>
    <s v="Beauty"/>
    <s v="T-Shirt"/>
    <x v="2"/>
    <x v="1"/>
    <n v="1386.48"/>
    <s v="Misaligned"/>
    <x v="0"/>
    <s v="High Value Tier"/>
    <x v="0"/>
  </r>
  <r>
    <s v="ORD6917"/>
    <s v="CUST2917"/>
    <n v="42"/>
    <s v="PROD2117"/>
    <x v="2"/>
    <x v="781"/>
    <s v="11/20/2022"/>
    <n v="2"/>
    <x v="0"/>
    <d v="2022-07-01T00:00:00"/>
    <s v=" $261.03 "/>
    <n v="7"/>
    <n v="15"/>
    <s v="Clothing"/>
    <s v="Dress"/>
    <x v="2"/>
    <x v="1"/>
    <n v="1827.21"/>
    <s v="Aligned"/>
    <x v="0"/>
    <s v="High Value Tier"/>
    <x v="0"/>
  </r>
  <r>
    <s v="ORD6918"/>
    <s v="CUST2918"/>
    <n v="49"/>
    <s v="PROD2118"/>
    <x v="3"/>
    <x v="908"/>
    <s v="11/17/2023"/>
    <n v="2"/>
    <x v="0"/>
    <d v="2023-08-04T00:00:00"/>
    <s v=" $220.35 "/>
    <n v="4"/>
    <n v="25"/>
    <s v="Sports"/>
    <s v="Microwave"/>
    <x v="1"/>
    <x v="1"/>
    <n v="881.4"/>
    <s v="Misaligned"/>
    <x v="0"/>
    <s v="High Value Tier"/>
    <x v="0"/>
  </r>
  <r>
    <s v="ORD6919"/>
    <s v="CUST2919"/>
    <n v="22"/>
    <s v="PROD2119"/>
    <x v="0"/>
    <x v="909"/>
    <s v="7/22/2021"/>
    <n v="2"/>
    <x v="2"/>
    <d v="2024-10-04T00:00:00"/>
    <s v=" $88.49 "/>
    <n v="7"/>
    <n v="34"/>
    <s v="Clothing"/>
    <s v="Dumbbells"/>
    <x v="0"/>
    <x v="0"/>
    <n v="619.42999999999995"/>
    <s v="Misaligned"/>
    <x v="3"/>
    <s v="High Value Tier"/>
    <x v="1"/>
  </r>
  <r>
    <s v="ORD6920"/>
    <s v="CUST2920"/>
    <n v="64"/>
    <s v="PROD2120"/>
    <x v="2"/>
    <x v="315"/>
    <s v="1/28/2022"/>
    <n v="4"/>
    <x v="1"/>
    <d v="2024-10-03T00:00:00"/>
    <s v=" $229.56 "/>
    <n v="7"/>
    <n v="9"/>
    <s v="Sports"/>
    <s v="Sofa"/>
    <x v="1"/>
    <x v="0"/>
    <n v="1606.92"/>
    <s v="Misaligned"/>
    <x v="1"/>
    <s v="High Value Tier"/>
    <x v="0"/>
  </r>
  <r>
    <s v="ORD6921"/>
    <s v="CUST2921"/>
    <n v="64"/>
    <s v="PROD2121"/>
    <x v="2"/>
    <x v="871"/>
    <d v="2025-12-04T00:00:00"/>
    <n v="3"/>
    <x v="0"/>
    <d v="2025-04-06T00:00:00"/>
    <s v=" $38.42 "/>
    <n v="6"/>
    <n v="34"/>
    <s v="Electronics"/>
    <s v="Camera"/>
    <x v="4"/>
    <x v="0"/>
    <n v="230.52"/>
    <s v="Aligned"/>
    <x v="1"/>
    <s v="High Value Tier"/>
    <x v="0"/>
  </r>
  <r>
    <s v="ORD6922"/>
    <s v="CUST2922"/>
    <n v="51"/>
    <s v="PROD2122"/>
    <x v="2"/>
    <x v="810"/>
    <d v="2025-09-02T00:00:00"/>
    <n v="1"/>
    <x v="1"/>
    <s v="7/22/2023"/>
    <s v=" $35.18 "/>
    <n v="6"/>
    <n v="26"/>
    <s v="Beauty"/>
    <s v="Microwave"/>
    <x v="1"/>
    <x v="1"/>
    <n v="211.08"/>
    <s v="Misaligned"/>
    <x v="1"/>
    <s v="High Value Tier"/>
    <x v="0"/>
  </r>
  <r>
    <s v="ORD6923"/>
    <s v="CUST2923"/>
    <n v="44"/>
    <s v="PROD2123"/>
    <x v="4"/>
    <x v="437"/>
    <s v="11/28/2021"/>
    <n v="0"/>
    <x v="0"/>
    <d v="2025-04-06T00:00:00"/>
    <s v=" $96.43 "/>
    <n v="1"/>
    <n v="8"/>
    <s v="Sports"/>
    <s v="Tablet"/>
    <x v="4"/>
    <x v="0"/>
    <n v="96.43"/>
    <s v="Misaligned"/>
    <x v="0"/>
    <s v="Core Tier"/>
    <x v="0"/>
  </r>
  <r>
    <s v="ORD6924"/>
    <s v="CUST2924"/>
    <n v="53"/>
    <s v="PROD2124"/>
    <x v="1"/>
    <x v="910"/>
    <s v="2/21/2025"/>
    <n v="0"/>
    <x v="0"/>
    <s v="1/31/2022"/>
    <s v=" $198.52 "/>
    <n v="9"/>
    <n v="44"/>
    <s v="Home"/>
    <s v="Basketball"/>
    <x v="0"/>
    <x v="1"/>
    <n v="1786.68"/>
    <s v="Misaligned"/>
    <x v="1"/>
    <s v="High Value Tier"/>
    <x v="0"/>
  </r>
  <r>
    <s v="ORD6925"/>
    <s v="CUST2925"/>
    <n v="33"/>
    <s v="PROD2125"/>
    <x v="2"/>
    <x v="143"/>
    <s v="10/28/2021"/>
    <n v="4"/>
    <x v="2"/>
    <d v="2025-02-02T00:00:00"/>
    <s v=" $423.90 "/>
    <n v="3"/>
    <n v="47"/>
    <s v="Sports"/>
    <s v="Refrigerator"/>
    <x v="1"/>
    <x v="0"/>
    <n v="1271.7"/>
    <s v="Misaligned"/>
    <x v="2"/>
    <s v="High Value Tier"/>
    <x v="1"/>
  </r>
  <r>
    <s v="ORD6926"/>
    <s v="CUST2926"/>
    <n v="27"/>
    <s v="PROD2126"/>
    <x v="0"/>
    <x v="336"/>
    <s v="7/24/2024"/>
    <n v="2"/>
    <x v="0"/>
    <s v="5/21/2025"/>
    <s v=" $182.16 "/>
    <n v="4"/>
    <n v="48"/>
    <s v="Clothing"/>
    <s v="T-Shirt"/>
    <x v="2"/>
    <x v="0"/>
    <n v="728.64"/>
    <s v="Aligned"/>
    <x v="2"/>
    <s v="High Value Tier"/>
    <x v="0"/>
  </r>
  <r>
    <s v="ORD6927"/>
    <s v="CUST2927"/>
    <n v="30"/>
    <s v="PROD2127"/>
    <x v="1"/>
    <x v="162"/>
    <s v="6/29/2022"/>
    <n v="2"/>
    <x v="1"/>
    <s v="7/28/2022"/>
    <s v=" $978.85 "/>
    <n v="1"/>
    <n v="44"/>
    <s v="Sports"/>
    <s v="Gaming Console"/>
    <x v="4"/>
    <x v="0"/>
    <n v="978.85"/>
    <s v="Misaligned"/>
    <x v="2"/>
    <s v="High Value Tier"/>
    <x v="0"/>
  </r>
  <r>
    <s v="ORD6928"/>
    <s v="CUST2928"/>
    <n v="27"/>
    <s v="PROD2128"/>
    <x v="4"/>
    <x v="181"/>
    <s v="5/14/2022"/>
    <n v="1"/>
    <x v="1"/>
    <s v="11/25/2023"/>
    <s v=" $657.06 "/>
    <n v="2"/>
    <n v="31"/>
    <s v="Home"/>
    <s v="Microwave"/>
    <x v="1"/>
    <x v="0"/>
    <n v="1314.12"/>
    <s v="Aligned"/>
    <x v="2"/>
    <s v="High Value Tier"/>
    <x v="0"/>
  </r>
  <r>
    <s v="ORD6929"/>
    <s v="CUST2929"/>
    <n v="18"/>
    <s v="PROD2129"/>
    <x v="1"/>
    <x v="45"/>
    <s v="9/14/2023"/>
    <n v="5"/>
    <x v="0"/>
    <s v="9/23/2021"/>
    <s v=" $6.78 "/>
    <n v="8"/>
    <n v="41"/>
    <s v="Home"/>
    <s v="Smartphone"/>
    <x v="4"/>
    <x v="0"/>
    <n v="54.24"/>
    <s v="Misaligned"/>
    <x v="3"/>
    <s v="Core Tier"/>
    <x v="3"/>
  </r>
  <r>
    <s v="ORD6930"/>
    <s v="CUST2930"/>
    <n v="21"/>
    <s v="PROD2130"/>
    <x v="3"/>
    <x v="478"/>
    <s v="10/24/2023"/>
    <n v="0"/>
    <x v="1"/>
    <s v="11/29/2021"/>
    <s v=" $289.80 "/>
    <n v="2"/>
    <n v="48"/>
    <s v="Sports"/>
    <s v="Jacket"/>
    <x v="2"/>
    <x v="1"/>
    <n v="579.6"/>
    <s v="Misaligned"/>
    <x v="3"/>
    <s v="High Value Tier"/>
    <x v="0"/>
  </r>
  <r>
    <s v="ORD6931"/>
    <s v="CUST2931"/>
    <n v="19"/>
    <s v="PROD2131"/>
    <x v="1"/>
    <x v="686"/>
    <s v="1/26/2023"/>
    <n v="0"/>
    <x v="1"/>
    <s v="9/19/2023"/>
    <s v=" $21.72 "/>
    <n v="8"/>
    <n v="12"/>
    <s v="Clothing"/>
    <s v="Perfume"/>
    <x v="3"/>
    <x v="0"/>
    <n v="173.76"/>
    <s v="Misaligned"/>
    <x v="3"/>
    <s v="Core Tier"/>
    <x v="0"/>
  </r>
  <r>
    <s v="ORD6932"/>
    <s v="CUST2932"/>
    <n v="49"/>
    <s v="PROD2132"/>
    <x v="5"/>
    <x v="450"/>
    <s v="10/21/2022"/>
    <n v="1"/>
    <x v="1"/>
    <s v="5/24/2025"/>
    <s v=" $780.10 "/>
    <n v="1"/>
    <n v="32"/>
    <s v="Home"/>
    <s v="Smartphone"/>
    <x v="4"/>
    <x v="0"/>
    <n v="780.1"/>
    <s v="Misaligned"/>
    <x v="0"/>
    <s v="High Value Tier"/>
    <x v="0"/>
  </r>
  <r>
    <s v="ORD6933"/>
    <s v="CUST2933"/>
    <n v="46"/>
    <s v="PROD2133"/>
    <x v="0"/>
    <x v="126"/>
    <d v="2025-01-01T00:00:00"/>
    <n v="0"/>
    <x v="0"/>
    <s v="10/29/2024"/>
    <s v=" $460.48 "/>
    <n v="3"/>
    <n v="8"/>
    <s v="Sports"/>
    <s v="Bluetooth Speaker"/>
    <x v="4"/>
    <x v="1"/>
    <n v="1381.44"/>
    <s v="Misaligned"/>
    <x v="0"/>
    <s v="High Value Tier"/>
    <x v="0"/>
  </r>
  <r>
    <s v="ORD6934"/>
    <s v="CUST2934"/>
    <n v="58"/>
    <s v="PROD2134"/>
    <x v="4"/>
    <x v="213"/>
    <s v="2/20/2022"/>
    <n v="5"/>
    <x v="0"/>
    <s v="7/17/2024"/>
    <s v=" $332.45 "/>
    <n v="6"/>
    <n v="1"/>
    <s v="Electronics"/>
    <s v="Lamp"/>
    <x v="1"/>
    <x v="0"/>
    <n v="1994.7"/>
    <s v="Misaligned"/>
    <x v="1"/>
    <s v="Core Tier"/>
    <x v="3"/>
  </r>
  <r>
    <s v="ORD6935"/>
    <s v="CUST2935"/>
    <n v="26"/>
    <s v="PROD2135"/>
    <x v="4"/>
    <x v="261"/>
    <d v="2023-06-04T00:00:00"/>
    <n v="0"/>
    <x v="0"/>
    <d v="2024-04-09T00:00:00"/>
    <s v=" $66.25 "/>
    <n v="4"/>
    <n v="2"/>
    <s v="Sports"/>
    <s v="T-Shirt"/>
    <x v="2"/>
    <x v="2"/>
    <n v="265"/>
    <s v="Misaligned"/>
    <x v="2"/>
    <s v="Value Tier"/>
    <x v="0"/>
  </r>
  <r>
    <s v="ORD6936"/>
    <s v="CUST2936"/>
    <n v="49"/>
    <s v="PROD2136"/>
    <x v="1"/>
    <x v="894"/>
    <s v="3/14/2022"/>
    <n v="0"/>
    <x v="1"/>
    <d v="2021-09-09T00:00:00"/>
    <s v=" $132.92 "/>
    <n v="8"/>
    <n v="14"/>
    <s v="Home"/>
    <s v="Face Wash"/>
    <x v="3"/>
    <x v="1"/>
    <n v="1063.3599999999999"/>
    <s v="Misaligned"/>
    <x v="0"/>
    <s v="High Value Tier"/>
    <x v="0"/>
  </r>
  <r>
    <s v="ORD6937"/>
    <s v="CUST2937"/>
    <n v="63"/>
    <s v="PROD2137"/>
    <x v="4"/>
    <x v="911"/>
    <d v="2023-09-01T00:00:00"/>
    <n v="0"/>
    <x v="0"/>
    <d v="2024-03-05T00:00:00"/>
    <s v=" $187.24 "/>
    <n v="9"/>
    <n v="5"/>
    <s v="Sports"/>
    <s v="Gaming Console"/>
    <x v="4"/>
    <x v="0"/>
    <n v="1685.16"/>
    <s v="Misaligned"/>
    <x v="1"/>
    <s v="High Value Tier"/>
    <x v="0"/>
  </r>
  <r>
    <s v="ORD6938"/>
    <s v="CUST2938"/>
    <n v="41"/>
    <s v="PROD2138"/>
    <x v="5"/>
    <x v="114"/>
    <d v="2024-09-01T00:00:00"/>
    <n v="2"/>
    <x v="2"/>
    <s v="10/29/2022"/>
    <s v=" $1,575.87 "/>
    <n v="1"/>
    <n v="48"/>
    <s v="Home"/>
    <s v="Refrigerator"/>
    <x v="1"/>
    <x v="0"/>
    <n v="1575.87"/>
    <s v="Aligned"/>
    <x v="0"/>
    <s v="High Value Tier"/>
    <x v="1"/>
  </r>
  <r>
    <s v="ORD6939"/>
    <s v="CUST2939"/>
    <n v="50"/>
    <s v="PROD2139"/>
    <x v="3"/>
    <x v="73"/>
    <d v="2024-12-02T00:00:00"/>
    <n v="0"/>
    <x v="0"/>
    <d v="2023-09-07T00:00:00"/>
    <s v=" $141.13 "/>
    <n v="5"/>
    <n v="11"/>
    <s v="Electronics"/>
    <s v="Smartphone"/>
    <x v="4"/>
    <x v="1"/>
    <n v="705.65"/>
    <s v="Aligned"/>
    <x v="1"/>
    <s v="High Value Tier"/>
    <x v="0"/>
  </r>
  <r>
    <s v="ORD6940"/>
    <s v="CUST2940"/>
    <n v="46"/>
    <s v="PROD2140"/>
    <x v="2"/>
    <x v="403"/>
    <s v="2/26/2025"/>
    <n v="5"/>
    <x v="0"/>
    <d v="2024-05-11T00:00:00"/>
    <s v=" $584.37 "/>
    <n v="3"/>
    <n v="11"/>
    <s v="Sports"/>
    <s v="Dress"/>
    <x v="2"/>
    <x v="1"/>
    <n v="1753.11"/>
    <s v="Misaligned"/>
    <x v="0"/>
    <s v="High Value Tier"/>
    <x v="3"/>
  </r>
  <r>
    <s v="ORD6941"/>
    <s v="CUST2941"/>
    <n v="59"/>
    <s v="PROD2141"/>
    <x v="1"/>
    <x v="912"/>
    <s v="11/17/2023"/>
    <n v="4"/>
    <x v="0"/>
    <d v="2023-04-06T00:00:00"/>
    <s v=" $389.05 "/>
    <n v="5"/>
    <n v="17"/>
    <s v="Electronics"/>
    <s v="Vacuum Cleaner"/>
    <x v="1"/>
    <x v="0"/>
    <n v="1945.25"/>
    <s v="Misaligned"/>
    <x v="1"/>
    <s v="High Value Tier"/>
    <x v="3"/>
  </r>
  <r>
    <s v="ORD6942"/>
    <s v="CUST2942"/>
    <n v="61"/>
    <s v="PROD2142"/>
    <x v="4"/>
    <x v="183"/>
    <d v="2024-06-12T00:00:00"/>
    <n v="2"/>
    <x v="0"/>
    <s v="4/26/2025"/>
    <s v=" $495.74 "/>
    <n v="3"/>
    <n v="41"/>
    <s v="Home"/>
    <s v="Foundation"/>
    <x v="3"/>
    <x v="0"/>
    <n v="1487.22"/>
    <s v="Misaligned"/>
    <x v="1"/>
    <s v="High Value Tier"/>
    <x v="0"/>
  </r>
  <r>
    <s v="ORD6943"/>
    <s v="CUST2943"/>
    <n v="60"/>
    <s v="PROD2143"/>
    <x v="4"/>
    <x v="181"/>
    <d v="2025-08-05T00:00:00"/>
    <n v="5"/>
    <x v="0"/>
    <d v="2022-02-11T00:00:00"/>
    <s v=" $19.39 "/>
    <n v="9"/>
    <n v="32"/>
    <s v="Sports"/>
    <s v="Lamp"/>
    <x v="1"/>
    <x v="1"/>
    <n v="174.51"/>
    <s v="Misaligned"/>
    <x v="1"/>
    <s v="High Value Tier"/>
    <x v="3"/>
  </r>
  <r>
    <s v="ORD6944"/>
    <s v="CUST2944"/>
    <n v="35"/>
    <s v="PROD2144"/>
    <x v="5"/>
    <x v="745"/>
    <s v="6/29/2023"/>
    <n v="2"/>
    <x v="1"/>
    <s v="6/27/2023"/>
    <s v=" $444.92 "/>
    <n v="3"/>
    <n v="28"/>
    <s v="Electronics"/>
    <s v="Football"/>
    <x v="0"/>
    <x v="1"/>
    <n v="1334.76"/>
    <s v="Misaligned"/>
    <x v="0"/>
    <s v="High Value Tier"/>
    <x v="0"/>
  </r>
  <r>
    <s v="ORD6945"/>
    <s v="CUST2945"/>
    <n v="36"/>
    <s v="PROD2145"/>
    <x v="0"/>
    <x v="90"/>
    <s v="11/23/2022"/>
    <n v="2"/>
    <x v="1"/>
    <s v="12/26/2023"/>
    <s v=" $85.87 "/>
    <n v="6"/>
    <n v="28"/>
    <s v="Home"/>
    <s v="Hoodie"/>
    <x v="2"/>
    <x v="0"/>
    <n v="515.22"/>
    <s v="Misaligned"/>
    <x v="0"/>
    <s v="High Value Tier"/>
    <x v="0"/>
  </r>
  <r>
    <s v="ORD6946"/>
    <s v="CUST2946"/>
    <n v="64"/>
    <s v="PROD2146"/>
    <x v="5"/>
    <x v="913"/>
    <s v="11/21/2023"/>
    <n v="2"/>
    <x v="0"/>
    <s v="12/31/2023"/>
    <s v=" $382.88 "/>
    <n v="3"/>
    <n v="1"/>
    <s v="Electronics"/>
    <s v="Running Shoes"/>
    <x v="0"/>
    <x v="0"/>
    <n v="1148.6400000000001"/>
    <s v="Misaligned"/>
    <x v="1"/>
    <s v="Core Tier"/>
    <x v="0"/>
  </r>
  <r>
    <s v="ORD6947"/>
    <s v="CUST2947"/>
    <n v="34"/>
    <s v="PROD2147"/>
    <x v="0"/>
    <x v="914"/>
    <d v="2023-11-12T00:00:00"/>
    <n v="2"/>
    <x v="0"/>
    <s v="6/20/2024"/>
    <s v=" $177.29 "/>
    <n v="9"/>
    <n v="44"/>
    <s v="Clothing"/>
    <s v="Yoga Mat"/>
    <x v="0"/>
    <x v="1"/>
    <n v="1595.61"/>
    <s v="Misaligned"/>
    <x v="2"/>
    <s v="High Value Tier"/>
    <x v="0"/>
  </r>
  <r>
    <s v="ORD6948"/>
    <s v="CUST2948"/>
    <n v="67"/>
    <s v="PROD2148"/>
    <x v="5"/>
    <x v="782"/>
    <s v="9/27/2024"/>
    <n v="2"/>
    <x v="0"/>
    <s v="10/31/2024"/>
    <s v=" $130.54 "/>
    <n v="6"/>
    <n v="11"/>
    <s v="Electronics"/>
    <s v="Skirt"/>
    <x v="2"/>
    <x v="1"/>
    <n v="783.24"/>
    <s v="Misaligned"/>
    <x v="4"/>
    <s v="High Value Tier"/>
    <x v="0"/>
  </r>
  <r>
    <s v="ORD6949"/>
    <s v="CUST2949"/>
    <n v="27"/>
    <s v="PROD2149"/>
    <x v="4"/>
    <x v="695"/>
    <s v="3/13/2025"/>
    <n v="5"/>
    <x v="0"/>
    <d v="2023-10-09T00:00:00"/>
    <s v=" $1,249.74 "/>
    <n v="1"/>
    <n v="5"/>
    <s v="Sports"/>
    <s v="Yoga Mat"/>
    <x v="0"/>
    <x v="0"/>
    <n v="1249.74"/>
    <s v="Aligned"/>
    <x v="2"/>
    <s v="High Value Tier"/>
    <x v="3"/>
  </r>
  <r>
    <s v="ORD6950"/>
    <s v="CUST2950"/>
    <n v="19"/>
    <s v="PROD2150"/>
    <x v="4"/>
    <x v="364"/>
    <s v="9/19/2022"/>
    <n v="4"/>
    <x v="2"/>
    <d v="2023-08-12T00:00:00"/>
    <s v=" $290.81 "/>
    <n v="4"/>
    <n v="49"/>
    <s v="Sports"/>
    <s v="Jacket"/>
    <x v="2"/>
    <x v="1"/>
    <n v="1163.24"/>
    <s v="Misaligned"/>
    <x v="3"/>
    <s v="High Value Tier"/>
    <x v="1"/>
  </r>
  <r>
    <s v="ORD6951"/>
    <s v="CUST2951"/>
    <n v="21"/>
    <s v="PROD2151"/>
    <x v="3"/>
    <x v="683"/>
    <d v="2024-09-07T00:00:00"/>
    <n v="0"/>
    <x v="0"/>
    <s v="6/24/2021"/>
    <s v=" $366.09 "/>
    <n v="5"/>
    <n v="5"/>
    <s v="Beauty"/>
    <s v="Tennis Racket"/>
    <x v="0"/>
    <x v="1"/>
    <n v="1830.45"/>
    <s v="Misaligned"/>
    <x v="3"/>
    <s v="High Value Tier"/>
    <x v="0"/>
  </r>
  <r>
    <s v="ORD6952"/>
    <s v="CUST2952"/>
    <n v="61"/>
    <s v="PROD2152"/>
    <x v="2"/>
    <x v="117"/>
    <d v="2025-05-05T00:00:00"/>
    <n v="2"/>
    <x v="0"/>
    <s v="7/26/2025"/>
    <s v=" $34.53 "/>
    <n v="3"/>
    <n v="36"/>
    <s v="Sports"/>
    <s v="Shirt"/>
    <x v="2"/>
    <x v="0"/>
    <n v="103.59"/>
    <s v="Misaligned"/>
    <x v="1"/>
    <s v="High Value Tier"/>
    <x v="0"/>
  </r>
  <r>
    <s v="ORD6953"/>
    <s v="CUST2953"/>
    <n v="60"/>
    <s v="PROD2153"/>
    <x v="5"/>
    <x v="915"/>
    <s v="5/14/2024"/>
    <n v="0"/>
    <x v="0"/>
    <s v="7/14/2024"/>
    <s v=" $112.73 "/>
    <n v="8"/>
    <n v="34"/>
    <s v="Sports"/>
    <s v="Perfume"/>
    <x v="3"/>
    <x v="0"/>
    <n v="901.84"/>
    <s v="Misaligned"/>
    <x v="1"/>
    <s v="High Value Tier"/>
    <x v="0"/>
  </r>
  <r>
    <s v="ORD6954"/>
    <s v="CUST2954"/>
    <n v="62"/>
    <s v="PROD2154"/>
    <x v="0"/>
    <x v="42"/>
    <s v="11/30/2023"/>
    <n v="2"/>
    <x v="1"/>
    <s v="4/24/2024"/>
    <s v=" $1,019.71 "/>
    <n v="1"/>
    <n v="8"/>
    <s v="Beauty"/>
    <s v="Moisturizer"/>
    <x v="3"/>
    <x v="1"/>
    <n v="1019.71"/>
    <s v="Aligned"/>
    <x v="1"/>
    <s v="High Value Tier"/>
    <x v="0"/>
  </r>
  <r>
    <s v="ORD6955"/>
    <s v="CUST2955"/>
    <n v="51"/>
    <s v="PROD2155"/>
    <x v="3"/>
    <x v="741"/>
    <d v="2025-07-06T00:00:00"/>
    <n v="4"/>
    <x v="0"/>
    <d v="2024-10-08T00:00:00"/>
    <s v=" $74.99 "/>
    <n v="6"/>
    <n v="4"/>
    <s v="Clothing"/>
    <s v="Laptop"/>
    <x v="4"/>
    <x v="1"/>
    <n v="449.94"/>
    <s v="Misaligned"/>
    <x v="1"/>
    <s v="Core Tier"/>
    <x v="3"/>
  </r>
  <r>
    <s v="ORD6956"/>
    <s v="CUST2956"/>
    <n v="69"/>
    <s v="PROD2156"/>
    <x v="2"/>
    <x v="916"/>
    <s v="11/29/2023"/>
    <n v="4"/>
    <x v="0"/>
    <s v="10/17/2023"/>
    <s v=" $434.02 "/>
    <n v="4"/>
    <n v="44"/>
    <s v="Clothing"/>
    <s v="Nail Polish"/>
    <x v="3"/>
    <x v="0"/>
    <n v="1736.08"/>
    <s v="Misaligned"/>
    <x v="4"/>
    <s v="High Value Tier"/>
    <x v="3"/>
  </r>
  <r>
    <s v="ORD6957"/>
    <s v="CUST2957"/>
    <n v="42"/>
    <s v="PROD2157"/>
    <x v="5"/>
    <x v="556"/>
    <s v="3/19/2023"/>
    <n v="4"/>
    <x v="0"/>
    <s v="5/23/2021"/>
    <s v=" $358.32 "/>
    <n v="4"/>
    <n v="32"/>
    <s v="Electronics"/>
    <s v="Nail Polish"/>
    <x v="3"/>
    <x v="0"/>
    <n v="1433.28"/>
    <s v="Misaligned"/>
    <x v="0"/>
    <s v="High Value Tier"/>
    <x v="3"/>
  </r>
  <r>
    <s v="ORD6958"/>
    <s v="CUST2958"/>
    <n v="54"/>
    <s v="PROD2158"/>
    <x v="4"/>
    <x v="398"/>
    <d v="2023-05-11T00:00:00"/>
    <n v="4"/>
    <x v="0"/>
    <s v="2/26/2025"/>
    <s v=" $189.52 "/>
    <n v="9"/>
    <n v="48"/>
    <s v="Home"/>
    <s v="Jeans"/>
    <x v="2"/>
    <x v="1"/>
    <n v="1705.68"/>
    <s v="Misaligned"/>
    <x v="1"/>
    <s v="High Value Tier"/>
    <x v="3"/>
  </r>
  <r>
    <s v="ORD6959"/>
    <s v="CUST2959"/>
    <n v="55"/>
    <s v="PROD2159"/>
    <x v="3"/>
    <x v="917"/>
    <s v="12/30/2023"/>
    <n v="0"/>
    <x v="2"/>
    <s v="4/18/2022"/>
    <s v=" $239.76 "/>
    <n v="3"/>
    <n v="19"/>
    <s v="Home"/>
    <s v="Conditioner"/>
    <x v="3"/>
    <x v="1"/>
    <n v="719.28"/>
    <s v="Misaligned"/>
    <x v="1"/>
    <s v="High Value Tier"/>
    <x v="1"/>
  </r>
  <r>
    <s v="ORD6960"/>
    <s v="CUST2960"/>
    <n v="67"/>
    <s v="PROD2160"/>
    <x v="5"/>
    <x v="792"/>
    <s v="5/22/2025"/>
    <n v="4"/>
    <x v="1"/>
    <d v="2024-01-05T00:00:00"/>
    <s v=" $43.42 "/>
    <n v="9"/>
    <n v="5"/>
    <s v="Electronics"/>
    <s v="Sofa"/>
    <x v="1"/>
    <x v="1"/>
    <n v="390.78"/>
    <s v="Misaligned"/>
    <x v="4"/>
    <s v="Core Tier"/>
    <x v="0"/>
  </r>
  <r>
    <s v="ORD6961"/>
    <s v="CUST2961"/>
    <n v="37"/>
    <s v="PROD2161"/>
    <x v="0"/>
    <x v="918"/>
    <s v="2/27/2025"/>
    <n v="4"/>
    <x v="0"/>
    <s v="1/29/2024"/>
    <s v=" $153.87 "/>
    <n v="2"/>
    <n v="2"/>
    <s v="Home"/>
    <s v="Vacuum Cleaner"/>
    <x v="1"/>
    <x v="1"/>
    <n v="307.74"/>
    <s v="Aligned"/>
    <x v="0"/>
    <s v="Value Tier"/>
    <x v="3"/>
  </r>
  <r>
    <s v="ORD6962"/>
    <s v="CUST2962"/>
    <n v="21"/>
    <s v="PROD2162"/>
    <x v="5"/>
    <x v="297"/>
    <s v="3/15/2025"/>
    <n v="4"/>
    <x v="2"/>
    <d v="2022-07-01T00:00:00"/>
    <s v=" $8.10 "/>
    <n v="4"/>
    <n v="15"/>
    <s v="Electronics"/>
    <s v="Face Wash"/>
    <x v="3"/>
    <x v="1"/>
    <n v="32.4"/>
    <s v="Misaligned"/>
    <x v="3"/>
    <s v="Value Tier"/>
    <x v="1"/>
  </r>
  <r>
    <s v="ORD6963"/>
    <s v="CUST2963"/>
    <n v="43"/>
    <s v="PROD2163"/>
    <x v="0"/>
    <x v="126"/>
    <s v="1/16/2025"/>
    <n v="4"/>
    <x v="2"/>
    <s v="7/13/2025"/>
    <s v=" $325.53 "/>
    <n v="4"/>
    <n v="16"/>
    <s v="Sports"/>
    <s v="Hoodie"/>
    <x v="2"/>
    <x v="1"/>
    <n v="1302.1199999999999"/>
    <s v="Misaligned"/>
    <x v="0"/>
    <s v="High Value Tier"/>
    <x v="1"/>
  </r>
  <r>
    <s v="ORD6964"/>
    <s v="CUST2964"/>
    <n v="58"/>
    <s v="PROD2164"/>
    <x v="3"/>
    <x v="419"/>
    <d v="2023-03-05T00:00:00"/>
    <n v="3"/>
    <x v="2"/>
    <s v="10/30/2023"/>
    <s v=" $211.46 "/>
    <n v="8"/>
    <n v="6"/>
    <s v="Beauty"/>
    <s v="Cycling Helmet"/>
    <x v="0"/>
    <x v="1"/>
    <n v="1691.68"/>
    <s v="Misaligned"/>
    <x v="1"/>
    <s v="High Value Tier"/>
    <x v="1"/>
  </r>
  <r>
    <s v="ORD6965"/>
    <s v="CUST2965"/>
    <n v="31"/>
    <s v="PROD2165"/>
    <x v="1"/>
    <x v="842"/>
    <d v="2023-04-10T00:00:00"/>
    <n v="0"/>
    <x v="0"/>
    <s v="4/19/2023"/>
    <s v=" $293.70 "/>
    <n v="2"/>
    <n v="1"/>
    <s v="Clothing"/>
    <s v="Shirt"/>
    <x v="2"/>
    <x v="0"/>
    <n v="587.4"/>
    <s v="Aligned"/>
    <x v="2"/>
    <s v="Value Tier"/>
    <x v="0"/>
  </r>
  <r>
    <s v="ORD6966"/>
    <s v="CUST2966"/>
    <n v="31"/>
    <s v="PROD2166"/>
    <x v="2"/>
    <x v="260"/>
    <s v="3/13/2023"/>
    <n v="4"/>
    <x v="0"/>
    <s v="7/24/2024"/>
    <s v=" $157.86 "/>
    <n v="8"/>
    <n v="41"/>
    <s v="Sports"/>
    <s v="Dining Table"/>
    <x v="1"/>
    <x v="0"/>
    <n v="1262.8800000000001"/>
    <s v="Misaligned"/>
    <x v="2"/>
    <s v="High Value Tier"/>
    <x v="3"/>
  </r>
  <r>
    <s v="ORD6967"/>
    <s v="CUST2967"/>
    <n v="42"/>
    <s v="PROD2167"/>
    <x v="5"/>
    <x v="65"/>
    <d v="2025-03-04T00:00:00"/>
    <n v="1"/>
    <x v="1"/>
    <s v="11/16/2023"/>
    <s v=" $927.22 "/>
    <n v="2"/>
    <n v="16"/>
    <s v="Electronics"/>
    <s v="Cycling Helmet"/>
    <x v="0"/>
    <x v="0"/>
    <n v="1854.44"/>
    <s v="Misaligned"/>
    <x v="0"/>
    <s v="High Value Tier"/>
    <x v="0"/>
  </r>
  <r>
    <s v="ORD6968"/>
    <s v="CUST2968"/>
    <n v="57"/>
    <s v="PROD2168"/>
    <x v="1"/>
    <x v="122"/>
    <s v="4/14/2023"/>
    <n v="5"/>
    <x v="2"/>
    <s v="2/24/2023"/>
    <s v=" $33.59 "/>
    <n v="5"/>
    <n v="8"/>
    <s v="Home"/>
    <s v="Perfume"/>
    <x v="3"/>
    <x v="1"/>
    <n v="167.95"/>
    <s v="Misaligned"/>
    <x v="1"/>
    <s v="Core Tier"/>
    <x v="1"/>
  </r>
  <r>
    <s v="ORD6969"/>
    <s v="CUST2969"/>
    <n v="56"/>
    <s v="PROD2169"/>
    <x v="1"/>
    <x v="735"/>
    <s v="1/17/2021"/>
    <n v="4"/>
    <x v="0"/>
    <d v="2022-12-04T00:00:00"/>
    <s v=" $295.43 "/>
    <n v="4"/>
    <n v="21"/>
    <s v="Sports"/>
    <s v="Jeans"/>
    <x v="2"/>
    <x v="0"/>
    <n v="1181.72"/>
    <s v="Misaligned"/>
    <x v="1"/>
    <s v="High Value Tier"/>
    <x v="3"/>
  </r>
  <r>
    <s v="ORD6970"/>
    <s v="CUST2970"/>
    <n v="33"/>
    <s v="PROD2170"/>
    <x v="3"/>
    <x v="280"/>
    <d v="2024-03-08T00:00:00"/>
    <n v="1"/>
    <x v="1"/>
    <d v="2025-03-06T00:00:00"/>
    <s v=" $91.90 "/>
    <n v="9"/>
    <n v="23"/>
    <s v="Home"/>
    <s v="Perfume"/>
    <x v="3"/>
    <x v="1"/>
    <n v="827.1"/>
    <s v="Misaligned"/>
    <x v="2"/>
    <s v="High Value Tier"/>
    <x v="0"/>
  </r>
  <r>
    <s v="ORD6971"/>
    <s v="CUST2971"/>
    <n v="43"/>
    <s v="PROD2171"/>
    <x v="3"/>
    <x v="217"/>
    <s v="9/17/2024"/>
    <n v="5"/>
    <x v="0"/>
    <d v="2023-09-04T00:00:00"/>
    <s v=" $531.37 "/>
    <n v="2"/>
    <n v="18"/>
    <s v="Clothing"/>
    <s v="Smartwatch"/>
    <x v="4"/>
    <x v="1"/>
    <n v="1062.74"/>
    <s v="Misaligned"/>
    <x v="0"/>
    <s v="High Value Tier"/>
    <x v="3"/>
  </r>
  <r>
    <s v="ORD6972"/>
    <s v="CUST2972"/>
    <n v="41"/>
    <s v="PROD2172"/>
    <x v="3"/>
    <x v="524"/>
    <d v="2024-02-11T00:00:00"/>
    <n v="4"/>
    <x v="0"/>
    <d v="2023-08-03T00:00:00"/>
    <s v=" $143.44 "/>
    <n v="4"/>
    <n v="38"/>
    <s v="Sports"/>
    <s v="Bluetooth Speaker"/>
    <x v="4"/>
    <x v="1"/>
    <n v="573.76"/>
    <s v="Misaligned"/>
    <x v="0"/>
    <s v="High Value Tier"/>
    <x v="3"/>
  </r>
  <r>
    <s v="ORD6973"/>
    <s v="CUST2973"/>
    <n v="46"/>
    <s v="PROD2173"/>
    <x v="5"/>
    <x v="316"/>
    <d v="2025-12-06T00:00:00"/>
    <n v="1"/>
    <x v="0"/>
    <s v="6/27/2025"/>
    <s v=" $432.84 "/>
    <n v="4"/>
    <n v="46"/>
    <s v="Clothing"/>
    <s v="Cycling Helmet"/>
    <x v="0"/>
    <x v="1"/>
    <n v="1731.36"/>
    <s v="Misaligned"/>
    <x v="0"/>
    <s v="High Value Tier"/>
    <x v="0"/>
  </r>
  <r>
    <s v="ORD6974"/>
    <s v="CUST2974"/>
    <n v="56"/>
    <s v="PROD2174"/>
    <x v="2"/>
    <x v="290"/>
    <d v="2023-01-06T00:00:00"/>
    <n v="1"/>
    <x v="0"/>
    <d v="2025-08-07T00:00:00"/>
    <s v=" $61.63 "/>
    <n v="4"/>
    <n v="13"/>
    <s v="Clothing"/>
    <s v="Smartphone"/>
    <x v="4"/>
    <x v="1"/>
    <n v="246.52"/>
    <s v="Misaligned"/>
    <x v="1"/>
    <s v="High Value Tier"/>
    <x v="0"/>
  </r>
  <r>
    <s v="ORD6975"/>
    <s v="CUST2975"/>
    <n v="24"/>
    <s v="PROD2175"/>
    <x v="4"/>
    <x v="122"/>
    <d v="2022-09-09T00:00:00"/>
    <n v="3"/>
    <x v="0"/>
    <s v="10/20/2022"/>
    <s v=" $146.29 "/>
    <n v="7"/>
    <n v="28"/>
    <s v="Sports"/>
    <s v="Smartwatch"/>
    <x v="4"/>
    <x v="1"/>
    <n v="1024.03"/>
    <s v="Misaligned"/>
    <x v="3"/>
    <s v="High Value Tier"/>
    <x v="0"/>
  </r>
  <r>
    <s v="ORD6976"/>
    <s v="CUST2976"/>
    <n v="28"/>
    <s v="PROD2176"/>
    <x v="5"/>
    <x v="272"/>
    <s v="11/23/2024"/>
    <n v="0"/>
    <x v="0"/>
    <s v="8/21/2023"/>
    <s v=" $142.63 "/>
    <n v="2"/>
    <n v="35"/>
    <s v="Electronics"/>
    <s v="Sofa"/>
    <x v="1"/>
    <x v="0"/>
    <n v="285.26"/>
    <s v="Misaligned"/>
    <x v="2"/>
    <s v="High Value Tier"/>
    <x v="0"/>
  </r>
  <r>
    <s v="ORD6977"/>
    <s v="CUST2977"/>
    <n v="61"/>
    <s v="PROD2177"/>
    <x v="3"/>
    <x v="532"/>
    <s v="8/13/2025"/>
    <n v="3"/>
    <x v="0"/>
    <s v="12/15/2024"/>
    <s v=" $281.51 "/>
    <n v="5"/>
    <n v="12"/>
    <s v="Clothing"/>
    <s v="Running Shoes"/>
    <x v="0"/>
    <x v="0"/>
    <n v="1407.55"/>
    <s v="Misaligned"/>
    <x v="1"/>
    <s v="High Value Tier"/>
    <x v="0"/>
  </r>
  <r>
    <s v="ORD6978"/>
    <s v="CUST2978"/>
    <n v="61"/>
    <s v="PROD2178"/>
    <x v="5"/>
    <x v="919"/>
    <d v="2024-09-01T00:00:00"/>
    <n v="0"/>
    <x v="0"/>
    <s v="11/17/2024"/>
    <s v=" $314.29 "/>
    <n v="4"/>
    <n v="46"/>
    <s v="Home"/>
    <s v="Skirt"/>
    <x v="2"/>
    <x v="1"/>
    <n v="1257.1600000000001"/>
    <s v="Misaligned"/>
    <x v="1"/>
    <s v="High Value Tier"/>
    <x v="0"/>
  </r>
  <r>
    <s v="ORD6979"/>
    <s v="CUST2979"/>
    <n v="25"/>
    <s v="PROD2179"/>
    <x v="2"/>
    <x v="49"/>
    <d v="2020-07-11T00:00:00"/>
    <n v="4"/>
    <x v="1"/>
    <s v="12/28/2021"/>
    <s v=" $628.04 "/>
    <n v="3"/>
    <n v="14"/>
    <s v="Electronics"/>
    <s v="Jacket"/>
    <x v="2"/>
    <x v="1"/>
    <n v="1884.12"/>
    <s v="Misaligned"/>
    <x v="2"/>
    <s v="High Value Tier"/>
    <x v="0"/>
  </r>
  <r>
    <s v="ORD6980"/>
    <s v="CUST2980"/>
    <n v="40"/>
    <s v="PROD2180"/>
    <x v="5"/>
    <x v="664"/>
    <s v="12/16/2022"/>
    <n v="3"/>
    <x v="2"/>
    <d v="2023-06-01T00:00:00"/>
    <s v=" $145.30 "/>
    <n v="3"/>
    <n v="28"/>
    <s v="Sports"/>
    <s v="T-Shirt"/>
    <x v="2"/>
    <x v="1"/>
    <n v="435.9"/>
    <s v="Misaligned"/>
    <x v="0"/>
    <s v="High Value Tier"/>
    <x v="1"/>
  </r>
  <r>
    <s v="ORD6981"/>
    <s v="CUST2981"/>
    <n v="56"/>
    <s v="PROD2181"/>
    <x v="3"/>
    <x v="740"/>
    <d v="2024-01-12T00:00:00"/>
    <n v="1"/>
    <x v="1"/>
    <s v="7/13/2024"/>
    <s v=" $81.86 "/>
    <n v="3"/>
    <n v="10"/>
    <s v="Electronics"/>
    <s v="Basketball"/>
    <x v="0"/>
    <x v="1"/>
    <n v="245.58"/>
    <s v="Misaligned"/>
    <x v="1"/>
    <s v="Core Tier"/>
    <x v="0"/>
  </r>
  <r>
    <s v="ORD6982"/>
    <s v="CUST2982"/>
    <n v="26"/>
    <s v="PROD2182"/>
    <x v="2"/>
    <x v="880"/>
    <s v="7/22/2025"/>
    <n v="0"/>
    <x v="0"/>
    <s v="8/26/2024"/>
    <s v=" $478.29 "/>
    <n v="4"/>
    <n v="3"/>
    <s v="Home"/>
    <s v="Shampoo"/>
    <x v="3"/>
    <x v="0"/>
    <n v="1913.16"/>
    <s v="Misaligned"/>
    <x v="2"/>
    <s v="High Value Tier"/>
    <x v="0"/>
  </r>
  <r>
    <s v="ORD6983"/>
    <s v="CUST2983"/>
    <n v="53"/>
    <s v="PROD2183"/>
    <x v="1"/>
    <x v="893"/>
    <s v="7/19/2022"/>
    <n v="4"/>
    <x v="2"/>
    <s v="1/13/2023"/>
    <s v=" $386.17 "/>
    <n v="2"/>
    <n v="9"/>
    <s v="Electronics"/>
    <s v="Refrigerator"/>
    <x v="1"/>
    <x v="0"/>
    <n v="772.34"/>
    <s v="Misaligned"/>
    <x v="1"/>
    <s v="High Value Tier"/>
    <x v="1"/>
  </r>
  <r>
    <s v="ORD6984"/>
    <s v="CUST2984"/>
    <n v="23"/>
    <s v="PROD2184"/>
    <x v="3"/>
    <x v="920"/>
    <d v="2024-03-04T00:00:00"/>
    <n v="2"/>
    <x v="0"/>
    <s v="6/28/2023"/>
    <s v=" $1,902.06 "/>
    <n v="1"/>
    <n v="28"/>
    <s v="Sports"/>
    <s v="Foundation"/>
    <x v="3"/>
    <x v="0"/>
    <n v="1902.06"/>
    <s v="Misaligned"/>
    <x v="3"/>
    <s v="High Value Tier"/>
    <x v="0"/>
  </r>
  <r>
    <s v="ORD6985"/>
    <s v="CUST2985"/>
    <n v="52"/>
    <s v="PROD2185"/>
    <x v="5"/>
    <x v="921"/>
    <s v="8/21/2023"/>
    <n v="3"/>
    <x v="1"/>
    <d v="2025-06-02T00:00:00"/>
    <s v=" $11.23 "/>
    <n v="8"/>
    <n v="6"/>
    <s v="Sports"/>
    <s v="Bluetooth Speaker"/>
    <x v="4"/>
    <x v="0"/>
    <n v="89.84"/>
    <s v="Misaligned"/>
    <x v="1"/>
    <s v="Value Tier"/>
    <x v="0"/>
  </r>
  <r>
    <s v="ORD6986"/>
    <s v="CUST2986"/>
    <n v="21"/>
    <s v="PROD2186"/>
    <x v="1"/>
    <x v="606"/>
    <d v="2024-03-08T00:00:00"/>
    <n v="1"/>
    <x v="0"/>
    <d v="2024-03-05T00:00:00"/>
    <s v=" $522.95 "/>
    <n v="2"/>
    <n v="2"/>
    <s v="Clothing"/>
    <s v="Camera"/>
    <x v="4"/>
    <x v="0"/>
    <n v="1045.9000000000001"/>
    <s v="Misaligned"/>
    <x v="3"/>
    <s v="Core Tier"/>
    <x v="0"/>
  </r>
  <r>
    <s v="ORD6987"/>
    <s v="CUST2987"/>
    <n v="65"/>
    <s v="PROD2187"/>
    <x v="0"/>
    <x v="633"/>
    <s v="4/21/2024"/>
    <n v="3"/>
    <x v="0"/>
    <s v="1/24/2021"/>
    <s v=" $354.59 "/>
    <n v="4"/>
    <n v="47"/>
    <s v="Electronics"/>
    <s v="Perfume"/>
    <x v="3"/>
    <x v="1"/>
    <n v="1418.36"/>
    <s v="Misaligned"/>
    <x v="4"/>
    <s v="High Value Tier"/>
    <x v="0"/>
  </r>
  <r>
    <s v="ORD6988"/>
    <s v="CUST2988"/>
    <n v="50"/>
    <s v="PROD2188"/>
    <x v="0"/>
    <x v="899"/>
    <d v="2024-10-07T00:00:00"/>
    <n v="0"/>
    <x v="0"/>
    <d v="2023-03-07T00:00:00"/>
    <s v=" $35.70 "/>
    <n v="8"/>
    <n v="38"/>
    <s v="Clothing"/>
    <s v="Smartwatch"/>
    <x v="4"/>
    <x v="1"/>
    <n v="285.60000000000002"/>
    <s v="Misaligned"/>
    <x v="1"/>
    <s v="High Value Tier"/>
    <x v="0"/>
  </r>
  <r>
    <s v="ORD6989"/>
    <s v="CUST2989"/>
    <n v="36"/>
    <s v="PROD2189"/>
    <x v="4"/>
    <x v="922"/>
    <d v="2025-05-06T00:00:00"/>
    <n v="2"/>
    <x v="1"/>
    <s v="9/27/2023"/>
    <s v=" $394.60 "/>
    <n v="5"/>
    <n v="43"/>
    <s v="Beauty"/>
    <s v="Lipstick"/>
    <x v="3"/>
    <x v="0"/>
    <n v="1973"/>
    <s v="Aligned"/>
    <x v="0"/>
    <s v="High Value Tier"/>
    <x v="0"/>
  </r>
  <r>
    <s v="ORD6990"/>
    <s v="CUST2990"/>
    <n v="69"/>
    <s v="PROD2190"/>
    <x v="0"/>
    <x v="923"/>
    <s v="5/21/2025"/>
    <n v="4"/>
    <x v="2"/>
    <s v="8/21/2023"/>
    <s v=" $71.62 "/>
    <n v="5"/>
    <n v="17"/>
    <s v="Clothing"/>
    <s v="Football"/>
    <x v="0"/>
    <x v="0"/>
    <n v="358.1"/>
    <s v="Misaligned"/>
    <x v="4"/>
    <s v="High Value Tier"/>
    <x v="1"/>
  </r>
  <r>
    <s v="ORD6991"/>
    <s v="CUST2991"/>
    <n v="55"/>
    <s v="PROD2191"/>
    <x v="3"/>
    <x v="148"/>
    <s v="12/16/2024"/>
    <n v="4"/>
    <x v="0"/>
    <s v="5/13/2023"/>
    <s v=" $260.37 "/>
    <n v="3"/>
    <n v="36"/>
    <s v="Clothing"/>
    <s v="Vacuum Cleaner"/>
    <x v="1"/>
    <x v="1"/>
    <n v="781.11"/>
    <s v="Misaligned"/>
    <x v="1"/>
    <s v="High Value Tier"/>
    <x v="3"/>
  </r>
  <r>
    <s v="ORD6992"/>
    <s v="CUST2992"/>
    <n v="35"/>
    <s v="PROD2192"/>
    <x v="4"/>
    <x v="924"/>
    <s v="11/14/2023"/>
    <n v="5"/>
    <x v="0"/>
    <d v="2025-02-02T00:00:00"/>
    <s v=" $281.42 "/>
    <n v="3"/>
    <n v="46"/>
    <s v="Electronics"/>
    <s v="Tablet"/>
    <x v="4"/>
    <x v="1"/>
    <n v="844.26"/>
    <s v="Aligned"/>
    <x v="0"/>
    <s v="High Value Tier"/>
    <x v="3"/>
  </r>
  <r>
    <s v="ORD6993"/>
    <s v="CUST2993"/>
    <n v="23"/>
    <s v="PROD2193"/>
    <x v="2"/>
    <x v="96"/>
    <d v="2021-09-08T00:00:00"/>
    <n v="3"/>
    <x v="0"/>
    <s v="5/20/2025"/>
    <s v=" $54.05 "/>
    <n v="9"/>
    <n v="29"/>
    <s v="Clothing"/>
    <s v="Dining Table"/>
    <x v="1"/>
    <x v="0"/>
    <n v="486.45"/>
    <s v="Misaligned"/>
    <x v="3"/>
    <s v="High Value Tier"/>
    <x v="0"/>
  </r>
  <r>
    <s v="ORD6994"/>
    <s v="CUST2994"/>
    <n v="40"/>
    <s v="PROD2194"/>
    <x v="3"/>
    <x v="526"/>
    <s v="2/15/2024"/>
    <n v="4"/>
    <x v="0"/>
    <s v="12/26/2023"/>
    <s v=" $77.92 "/>
    <n v="4"/>
    <n v="5"/>
    <s v="Home"/>
    <s v="Dress"/>
    <x v="2"/>
    <x v="1"/>
    <n v="311.68"/>
    <s v="Misaligned"/>
    <x v="0"/>
    <s v="Core Tier"/>
    <x v="3"/>
  </r>
  <r>
    <s v="ORD6995"/>
    <s v="CUST2995"/>
    <n v="27"/>
    <s v="PROD2195"/>
    <x v="5"/>
    <x v="35"/>
    <s v="7/22/2023"/>
    <n v="0"/>
    <x v="0"/>
    <s v="7/23/2022"/>
    <s v=" $30.34 "/>
    <n v="7"/>
    <n v="25"/>
    <s v="Beauty"/>
    <s v="Sneakers"/>
    <x v="2"/>
    <x v="0"/>
    <n v="212.38"/>
    <s v="Misaligned"/>
    <x v="2"/>
    <s v="High Value Tier"/>
    <x v="0"/>
  </r>
  <r>
    <s v="ORD6996"/>
    <s v="CUST2996"/>
    <n v="59"/>
    <s v="PROD2196"/>
    <x v="0"/>
    <x v="376"/>
    <s v="10/29/2023"/>
    <n v="4"/>
    <x v="2"/>
    <d v="2024-05-03T00:00:00"/>
    <s v=" $381.38 "/>
    <n v="3"/>
    <n v="12"/>
    <s v="Electronics"/>
    <s v="Chair"/>
    <x v="1"/>
    <x v="1"/>
    <n v="1144.1400000000001"/>
    <s v="Misaligned"/>
    <x v="1"/>
    <s v="High Value Tier"/>
    <x v="1"/>
  </r>
  <r>
    <s v="ORD6997"/>
    <s v="CUST2997"/>
    <n v="41"/>
    <s v="PROD2197"/>
    <x v="3"/>
    <x v="577"/>
    <s v="8/15/2022"/>
    <n v="1"/>
    <x v="0"/>
    <s v="4/29/2023"/>
    <s v=" $305.05 "/>
    <n v="6"/>
    <n v="38"/>
    <s v="Beauty"/>
    <s v="Lipstick"/>
    <x v="3"/>
    <x v="1"/>
    <n v="1830.3"/>
    <s v="Aligned"/>
    <x v="0"/>
    <s v="High Value Tier"/>
    <x v="0"/>
  </r>
  <r>
    <s v="ORD6998"/>
    <s v="CUST2998"/>
    <n v="20"/>
    <s v="PROD2198"/>
    <x v="1"/>
    <x v="925"/>
    <s v="12/15/2024"/>
    <n v="0"/>
    <x v="0"/>
    <s v="2/17/2022"/>
    <s v=" $229.14 "/>
    <n v="1"/>
    <n v="49"/>
    <s v="Beauty"/>
    <s v="Face Wash"/>
    <x v="3"/>
    <x v="1"/>
    <n v="229.14"/>
    <s v="Aligned"/>
    <x v="3"/>
    <s v="High Value Tier"/>
    <x v="0"/>
  </r>
  <r>
    <s v="ORD6999"/>
    <s v="CUST2999"/>
    <n v="54"/>
    <s v="PROD2199"/>
    <x v="3"/>
    <x v="714"/>
    <s v="7/25/2023"/>
    <n v="5"/>
    <x v="1"/>
    <s v="5/31/2024"/>
    <s v=" $4.41 "/>
    <n v="7"/>
    <n v="24"/>
    <s v="Beauty"/>
    <s v="Hoodie"/>
    <x v="2"/>
    <x v="1"/>
    <n v="30.87"/>
    <s v="Misaligned"/>
    <x v="1"/>
    <s v="Value Tie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3">
  <r>
    <s v="ORD5000"/>
    <s v="CUST1000"/>
    <n v="39"/>
    <s v="PROD200"/>
    <s v="Canada"/>
    <d v="2021-07-01T00:00:00"/>
    <s v="2/21/2023"/>
    <n v="0"/>
    <s v="active"/>
    <s v="8/20/2024"/>
    <s v=" $78.21 "/>
    <n v="5"/>
    <n v="37"/>
    <s v="Sports"/>
    <s v="Football"/>
    <s v="Sports"/>
    <x v="0"/>
    <n v="391.05"/>
    <s v="Aligned"/>
    <s v="35-49 Gen X"/>
    <s v="High Value Tier"/>
    <s v="Stable"/>
  </r>
  <r>
    <s v="ORD5001"/>
    <s v="CUST1001"/>
    <n v="61"/>
    <s v="PROD201"/>
    <s v="USA"/>
    <s v="10/19/2020"/>
    <d v="2021-08-12T00:00:00"/>
    <n v="0"/>
    <s v="active"/>
    <s v="7/17/2025"/>
    <s v=" $64.02 "/>
    <n v="8"/>
    <n v="35"/>
    <s v="Sports"/>
    <s v="Refrigerator"/>
    <s v="Home"/>
    <x v="0"/>
    <n v="512.16"/>
    <s v="Misaligned"/>
    <s v="50-64 Boomers"/>
    <s v="High Value Tier"/>
    <s v="Stable"/>
  </r>
  <r>
    <s v="ORD5002"/>
    <s v="CUST1002"/>
    <n v="26"/>
    <s v="PROD202"/>
    <s v="Pakistan"/>
    <d v="2023-10-06T00:00:00"/>
    <d v="2023-04-09T00:00:00"/>
    <n v="3"/>
    <s v="cancelled"/>
    <d v="2025-12-03T00:00:00"/>
    <s v=" $604.14 "/>
    <n v="2"/>
    <n v="44"/>
    <s v="Electronics"/>
    <s v="Hoodie"/>
    <s v="Clothing"/>
    <x v="0"/>
    <n v="1208.28"/>
    <s v="Misaligned"/>
    <s v="25-34 Millennials"/>
    <s v="High Value Tier"/>
    <s v="Stable"/>
  </r>
  <r>
    <s v="ORD5003"/>
    <s v="CUST1003"/>
    <n v="54"/>
    <s v="PROD203"/>
    <s v="India"/>
    <s v="7/30/2023"/>
    <s v="2/20/2024"/>
    <n v="4"/>
    <s v="paused"/>
    <s v="9/19/2024"/>
    <s v=" $84.66 "/>
    <n v="4"/>
    <n v="1"/>
    <s v="Sports"/>
    <s v="Conditioner"/>
    <s v="Beauty"/>
    <x v="1"/>
    <n v="338.64"/>
    <s v="Misaligned"/>
    <s v="50-64 Boomers"/>
    <s v="Value Tier"/>
    <s v="Elevated Risk"/>
  </r>
  <r>
    <s v="ORD5004"/>
    <s v="CUST1004"/>
    <n v="50"/>
    <s v="PROD204"/>
    <s v="India"/>
    <d v="2020-09-12T00:00:00"/>
    <s v="9/14/2024"/>
    <n v="0"/>
    <s v="active"/>
    <d v="2024-08-08T00:00:00"/>
    <s v=" $62.66 "/>
    <n v="7"/>
    <n v="35"/>
    <s v="Sports"/>
    <s v="Smartwatch"/>
    <s v="Electronics"/>
    <x v="1"/>
    <n v="438.62"/>
    <s v="Misaligned"/>
    <s v="50-64 Boomers"/>
    <s v="High Value Tier"/>
    <s v="Stable"/>
  </r>
  <r>
    <s v="ORD5005"/>
    <s v="CUST1005"/>
    <n v="46"/>
    <s v="PROD205"/>
    <s v="Pakistan"/>
    <s v="5/16/2023"/>
    <s v="8/13/2025"/>
    <n v="2"/>
    <s v="active"/>
    <s v="10/14/2024"/>
    <s v=" $221.61 "/>
    <n v="8"/>
    <n v="16"/>
    <s v="Electronics"/>
    <s v="Hoodie"/>
    <s v="Clothing"/>
    <x v="1"/>
    <n v="1772.88"/>
    <s v="Misaligned"/>
    <s v="35-49 Gen X"/>
    <s v="High Value Tier"/>
    <s v="Stable"/>
  </r>
  <r>
    <s v="ORD5006"/>
    <s v="CUST1006"/>
    <n v="29"/>
    <s v="PROD206"/>
    <s v="Germany"/>
    <d v="2023-10-04T00:00:00"/>
    <s v="7/15/2025"/>
    <n v="1"/>
    <s v="active"/>
    <d v="2024-05-03T00:00:00"/>
    <s v=" $175.74 "/>
    <n v="4"/>
    <n v="7"/>
    <s v="Clothing"/>
    <s v="Tablet"/>
    <s v="Electronics"/>
    <x v="0"/>
    <n v="702.96"/>
    <s v="Misaligned"/>
    <s v="25-34 Millennials"/>
    <s v="High Value Tier"/>
    <s v="Stable"/>
  </r>
  <r>
    <s v="ORD5007"/>
    <s v="CUST1007"/>
    <n v="24"/>
    <s v="PROD207"/>
    <s v="UK"/>
    <d v="2022-11-07T00:00:00"/>
    <s v="12/31/2024"/>
    <n v="2"/>
    <s v="active"/>
    <s v="3/21/2025"/>
    <s v=" $9.56 "/>
    <n v="5"/>
    <n v="34"/>
    <s v="Clothing"/>
    <s v="Jacket"/>
    <s v="Clothing"/>
    <x v="0"/>
    <n v="47.8"/>
    <s v="Aligned"/>
    <s v="18-24 Gen Z"/>
    <s v="Core Tier"/>
    <s v="ho"/>
  </r>
  <r>
    <s v="ORD5008"/>
    <s v="CUST1008"/>
    <n v="53"/>
    <s v="PROD208"/>
    <s v="Pakistan"/>
    <s v="4/25/2021"/>
    <s v="12/26/2024"/>
    <n v="4"/>
    <s v="paused"/>
    <s v="12/14/2023"/>
    <s v=" $1,525.80 "/>
    <n v="1"/>
    <n v="32"/>
    <s v="Electronics"/>
    <s v="Nail Polish"/>
    <s v="Beauty"/>
    <x v="0"/>
    <n v="1525.8"/>
    <s v="Misaligned"/>
    <s v="50-64 Boomers"/>
    <s v="High Value Tier"/>
    <s v="Elevated Risk"/>
  </r>
  <r>
    <s v="ORD5009"/>
    <s v="CUST1009"/>
    <n v="38"/>
    <s v="PROD209"/>
    <s v="Germany"/>
    <d v="2021-09-12T00:00:00"/>
    <s v="11/29/2024"/>
    <n v="2"/>
    <s v="active"/>
    <s v="12/24/2021"/>
    <s v=" $337.24 "/>
    <n v="4"/>
    <n v="6"/>
    <s v="Clothing"/>
    <s v="Camera"/>
    <s v="Electronics"/>
    <x v="1"/>
    <n v="1348.96"/>
    <s v="Misaligned"/>
    <s v="35-49 Gen X"/>
    <s v="High Value Tier"/>
    <s v="Stable"/>
  </r>
  <r>
    <s v="ORD5010"/>
    <s v="CUST1010"/>
    <n v="41"/>
    <s v="PROD210"/>
    <s v="UK"/>
    <d v="2020-04-10T00:00:00"/>
    <d v="2022-02-08T00:00:00"/>
    <n v="2"/>
    <s v="active"/>
    <s v="11/23/2023"/>
    <s v=" $203.05 "/>
    <n v="6"/>
    <n v="38"/>
    <s v="Home"/>
    <s v="Dumbbells"/>
    <s v="Sports"/>
    <x v="0"/>
    <n v="1218.3"/>
    <s v="Misaligned"/>
    <s v="35-49 Gen X"/>
    <s v="High Value Tier"/>
    <s v="Stable"/>
  </r>
  <r>
    <s v="ORD5011"/>
    <s v="CUST1011"/>
    <n v="24"/>
    <s v="PROD211"/>
    <s v="Canada"/>
    <d v="2022-12-02T00:00:00"/>
    <d v="2025-12-03T00:00:00"/>
    <n v="1"/>
    <s v="active"/>
    <s v="5/30/2025"/>
    <s v=" $940.17 "/>
    <n v="1"/>
    <n v="24"/>
    <s v="Beauty"/>
    <s v="Headphones"/>
    <s v="Electronics"/>
    <x v="0"/>
    <n v="940.17"/>
    <s v="Misaligned"/>
    <s v="18-24 Gen Z"/>
    <s v="High Value Tier"/>
    <s v="Stable"/>
  </r>
  <r>
    <s v="ORD5012"/>
    <s v="CUST1012"/>
    <n v="39"/>
    <s v="PROD212"/>
    <s v="Canada"/>
    <s v="12/20/2020"/>
    <s v="1/16/2023"/>
    <n v="2"/>
    <s v="active"/>
    <d v="2021-07-08T00:00:00"/>
    <s v=" $168.79 "/>
    <n v="9"/>
    <n v="36"/>
    <s v="Beauty"/>
    <s v="Vacuum Cleaner"/>
    <s v="Home"/>
    <x v="0"/>
    <n v="1519.11"/>
    <s v="Misaligned"/>
    <s v="35-49 Gen X"/>
    <s v="High Value Tier"/>
    <s v="Stable"/>
  </r>
  <r>
    <s v="ORD5013"/>
    <s v="CUST1013"/>
    <n v="61"/>
    <s v="PROD213"/>
    <s v="USA"/>
    <s v="2/19/2021"/>
    <d v="2024-09-12T00:00:00"/>
    <n v="3"/>
    <s v="active"/>
    <s v="1/26/2024"/>
    <s v=" $236.77 "/>
    <n v="8"/>
    <n v="5"/>
    <s v="Sports"/>
    <s v="Perfume"/>
    <s v="Beauty"/>
    <x v="0"/>
    <n v="1894.16"/>
    <s v="Misaligned"/>
    <s v="50-64 Boomers"/>
    <s v="High Value Tier"/>
    <s v="Stable"/>
  </r>
  <r>
    <s v="ORD5014"/>
    <s v="CUST1014"/>
    <n v="64"/>
    <s v="PROD214"/>
    <s v="UK"/>
    <s v="2/27/2021"/>
    <s v="4/24/2025"/>
    <n v="1"/>
    <s v="active"/>
    <d v="2023-06-12T00:00:00"/>
    <s v=" $130.32 "/>
    <n v="6"/>
    <n v="20"/>
    <s v="Clothing"/>
    <s v="Cycling Helmet"/>
    <s v="Sports"/>
    <x v="0"/>
    <n v="781.92"/>
    <s v="Misaligned"/>
    <s v="50-64 Boomers"/>
    <s v="High Value Tier"/>
    <s v="Stable"/>
  </r>
  <r>
    <s v="ORD5015"/>
    <s v="CUST1015"/>
    <n v="28"/>
    <s v="PROD215"/>
    <s v="UK"/>
    <s v="12/31/2021"/>
    <s v="11/15/2023"/>
    <n v="5"/>
    <s v="cancelled"/>
    <s v="11/30/2024"/>
    <s v=" $333.99 "/>
    <n v="3"/>
    <n v="27"/>
    <s v="Home"/>
    <s v="Face Wash"/>
    <s v="Beauty"/>
    <x v="0"/>
    <n v="1001.97"/>
    <s v="Misaligned"/>
    <s v="25-34 Millennials"/>
    <s v="High Value Tier"/>
    <s v="Stable"/>
  </r>
  <r>
    <s v="ORD5016"/>
    <s v="CUST1016"/>
    <n v="34"/>
    <s v="PROD216"/>
    <s v="USA"/>
    <d v="2021-06-07T00:00:00"/>
    <d v="2025-02-08T00:00:00"/>
    <n v="1"/>
    <s v="active"/>
    <s v="6/19/2024"/>
    <s v=" $1,875.08 "/>
    <n v="1"/>
    <n v="31"/>
    <s v="Sports"/>
    <s v="Football"/>
    <s v="Sports"/>
    <x v="0"/>
    <n v="1875.08"/>
    <s v="Aligned"/>
    <s v="25-34 Millennials"/>
    <s v="High Value Tier"/>
    <s v="Stable"/>
  </r>
  <r>
    <s v="ORD5017"/>
    <s v="CUST1017"/>
    <n v="22"/>
    <s v="PROD217"/>
    <s v="Pakistan"/>
    <s v="9/14/2021"/>
    <d v="2024-04-08T00:00:00"/>
    <n v="0"/>
    <s v="cancelled"/>
    <s v="1/27/2024"/>
    <s v=" $211.24 "/>
    <n v="6"/>
    <n v="18"/>
    <s v="Electronics"/>
    <s v="Cricket Bat"/>
    <s v="Sports"/>
    <x v="1"/>
    <n v="1267.44"/>
    <s v="Misaligned"/>
    <s v="18-24 Gen Z"/>
    <s v="High Value Tier"/>
    <s v="Stable"/>
  </r>
  <r>
    <s v="ORD5018"/>
    <s v="CUST1018"/>
    <n v="42"/>
    <s v="PROD218"/>
    <s v="USA"/>
    <s v="5/25/2023"/>
    <d v="2025-09-01T00:00:00"/>
    <n v="5"/>
    <s v="paused"/>
    <s v="8/13/2025"/>
    <s v=" $1,702.39 "/>
    <n v="1"/>
    <n v="14"/>
    <s v="Clothing"/>
    <s v="Sneakers"/>
    <s v="Clothing"/>
    <x v="1"/>
    <n v="1702.39"/>
    <s v="Aligned"/>
    <s v="35-49 Gen X"/>
    <s v="High Value Tier"/>
    <s v="Elevated Risk"/>
  </r>
  <r>
    <s v="ORD5019"/>
    <s v="CUST1019"/>
    <n v="51"/>
    <s v="PROD219"/>
    <s v="India"/>
    <s v="9/14/2022"/>
    <s v="8/13/2025"/>
    <n v="0"/>
    <s v="paused"/>
    <s v="10/27/2024"/>
    <s v=" $199.58 "/>
    <n v="8"/>
    <n v="41"/>
    <s v="Clothing"/>
    <s v="Refrigerator"/>
    <s v="Home"/>
    <x v="0"/>
    <n v="1596.64"/>
    <s v="Misaligned"/>
    <s v="50-64 Boomers"/>
    <s v="High Value Tier"/>
    <s v="Elevated Risk"/>
  </r>
  <r>
    <s v="ORD5020"/>
    <s v="CUST1020"/>
    <n v="64"/>
    <s v="PROD220"/>
    <s v="Canada"/>
    <s v="3/13/2022"/>
    <s v="1/23/2024"/>
    <n v="4"/>
    <s v="active"/>
    <d v="2022-06-05T00:00:00"/>
    <s v=" $242.03 "/>
    <n v="6"/>
    <n v="2"/>
    <s v="Electronics"/>
    <s v="Cricket Bat"/>
    <s v="Sports"/>
    <x v="0"/>
    <n v="1452.18"/>
    <s v="Misaligned"/>
    <s v="50-64 Boomers"/>
    <s v="High Value Tier"/>
    <s v="Critical Risk"/>
  </r>
  <r>
    <s v="ORD5021"/>
    <s v="CUST1021"/>
    <n v="52"/>
    <s v="PROD221"/>
    <s v="Germany"/>
    <d v="2021-02-02T00:00:00"/>
    <s v="6/20/2022"/>
    <n v="1"/>
    <s v="paused"/>
    <s v="8/20/2024"/>
    <s v=" $50.78 "/>
    <n v="7"/>
    <n v="9"/>
    <s v="Home"/>
    <s v="Dress"/>
    <s v="Clothing"/>
    <x v="1"/>
    <n v="355.46"/>
    <s v="Misaligned"/>
    <s v="50-64 Boomers"/>
    <s v="High Value Tier"/>
    <s v="Elevated Risk"/>
  </r>
  <r>
    <s v="ORD5022"/>
    <s v="CUST1022"/>
    <n v="28"/>
    <s v="PROD222"/>
    <s v="Germany"/>
    <d v="2022-09-06T00:00:00"/>
    <d v="2022-05-08T00:00:00"/>
    <n v="2"/>
    <s v="active"/>
    <d v="2024-06-02T00:00:00"/>
    <s v=" $89.87 "/>
    <n v="6"/>
    <n v="39"/>
    <s v="Home"/>
    <s v="Smartphone"/>
    <s v="Electronics"/>
    <x v="0"/>
    <n v="539.22"/>
    <s v="Misaligned"/>
    <s v="25-34 Millennials"/>
    <s v="High Value Tier"/>
    <s v="Stable"/>
  </r>
  <r>
    <s v="ORD5023"/>
    <s v="CUST1023"/>
    <n v="25"/>
    <s v="PROD223"/>
    <s v="Germany"/>
    <d v="2021-04-05T00:00:00"/>
    <d v="2025-11-06T00:00:00"/>
    <n v="5"/>
    <s v="active"/>
    <d v="2025-11-07T00:00:00"/>
    <s v=" $52.34 "/>
    <n v="8"/>
    <n v="16"/>
    <s v="Electronics"/>
    <s v="Camera"/>
    <s v="Electronics"/>
    <x v="1"/>
    <n v="418.72"/>
    <s v="Aligned"/>
    <s v="25-34 Millennials"/>
    <s v="High Value Tier"/>
    <s v="Critical Risk"/>
  </r>
  <r>
    <s v="ORD5024"/>
    <s v="CUST1024"/>
    <n v="45"/>
    <s v="PROD224"/>
    <s v="Germany"/>
    <s v="4/14/2022"/>
    <s v="1/29/2023"/>
    <n v="2"/>
    <s v="active"/>
    <s v="5/21/2024"/>
    <s v=" $232.67 "/>
    <n v="3"/>
    <n v="20"/>
    <s v="Clothing"/>
    <s v="Lipstick"/>
    <s v="Beauty"/>
    <x v="1"/>
    <n v="698.01"/>
    <s v="Misaligned"/>
    <s v="35-49 Gen X"/>
    <s v="High Value Tier"/>
    <s v="Stable"/>
  </r>
  <r>
    <s v="ORD5025"/>
    <s v="CUST1025"/>
    <n v="49"/>
    <s v="PROD225"/>
    <s v="India"/>
    <d v="2021-07-11T00:00:00"/>
    <d v="2022-09-06T00:00:00"/>
    <n v="3"/>
    <s v="cancelled"/>
    <s v="9/26/2022"/>
    <s v=" $142.89 "/>
    <n v="5"/>
    <n v="40"/>
    <s v="Clothing"/>
    <s v="Sneakers"/>
    <s v="Clothing"/>
    <x v="1"/>
    <n v="714.45"/>
    <s v="Aligned"/>
    <s v="35-49 Gen X"/>
    <s v="High Value Tier"/>
    <s v="Stable"/>
  </r>
  <r>
    <s v="ORD5026"/>
    <s v="CUST1026"/>
    <n v="27"/>
    <s v="PROD226"/>
    <s v="Germany"/>
    <s v="5/15/2023"/>
    <d v="2025-05-05T00:00:00"/>
    <n v="0"/>
    <s v="paused"/>
    <s v="8/26/2024"/>
    <s v=" $44.69 "/>
    <n v="7"/>
    <n v="28"/>
    <s v="Beauty"/>
    <s v="T-Shirt"/>
    <s v="Clothing"/>
    <x v="1"/>
    <n v="312.83"/>
    <s v="Misaligned"/>
    <s v="25-34 Millennials"/>
    <s v="High Value Tier"/>
    <s v="Elevated Risk"/>
  </r>
  <r>
    <s v="ORD5027"/>
    <s v="CUST1027"/>
    <n v="69"/>
    <s v="PROD227"/>
    <s v="Pakistan"/>
    <s v="3/23/2021"/>
    <s v="2/25/2022"/>
    <n v="4"/>
    <s v="cancelled"/>
    <s v="11/13/2024"/>
    <s v=" $139.30 "/>
    <n v="7"/>
    <n v="42"/>
    <s v="Clothing"/>
    <s v="Tennis Racket"/>
    <s v="Sports"/>
    <x v="1"/>
    <n v="975.1"/>
    <s v="Misaligned"/>
    <s v="65+ Seniors"/>
    <s v="High Value Tier"/>
    <s v="Stable"/>
  </r>
  <r>
    <s v="ORD5028"/>
    <s v="CUST1028"/>
    <n v="66"/>
    <s v="PROD228"/>
    <s v="India"/>
    <d v="2021-02-06T00:00:00"/>
    <d v="2025-03-04T00:00:00"/>
    <n v="1"/>
    <s v="active"/>
    <s v="1/17/2022"/>
    <s v=" $149.65 "/>
    <n v="8"/>
    <n v="45"/>
    <s v="Electronics"/>
    <s v="Sofa"/>
    <s v="Home"/>
    <x v="1"/>
    <n v="1197.2"/>
    <s v="Misaligned"/>
    <s v="65+ Seniors"/>
    <s v="High Value Tier"/>
    <s v="Stable"/>
  </r>
  <r>
    <s v="ORD5029"/>
    <s v="CUST1029"/>
    <n v="43"/>
    <s v="PROD229"/>
    <s v="Canada"/>
    <s v="8/22/2020"/>
    <s v="3/22/2024"/>
    <n v="3"/>
    <s v="cancelled"/>
    <d v="2021-06-08T00:00:00"/>
    <s v=" $157.10 "/>
    <n v="6"/>
    <n v="14"/>
    <s v="Electronics"/>
    <s v="Laptop"/>
    <s v="Electronics"/>
    <x v="0"/>
    <n v="942.6"/>
    <s v="Aligned"/>
    <s v="35-49 Gen X"/>
    <s v="High Value Tier"/>
    <s v="Stable"/>
  </r>
  <r>
    <s v="ORD5030"/>
    <s v="CUST1030"/>
    <n v="18"/>
    <s v="PROD230"/>
    <s v="Germany"/>
    <s v="4/19/2021"/>
    <d v="2021-01-06T00:00:00"/>
    <n v="5"/>
    <s v="active"/>
    <d v="2023-04-03T00:00:00"/>
    <s v=" $182.53 "/>
    <n v="9"/>
    <n v="24"/>
    <s v="Clothing"/>
    <s v="Basketball"/>
    <s v="Sports"/>
    <x v="1"/>
    <n v="1642.77"/>
    <s v="Misaligned"/>
    <s v="18-24 Gen Z"/>
    <s v="High Value Tier"/>
    <s v="Critical Risk"/>
  </r>
  <r>
    <s v="ORD5031"/>
    <s v="CUST1031"/>
    <n v="37"/>
    <s v="PROD231"/>
    <s v="Canada"/>
    <s v="8/19/2021"/>
    <s v="7/22/2023"/>
    <n v="4"/>
    <s v="paused"/>
    <d v="2024-07-09T00:00:00"/>
    <s v=" $31.95 "/>
    <n v="1"/>
    <n v="9"/>
    <s v="Home"/>
    <s v="Dress"/>
    <s v="Clothing"/>
    <x v="1"/>
    <n v="31.95"/>
    <s v="Misaligned"/>
    <s v="35-49 Gen X"/>
    <s v="Value Tier"/>
    <s v="Elevated Risk"/>
  </r>
  <r>
    <s v="ORD5032"/>
    <s v="CUST1032"/>
    <n v="52"/>
    <s v="PROD232"/>
    <s v="Germany"/>
    <d v="2021-09-02T00:00:00"/>
    <s v="7/27/2021"/>
    <n v="0"/>
    <s v="cancelled"/>
    <d v="2023-10-11T00:00:00"/>
    <s v=" $804.77 "/>
    <n v="2"/>
    <n v="26"/>
    <s v="Beauty"/>
    <s v="Cycling Helmet"/>
    <s v="Sports"/>
    <x v="0"/>
    <n v="1609.54"/>
    <s v="Misaligned"/>
    <s v="50-64 Boomers"/>
    <s v="High Value Tier"/>
    <s v="Stable"/>
  </r>
  <r>
    <s v="ORD5033"/>
    <s v="CUST1033"/>
    <n v="50"/>
    <s v="PROD233"/>
    <s v="Canada"/>
    <s v="3/25/2022"/>
    <s v="9/25/2022"/>
    <n v="5"/>
    <s v="active"/>
    <d v="2022-05-09T00:00:00"/>
    <s v=" $332.38 "/>
    <n v="5"/>
    <n v="29"/>
    <s v="Home"/>
    <s v="Shirt"/>
    <s v="Clothing"/>
    <x v="1"/>
    <n v="1661.9"/>
    <s v="Misaligned"/>
    <s v="50-64 Boomers"/>
    <s v="High Value Tier"/>
    <s v="Critical Risk"/>
  </r>
  <r>
    <s v="ORD5034"/>
    <s v="CUST1034"/>
    <n v="49"/>
    <s v="PROD234"/>
    <s v="UK"/>
    <s v="2/26/2021"/>
    <s v="4/22/2025"/>
    <n v="5"/>
    <s v="active"/>
    <s v="10/18/2021"/>
    <s v=" $1,292.65 "/>
    <n v="1"/>
    <n v="12"/>
    <s v="Electronics"/>
    <s v="Cricket Bat"/>
    <s v="Sports"/>
    <x v="0"/>
    <n v="1292.6500000000001"/>
    <s v="Misaligned"/>
    <s v="35-49 Gen X"/>
    <s v="High Value Tier"/>
    <s v="Critical Risk"/>
  </r>
  <r>
    <s v="ORD5035"/>
    <s v="CUST1035"/>
    <n v="48"/>
    <s v="PROD235"/>
    <s v="India"/>
    <d v="2021-11-07T00:00:00"/>
    <s v="11/23/2023"/>
    <n v="3"/>
    <s v="active"/>
    <d v="2024-03-06T00:00:00"/>
    <s v=" $36.39 "/>
    <n v="7"/>
    <n v="24"/>
    <s v="Electronics"/>
    <s v="Tablet"/>
    <s v="Electronics"/>
    <x v="0"/>
    <n v="254.73"/>
    <s v="Aligned"/>
    <s v="35-49 Gen X"/>
    <s v="High Value Tier"/>
    <s v="Stable"/>
  </r>
  <r>
    <s v="ORD5036"/>
    <s v="CUST1036"/>
    <n v="42"/>
    <s v="PROD236"/>
    <s v="UK"/>
    <d v="2023-03-08T00:00:00"/>
    <s v="1/14/2024"/>
    <n v="0"/>
    <s v="paused"/>
    <s v="9/22/2024"/>
    <s v=" $79.19 "/>
    <n v="7"/>
    <n v="13"/>
    <s v="Home"/>
    <s v="Camera"/>
    <s v="Electronics"/>
    <x v="1"/>
    <n v="554.33000000000004"/>
    <s v="Misaligned"/>
    <s v="35-49 Gen X"/>
    <s v="High Value Tier"/>
    <s v="Elevated Risk"/>
  </r>
  <r>
    <s v="ORD5037"/>
    <s v="CUST1037"/>
    <n v="66"/>
    <s v="PROD237"/>
    <s v="India"/>
    <s v="3/25/2023"/>
    <s v="5/16/2023"/>
    <n v="3"/>
    <s v="active"/>
    <s v="12/29/2024"/>
    <s v=" $94.06 "/>
    <n v="4"/>
    <n v="48"/>
    <s v="Sports"/>
    <s v="Blender"/>
    <s v="Home"/>
    <x v="1"/>
    <n v="376.24"/>
    <s v="Misaligned"/>
    <s v="65+ Seniors"/>
    <s v="High Value Tier"/>
    <s v="Stable"/>
  </r>
  <r>
    <s v="ORD5038"/>
    <s v="CUST1038"/>
    <n v="25"/>
    <s v="PROD238"/>
    <s v="Pakistan"/>
    <s v="2/17/2022"/>
    <s v="6/29/2023"/>
    <n v="3"/>
    <s v="paused"/>
    <s v="3/13/2022"/>
    <s v=" $786.48 "/>
    <n v="2"/>
    <n v="11"/>
    <s v="Sports"/>
    <s v="Basketball"/>
    <s v="Sports"/>
    <x v="0"/>
    <n v="1572.96"/>
    <s v="Aligned"/>
    <s v="25-34 Millennials"/>
    <s v="High Value Tier"/>
    <s v="Elevated Risk"/>
  </r>
  <r>
    <s v="ORD5039"/>
    <s v="CUST1039"/>
    <n v="40"/>
    <s v="PROD239"/>
    <s v="India"/>
    <d v="2022-04-12T00:00:00"/>
    <s v="12/13/2024"/>
    <n v="5"/>
    <s v="active"/>
    <d v="2025-05-06T00:00:00"/>
    <s v=" $20.55 "/>
    <n v="6"/>
    <n v="47"/>
    <s v="Beauty"/>
    <s v="Sneakers"/>
    <s v="Clothing"/>
    <x v="0"/>
    <n v="123.3"/>
    <s v="Misaligned"/>
    <s v="35-49 Gen X"/>
    <s v="High Value Tier"/>
    <s v="Critical Risk"/>
  </r>
  <r>
    <s v="ORD5040"/>
    <s v="CUST1040"/>
    <n v="31"/>
    <s v="PROD240"/>
    <s v="USA"/>
    <d v="2023-08-05T00:00:00"/>
    <d v="2025-06-08T00:00:00"/>
    <n v="3"/>
    <s v="active"/>
    <d v="2023-09-10T00:00:00"/>
    <s v=" $203.23 "/>
    <n v="5"/>
    <n v="45"/>
    <s v="Beauty"/>
    <s v="Sneakers"/>
    <s v="Clothing"/>
    <x v="1"/>
    <n v="1016.15"/>
    <s v="Misaligned"/>
    <s v="25-34 Millennials"/>
    <s v="High Value Tier"/>
    <s v="Stable"/>
  </r>
  <r>
    <s v="ORD5041"/>
    <s v="CUST1041"/>
    <n v="55"/>
    <s v="PROD241"/>
    <s v="Pakistan"/>
    <s v="7/19/2022"/>
    <s v="3/28/2025"/>
    <n v="5"/>
    <s v="active"/>
    <d v="2024-02-12T00:00:00"/>
    <s v=" $65.07 "/>
    <n v="7"/>
    <n v="5"/>
    <s v="Sports"/>
    <s v="Dumbbells"/>
    <s v="Sports"/>
    <x v="0"/>
    <n v="455.49"/>
    <s v="Aligned"/>
    <s v="50-64 Boomers"/>
    <s v="Core Tier"/>
    <s v="Critical Risk"/>
  </r>
  <r>
    <s v="ORD5042"/>
    <s v="CUST1042"/>
    <n v="57"/>
    <s v="PROD242"/>
    <s v="Germany"/>
    <s v="5/23/2023"/>
    <s v="3/15/2025"/>
    <n v="4"/>
    <s v="paused"/>
    <s v="8/25/2023"/>
    <s v=" $1,954.64 "/>
    <n v="1"/>
    <n v="36"/>
    <s v="Home"/>
    <s v="Cricket Bat"/>
    <s v="Sports"/>
    <x v="2"/>
    <n v="1954.64"/>
    <s v="Misaligned"/>
    <s v="50-64 Boomers"/>
    <s v="High Value Tier"/>
    <s v="Elevated Risk"/>
  </r>
  <r>
    <s v="ORD5043"/>
    <s v="CUST1043"/>
    <n v="55"/>
    <s v="PROD243"/>
    <s v="UK"/>
    <s v="4/22/2023"/>
    <s v="5/28/2024"/>
    <n v="4"/>
    <s v="active"/>
    <s v="12/24/2024"/>
    <s v=" $18.98 "/>
    <n v="7"/>
    <n v="45"/>
    <s v="Sports"/>
    <s v="Smartphone"/>
    <s v="Electronics"/>
    <x v="0"/>
    <n v="132.86000000000001"/>
    <s v="Misaligned"/>
    <s v="50-64 Boomers"/>
    <s v="High Value Tier"/>
    <s v="Critical Risk"/>
  </r>
  <r>
    <s v="ORD5044"/>
    <s v="CUST1044"/>
    <n v="47"/>
    <s v="PROD244"/>
    <s v="Germany"/>
    <d v="2022-11-03T00:00:00"/>
    <d v="2023-11-12T00:00:00"/>
    <n v="5"/>
    <s v="cancelled"/>
    <d v="2025-09-07T00:00:00"/>
    <s v=" $654.56 "/>
    <n v="3"/>
    <n v="48"/>
    <s v="Beauty"/>
    <s v="Football"/>
    <s v="Sports"/>
    <x v="1"/>
    <n v="1963.68"/>
    <s v="Misaligned"/>
    <s v="35-49 Gen X"/>
    <s v="High Value Tier"/>
    <s v="Stable"/>
  </r>
  <r>
    <s v="ORD5045"/>
    <s v="CUST1045"/>
    <n v="29"/>
    <s v="PROD245"/>
    <s v="Pakistan"/>
    <s v="11/30/2020"/>
    <s v="5/22/2022"/>
    <n v="0"/>
    <s v="active"/>
    <s v="10/24/2023"/>
    <s v=" $334.17 "/>
    <n v="5"/>
    <n v="6"/>
    <s v="Home"/>
    <s v="Headphones"/>
    <s v="Electronics"/>
    <x v="1"/>
    <n v="1670.85"/>
    <s v="Misaligned"/>
    <s v="25-34 Millennials"/>
    <s v="High Value Tier"/>
    <s v="Stable"/>
  </r>
  <r>
    <s v="ORD5046"/>
    <s v="CUST1046"/>
    <n v="19"/>
    <s v="PROD246"/>
    <s v="Pakistan"/>
    <s v="3/21/2023"/>
    <s v="1/14/2025"/>
    <n v="0"/>
    <s v="active"/>
    <s v="4/29/2024"/>
    <s v=" $219.75 "/>
    <n v="5"/>
    <n v="37"/>
    <s v="Beauty"/>
    <s v="Jacket"/>
    <s v="Clothing"/>
    <x v="0"/>
    <n v="1098.75"/>
    <s v="Misaligned"/>
    <s v="18-24 Gen Z"/>
    <s v="High Value Tier"/>
    <s v="Stable"/>
  </r>
  <r>
    <s v="ORD5047"/>
    <s v="CUST1047"/>
    <n v="38"/>
    <s v="PROD247"/>
    <s v="Canada"/>
    <s v="7/13/2021"/>
    <d v="2022-09-07T00:00:00"/>
    <n v="1"/>
    <s v="active"/>
    <s v="7/23/2021"/>
    <s v=" $223.05 "/>
    <n v="7"/>
    <n v="23"/>
    <s v="Home"/>
    <s v="Lamp"/>
    <s v="Home"/>
    <x v="1"/>
    <n v="1561.35"/>
    <s v="Aligned"/>
    <s v="35-49 Gen X"/>
    <s v="High Value Tier"/>
    <s v="Stable"/>
  </r>
  <r>
    <s v="ORD5048"/>
    <s v="CUST1048"/>
    <n v="48"/>
    <s v="PROD248"/>
    <s v="Pakistan"/>
    <d v="2023-10-04T00:00:00"/>
    <s v="4/18/2025"/>
    <n v="5"/>
    <s v="paused"/>
    <d v="2025-09-06T00:00:00"/>
    <s v=" $149.88 "/>
    <n v="4"/>
    <n v="35"/>
    <s v="Sports"/>
    <s v="Headphones"/>
    <s v="Electronics"/>
    <x v="1"/>
    <n v="599.52"/>
    <s v="Misaligned"/>
    <s v="35-49 Gen X"/>
    <s v="High Value Tier"/>
    <s v="Elevated Risk"/>
  </r>
  <r>
    <s v="ORD5049"/>
    <s v="CUST1049"/>
    <n v="58"/>
    <s v="PROD249"/>
    <s v="Germany"/>
    <s v="6/17/2022"/>
    <d v="2025-04-01T00:00:00"/>
    <n v="4"/>
    <s v="active"/>
    <s v="11/26/2024"/>
    <s v=" $165.27 "/>
    <n v="9"/>
    <n v="30"/>
    <s v="Sports"/>
    <s v="Bluetooth Speaker"/>
    <s v="Electronics"/>
    <x v="1"/>
    <n v="1487.43"/>
    <s v="Misaligned"/>
    <s v="50-64 Boomers"/>
    <s v="High Value Tier"/>
    <s v="Critical Risk"/>
  </r>
  <r>
    <s v="ORD5050"/>
    <s v="CUST1050"/>
    <n v="27"/>
    <s v="PROD250"/>
    <s v="Pakistan"/>
    <s v="8/29/2020"/>
    <s v="8/15/2024"/>
    <n v="0"/>
    <s v="paused"/>
    <d v="2023-09-02T00:00:00"/>
    <s v=" $222.62 "/>
    <n v="8"/>
    <n v="37"/>
    <s v="Beauty"/>
    <s v="Gaming Console"/>
    <s v="Electronics"/>
    <x v="0"/>
    <n v="1780.96"/>
    <s v="Misaligned"/>
    <s v="25-34 Millennials"/>
    <s v="High Value Tier"/>
    <s v="Elevated Risk"/>
  </r>
  <r>
    <s v="ORD5051"/>
    <s v="CUST1051"/>
    <n v="54"/>
    <s v="PROD251"/>
    <s v="Canada"/>
    <d v="2022-05-12T00:00:00"/>
    <s v="7/13/2023"/>
    <n v="2"/>
    <s v="active"/>
    <d v="2025-05-06T00:00:00"/>
    <s v=" $45.17 "/>
    <n v="2"/>
    <n v="14"/>
    <s v="Beauty"/>
    <s v="Bluetooth Speaker"/>
    <s v="Electronics"/>
    <x v="1"/>
    <n v="90.34"/>
    <s v="Misaligned"/>
    <s v="50-64 Boomers"/>
    <s v="Core Tier"/>
    <s v="Stable"/>
  </r>
  <r>
    <s v="ORD5052"/>
    <s v="CUST1052"/>
    <n v="67"/>
    <s v="PROD252"/>
    <s v="USA"/>
    <d v="2020-09-09T00:00:00"/>
    <s v="5/28/2025"/>
    <n v="3"/>
    <s v="active"/>
    <s v="3/19/2022"/>
    <s v=" $136.95 "/>
    <n v="8"/>
    <n v="4"/>
    <s v="Clothing"/>
    <s v="Basketball"/>
    <s v="Sports"/>
    <x v="0"/>
    <n v="1095.5999999999999"/>
    <s v="Misaligned"/>
    <s v="65+ Seniors"/>
    <s v="High Value Tier"/>
    <s v="Stable"/>
  </r>
  <r>
    <s v="ORD5053"/>
    <s v="CUST1053"/>
    <n v="51"/>
    <s v="PROD253"/>
    <s v="Canada"/>
    <d v="2020-05-10T00:00:00"/>
    <s v="8/16/2021"/>
    <n v="4"/>
    <s v="cancelled"/>
    <d v="2025-03-04T00:00:00"/>
    <s v=" $323.04 "/>
    <n v="3"/>
    <n v="8"/>
    <s v="Beauty"/>
    <s v="Nail Polish"/>
    <s v="Beauty"/>
    <x v="0"/>
    <n v="969.12"/>
    <s v="Aligned"/>
    <s v="50-64 Boomers"/>
    <s v="High Value Tier"/>
    <s v="Stable"/>
  </r>
  <r>
    <s v="ORD5054"/>
    <s v="CUST1054"/>
    <n v="59"/>
    <s v="PROD254"/>
    <s v="UK"/>
    <d v="2023-03-05T00:00:00"/>
    <s v="4/26/2024"/>
    <n v="0"/>
    <s v="cancelled"/>
    <s v="12/24/2023"/>
    <s v=" $104.00 "/>
    <n v="3"/>
    <n v="1"/>
    <s v="Electronics"/>
    <s v="Smartphone"/>
    <s v="Electronics"/>
    <x v="1"/>
    <n v="312"/>
    <s v="Aligned"/>
    <s v="50-64 Boomers"/>
    <s v="Value Tier"/>
    <s v="Stable"/>
  </r>
  <r>
    <s v="ORD5055"/>
    <s v="CUST1055"/>
    <n v="42"/>
    <s v="PROD255"/>
    <s v="USA"/>
    <d v="2022-09-04T00:00:00"/>
    <d v="2022-04-08T00:00:00"/>
    <n v="4"/>
    <s v="cancelled"/>
    <d v="2023-10-04T00:00:00"/>
    <s v=" $251.60 "/>
    <n v="3"/>
    <n v="23"/>
    <s v="Beauty"/>
    <s v="Lamp"/>
    <s v="Home"/>
    <x v="0"/>
    <n v="754.8"/>
    <s v="Misaligned"/>
    <s v="35-49 Gen X"/>
    <s v="High Value Tier"/>
    <s v="Stable"/>
  </r>
  <r>
    <s v="ORD5056"/>
    <s v="CUST1056"/>
    <n v="38"/>
    <s v="PROD256"/>
    <s v="USA"/>
    <s v="8/15/2023"/>
    <s v="12/28/2023"/>
    <n v="0"/>
    <s v="active"/>
    <s v="4/18/2025"/>
    <s v=" $472.04 "/>
    <n v="2"/>
    <n v="17"/>
    <s v="Electronics"/>
    <s v="Shirt"/>
    <s v="Clothing"/>
    <x v="1"/>
    <n v="944.08"/>
    <s v="Misaligned"/>
    <s v="35-49 Gen X"/>
    <s v="High Value Tier"/>
    <s v="Stable"/>
  </r>
  <r>
    <s v="ORD5057"/>
    <s v="CUST1057"/>
    <n v="23"/>
    <s v="PROD257"/>
    <s v="Germany"/>
    <s v="2/27/2023"/>
    <d v="2025-11-02T00:00:00"/>
    <n v="5"/>
    <s v="active"/>
    <s v="3/14/2023"/>
    <s v=" $21.85 "/>
    <n v="8"/>
    <n v="1"/>
    <s v="Home"/>
    <s v="Tennis Racket"/>
    <s v="Sports"/>
    <x v="0"/>
    <n v="174.8"/>
    <s v="Misaligned"/>
    <s v="18-24 Gen Z"/>
    <s v="Value Tier"/>
    <s v="Critical Risk"/>
  </r>
  <r>
    <s v="ORD5058"/>
    <s v="CUST1058"/>
    <n v="18"/>
    <s v="PROD258"/>
    <s v="USA"/>
    <s v="4/22/2021"/>
    <s v="5/18/2023"/>
    <n v="3"/>
    <s v="active"/>
    <d v="2023-04-02T00:00:00"/>
    <s v=" $295.22 "/>
    <n v="5"/>
    <n v="18"/>
    <s v="Electronics"/>
    <s v="Jeans"/>
    <s v="Clothing"/>
    <x v="1"/>
    <n v="1476.1"/>
    <s v="Misaligned"/>
    <s v="18-24 Gen Z"/>
    <s v="High Value Tier"/>
    <s v="Stable"/>
  </r>
  <r>
    <s v="ORD5059"/>
    <s v="CUST1059"/>
    <n v="41"/>
    <s v="PROD259"/>
    <s v="Canada"/>
    <s v="8/30/2020"/>
    <d v="2023-02-09T00:00:00"/>
    <n v="0"/>
    <s v="paused"/>
    <s v="9/30/2023"/>
    <s v=" $362.26 "/>
    <n v="5"/>
    <n v="13"/>
    <s v="Beauty"/>
    <s v="Running Shoes"/>
    <s v="Sports"/>
    <x v="0"/>
    <n v="1811.3"/>
    <s v="Misaligned"/>
    <s v="35-49 Gen X"/>
    <s v="High Value Tier"/>
    <s v="Elevated Risk"/>
  </r>
  <r>
    <s v="ORD5060"/>
    <s v="CUST1060"/>
    <n v="35"/>
    <s v="PROD260"/>
    <s v="Canada"/>
    <s v="8/16/2021"/>
    <s v="9/21/2021"/>
    <n v="1"/>
    <s v="cancelled"/>
    <s v="11/22/2021"/>
    <s v=" $286.73 "/>
    <n v="6"/>
    <n v="42"/>
    <s v="Beauty"/>
    <s v="Cycling Helmet"/>
    <s v="Sports"/>
    <x v="0"/>
    <n v="1720.38"/>
    <s v="Misaligned"/>
    <s v="35-49 Gen X"/>
    <s v="High Value Tier"/>
    <s v="Stable"/>
  </r>
  <r>
    <s v="ORD5061"/>
    <s v="CUST1061"/>
    <n v="39"/>
    <s v="PROD261"/>
    <s v="Canada"/>
    <s v="12/29/2021"/>
    <d v="2024-10-01T00:00:00"/>
    <n v="3"/>
    <s v="active"/>
    <d v="2022-05-04T00:00:00"/>
    <s v=" $34.68 "/>
    <n v="9"/>
    <n v="2"/>
    <s v="Home"/>
    <s v="Smartphone"/>
    <s v="Electronics"/>
    <x v="0"/>
    <n v="312.12"/>
    <s v="Misaligned"/>
    <s v="35-49 Gen X"/>
    <s v="Value Tier"/>
    <s v="Stable"/>
  </r>
  <r>
    <s v="ORD5062"/>
    <s v="CUST1062"/>
    <n v="33"/>
    <s v="PROD262"/>
    <s v="UK"/>
    <d v="2021-09-09T00:00:00"/>
    <d v="2024-02-02T00:00:00"/>
    <n v="4"/>
    <s v="paused"/>
    <s v="11/14/2022"/>
    <s v=" $370.97 "/>
    <n v="4"/>
    <n v="13"/>
    <s v="Electronics"/>
    <s v="Sneakers"/>
    <s v="Clothing"/>
    <x v="0"/>
    <n v="1483.88"/>
    <s v="Misaligned"/>
    <s v="25-34 Millennials"/>
    <s v="High Value Tier"/>
    <s v="Elevated Risk"/>
  </r>
  <r>
    <s v="ORD5063"/>
    <s v="CUST1063"/>
    <n v="34"/>
    <s v="PROD263"/>
    <s v="Canada"/>
    <s v="11/26/2020"/>
    <d v="2022-10-03T00:00:00"/>
    <n v="4"/>
    <s v="active"/>
    <s v="8/17/2021"/>
    <s v=" $841.95 "/>
    <n v="2"/>
    <n v="9"/>
    <s v="Sports"/>
    <s v="Camera"/>
    <s v="Electronics"/>
    <x v="0"/>
    <n v="1683.9"/>
    <s v="Misaligned"/>
    <s v="25-34 Millennials"/>
    <s v="High Value Tier"/>
    <s v="Critical Risk"/>
  </r>
  <r>
    <s v="ORD5064"/>
    <s v="CUST1064"/>
    <n v="22"/>
    <s v="PROD264"/>
    <s v="Germany"/>
    <d v="2022-08-07T00:00:00"/>
    <d v="2023-03-02T00:00:00"/>
    <n v="4"/>
    <s v="cancelled"/>
    <s v="3/31/2024"/>
    <s v=" $1,795.65 "/>
    <n v="1"/>
    <n v="16"/>
    <s v="Clothing"/>
    <s v="Sofa"/>
    <s v="Home"/>
    <x v="0"/>
    <n v="1795.65"/>
    <s v="Misaligned"/>
    <s v="18-24 Gen Z"/>
    <s v="High Value Tier"/>
    <s v="Stable"/>
  </r>
  <r>
    <s v="ORD5065"/>
    <s v="CUST1065"/>
    <n v="56"/>
    <s v="PROD265"/>
    <s v="Pakistan"/>
    <s v="11/16/2020"/>
    <d v="2025-12-06T00:00:00"/>
    <n v="1"/>
    <s v="paused"/>
    <s v="8/15/2022"/>
    <s v=" $459.56 "/>
    <n v="3"/>
    <n v="7"/>
    <s v="Sports"/>
    <s v="Smartwatch"/>
    <s v="Electronics"/>
    <x v="1"/>
    <n v="1378.68"/>
    <s v="Misaligned"/>
    <s v="50-64 Boomers"/>
    <s v="High Value Tier"/>
    <s v="Elevated Risk"/>
  </r>
  <r>
    <s v="ORD5066"/>
    <s v="CUST1066"/>
    <n v="54"/>
    <s v="PROD266"/>
    <s v="Pakistan"/>
    <s v="7/13/2023"/>
    <d v="2024-10-04T00:00:00"/>
    <n v="3"/>
    <s v="cancelled"/>
    <d v="2024-08-08T00:00:00"/>
    <s v=" $193.86 "/>
    <n v="5"/>
    <n v="9"/>
    <s v="Home"/>
    <s v="Hoodie"/>
    <s v="Clothing"/>
    <x v="0"/>
    <n v="969.3"/>
    <s v="Misaligned"/>
    <s v="50-64 Boomers"/>
    <s v="High Value Tier"/>
    <s v="Stable"/>
  </r>
  <r>
    <s v="ORD5067"/>
    <s v="CUST1067"/>
    <n v="66"/>
    <s v="PROD267"/>
    <s v="UK"/>
    <s v="9/24/2021"/>
    <s v="10/30/2024"/>
    <n v="4"/>
    <s v="active"/>
    <s v="6/22/2024"/>
    <s v=" $180.63 "/>
    <n v="3"/>
    <n v="39"/>
    <s v="Clothing"/>
    <s v="Cycling Helmet"/>
    <s v="Sports"/>
    <x v="0"/>
    <n v="541.89"/>
    <s v="Misaligned"/>
    <s v="65+ Seniors"/>
    <s v="High Value Tier"/>
    <s v="Critical Risk"/>
  </r>
  <r>
    <s v="ORD5068"/>
    <s v="CUST1068"/>
    <n v="45"/>
    <s v="PROD268"/>
    <s v="Canada"/>
    <s v="5/27/2023"/>
    <d v="2024-11-09T00:00:00"/>
    <n v="5"/>
    <s v="active"/>
    <s v="9/28/2024"/>
    <s v=" $1,217.67 "/>
    <n v="1"/>
    <n v="40"/>
    <s v="Home"/>
    <s v="Lipstick"/>
    <s v="Beauty"/>
    <x v="2"/>
    <n v="1217.67"/>
    <s v="Misaligned"/>
    <s v="35-49 Gen X"/>
    <s v="High Value Tier"/>
    <s v="Critical Risk"/>
  </r>
  <r>
    <s v="ORD5069"/>
    <s v="CUST1069"/>
    <n v="19"/>
    <s v="PROD269"/>
    <s v="Canada"/>
    <s v="1/25/2022"/>
    <s v="6/29/2025"/>
    <n v="4"/>
    <s v="active"/>
    <d v="2025-07-01T00:00:00"/>
    <s v=" $262.10 "/>
    <n v="6"/>
    <n v="33"/>
    <s v="Clothing"/>
    <s v="Smartwatch"/>
    <s v="Electronics"/>
    <x v="1"/>
    <n v="1572.6"/>
    <s v="Misaligned"/>
    <s v="18-24 Gen Z"/>
    <s v="High Value Tier"/>
    <s v="Critical Risk"/>
  </r>
  <r>
    <s v="ORD5070"/>
    <s v="CUST1070"/>
    <n v="33"/>
    <s v="PROD270"/>
    <s v="India"/>
    <s v="7/29/2023"/>
    <s v="12/18/2024"/>
    <n v="3"/>
    <s v="active"/>
    <s v="4/17/2025"/>
    <s v=" $466.13 "/>
    <n v="3"/>
    <n v="25"/>
    <s v="Home"/>
    <s v="Jeans"/>
    <s v="Clothing"/>
    <x v="0"/>
    <n v="1398.39"/>
    <s v="Misaligned"/>
    <s v="25-34 Millennials"/>
    <s v="High Value Tier"/>
    <s v="Stable"/>
  </r>
  <r>
    <s v="ORD5071"/>
    <s v="CUST1071"/>
    <n v="62"/>
    <s v="PROD271"/>
    <s v="India"/>
    <d v="2021-09-10T00:00:00"/>
    <d v="2024-01-03T00:00:00"/>
    <n v="2"/>
    <s v="active"/>
    <s v="12/25/2022"/>
    <s v=" $365.16 "/>
    <n v="3"/>
    <n v="13"/>
    <s v="Sports"/>
    <s v="Laptop"/>
    <s v="Electronics"/>
    <x v="0"/>
    <n v="1095.48"/>
    <s v="Misaligned"/>
    <s v="50-64 Boomers"/>
    <s v="High Value Tier"/>
    <s v="Stable"/>
  </r>
  <r>
    <s v="ORD5072"/>
    <s v="CUST1072"/>
    <n v="34"/>
    <s v="PROD272"/>
    <s v="Canada"/>
    <s v="12/14/2020"/>
    <d v="2021-01-04T00:00:00"/>
    <n v="3"/>
    <s v="active"/>
    <d v="2023-10-07T00:00:00"/>
    <s v=" $24.08 "/>
    <n v="5"/>
    <n v="28"/>
    <s v="Beauty"/>
    <s v="Bluetooth Speaker"/>
    <s v="Electronics"/>
    <x v="1"/>
    <n v="120.4"/>
    <s v="Misaligned"/>
    <s v="25-34 Millennials"/>
    <s v="High Value Tier"/>
    <s v="Stable"/>
  </r>
  <r>
    <s v="ORD5073"/>
    <s v="CUST1073"/>
    <n v="57"/>
    <s v="PROD273"/>
    <s v="Pakistan"/>
    <d v="2021-01-11T00:00:00"/>
    <s v="10/20/2022"/>
    <n v="0"/>
    <s v="cancelled"/>
    <s v="7/21/2025"/>
    <s v=" $167.47 "/>
    <n v="5"/>
    <n v="13"/>
    <s v="Sports"/>
    <s v="Sofa"/>
    <s v="Home"/>
    <x v="1"/>
    <n v="837.35"/>
    <s v="Misaligned"/>
    <s v="50-64 Boomers"/>
    <s v="High Value Tier"/>
    <s v="Stable"/>
  </r>
  <r>
    <s v="ORD5074"/>
    <s v="CUST1074"/>
    <n v="21"/>
    <s v="PROD274"/>
    <s v="India"/>
    <s v="8/19/2021"/>
    <s v="5/21/2025"/>
    <n v="2"/>
    <s v="active"/>
    <d v="2022-11-09T00:00:00"/>
    <s v=" $44.36 "/>
    <n v="6"/>
    <n v="27"/>
    <s v="Sports"/>
    <s v="Bluetooth Speaker"/>
    <s v="Electronics"/>
    <x v="0"/>
    <n v="266.16000000000003"/>
    <s v="Misaligned"/>
    <s v="18-24 Gen Z"/>
    <s v="High Value Tier"/>
    <s v="Stable"/>
  </r>
  <r>
    <s v="ORD5075"/>
    <s v="CUST1075"/>
    <n v="43"/>
    <s v="PROD275"/>
    <s v="USA"/>
    <s v="8/20/2022"/>
    <s v="2/20/2024"/>
    <n v="1"/>
    <s v="cancelled"/>
    <s v="8/16/2023"/>
    <s v=" $157.70 "/>
    <n v="5"/>
    <n v="32"/>
    <s v="Home"/>
    <s v="Dumbbells"/>
    <s v="Sports"/>
    <x v="0"/>
    <n v="788.5"/>
    <s v="Misaligned"/>
    <s v="35-49 Gen X"/>
    <s v="High Value Tier"/>
    <s v="Stable"/>
  </r>
  <r>
    <s v="ORD5076"/>
    <s v="CUST1076"/>
    <n v="63"/>
    <s v="PROD276"/>
    <s v="USA"/>
    <d v="2021-03-05T00:00:00"/>
    <d v="2022-06-08T00:00:00"/>
    <n v="5"/>
    <s v="cancelled"/>
    <s v="7/30/2025"/>
    <s v=" $244.50 "/>
    <n v="6"/>
    <n v="19"/>
    <s v="Clothing"/>
    <s v="Blender"/>
    <s v="Home"/>
    <x v="1"/>
    <n v="1467"/>
    <s v="Misaligned"/>
    <s v="50-64 Boomers"/>
    <s v="High Value Tier"/>
    <s v="Stable"/>
  </r>
  <r>
    <s v="ORD5077"/>
    <s v="CUST1077"/>
    <n v="35"/>
    <s v="PROD277"/>
    <s v="UK"/>
    <s v="7/17/2021"/>
    <d v="2024-08-12T00:00:00"/>
    <n v="2"/>
    <s v="cancelled"/>
    <s v="10/28/2024"/>
    <s v=" $1,519.11 "/>
    <n v="1"/>
    <n v="47"/>
    <s v="Sports"/>
    <s v="Tablet"/>
    <s v="Electronics"/>
    <x v="0"/>
    <n v="1519.11"/>
    <s v="Misaligned"/>
    <s v="35-49 Gen X"/>
    <s v="High Value Tier"/>
    <s v="Stable"/>
  </r>
  <r>
    <s v="ORD5078"/>
    <s v="CUST1078"/>
    <n v="55"/>
    <s v="PROD278"/>
    <s v="UK"/>
    <d v="2021-11-04T00:00:00"/>
    <s v="12/29/2023"/>
    <n v="2"/>
    <s v="cancelled"/>
    <d v="2024-06-08T00:00:00"/>
    <s v=" $160.26 "/>
    <n v="8"/>
    <n v="44"/>
    <s v="Beauty"/>
    <s v="Face Wash"/>
    <s v="Beauty"/>
    <x v="0"/>
    <n v="1282.08"/>
    <s v="Aligned"/>
    <s v="50-64 Boomers"/>
    <s v="High Value Tier"/>
    <s v="Stable"/>
  </r>
  <r>
    <s v="ORD5079"/>
    <s v="CUST1079"/>
    <n v="54"/>
    <s v="PROD279"/>
    <s v="Germany"/>
    <d v="2020-05-10T00:00:00"/>
    <s v="5/21/2025"/>
    <n v="5"/>
    <s v="active"/>
    <d v="2024-06-04T00:00:00"/>
    <s v=" $154.00 "/>
    <n v="7"/>
    <n v="21"/>
    <s v="Sports"/>
    <s v="Foundation"/>
    <s v="Beauty"/>
    <x v="1"/>
    <n v="1078"/>
    <s v="Misaligned"/>
    <s v="50-64 Boomers"/>
    <s v="High Value Tier"/>
    <s v="Critical Risk"/>
  </r>
  <r>
    <s v="ORD5080"/>
    <s v="CUST1080"/>
    <n v="53"/>
    <s v="PROD280"/>
    <s v="Germany"/>
    <d v="2021-02-11T00:00:00"/>
    <d v="2023-10-10T00:00:00"/>
    <n v="0"/>
    <s v="active"/>
    <d v="2024-02-10T00:00:00"/>
    <s v=" $119.16 "/>
    <n v="7"/>
    <n v="4"/>
    <s v="Electronics"/>
    <s v="Perfume"/>
    <s v="Beauty"/>
    <x v="1"/>
    <n v="834.12"/>
    <s v="Misaligned"/>
    <s v="50-64 Boomers"/>
    <s v="High Value Tier"/>
    <s v="Stable"/>
  </r>
  <r>
    <s v="ORD5081"/>
    <s v="CUST1081"/>
    <n v="20"/>
    <s v="PROD281"/>
    <s v="USA"/>
    <d v="2023-01-07T00:00:00"/>
    <s v="12/18/2023"/>
    <n v="5"/>
    <s v="active"/>
    <s v="2/16/2025"/>
    <s v=" $68.21 "/>
    <n v="5"/>
    <n v="8"/>
    <s v="Home"/>
    <s v="Refrigerator"/>
    <s v="Home"/>
    <x v="1"/>
    <n v="341.05"/>
    <s v="Aligned"/>
    <s v="18-24 Gen Z"/>
    <s v="High Value Tier"/>
    <s v="Critical Risk"/>
  </r>
  <r>
    <s v="ORD5082"/>
    <s v="CUST1082"/>
    <n v="18"/>
    <s v="PROD282"/>
    <s v="UK"/>
    <s v="9/23/2021"/>
    <s v="2/20/2022"/>
    <n v="0"/>
    <s v="active"/>
    <d v="2025-07-06T00:00:00"/>
    <s v=" $112.63 "/>
    <n v="7"/>
    <n v="20"/>
    <s v="Electronics"/>
    <s v="Headphones"/>
    <s v="Electronics"/>
    <x v="1"/>
    <n v="788.41"/>
    <s v="Aligned"/>
    <s v="18-24 Gen Z"/>
    <s v="High Value Tier"/>
    <s v="Stable"/>
  </r>
  <r>
    <s v="ORD5083"/>
    <s v="CUST1083"/>
    <n v="44"/>
    <s v="PROD283"/>
    <s v="UK"/>
    <d v="2021-03-10T00:00:00"/>
    <d v="2023-08-11T00:00:00"/>
    <n v="0"/>
    <s v="active"/>
    <s v="4/23/2022"/>
    <s v=" $269.36 "/>
    <n v="6"/>
    <n v="16"/>
    <s v="Beauty"/>
    <s v="Basketball"/>
    <s v="Sports"/>
    <x v="0"/>
    <n v="1616.16"/>
    <s v="Misaligned"/>
    <s v="35-49 Gen X"/>
    <s v="High Value Tier"/>
    <s v="Stable"/>
  </r>
  <r>
    <s v="ORD5084"/>
    <s v="CUST1084"/>
    <n v="20"/>
    <s v="PROD284"/>
    <s v="Pakistan"/>
    <d v="2021-02-12T00:00:00"/>
    <s v="4/26/2025"/>
    <n v="0"/>
    <s v="active"/>
    <s v="12/14/2023"/>
    <s v=" $1,032.49 "/>
    <n v="1"/>
    <n v="1"/>
    <s v="Sports"/>
    <s v="Dress"/>
    <s v="Clothing"/>
    <x v="1"/>
    <n v="1032.49"/>
    <s v="Misaligned"/>
    <s v="18-24 Gen Z"/>
    <s v="Core Tier"/>
    <s v="Stable"/>
  </r>
  <r>
    <s v="ORD5085"/>
    <s v="CUST1085"/>
    <n v="51"/>
    <s v="PROD285"/>
    <s v="Germany"/>
    <d v="2021-04-04T00:00:00"/>
    <s v="11/27/2023"/>
    <n v="0"/>
    <s v="active"/>
    <d v="2022-01-09T00:00:00"/>
    <s v=" $253.07 "/>
    <n v="2"/>
    <n v="7"/>
    <s v="Sports"/>
    <s v="Tablet"/>
    <s v="Electronics"/>
    <x v="0"/>
    <n v="506.14"/>
    <s v="Misaligned"/>
    <s v="50-64 Boomers"/>
    <s v="High Value Tier"/>
    <s v="Stable"/>
  </r>
  <r>
    <s v="ORD5086"/>
    <s v="CUST1086"/>
    <n v="55"/>
    <s v="PROD286"/>
    <s v="Germany"/>
    <s v="1/15/2021"/>
    <s v="6/21/2024"/>
    <n v="1"/>
    <s v="active"/>
    <s v="8/25/2021"/>
    <s v=" $189.41 "/>
    <n v="8"/>
    <n v="3"/>
    <s v="Home"/>
    <s v="Laptop"/>
    <s v="Electronics"/>
    <x v="0"/>
    <n v="1515.28"/>
    <s v="Misaligned"/>
    <s v="50-64 Boomers"/>
    <s v="High Value Tier"/>
    <s v="Stable"/>
  </r>
  <r>
    <s v="ORD5087"/>
    <s v="CUST1087"/>
    <n v="52"/>
    <s v="PROD287"/>
    <s v="Pakistan"/>
    <d v="2022-05-04T00:00:00"/>
    <s v="6/20/2023"/>
    <n v="1"/>
    <s v="cancelled"/>
    <s v="3/27/2024"/>
    <s v=" $1,495.51 "/>
    <n v="1"/>
    <n v="45"/>
    <s v="Home"/>
    <s v="Refrigerator"/>
    <s v="Home"/>
    <x v="0"/>
    <n v="1495.51"/>
    <s v="Aligned"/>
    <s v="50-64 Boomers"/>
    <s v="High Value Tier"/>
    <s v="Stable"/>
  </r>
  <r>
    <s v="ORD5088"/>
    <s v="CUST1088"/>
    <n v="31"/>
    <s v="PROD288"/>
    <s v="Germany"/>
    <s v="10/16/2021"/>
    <d v="2022-08-11T00:00:00"/>
    <n v="4"/>
    <s v="cancelled"/>
    <d v="2024-07-12T00:00:00"/>
    <s v=" $384.70 "/>
    <n v="2"/>
    <n v="38"/>
    <s v="Home"/>
    <s v="Gaming Console"/>
    <s v="Electronics"/>
    <x v="0"/>
    <n v="769.4"/>
    <s v="Misaligned"/>
    <s v="25-34 Millennials"/>
    <s v="High Value Tier"/>
    <s v="Stable"/>
  </r>
  <r>
    <s v="ORD5089"/>
    <s v="CUST1089"/>
    <n v="46"/>
    <s v="PROD289"/>
    <s v="India"/>
    <s v="8/28/2021"/>
    <d v="2023-07-09T00:00:00"/>
    <n v="5"/>
    <s v="active"/>
    <s v="1/16/2024"/>
    <s v=" $256.40 "/>
    <n v="6"/>
    <n v="29"/>
    <s v="Home"/>
    <s v="Sofa"/>
    <s v="Home"/>
    <x v="1"/>
    <n v="1538.4"/>
    <s v="Aligned"/>
    <s v="35-49 Gen X"/>
    <s v="High Value Tier"/>
    <s v="Critical Risk"/>
  </r>
  <r>
    <s v="ORD5090"/>
    <s v="CUST1090"/>
    <n v="61"/>
    <s v="PROD290"/>
    <s v="Pakistan"/>
    <d v="2023-07-07T00:00:00"/>
    <d v="2023-08-08T00:00:00"/>
    <n v="0"/>
    <s v="active"/>
    <s v="7/14/2025"/>
    <s v=" $289.70 "/>
    <n v="4"/>
    <n v="14"/>
    <s v="Clothing"/>
    <s v="Chair"/>
    <s v="Home"/>
    <x v="0"/>
    <n v="1158.8"/>
    <s v="Misaligned"/>
    <s v="50-64 Boomers"/>
    <s v="High Value Tier"/>
    <s v="Stable"/>
  </r>
  <r>
    <s v="ORD5091"/>
    <s v="CUST1091"/>
    <n v="30"/>
    <s v="PROD291"/>
    <s v="Canada"/>
    <s v="2/27/2021"/>
    <s v="6/26/2023"/>
    <n v="2"/>
    <s v="active"/>
    <s v="2/25/2024"/>
    <s v=" $27.00 "/>
    <n v="5"/>
    <n v="8"/>
    <s v="Electronics"/>
    <s v="Dining Table"/>
    <s v="Home"/>
    <x v="0"/>
    <n v="135"/>
    <s v="Misaligned"/>
    <s v="25-34 Millennials"/>
    <s v="Core Tier"/>
    <s v="Stable"/>
  </r>
  <r>
    <s v="ORD5092"/>
    <s v="CUST1092"/>
    <n v="56"/>
    <s v="PROD292"/>
    <s v="Canada"/>
    <s v="9/13/2021"/>
    <s v="5/22/2022"/>
    <n v="2"/>
    <s v="active"/>
    <s v="11/29/2024"/>
    <s v=" $279.83 "/>
    <n v="3"/>
    <n v="28"/>
    <s v="Clothing"/>
    <s v="Moisturizer"/>
    <s v="Beauty"/>
    <x v="0"/>
    <n v="839.49"/>
    <s v="Misaligned"/>
    <s v="50-64 Boomers"/>
    <s v="High Value Tier"/>
    <s v="Stable"/>
  </r>
  <r>
    <s v="ORD5093"/>
    <s v="CUST1093"/>
    <n v="24"/>
    <s v="PROD293"/>
    <s v="Canada"/>
    <s v="5/29/2023"/>
    <s v="6/28/2024"/>
    <n v="0"/>
    <s v="paused"/>
    <s v="10/22/2024"/>
    <s v=" $290.29 "/>
    <n v="5"/>
    <n v="30"/>
    <s v="Sports"/>
    <s v="Headphones"/>
    <s v="Electronics"/>
    <x v="1"/>
    <n v="1451.45"/>
    <s v="Misaligned"/>
    <s v="18-24 Gen Z"/>
    <s v="High Value Tier"/>
    <s v="Elevated Risk"/>
  </r>
  <r>
    <s v="ORD5094"/>
    <s v="CUST1094"/>
    <n v="68"/>
    <s v="PROD294"/>
    <s v="Pakistan"/>
    <s v="7/14/2022"/>
    <s v="12/25/2024"/>
    <n v="2"/>
    <s v="active"/>
    <d v="2024-05-07T00:00:00"/>
    <s v=" $259.26 "/>
    <n v="6"/>
    <n v="38"/>
    <s v="Home"/>
    <s v="Yoga Mat"/>
    <s v="Sports"/>
    <x v="0"/>
    <n v="1555.56"/>
    <s v="Misaligned"/>
    <s v="65+ Seniors"/>
    <s v="High Value Tier"/>
    <s v="Stable"/>
  </r>
  <r>
    <s v="ORD5095"/>
    <s v="CUST1095"/>
    <n v="52"/>
    <s v="PROD295"/>
    <s v="Canada"/>
    <s v="10/20/2022"/>
    <d v="2024-11-11T00:00:00"/>
    <n v="5"/>
    <s v="cancelled"/>
    <d v="2025-09-07T00:00:00"/>
    <s v=" $159.25 "/>
    <n v="5"/>
    <n v="40"/>
    <s v="Sports"/>
    <s v="Gaming Console"/>
    <s v="Electronics"/>
    <x v="1"/>
    <n v="796.25"/>
    <s v="Misaligned"/>
    <s v="50-64 Boomers"/>
    <s v="High Value Tier"/>
    <s v="Stable"/>
  </r>
  <r>
    <s v="ORD5096"/>
    <s v="CUST1096"/>
    <n v="43"/>
    <s v="PROD296"/>
    <s v="USA"/>
    <s v="2/15/2021"/>
    <s v="10/19/2021"/>
    <n v="0"/>
    <s v="active"/>
    <s v="1/25/2025"/>
    <s v=" $62.41 "/>
    <n v="3"/>
    <n v="30"/>
    <s v="Sports"/>
    <s v="Tennis Racket"/>
    <s v="Sports"/>
    <x v="0"/>
    <n v="187.23"/>
    <s v="Aligned"/>
    <s v="35-49 Gen X"/>
    <s v="High Value Tier"/>
    <s v="Stable"/>
  </r>
  <r>
    <s v="ORD5097"/>
    <s v="CUST1097"/>
    <n v="35"/>
    <s v="PROD297"/>
    <s v="Pakistan"/>
    <s v="3/31/2021"/>
    <s v="11/21/2022"/>
    <n v="4"/>
    <s v="active"/>
    <s v="5/22/2022"/>
    <s v=" $107.73 "/>
    <n v="5"/>
    <n v="26"/>
    <s v="Home"/>
    <s v="Smartwatch"/>
    <s v="Electronics"/>
    <x v="1"/>
    <n v="538.65"/>
    <s v="Misaligned"/>
    <s v="35-49 Gen X"/>
    <s v="High Value Tier"/>
    <s v="Critical Risk"/>
  </r>
  <r>
    <s v="ORD5098"/>
    <s v="CUST1098"/>
    <n v="66"/>
    <s v="PROD298"/>
    <s v="Germany"/>
    <s v="9/15/2021"/>
    <d v="2022-07-08T00:00:00"/>
    <n v="5"/>
    <s v="paused"/>
    <s v="5/28/2022"/>
    <s v=" $556.57 "/>
    <n v="2"/>
    <n v="40"/>
    <s v="Sports"/>
    <s v="T-Shirt"/>
    <s v="Clothing"/>
    <x v="1"/>
    <n v="1113.1400000000001"/>
    <s v="Misaligned"/>
    <s v="65+ Seniors"/>
    <s v="High Value Tier"/>
    <s v="Elevated Risk"/>
  </r>
  <r>
    <s v="ORD5099"/>
    <s v="CUST1099"/>
    <n v="32"/>
    <s v="PROD299"/>
    <s v="UK"/>
    <s v="9/18/2021"/>
    <s v="4/15/2022"/>
    <n v="2"/>
    <s v="active"/>
    <s v="1/19/2022"/>
    <s v=" $990.57 "/>
    <n v="1"/>
    <n v="5"/>
    <s v="Sports"/>
    <s v="Headphones"/>
    <s v="Electronics"/>
    <x v="0"/>
    <n v="990.57"/>
    <s v="Misaligned"/>
    <s v="25-34 Millennials"/>
    <s v="High Value Tier"/>
    <s v="Stable"/>
  </r>
  <r>
    <s v="ORD5100"/>
    <s v="CUST1100"/>
    <n v="57"/>
    <s v="PROD300"/>
    <s v="UK"/>
    <s v="11/28/2020"/>
    <s v="1/20/2024"/>
    <n v="2"/>
    <s v="cancelled"/>
    <d v="2022-10-03T00:00:00"/>
    <s v=" $140.71 "/>
    <n v="6"/>
    <n v="26"/>
    <s v="Home"/>
    <s v="Nail Polish"/>
    <s v="Beauty"/>
    <x v="0"/>
    <n v="844.26"/>
    <s v="Misaligned"/>
    <s v="50-64 Boomers"/>
    <s v="High Value Tier"/>
    <s v="Stable"/>
  </r>
  <r>
    <s v="ORD5101"/>
    <s v="CUST1101"/>
    <n v="49"/>
    <s v="PROD301"/>
    <s v="USA"/>
    <s v="4/15/2022"/>
    <s v="9/20/2024"/>
    <n v="2"/>
    <s v="active"/>
    <d v="2025-09-03T00:00:00"/>
    <s v=" $38.59 "/>
    <n v="9"/>
    <n v="48"/>
    <s v="Sports"/>
    <s v="Yoga Mat"/>
    <s v="Sports"/>
    <x v="1"/>
    <n v="347.31"/>
    <s v="Aligned"/>
    <s v="35-49 Gen X"/>
    <s v="High Value Tier"/>
    <s v="Stable"/>
  </r>
  <r>
    <s v="ORD5102"/>
    <s v="CUST1102"/>
    <n v="62"/>
    <s v="PROD302"/>
    <s v="USA"/>
    <s v="8/14/2023"/>
    <d v="2024-08-07T00:00:00"/>
    <n v="1"/>
    <s v="active"/>
    <s v="5/18/2025"/>
    <s v=" $196.79 "/>
    <n v="8"/>
    <n v="35"/>
    <s v="Clothing"/>
    <s v="Moisturizer"/>
    <s v="Beauty"/>
    <x v="0"/>
    <n v="1574.32"/>
    <s v="Misaligned"/>
    <s v="50-64 Boomers"/>
    <s v="High Value Tier"/>
    <s v="Stable"/>
  </r>
  <r>
    <s v="ORD5103"/>
    <s v="CUST1103"/>
    <n v="36"/>
    <s v="PROD303"/>
    <s v="Germany"/>
    <s v="6/18/2023"/>
    <d v="2025-06-04T00:00:00"/>
    <n v="4"/>
    <s v="active"/>
    <s v="1/27/2024"/>
    <s v=" $84.34 "/>
    <n v="5"/>
    <n v="41"/>
    <s v="Sports"/>
    <s v="Basketball"/>
    <s v="Sports"/>
    <x v="0"/>
    <n v="421.7"/>
    <s v="Aligned"/>
    <s v="35-49 Gen X"/>
    <s v="High Value Tier"/>
    <s v="Critical Risk"/>
  </r>
  <r>
    <s v="ORD5104"/>
    <s v="CUST1104"/>
    <n v="51"/>
    <s v="PROD304"/>
    <s v="USA"/>
    <s v="7/27/2022"/>
    <s v="10/17/2023"/>
    <n v="2"/>
    <s v="paused"/>
    <d v="2025-04-01T00:00:00"/>
    <s v=" $760.96 "/>
    <n v="1"/>
    <n v="13"/>
    <s v="Electronics"/>
    <s v="Foundation"/>
    <s v="Beauty"/>
    <x v="1"/>
    <n v="760.96"/>
    <s v="Misaligned"/>
    <s v="50-64 Boomers"/>
    <s v="High Value Tier"/>
    <s v="Elevated Risk"/>
  </r>
  <r>
    <s v="ORD5105"/>
    <s v="CUST1105"/>
    <n v="54"/>
    <s v="PROD305"/>
    <s v="India"/>
    <d v="2022-01-10T00:00:00"/>
    <d v="2024-10-11T00:00:00"/>
    <n v="4"/>
    <s v="active"/>
    <d v="2024-12-03T00:00:00"/>
    <s v=" $716.30 "/>
    <n v="2"/>
    <n v="24"/>
    <s v="Home"/>
    <s v="Smartphone"/>
    <s v="Electronics"/>
    <x v="0"/>
    <n v="1432.6"/>
    <s v="Misaligned"/>
    <s v="50-64 Boomers"/>
    <s v="High Value Tier"/>
    <s v="Critical Risk"/>
  </r>
  <r>
    <s v="ORD5106"/>
    <s v="CUST1106"/>
    <n v="27"/>
    <s v="PROD306"/>
    <s v="UK"/>
    <s v="9/15/2022"/>
    <s v="2/21/2025"/>
    <n v="0"/>
    <s v="cancelled"/>
    <s v="6/28/2025"/>
    <s v=" $396.36 "/>
    <n v="5"/>
    <n v="34"/>
    <s v="Sports"/>
    <s v="Chair"/>
    <s v="Home"/>
    <x v="0"/>
    <n v="1981.8"/>
    <s v="Misaligned"/>
    <s v="25-34 Millennials"/>
    <s v="High Value Tier"/>
    <s v="Stable"/>
  </r>
  <r>
    <s v="ORD5107"/>
    <s v="CUST1107"/>
    <n v="42"/>
    <s v="PROD307"/>
    <s v="Germany"/>
    <s v="10/16/2020"/>
    <d v="2022-08-03T00:00:00"/>
    <n v="0"/>
    <s v="active"/>
    <d v="2021-04-07T00:00:00"/>
    <s v=" $805.84 "/>
    <n v="2"/>
    <n v="39"/>
    <s v="Home"/>
    <s v="Cycling Helmet"/>
    <s v="Sports"/>
    <x v="0"/>
    <n v="1611.68"/>
    <s v="Misaligned"/>
    <s v="35-49 Gen X"/>
    <s v="High Value Tier"/>
    <s v="Stable"/>
  </r>
  <r>
    <s v="ORD5108"/>
    <s v="CUST1108"/>
    <n v="51"/>
    <s v="PROD308"/>
    <s v="India"/>
    <d v="2022-04-07T00:00:00"/>
    <d v="2024-11-11T00:00:00"/>
    <n v="3"/>
    <s v="cancelled"/>
    <s v="7/23/2024"/>
    <s v=" $107.67 "/>
    <n v="4"/>
    <n v="26"/>
    <s v="Clothing"/>
    <s v="Vacuum Cleaner"/>
    <s v="Home"/>
    <x v="2"/>
    <n v="430.68"/>
    <s v="Misaligned"/>
    <s v="50-64 Boomers"/>
    <s v="High Value Tier"/>
    <s v="Stable"/>
  </r>
  <r>
    <s v="ORD5109"/>
    <s v="CUST1109"/>
    <n v="39"/>
    <s v="PROD309"/>
    <s v="India"/>
    <d v="2022-06-11T00:00:00"/>
    <d v="2024-05-04T00:00:00"/>
    <n v="1"/>
    <s v="cancelled"/>
    <s v="9/14/2024"/>
    <s v=" $233.34 "/>
    <n v="6"/>
    <n v="44"/>
    <s v="Clothing"/>
    <s v="Perfume"/>
    <s v="Beauty"/>
    <x v="1"/>
    <n v="1400.04"/>
    <s v="Misaligned"/>
    <s v="35-49 Gen X"/>
    <s v="High Value Tier"/>
    <s v="Stable"/>
  </r>
  <r>
    <s v="ORD5110"/>
    <s v="CUST1110"/>
    <n v="23"/>
    <s v="PROD310"/>
    <s v="Canada"/>
    <s v="10/29/2022"/>
    <s v="8/21/2023"/>
    <n v="1"/>
    <s v="active"/>
    <d v="2024-05-04T00:00:00"/>
    <s v=" $353.80 "/>
    <n v="3"/>
    <n v="11"/>
    <s v="Electronics"/>
    <s v="Perfume"/>
    <s v="Beauty"/>
    <x v="0"/>
    <n v="1061.4000000000001"/>
    <s v="Misaligned"/>
    <s v="18-24 Gen Z"/>
    <s v="High Value Tier"/>
    <s v="Stable"/>
  </r>
  <r>
    <s v="ORD5111"/>
    <s v="CUST1111"/>
    <n v="59"/>
    <s v="PROD311"/>
    <s v="India"/>
    <s v="1/27/2023"/>
    <s v="12/26/2023"/>
    <n v="0"/>
    <s v="paused"/>
    <d v="2025-11-01T00:00:00"/>
    <s v=" $221.28 "/>
    <n v="8"/>
    <n v="41"/>
    <s v="Clothing"/>
    <s v="Jeans"/>
    <s v="Clothing"/>
    <x v="0"/>
    <n v="1770.24"/>
    <s v="Aligned"/>
    <s v="50-64 Boomers"/>
    <s v="High Value Tier"/>
    <s v="Elevated Risk"/>
  </r>
  <r>
    <s v="ORD5112"/>
    <s v="CUST1112"/>
    <n v="29"/>
    <s v="PROD312"/>
    <s v="Canada"/>
    <s v="2/13/2021"/>
    <d v="2023-05-10T00:00:00"/>
    <n v="4"/>
    <s v="paused"/>
    <s v="11/27/2024"/>
    <s v=" $247.78 "/>
    <n v="8"/>
    <n v="28"/>
    <s v="Electronics"/>
    <s v="Lipstick"/>
    <s v="Beauty"/>
    <x v="0"/>
    <n v="1982.24"/>
    <s v="Misaligned"/>
    <s v="25-34 Millennials"/>
    <s v="High Value Tier"/>
    <s v="Elevated Risk"/>
  </r>
  <r>
    <s v="ORD5113"/>
    <s v="CUST1113"/>
    <n v="50"/>
    <s v="PROD313"/>
    <s v="India"/>
    <d v="2023-11-08T00:00:00"/>
    <d v="2025-07-03T00:00:00"/>
    <n v="0"/>
    <s v="cancelled"/>
    <s v="10/26/2023"/>
    <s v=" $1,810.76 "/>
    <n v="1"/>
    <n v="13"/>
    <s v="Clothing"/>
    <s v="Yoga Mat"/>
    <s v="Sports"/>
    <x v="1"/>
    <n v="1810.76"/>
    <s v="Misaligned"/>
    <s v="50-64 Boomers"/>
    <s v="High Value Tier"/>
    <s v="Stable"/>
  </r>
  <r>
    <s v="ORD5114"/>
    <s v="CUST1114"/>
    <n v="31"/>
    <s v="PROD314"/>
    <s v="Pakistan"/>
    <s v="12/16/2021"/>
    <s v="5/27/2023"/>
    <n v="3"/>
    <s v="active"/>
    <d v="2023-01-11T00:00:00"/>
    <s v=" $164.62 "/>
    <n v="6"/>
    <n v="15"/>
    <s v="Sports"/>
    <s v="Sofa"/>
    <s v="Home"/>
    <x v="0"/>
    <n v="987.72"/>
    <s v="Misaligned"/>
    <s v="25-34 Millennials"/>
    <s v="High Value Tier"/>
    <s v="Stable"/>
  </r>
  <r>
    <s v="ORD5115"/>
    <s v="CUST1115"/>
    <n v="65"/>
    <s v="PROD315"/>
    <s v="Canada"/>
    <s v="7/26/2022"/>
    <d v="2022-01-10T00:00:00"/>
    <n v="3"/>
    <s v="active"/>
    <s v="6/15/2023"/>
    <s v=" $57.48 "/>
    <n v="5"/>
    <n v="42"/>
    <s v="Beauty"/>
    <s v="Tablet"/>
    <s v="Electronics"/>
    <x v="0"/>
    <n v="287.39999999999998"/>
    <s v="Misaligned"/>
    <s v="65+ Seniors"/>
    <s v="High Value Tier"/>
    <s v="Stable"/>
  </r>
  <r>
    <s v="ORD5116"/>
    <s v="CUST1116"/>
    <n v="28"/>
    <s v="PROD316"/>
    <s v="Canada"/>
    <s v="11/29/2022"/>
    <s v="9/28/2024"/>
    <n v="0"/>
    <s v="active"/>
    <s v="5/16/2024"/>
    <s v=" $431.26 "/>
    <n v="3"/>
    <n v="3"/>
    <s v="Electronics"/>
    <s v="Vacuum Cleaner"/>
    <s v="Home"/>
    <x v="0"/>
    <n v="1293.78"/>
    <s v="Misaligned"/>
    <s v="25-34 Millennials"/>
    <s v="High Value Tier"/>
    <s v="Stable"/>
  </r>
  <r>
    <s v="ORD5117"/>
    <s v="CUST1117"/>
    <n v="31"/>
    <s v="PROD317"/>
    <s v="Germany"/>
    <s v="12/30/2020"/>
    <d v="2021-09-06T00:00:00"/>
    <n v="0"/>
    <s v="cancelled"/>
    <d v="2023-02-03T00:00:00"/>
    <s v=" $205.69 "/>
    <n v="8"/>
    <n v="7"/>
    <s v="Clothing"/>
    <s v="Dress"/>
    <s v="Clothing"/>
    <x v="1"/>
    <n v="1645.52"/>
    <s v="Aligned"/>
    <s v="25-34 Millennials"/>
    <s v="High Value Tier"/>
    <s v="Stable"/>
  </r>
  <r>
    <s v="ORD5118"/>
    <s v="CUST1118"/>
    <n v="45"/>
    <s v="PROD318"/>
    <s v="Canada"/>
    <d v="2022-01-03T00:00:00"/>
    <s v="9/17/2024"/>
    <n v="1"/>
    <s v="active"/>
    <s v="8/22/2022"/>
    <s v=" $338.72 "/>
    <n v="1"/>
    <n v="22"/>
    <s v="Home"/>
    <s v="Hoodie"/>
    <s v="Clothing"/>
    <x v="1"/>
    <n v="338.72"/>
    <s v="Misaligned"/>
    <s v="35-49 Gen X"/>
    <s v="High Value Tier"/>
    <s v="Stable"/>
  </r>
  <r>
    <s v="ORD5119"/>
    <s v="CUST1119"/>
    <n v="19"/>
    <s v="PROD319"/>
    <s v="USA"/>
    <d v="2021-12-09T00:00:00"/>
    <s v="6/28/2024"/>
    <n v="1"/>
    <s v="active"/>
    <s v="10/24/2022"/>
    <s v=" $174.49 "/>
    <n v="9"/>
    <n v="25"/>
    <s v="Clothing"/>
    <s v="Lipstick"/>
    <s v="Beauty"/>
    <x v="0"/>
    <n v="1570.41"/>
    <s v="Misaligned"/>
    <s v="18-24 Gen Z"/>
    <s v="High Value Tier"/>
    <s v="Stable"/>
  </r>
  <r>
    <s v="ORD5120"/>
    <s v="CUST1120"/>
    <n v="64"/>
    <s v="PROD320"/>
    <s v="Pakistan"/>
    <s v="11/16/2020"/>
    <d v="2022-06-08T00:00:00"/>
    <n v="5"/>
    <s v="cancelled"/>
    <d v="2024-06-07T00:00:00"/>
    <s v=" $102.01 "/>
    <n v="6"/>
    <n v="1"/>
    <s v="Electronics"/>
    <s v="Tablet"/>
    <s v="Electronics"/>
    <x v="1"/>
    <n v="612.05999999999995"/>
    <s v="Aligned"/>
    <s v="50-64 Boomers"/>
    <s v="Value Tier"/>
    <s v="Stable"/>
  </r>
  <r>
    <s v="ORD5121"/>
    <s v="CUST1121"/>
    <n v="23"/>
    <s v="PROD321"/>
    <s v="UK"/>
    <s v="10/30/2022"/>
    <s v="4/27/2024"/>
    <n v="5"/>
    <s v="active"/>
    <s v="2/18/2023"/>
    <s v=" $389.99 "/>
    <n v="5"/>
    <n v="3"/>
    <s v="Home"/>
    <s v="Shirt"/>
    <s v="Clothing"/>
    <x v="1"/>
    <n v="1949.95"/>
    <s v="Misaligned"/>
    <s v="18-24 Gen Z"/>
    <s v="High Value Tier"/>
    <s v="Critical Risk"/>
  </r>
  <r>
    <s v="ORD5122"/>
    <s v="CUST1122"/>
    <n v="22"/>
    <s v="PROD322"/>
    <s v="UK"/>
    <d v="2022-03-12T00:00:00"/>
    <s v="12/19/2024"/>
    <n v="2"/>
    <s v="cancelled"/>
    <d v="2022-07-12T00:00:00"/>
    <s v=" $21.57 "/>
    <n v="6"/>
    <n v="49"/>
    <s v="Sports"/>
    <s v="Face Wash"/>
    <s v="Beauty"/>
    <x v="1"/>
    <n v="129.41999999999999"/>
    <s v="Misaligned"/>
    <s v="18-24 Gen Z"/>
    <s v="High Value Tier"/>
    <s v="Stable"/>
  </r>
  <r>
    <s v="ORD5123"/>
    <s v="CUST1123"/>
    <n v="68"/>
    <s v="PROD323"/>
    <s v="USA"/>
    <s v="4/25/2023"/>
    <s v="9/24/2024"/>
    <n v="1"/>
    <s v="cancelled"/>
    <s v="3/26/2025"/>
    <s v=" $649.18 "/>
    <n v="2"/>
    <n v="38"/>
    <s v="Electronics"/>
    <s v="Gaming Console"/>
    <s v="Electronics"/>
    <x v="1"/>
    <n v="1298.3599999999999"/>
    <s v="Aligned"/>
    <s v="65+ Seniors"/>
    <s v="High Value Tier"/>
    <s v="Stable"/>
  </r>
  <r>
    <s v="ORD5124"/>
    <s v="CUST1124"/>
    <n v="61"/>
    <s v="PROD324"/>
    <s v="Canada"/>
    <s v="2/19/2023"/>
    <s v="4/23/2025"/>
    <n v="3"/>
    <s v="cancelled"/>
    <s v="7/29/2025"/>
    <s v=" $964.88 "/>
    <n v="2"/>
    <n v="5"/>
    <s v="Clothing"/>
    <s v="Running Shoes"/>
    <s v="Sports"/>
    <x v="0"/>
    <n v="1929.76"/>
    <s v="Misaligned"/>
    <s v="50-64 Boomers"/>
    <s v="High Value Tier"/>
    <s v="Stable"/>
  </r>
  <r>
    <s v="ORD5125"/>
    <s v="CUST1125"/>
    <n v="52"/>
    <s v="PROD325"/>
    <s v="UK"/>
    <s v="5/20/2023"/>
    <d v="2024-08-02T00:00:00"/>
    <n v="0"/>
    <s v="active"/>
    <d v="2025-11-05T00:00:00"/>
    <s v=" $201.06 "/>
    <n v="8"/>
    <n v="28"/>
    <s v="Home"/>
    <s v="Lamp"/>
    <s v="Home"/>
    <x v="1"/>
    <n v="1608.48"/>
    <s v="Aligned"/>
    <s v="50-64 Boomers"/>
    <s v="High Value Tier"/>
    <s v="Stable"/>
  </r>
  <r>
    <s v="ORD5126"/>
    <s v="CUST1126"/>
    <n v="35"/>
    <s v="PROD326"/>
    <s v="UK"/>
    <d v="2021-09-06T00:00:00"/>
    <s v="10/18/2024"/>
    <n v="1"/>
    <s v="active"/>
    <s v="5/31/2022"/>
    <s v=" $178.81 "/>
    <n v="1"/>
    <n v="41"/>
    <s v="Electronics"/>
    <s v="Smartwatch"/>
    <s v="Electronics"/>
    <x v="0"/>
    <n v="178.81"/>
    <s v="Aligned"/>
    <s v="35-49 Gen X"/>
    <s v="High Value Tier"/>
    <s v="Stable"/>
  </r>
  <r>
    <s v="ORD5127"/>
    <s v="CUST1127"/>
    <n v="45"/>
    <s v="PROD327"/>
    <s v="Germany"/>
    <s v="7/25/2022"/>
    <s v="2/27/2023"/>
    <n v="2"/>
    <s v="cancelled"/>
    <s v="11/14/2023"/>
    <s v=" $167.69 "/>
    <n v="5"/>
    <n v="49"/>
    <s v="Electronics"/>
    <s v="Headphones"/>
    <s v="Electronics"/>
    <x v="0"/>
    <n v="838.45"/>
    <s v="Aligned"/>
    <s v="35-49 Gen X"/>
    <s v="High Value Tier"/>
    <s v="Stable"/>
  </r>
  <r>
    <s v="ORD5128"/>
    <s v="CUST1128"/>
    <n v="49"/>
    <s v="PROD328"/>
    <s v="Germany"/>
    <s v="9/28/2022"/>
    <d v="2022-12-10T00:00:00"/>
    <n v="2"/>
    <s v="active"/>
    <d v="2024-03-03T00:00:00"/>
    <s v=" $19.56 "/>
    <n v="6"/>
    <n v="43"/>
    <s v="Beauty"/>
    <s v="Bluetooth Speaker"/>
    <s v="Electronics"/>
    <x v="0"/>
    <n v="117.36"/>
    <s v="Misaligned"/>
    <s v="35-49 Gen X"/>
    <s v="High Value Tier"/>
    <s v="Stable"/>
  </r>
  <r>
    <s v="ORD5129"/>
    <s v="CUST1129"/>
    <n v="31"/>
    <s v="PROD329"/>
    <s v="UK"/>
    <s v="4/24/2021"/>
    <d v="2024-10-01T00:00:00"/>
    <n v="0"/>
    <s v="active"/>
    <d v="2023-04-08T00:00:00"/>
    <s v=" $170.27 "/>
    <n v="3"/>
    <n v="34"/>
    <s v="Electronics"/>
    <s v="Shampoo"/>
    <s v="Beauty"/>
    <x v="1"/>
    <n v="510.81"/>
    <s v="Misaligned"/>
    <s v="25-34 Millennials"/>
    <s v="High Value Tier"/>
    <s v="Stable"/>
  </r>
  <r>
    <s v="ORD5130"/>
    <s v="CUST1130"/>
    <n v="33"/>
    <s v="PROD330"/>
    <s v="Germany"/>
    <s v="10/20/2022"/>
    <d v="2024-07-08T00:00:00"/>
    <n v="3"/>
    <s v="cancelled"/>
    <s v="10/31/2022"/>
    <s v=" $968.05 "/>
    <n v="2"/>
    <n v="3"/>
    <s v="Clothing"/>
    <s v="Smartwatch"/>
    <s v="Electronics"/>
    <x v="1"/>
    <n v="1936.1"/>
    <s v="Misaligned"/>
    <s v="25-34 Millennials"/>
    <s v="High Value Tier"/>
    <s v="Stable"/>
  </r>
  <r>
    <s v="ORD5131"/>
    <s v="CUST1131"/>
    <n v="21"/>
    <s v="PROD331"/>
    <s v="UK"/>
    <d v="2021-08-11T00:00:00"/>
    <s v="1/25/2025"/>
    <n v="0"/>
    <s v="cancelled"/>
    <s v="4/14/2025"/>
    <s v=" $184.34 "/>
    <n v="6"/>
    <n v="13"/>
    <s v="Home"/>
    <s v="Tablet"/>
    <s v="Electronics"/>
    <x v="0"/>
    <n v="1106.04"/>
    <s v="Misaligned"/>
    <s v="18-24 Gen Z"/>
    <s v="High Value Tier"/>
    <s v="Stable"/>
  </r>
  <r>
    <s v="ORD5132"/>
    <s v="CUST1132"/>
    <n v="59"/>
    <s v="PROD332"/>
    <s v="USA"/>
    <s v="7/13/2022"/>
    <d v="2023-12-06T00:00:00"/>
    <n v="3"/>
    <s v="active"/>
    <d v="2025-08-08T00:00:00"/>
    <s v=" $332.14 "/>
    <n v="4"/>
    <n v="3"/>
    <s v="Electronics"/>
    <s v="Skirt"/>
    <s v="Clothing"/>
    <x v="0"/>
    <n v="1328.56"/>
    <s v="Misaligned"/>
    <s v="50-64 Boomers"/>
    <s v="High Value Tier"/>
    <s v="Stable"/>
  </r>
  <r>
    <s v="ORD5133"/>
    <s v="CUST1133"/>
    <n v="46"/>
    <s v="PROD333"/>
    <s v="Germany"/>
    <s v="6/29/2021"/>
    <d v="2022-04-11T00:00:00"/>
    <n v="2"/>
    <s v="active"/>
    <d v="2025-02-06T00:00:00"/>
    <s v=" $42.65 "/>
    <n v="5"/>
    <n v="34"/>
    <s v="Home"/>
    <s v="Tennis Racket"/>
    <s v="Sports"/>
    <x v="0"/>
    <n v="213.25"/>
    <s v="Misaligned"/>
    <s v="35-49 Gen X"/>
    <s v="High Value Tier"/>
    <s v="Stable"/>
  </r>
  <r>
    <s v="ORD5134"/>
    <s v="CUST1134"/>
    <n v="35"/>
    <s v="PROD334"/>
    <s v="UK"/>
    <d v="2021-05-09T00:00:00"/>
    <s v="11/18/2024"/>
    <n v="1"/>
    <s v="active"/>
    <s v="11/28/2022"/>
    <s v=" $21.30 "/>
    <n v="9"/>
    <n v="43"/>
    <s v="Beauty"/>
    <s v="Cycling Helmet"/>
    <s v="Sports"/>
    <x v="1"/>
    <n v="191.7"/>
    <s v="Misaligned"/>
    <s v="35-49 Gen X"/>
    <s v="High Value Tier"/>
    <s v="Stable"/>
  </r>
  <r>
    <s v="ORD5135"/>
    <s v="CUST1135"/>
    <n v="51"/>
    <s v="PROD335"/>
    <s v="USA"/>
    <s v="5/20/2023"/>
    <s v="5/17/2024"/>
    <n v="5"/>
    <s v="cancelled"/>
    <s v="6/25/2024"/>
    <s v=" $111.78 "/>
    <n v="7"/>
    <n v="28"/>
    <s v="Clothing"/>
    <s v="Microwave"/>
    <s v="Home"/>
    <x v="1"/>
    <n v="782.46"/>
    <s v="Misaligned"/>
    <s v="50-64 Boomers"/>
    <s v="High Value Tier"/>
    <s v="Stable"/>
  </r>
  <r>
    <s v="ORD5136"/>
    <s v="CUST1136"/>
    <n v="51"/>
    <s v="PROD336"/>
    <s v="India"/>
    <d v="2022-10-01T00:00:00"/>
    <d v="2022-08-07T00:00:00"/>
    <n v="1"/>
    <s v="active"/>
    <d v="2023-06-04T00:00:00"/>
    <s v=" $103.26 "/>
    <n v="7"/>
    <n v="25"/>
    <s v="Beauty"/>
    <s v="Face Wash"/>
    <s v="Beauty"/>
    <x v="0"/>
    <n v="722.82"/>
    <s v="Aligned"/>
    <s v="50-64 Boomers"/>
    <s v="High Value Tier"/>
    <s v="Stable"/>
  </r>
  <r>
    <s v="ORD5137"/>
    <s v="CUST1137"/>
    <n v="39"/>
    <s v="PROD337"/>
    <s v="USA"/>
    <d v="2021-02-05T00:00:00"/>
    <d v="2024-11-07T00:00:00"/>
    <n v="3"/>
    <s v="active"/>
    <s v="6/30/2025"/>
    <s v=" $5.48 "/>
    <n v="9"/>
    <n v="11"/>
    <s v="Electronics"/>
    <s v="Headphones"/>
    <s v="Electronics"/>
    <x v="0"/>
    <n v="49.32"/>
    <s v="Aligned"/>
    <s v="35-49 Gen X"/>
    <s v="Value Tier"/>
    <s v="Stable"/>
  </r>
  <r>
    <s v="ORD5138"/>
    <s v="CUST1138"/>
    <n v="36"/>
    <s v="PROD338"/>
    <s v="Germany"/>
    <d v="2023-07-04T00:00:00"/>
    <d v="2023-09-05T00:00:00"/>
    <n v="3"/>
    <s v="active"/>
    <d v="2025-11-07T00:00:00"/>
    <s v=" $151.96 "/>
    <n v="5"/>
    <n v="16"/>
    <s v="Sports"/>
    <s v="Cycling Helmet"/>
    <s v="Sports"/>
    <x v="0"/>
    <n v="759.8"/>
    <s v="Aligned"/>
    <s v="35-49 Gen X"/>
    <s v="High Value Tier"/>
    <s v="Stable"/>
  </r>
  <r>
    <s v="ORD5139"/>
    <s v="CUST1139"/>
    <n v="49"/>
    <s v="PROD339"/>
    <s v="Pakistan"/>
    <d v="2023-07-06T00:00:00"/>
    <s v="7/19/2023"/>
    <n v="3"/>
    <s v="active"/>
    <s v="3/23/2025"/>
    <s v=" $152.78 "/>
    <n v="9"/>
    <n v="12"/>
    <s v="Electronics"/>
    <s v="Sneakers"/>
    <s v="Clothing"/>
    <x v="0"/>
    <n v="1375.02"/>
    <s v="Misaligned"/>
    <s v="35-49 Gen X"/>
    <s v="High Value Tier"/>
    <s v="Stable"/>
  </r>
  <r>
    <s v="ORD5140"/>
    <s v="CUST1140"/>
    <n v="55"/>
    <s v="PROD340"/>
    <s v="UK"/>
    <s v="2/14/2022"/>
    <s v="2/25/2024"/>
    <n v="2"/>
    <s v="active"/>
    <d v="2024-05-12T00:00:00"/>
    <s v=" $179.86 "/>
    <n v="7"/>
    <n v="3"/>
    <s v="Clothing"/>
    <s v="Cycling Helmet"/>
    <s v="Sports"/>
    <x v="1"/>
    <n v="1259.02"/>
    <s v="Misaligned"/>
    <s v="50-64 Boomers"/>
    <s v="High Value Tier"/>
    <s v="Stable"/>
  </r>
  <r>
    <s v="ORD5141"/>
    <s v="CUST1141"/>
    <n v="19"/>
    <s v="PROD341"/>
    <s v="Germany"/>
    <s v="3/24/2023"/>
    <d v="2024-03-11T00:00:00"/>
    <n v="4"/>
    <s v="cancelled"/>
    <s v="12/30/2023"/>
    <s v=" $218.72 "/>
    <n v="8"/>
    <n v="9"/>
    <s v="Clothing"/>
    <s v="Sneakers"/>
    <s v="Clothing"/>
    <x v="0"/>
    <n v="1749.76"/>
    <s v="Aligned"/>
    <s v="18-24 Gen Z"/>
    <s v="High Value Tier"/>
    <s v="Stable"/>
  </r>
  <r>
    <s v="ORD5142"/>
    <s v="CUST1142"/>
    <n v="47"/>
    <s v="PROD342"/>
    <s v="UK"/>
    <d v="2023-02-06T00:00:00"/>
    <s v="3/28/2025"/>
    <n v="0"/>
    <s v="cancelled"/>
    <s v="8/24/2023"/>
    <s v=" $177.72 "/>
    <n v="4"/>
    <n v="46"/>
    <s v="Clothing"/>
    <s v="T-Shirt"/>
    <s v="Clothing"/>
    <x v="0"/>
    <n v="710.88"/>
    <s v="Aligned"/>
    <s v="35-49 Gen X"/>
    <s v="High Value Tier"/>
    <s v="Stable"/>
  </r>
  <r>
    <s v="ORD5143"/>
    <s v="CUST1143"/>
    <n v="53"/>
    <s v="PROD343"/>
    <s v="India"/>
    <s v="10/20/2021"/>
    <s v="4/26/2025"/>
    <n v="5"/>
    <s v="active"/>
    <s v="9/16/2024"/>
    <s v=" $224.37 "/>
    <n v="4"/>
    <n v="30"/>
    <s v="Electronics"/>
    <s v="Conditioner"/>
    <s v="Beauty"/>
    <x v="0"/>
    <n v="897.48"/>
    <s v="Misaligned"/>
    <s v="50-64 Boomers"/>
    <s v="High Value Tier"/>
    <s v="Critical Risk"/>
  </r>
  <r>
    <s v="ORD5144"/>
    <s v="CUST1144"/>
    <n v="46"/>
    <s v="PROD344"/>
    <s v="India"/>
    <d v="2021-10-11T00:00:00"/>
    <s v="6/26/2024"/>
    <n v="3"/>
    <s v="active"/>
    <s v="8/19/2025"/>
    <s v=" $283.60 "/>
    <n v="7"/>
    <n v="18"/>
    <s v="Electronics"/>
    <s v="Dress"/>
    <s v="Clothing"/>
    <x v="0"/>
    <n v="1985.2"/>
    <s v="Misaligned"/>
    <s v="35-49 Gen X"/>
    <s v="High Value Tier"/>
    <s v="Stable"/>
  </r>
  <r>
    <s v="ORD5145"/>
    <s v="CUST1145"/>
    <n v="48"/>
    <s v="PROD345"/>
    <s v="Germany"/>
    <d v="2021-07-08T00:00:00"/>
    <d v="2024-05-09T00:00:00"/>
    <n v="2"/>
    <s v="cancelled"/>
    <d v="2023-06-07T00:00:00"/>
    <s v=" $167.00 "/>
    <n v="9"/>
    <n v="23"/>
    <s v="Clothing"/>
    <s v="Skirt"/>
    <s v="Clothing"/>
    <x v="1"/>
    <n v="1503"/>
    <s v="Aligned"/>
    <s v="35-49 Gen X"/>
    <s v="High Value Tier"/>
    <s v="Stable"/>
  </r>
  <r>
    <s v="ORD5146"/>
    <s v="CUST1146"/>
    <n v="47"/>
    <s v="PROD346"/>
    <s v="USA"/>
    <s v="3/17/2021"/>
    <s v="10/30/2023"/>
    <n v="1"/>
    <s v="active"/>
    <s v="1/25/2023"/>
    <s v=" $121.06 "/>
    <n v="6"/>
    <n v="24"/>
    <s v="Beauty"/>
    <s v="Jeans"/>
    <s v="Clothing"/>
    <x v="0"/>
    <n v="726.36"/>
    <s v="Misaligned"/>
    <s v="35-49 Gen X"/>
    <s v="High Value Tier"/>
    <s v="Stable"/>
  </r>
  <r>
    <s v="ORD5147"/>
    <s v="CUST1147"/>
    <n v="26"/>
    <s v="PROD347"/>
    <s v="Germany"/>
    <s v="8/24/2022"/>
    <s v="2/28/2025"/>
    <n v="5"/>
    <s v="active"/>
    <s v="7/19/2025"/>
    <s v=" $433.59 "/>
    <n v="3"/>
    <n v="28"/>
    <s v="Beauty"/>
    <s v="Headphones"/>
    <s v="Electronics"/>
    <x v="2"/>
    <n v="1300.77"/>
    <s v="Misaligned"/>
    <s v="25-34 Millennials"/>
    <s v="High Value Tier"/>
    <s v="Critical Risk"/>
  </r>
  <r>
    <s v="ORD5148"/>
    <s v="CUST1148"/>
    <n v="20"/>
    <s v="PROD348"/>
    <s v="India"/>
    <d v="2021-05-12T00:00:00"/>
    <s v="7/25/2024"/>
    <n v="1"/>
    <s v="active"/>
    <s v="2/16/2025"/>
    <s v=" $230.28 "/>
    <n v="5"/>
    <n v="17"/>
    <s v="Beauty"/>
    <s v="Lamp"/>
    <s v="Home"/>
    <x v="1"/>
    <n v="1151.4000000000001"/>
    <s v="Misaligned"/>
    <s v="18-24 Gen Z"/>
    <s v="High Value Tier"/>
    <s v="Stable"/>
  </r>
  <r>
    <s v="ORD5149"/>
    <s v="CUST1149"/>
    <n v="51"/>
    <s v="PROD349"/>
    <s v="Germany"/>
    <s v="9/23/2021"/>
    <d v="2024-05-02T00:00:00"/>
    <n v="2"/>
    <s v="cancelled"/>
    <s v="1/24/2024"/>
    <s v=" $8.24 "/>
    <n v="6"/>
    <n v="37"/>
    <s v="Clothing"/>
    <s v="Nail Polish"/>
    <s v="Beauty"/>
    <x v="1"/>
    <n v="49.44"/>
    <s v="Misaligned"/>
    <s v="50-64 Boomers"/>
    <s v="Core Tier"/>
    <s v="Stable"/>
  </r>
  <r>
    <s v="ORD5150"/>
    <s v="CUST1150"/>
    <n v="20"/>
    <s v="PROD350"/>
    <s v="Germany"/>
    <s v="9/22/2021"/>
    <d v="2022-07-10T00:00:00"/>
    <n v="3"/>
    <s v="cancelled"/>
    <d v="2024-05-05T00:00:00"/>
    <s v=" $634.46 "/>
    <n v="3"/>
    <n v="40"/>
    <s v="Clothing"/>
    <s v="Shirt"/>
    <s v="Clothing"/>
    <x v="1"/>
    <n v="1903.38"/>
    <s v="Aligned"/>
    <s v="18-24 Gen Z"/>
    <s v="High Value Tier"/>
    <s v="Stable"/>
  </r>
  <r>
    <s v="ORD5151"/>
    <s v="CUST1151"/>
    <n v="49"/>
    <s v="PROD351"/>
    <s v="USA"/>
    <s v="12/26/2020"/>
    <d v="2022-01-05T00:00:00"/>
    <n v="3"/>
    <s v="active"/>
    <s v="5/16/2021"/>
    <s v=" $156.77 "/>
    <n v="8"/>
    <n v="40"/>
    <s v="Sports"/>
    <s v="Nail Polish"/>
    <s v="Beauty"/>
    <x v="0"/>
    <n v="1254.1600000000001"/>
    <s v="Misaligned"/>
    <s v="35-49 Gen X"/>
    <s v="High Value Tier"/>
    <s v="Stable"/>
  </r>
  <r>
    <s v="ORD5152"/>
    <s v="CUST1152"/>
    <n v="27"/>
    <s v="PROD352"/>
    <s v="Pakistan"/>
    <d v="2021-09-11T00:00:00"/>
    <s v="1/18/2023"/>
    <n v="5"/>
    <s v="active"/>
    <s v="1/25/2024"/>
    <s v=" $172.17 "/>
    <n v="7"/>
    <n v="41"/>
    <s v="Home"/>
    <s v="Microwave"/>
    <s v="Home"/>
    <x v="0"/>
    <n v="1205.19"/>
    <s v="Aligned"/>
    <s v="25-34 Millennials"/>
    <s v="High Value Tier"/>
    <s v="Critical Risk"/>
  </r>
  <r>
    <s v="ORD5153"/>
    <s v="CUST1153"/>
    <n v="52"/>
    <s v="PROD353"/>
    <s v="India"/>
    <s v="7/27/2022"/>
    <d v="2024-08-07T00:00:00"/>
    <n v="2"/>
    <s v="active"/>
    <s v="9/15/2022"/>
    <s v=" $1,308.29 "/>
    <n v="1"/>
    <n v="18"/>
    <s v="Clothing"/>
    <s v="Jacket"/>
    <s v="Clothing"/>
    <x v="0"/>
    <n v="1308.29"/>
    <s v="Aligned"/>
    <s v="50-64 Boomers"/>
    <s v="High Value Tier"/>
    <s v="Stable"/>
  </r>
  <r>
    <s v="ORD5154"/>
    <s v="CUST1154"/>
    <n v="24"/>
    <s v="PROD354"/>
    <s v="UK"/>
    <s v="10/13/2020"/>
    <s v="12/20/2024"/>
    <n v="1"/>
    <s v="cancelled"/>
    <s v="3/17/2021"/>
    <s v=" $773.00 "/>
    <n v="2"/>
    <n v="42"/>
    <s v="Home"/>
    <s v="Face Wash"/>
    <s v="Beauty"/>
    <x v="2"/>
    <n v="1546"/>
    <s v="Misaligned"/>
    <s v="18-24 Gen Z"/>
    <s v="High Value Tier"/>
    <s v="Stable"/>
  </r>
  <r>
    <s v="ORD5155"/>
    <s v="CUST1155"/>
    <n v="54"/>
    <s v="PROD355"/>
    <s v="UK"/>
    <s v="8/28/2022"/>
    <s v="1/30/2025"/>
    <n v="1"/>
    <s v="cancelled"/>
    <s v="7/28/2023"/>
    <s v=" $37.35 "/>
    <n v="1"/>
    <n v="7"/>
    <s v="Home"/>
    <s v="Sneakers"/>
    <s v="Clothing"/>
    <x v="0"/>
    <n v="37.35"/>
    <s v="Misaligned"/>
    <s v="50-64 Boomers"/>
    <s v="Value Tier"/>
    <s v="Stable"/>
  </r>
  <r>
    <s v="ORD5156"/>
    <s v="CUST1156"/>
    <n v="42"/>
    <s v="PROD356"/>
    <s v="Pakistan"/>
    <d v="2021-06-10T00:00:00"/>
    <d v="2024-12-08T00:00:00"/>
    <n v="0"/>
    <s v="active"/>
    <s v="9/18/2022"/>
    <s v=" $210.51 "/>
    <n v="2"/>
    <n v="1"/>
    <s v="Home"/>
    <s v="Jacket"/>
    <s v="Clothing"/>
    <x v="1"/>
    <n v="421.02"/>
    <s v="Misaligned"/>
    <s v="35-49 Gen X"/>
    <s v="Value Tier"/>
    <s v="Stable"/>
  </r>
  <r>
    <s v="ORD5157"/>
    <s v="CUST1157"/>
    <n v="55"/>
    <s v="PROD357"/>
    <s v="Canada"/>
    <s v="7/17/2022"/>
    <d v="2024-07-02T00:00:00"/>
    <n v="4"/>
    <s v="cancelled"/>
    <s v="7/29/2022"/>
    <s v=" $184.94 "/>
    <n v="7"/>
    <n v="45"/>
    <s v="Home"/>
    <s v="Hoodie"/>
    <s v="Clothing"/>
    <x v="1"/>
    <n v="1294.58"/>
    <s v="Misaligned"/>
    <s v="50-64 Boomers"/>
    <s v="High Value Tier"/>
    <s v="Stable"/>
  </r>
  <r>
    <s v="ORD5158"/>
    <s v="CUST1158"/>
    <n v="35"/>
    <s v="PROD358"/>
    <s v="Pakistan"/>
    <s v="11/22/2020"/>
    <s v="10/14/2021"/>
    <n v="4"/>
    <s v="active"/>
    <d v="2021-09-04T00:00:00"/>
    <s v=" $34.88 "/>
    <n v="5"/>
    <n v="24"/>
    <s v="Beauty"/>
    <s v="Lamp"/>
    <s v="Home"/>
    <x v="0"/>
    <n v="174.4"/>
    <s v="Misaligned"/>
    <s v="35-49 Gen X"/>
    <s v="High Value Tier"/>
    <s v="Critical Risk"/>
  </r>
  <r>
    <s v="ORD5159"/>
    <s v="CUST1159"/>
    <n v="31"/>
    <s v="PROD359"/>
    <s v="Pakistan"/>
    <d v="2022-09-04T00:00:00"/>
    <d v="2024-09-08T00:00:00"/>
    <n v="3"/>
    <s v="active"/>
    <s v="5/17/2024"/>
    <s v=" $23.82 "/>
    <n v="9"/>
    <n v="1"/>
    <s v="Clothing"/>
    <s v="Foundation"/>
    <s v="Beauty"/>
    <x v="1"/>
    <n v="214.38"/>
    <s v="Misaligned"/>
    <s v="25-34 Millennials"/>
    <s v="Value Tier"/>
    <s v="Stable"/>
  </r>
  <r>
    <s v="ORD5160"/>
    <s v="CUST1160"/>
    <n v="21"/>
    <s v="PROD360"/>
    <s v="Germany"/>
    <s v="5/22/2022"/>
    <d v="2022-02-11T00:00:00"/>
    <n v="1"/>
    <s v="active"/>
    <d v="2022-07-08T00:00:00"/>
    <s v=" $241.30 "/>
    <n v="6"/>
    <n v="21"/>
    <s v="Clothing"/>
    <s v="Yoga Mat"/>
    <s v="Sports"/>
    <x v="1"/>
    <n v="1447.8"/>
    <s v="Misaligned"/>
    <s v="18-24 Gen Z"/>
    <s v="High Value Tier"/>
    <s v="Stable"/>
  </r>
  <r>
    <s v="ORD5161"/>
    <s v="CUST1161"/>
    <n v="65"/>
    <s v="PROD361"/>
    <s v="Canada"/>
    <s v="7/30/2022"/>
    <s v="8/13/2022"/>
    <n v="5"/>
    <s v="active"/>
    <s v="7/27/2025"/>
    <s v=" $292.25 "/>
    <n v="3"/>
    <n v="24"/>
    <s v="Beauty"/>
    <s v="Tennis Racket"/>
    <s v="Sports"/>
    <x v="0"/>
    <n v="876.75"/>
    <s v="Misaligned"/>
    <s v="65+ Seniors"/>
    <s v="High Value Tier"/>
    <s v="Critical Risk"/>
  </r>
  <r>
    <s v="ORD5162"/>
    <s v="CUST1162"/>
    <n v="30"/>
    <s v="PROD362"/>
    <s v="Canada"/>
    <s v="9/30/2020"/>
    <s v="9/30/2023"/>
    <n v="4"/>
    <s v="cancelled"/>
    <d v="2022-04-03T00:00:00"/>
    <s v=" $139.58 "/>
    <n v="6"/>
    <n v="44"/>
    <s v="Clothing"/>
    <s v="Blender"/>
    <s v="Home"/>
    <x v="0"/>
    <n v="837.48"/>
    <s v="Misaligned"/>
    <s v="25-34 Millennials"/>
    <s v="High Value Tier"/>
    <s v="Stable"/>
  </r>
  <r>
    <s v="ORD5163"/>
    <s v="CUST1163"/>
    <n v="38"/>
    <s v="PROD363"/>
    <s v="Pakistan"/>
    <d v="2023-02-07T00:00:00"/>
    <s v="12/21/2024"/>
    <n v="4"/>
    <s v="cancelled"/>
    <s v="10/16/2023"/>
    <s v=" $400.08 "/>
    <n v="4"/>
    <n v="38"/>
    <s v="Clothing"/>
    <s v="Running Shoes"/>
    <s v="Sports"/>
    <x v="0"/>
    <n v="1600.32"/>
    <s v="Misaligned"/>
    <s v="35-49 Gen X"/>
    <s v="High Value Tier"/>
    <s v="Stable"/>
  </r>
  <r>
    <s v="ORD5164"/>
    <s v="CUST1164"/>
    <n v="64"/>
    <s v="PROD364"/>
    <s v="Germany"/>
    <s v="11/19/2022"/>
    <s v="3/14/2023"/>
    <n v="3"/>
    <s v="paused"/>
    <d v="2023-01-08T00:00:00"/>
    <s v=" $901.20 "/>
    <n v="2"/>
    <n v="34"/>
    <s v="Electronics"/>
    <s v="Vacuum Cleaner"/>
    <s v="Home"/>
    <x v="1"/>
    <n v="1802.4"/>
    <s v="Misaligned"/>
    <s v="50-64 Boomers"/>
    <s v="High Value Tier"/>
    <s v="Elevated Risk"/>
  </r>
  <r>
    <s v="ORD5165"/>
    <s v="CUST1165"/>
    <n v="45"/>
    <s v="PROD365"/>
    <s v="Germany"/>
    <d v="2023-12-05T00:00:00"/>
    <d v="2024-10-08T00:00:00"/>
    <n v="5"/>
    <s v="active"/>
    <d v="2025-11-06T00:00:00"/>
    <s v=" $597.67 "/>
    <n v="3"/>
    <n v="9"/>
    <s v="Electronics"/>
    <s v="Blender"/>
    <s v="Home"/>
    <x v="1"/>
    <n v="1793.01"/>
    <s v="Misaligned"/>
    <s v="35-49 Gen X"/>
    <s v="High Value Tier"/>
    <s v="Critical Risk"/>
  </r>
  <r>
    <s v="ORD5166"/>
    <s v="CUST1166"/>
    <n v="41"/>
    <s v="PROD366"/>
    <s v="UK"/>
    <d v="2021-03-09T00:00:00"/>
    <s v="11/23/2024"/>
    <n v="2"/>
    <s v="cancelled"/>
    <d v="2023-04-02T00:00:00"/>
    <s v=" $77.76 "/>
    <n v="3"/>
    <n v="3"/>
    <s v="Electronics"/>
    <s v="Running Shoes"/>
    <s v="Sports"/>
    <x v="1"/>
    <n v="233.28"/>
    <s v="Misaligned"/>
    <s v="35-49 Gen X"/>
    <s v="Value Tier"/>
    <s v="Stable"/>
  </r>
  <r>
    <s v="ORD5167"/>
    <s v="CUST1167"/>
    <n v="38"/>
    <s v="PROD367"/>
    <s v="Pakistan"/>
    <s v="11/23/2021"/>
    <s v="6/13/2023"/>
    <n v="1"/>
    <s v="cancelled"/>
    <d v="2022-02-12T00:00:00"/>
    <s v=" $15.80 "/>
    <n v="6"/>
    <n v="8"/>
    <s v="Home"/>
    <s v="Cricket Bat"/>
    <s v="Sports"/>
    <x v="1"/>
    <n v="94.8"/>
    <s v="Misaligned"/>
    <s v="35-49 Gen X"/>
    <s v="Core Tier"/>
    <s v="Stable"/>
  </r>
  <r>
    <s v="ORD5168"/>
    <s v="CUST1168"/>
    <n v="62"/>
    <s v="PROD368"/>
    <s v="Germany"/>
    <s v="1/23/2021"/>
    <d v="2023-04-01T00:00:00"/>
    <n v="2"/>
    <s v="active"/>
    <d v="2023-09-08T00:00:00"/>
    <s v=" $151.98 "/>
    <n v="5"/>
    <n v="36"/>
    <s v="Home"/>
    <s v="Running Shoes"/>
    <s v="Sports"/>
    <x v="2"/>
    <n v="759.9"/>
    <s v="Misaligned"/>
    <s v="50-64 Boomers"/>
    <s v="High Value Tier"/>
    <s v="Stable"/>
  </r>
  <r>
    <s v="ORD5169"/>
    <s v="CUST1169"/>
    <n v="47"/>
    <s v="PROD369"/>
    <s v="India"/>
    <d v="2021-02-05T00:00:00"/>
    <s v="10/28/2022"/>
    <n v="5"/>
    <s v="active"/>
    <s v="5/16/2021"/>
    <s v=" $35.32 "/>
    <n v="6"/>
    <n v="49"/>
    <s v="Sports"/>
    <s v="Shirt"/>
    <s v="Clothing"/>
    <x v="1"/>
    <n v="211.92"/>
    <s v="Misaligned"/>
    <s v="35-49 Gen X"/>
    <s v="High Value Tier"/>
    <s v="Critical Risk"/>
  </r>
  <r>
    <s v="ORD5170"/>
    <s v="CUST1170"/>
    <n v="65"/>
    <s v="PROD370"/>
    <s v="UK"/>
    <d v="2021-09-05T00:00:00"/>
    <d v="2024-01-05T00:00:00"/>
    <n v="5"/>
    <s v="active"/>
    <s v="2/27/2025"/>
    <s v=" $161.03 "/>
    <n v="9"/>
    <n v="47"/>
    <s v="Electronics"/>
    <s v="Basketball"/>
    <s v="Sports"/>
    <x v="0"/>
    <n v="1449.27"/>
    <s v="Misaligned"/>
    <s v="65+ Seniors"/>
    <s v="High Value Tier"/>
    <s v="Critical Risk"/>
  </r>
  <r>
    <s v="ORD5171"/>
    <s v="CUST1171"/>
    <n v="36"/>
    <s v="PROD371"/>
    <s v="UK"/>
    <s v="4/17/2021"/>
    <d v="2024-12-06T00:00:00"/>
    <n v="1"/>
    <s v="cancelled"/>
    <s v="9/17/2022"/>
    <s v=" $621.17 "/>
    <n v="2"/>
    <n v="2"/>
    <s v="Home"/>
    <s v="Sneakers"/>
    <s v="Clothing"/>
    <x v="0"/>
    <n v="1242.3399999999999"/>
    <s v="Misaligned"/>
    <s v="35-49 Gen X"/>
    <s v="Core Tier"/>
    <s v="Stable"/>
  </r>
  <r>
    <s v="ORD5172"/>
    <s v="CUST1172"/>
    <n v="64"/>
    <s v="PROD372"/>
    <s v="Canada"/>
    <s v="2/19/2022"/>
    <s v="4/15/2023"/>
    <n v="0"/>
    <s v="cancelled"/>
    <s v="2/28/2024"/>
    <s v=" $261.65 "/>
    <n v="5"/>
    <n v="28"/>
    <s v="Sports"/>
    <s v="Skirt"/>
    <s v="Clothing"/>
    <x v="0"/>
    <n v="1308.25"/>
    <s v="Misaligned"/>
    <s v="50-64 Boomers"/>
    <s v="High Value Tier"/>
    <s v="Stable"/>
  </r>
  <r>
    <s v="ORD5173"/>
    <s v="CUST1173"/>
    <n v="38"/>
    <s v="PROD373"/>
    <s v="Pakistan"/>
    <d v="2022-12-05T00:00:00"/>
    <d v="2024-02-12T00:00:00"/>
    <n v="5"/>
    <s v="cancelled"/>
    <d v="2025-11-05T00:00:00"/>
    <s v=" $332.86 "/>
    <n v="5"/>
    <n v="42"/>
    <s v="Beauty"/>
    <s v="Lamp"/>
    <s v="Home"/>
    <x v="1"/>
    <n v="1664.3"/>
    <s v="Misaligned"/>
    <s v="35-49 Gen X"/>
    <s v="High Value Tier"/>
    <s v="Stable"/>
  </r>
  <r>
    <s v="ORD5174"/>
    <s v="CUST1174"/>
    <n v="51"/>
    <s v="PROD374"/>
    <s v="Germany"/>
    <s v="2/15/2023"/>
    <s v="11/15/2024"/>
    <n v="4"/>
    <s v="active"/>
    <d v="2025-09-05T00:00:00"/>
    <s v=" $68.45 "/>
    <n v="3"/>
    <n v="39"/>
    <s v="Beauty"/>
    <s v="Shampoo"/>
    <s v="Beauty"/>
    <x v="1"/>
    <n v="205.35"/>
    <s v="Aligned"/>
    <s v="50-64 Boomers"/>
    <s v="High Value Tier"/>
    <s v="Critical Risk"/>
  </r>
  <r>
    <s v="ORD5175"/>
    <s v="CUST1175"/>
    <n v="62"/>
    <s v="PROD375"/>
    <s v="Pakistan"/>
    <s v="9/15/2021"/>
    <s v="2/19/2024"/>
    <n v="5"/>
    <s v="active"/>
    <s v="9/20/2024"/>
    <s v=" $274.96 "/>
    <n v="4"/>
    <n v="26"/>
    <s v="Sports"/>
    <s v="Smartphone"/>
    <s v="Electronics"/>
    <x v="1"/>
    <n v="1099.8399999999999"/>
    <s v="Misaligned"/>
    <s v="50-64 Boomers"/>
    <s v="High Value Tier"/>
    <s v="Critical Risk"/>
  </r>
  <r>
    <s v="ORD5176"/>
    <s v="CUST1176"/>
    <n v="20"/>
    <s v="PROD376"/>
    <s v="Pakistan"/>
    <d v="2023-11-07T00:00:00"/>
    <s v="7/13/2024"/>
    <n v="3"/>
    <s v="cancelled"/>
    <s v="9/29/2024"/>
    <s v=" $859.40 "/>
    <n v="2"/>
    <n v="17"/>
    <s v="Sports"/>
    <s v="Bluetooth Speaker"/>
    <s v="Electronics"/>
    <x v="1"/>
    <n v="1718.8"/>
    <s v="Misaligned"/>
    <s v="18-24 Gen Z"/>
    <s v="High Value Tier"/>
    <s v="Stable"/>
  </r>
  <r>
    <s v="ORD5177"/>
    <s v="CUST1177"/>
    <n v="21"/>
    <s v="PROD377"/>
    <s v="Canada"/>
    <s v="11/19/2020"/>
    <d v="2022-04-11T00:00:00"/>
    <n v="4"/>
    <s v="paused"/>
    <s v="10/28/2022"/>
    <s v=" $103.64 "/>
    <n v="9"/>
    <n v="34"/>
    <s v="Sports"/>
    <s v="Cricket Bat"/>
    <s v="Sports"/>
    <x v="0"/>
    <n v="932.76"/>
    <s v="Aligned"/>
    <s v="18-24 Gen Z"/>
    <s v="High Value Tier"/>
    <s v="Elevated Risk"/>
  </r>
  <r>
    <s v="ORD5178"/>
    <s v="CUST1178"/>
    <n v="45"/>
    <s v="PROD378"/>
    <s v="Canada"/>
    <s v="11/14/2021"/>
    <s v="7/19/2022"/>
    <n v="3"/>
    <s v="cancelled"/>
    <d v="2023-06-09T00:00:00"/>
    <s v=" $993.48 "/>
    <n v="2"/>
    <n v="18"/>
    <s v="Beauty"/>
    <s v="Perfume"/>
    <s v="Beauty"/>
    <x v="0"/>
    <n v="1986.96"/>
    <s v="Aligned"/>
    <s v="35-49 Gen X"/>
    <s v="High Value Tier"/>
    <s v="Stable"/>
  </r>
  <r>
    <s v="ORD5179"/>
    <s v="CUST1179"/>
    <n v="48"/>
    <s v="PROD379"/>
    <s v="Germany"/>
    <s v="7/24/2021"/>
    <d v="2021-06-10T00:00:00"/>
    <n v="2"/>
    <s v="active"/>
    <d v="2022-10-04T00:00:00"/>
    <s v=" $348.34 "/>
    <n v="2"/>
    <n v="15"/>
    <s v="Sports"/>
    <s v="Lipstick"/>
    <s v="Beauty"/>
    <x v="1"/>
    <n v="696.68"/>
    <s v="Misaligned"/>
    <s v="35-49 Gen X"/>
    <s v="High Value Tier"/>
    <s v="Stable"/>
  </r>
  <r>
    <s v="ORD5180"/>
    <s v="CUST1180"/>
    <n v="48"/>
    <s v="PROD380"/>
    <s v="Pakistan"/>
    <d v="2023-10-04T00:00:00"/>
    <d v="2024-01-05T00:00:00"/>
    <n v="0"/>
    <s v="active"/>
    <s v="7/18/2025"/>
    <s v=" $18.70 "/>
    <n v="6"/>
    <n v="33"/>
    <s v="Beauty"/>
    <s v="Microwave"/>
    <s v="Home"/>
    <x v="1"/>
    <n v="112.2"/>
    <s v="Misaligned"/>
    <s v="35-49 Gen X"/>
    <s v="High Value Tier"/>
    <s v="Stable"/>
  </r>
  <r>
    <s v="ORD5181"/>
    <s v="CUST1181"/>
    <n v="33"/>
    <s v="PROD381"/>
    <s v="Pakistan"/>
    <s v="3/21/2023"/>
    <s v="4/17/2024"/>
    <n v="3"/>
    <s v="cancelled"/>
    <d v="2025-11-05T00:00:00"/>
    <s v=" $1,543.22 "/>
    <n v="1"/>
    <n v="42"/>
    <s v="Sports"/>
    <s v="T-Shirt"/>
    <s v="Clothing"/>
    <x v="1"/>
    <n v="1543.22"/>
    <s v="Misaligned"/>
    <s v="25-34 Millennials"/>
    <s v="High Value Tier"/>
    <s v="Stable"/>
  </r>
  <r>
    <s v="ORD5182"/>
    <s v="CUST1182"/>
    <n v="37"/>
    <s v="PROD382"/>
    <s v="India"/>
    <d v="2021-01-08T00:00:00"/>
    <s v="7/28/2025"/>
    <n v="0"/>
    <s v="active"/>
    <s v="4/21/2024"/>
    <s v=" $183.20 "/>
    <n v="8"/>
    <n v="5"/>
    <s v="Beauty"/>
    <s v="Headphones"/>
    <s v="Electronics"/>
    <x v="1"/>
    <n v="1465.6"/>
    <s v="Misaligned"/>
    <s v="35-49 Gen X"/>
    <s v="High Value Tier"/>
    <s v="Stable"/>
  </r>
  <r>
    <s v="ORD5183"/>
    <s v="CUST1183"/>
    <n v="59"/>
    <s v="PROD383"/>
    <s v="Canada"/>
    <s v="4/19/2021"/>
    <s v="10/14/2022"/>
    <n v="2"/>
    <s v="active"/>
    <s v="8/17/2024"/>
    <s v=" $215.88 "/>
    <n v="8"/>
    <n v="23"/>
    <s v="Clothing"/>
    <s v="Smartwatch"/>
    <s v="Electronics"/>
    <x v="1"/>
    <n v="1727.04"/>
    <s v="Misaligned"/>
    <s v="50-64 Boomers"/>
    <s v="High Value Tier"/>
    <s v="Stable"/>
  </r>
  <r>
    <s v="ORD5184"/>
    <s v="CUST1184"/>
    <n v="37"/>
    <s v="PROD384"/>
    <s v="USA"/>
    <d v="2023-09-07T00:00:00"/>
    <d v="2025-07-03T00:00:00"/>
    <n v="3"/>
    <s v="active"/>
    <s v="10/31/2024"/>
    <s v=" $1,071.13 "/>
    <n v="1"/>
    <n v="33"/>
    <s v="Electronics"/>
    <s v="Running Shoes"/>
    <s v="Sports"/>
    <x v="1"/>
    <n v="1071.1300000000001"/>
    <s v="Misaligned"/>
    <s v="35-49 Gen X"/>
    <s v="High Value Tier"/>
    <s v="Stable"/>
  </r>
  <r>
    <s v="ORD5185"/>
    <s v="CUST1185"/>
    <n v="47"/>
    <s v="PROD385"/>
    <s v="Canada"/>
    <s v="6/22/2022"/>
    <s v="2/17/2025"/>
    <n v="2"/>
    <s v="active"/>
    <s v="2/28/2025"/>
    <s v=" $22.07 "/>
    <n v="9"/>
    <n v="9"/>
    <s v="Home"/>
    <s v="Cricket Bat"/>
    <s v="Sports"/>
    <x v="0"/>
    <n v="198.63"/>
    <s v="Misaligned"/>
    <s v="35-49 Gen X"/>
    <s v="Core Tier"/>
    <s v="Stable"/>
  </r>
  <r>
    <s v="ORD5186"/>
    <s v="CUST1186"/>
    <n v="62"/>
    <s v="PROD386"/>
    <s v="Canada"/>
    <d v="2021-08-08T00:00:00"/>
    <d v="2025-12-07T00:00:00"/>
    <n v="5"/>
    <s v="active"/>
    <s v="10/14/2022"/>
    <s v=" $200.21 "/>
    <n v="4"/>
    <n v="10"/>
    <s v="Beauty"/>
    <s v="Jacket"/>
    <s v="Clothing"/>
    <x v="0"/>
    <n v="800.84"/>
    <s v="Misaligned"/>
    <s v="50-64 Boomers"/>
    <s v="High Value Tier"/>
    <s v="Critical Risk"/>
  </r>
  <r>
    <s v="ORD5187"/>
    <s v="CUST1187"/>
    <n v="26"/>
    <s v="PROD387"/>
    <s v="India"/>
    <d v="2023-06-05T00:00:00"/>
    <s v="3/24/2025"/>
    <n v="1"/>
    <s v="cancelled"/>
    <s v="4/14/2025"/>
    <s v=" $678.67 "/>
    <n v="2"/>
    <n v="39"/>
    <s v="Home"/>
    <s v="Tennis Racket"/>
    <s v="Sports"/>
    <x v="0"/>
    <n v="1357.34"/>
    <s v="Misaligned"/>
    <s v="25-34 Millennials"/>
    <s v="High Value Tier"/>
    <s v="Stable"/>
  </r>
  <r>
    <s v="ORD5188"/>
    <s v="CUST1188"/>
    <n v="20"/>
    <s v="PROD388"/>
    <s v="Pakistan"/>
    <s v="5/25/2021"/>
    <d v="2024-10-10T00:00:00"/>
    <n v="0"/>
    <s v="active"/>
    <s v="9/14/2024"/>
    <s v=" $689.37 "/>
    <n v="2"/>
    <n v="34"/>
    <s v="Beauty"/>
    <s v="Microwave"/>
    <s v="Home"/>
    <x v="0"/>
    <n v="1378.74"/>
    <s v="Misaligned"/>
    <s v="18-24 Gen Z"/>
    <s v="High Value Tier"/>
    <s v="Stable"/>
  </r>
  <r>
    <s v="ORD5189"/>
    <s v="CUST1189"/>
    <n v="40"/>
    <s v="PROD389"/>
    <s v="Germany"/>
    <s v="10/22/2022"/>
    <s v="2/26/2023"/>
    <n v="5"/>
    <s v="active"/>
    <d v="2025-04-08T00:00:00"/>
    <s v=" $180.98 "/>
    <n v="6"/>
    <n v="40"/>
    <s v="Electronics"/>
    <s v="Skirt"/>
    <s v="Clothing"/>
    <x v="1"/>
    <n v="1085.8800000000001"/>
    <s v="Misaligned"/>
    <s v="35-49 Gen X"/>
    <s v="High Value Tier"/>
    <s v="Critical Risk"/>
  </r>
  <r>
    <s v="ORD5190"/>
    <s v="CUST1190"/>
    <n v="49"/>
    <s v="PROD390"/>
    <s v="Pakistan"/>
    <s v="7/19/2021"/>
    <d v="2023-02-01T00:00:00"/>
    <n v="4"/>
    <s v="cancelled"/>
    <d v="2025-04-06T00:00:00"/>
    <s v=" $148.34 "/>
    <n v="5"/>
    <n v="7"/>
    <s v="Electronics"/>
    <s v="Camera"/>
    <s v="Electronics"/>
    <x v="0"/>
    <n v="741.7"/>
    <s v="Aligned"/>
    <s v="35-49 Gen X"/>
    <s v="High Value Tier"/>
    <s v="Stable"/>
  </r>
  <r>
    <s v="ORD5191"/>
    <s v="CUST1191"/>
    <n v="33"/>
    <s v="PROD391"/>
    <s v="UK"/>
    <s v="2/15/2022"/>
    <s v="10/25/2022"/>
    <n v="4"/>
    <s v="cancelled"/>
    <d v="2022-02-05T00:00:00"/>
    <s v=" $127.83 "/>
    <n v="7"/>
    <n v="9"/>
    <s v="Electronics"/>
    <s v="Bluetooth Speaker"/>
    <s v="Electronics"/>
    <x v="1"/>
    <n v="894.81"/>
    <s v="Aligned"/>
    <s v="25-34 Millennials"/>
    <s v="High Value Tier"/>
    <s v="Stable"/>
  </r>
  <r>
    <s v="ORD5192"/>
    <s v="CUST1192"/>
    <n v="54"/>
    <s v="PROD392"/>
    <s v="Pakistan"/>
    <d v="2021-03-10T00:00:00"/>
    <s v="2/14/2024"/>
    <n v="2"/>
    <s v="active"/>
    <d v="2025-02-01T00:00:00"/>
    <s v=" $187.02 "/>
    <n v="8"/>
    <n v="29"/>
    <s v="Clothing"/>
    <s v="Lipstick"/>
    <s v="Beauty"/>
    <x v="2"/>
    <n v="1496.16"/>
    <s v="Misaligned"/>
    <s v="50-64 Boomers"/>
    <s v="High Value Tier"/>
    <s v="Stable"/>
  </r>
  <r>
    <s v="ORD5193"/>
    <s v="CUST1193"/>
    <n v="28"/>
    <s v="PROD393"/>
    <s v="Canada"/>
    <s v="8/14/2021"/>
    <d v="2023-02-06T00:00:00"/>
    <n v="5"/>
    <s v="active"/>
    <d v="2024-07-05T00:00:00"/>
    <s v=" $175.71 "/>
    <n v="7"/>
    <n v="26"/>
    <s v="Home"/>
    <s v="T-Shirt"/>
    <s v="Clothing"/>
    <x v="1"/>
    <n v="1229.97"/>
    <s v="Misaligned"/>
    <s v="25-34 Millennials"/>
    <s v="High Value Tier"/>
    <s v="Critical Risk"/>
  </r>
  <r>
    <s v="ORD5194"/>
    <s v="CUST1194"/>
    <n v="36"/>
    <s v="PROD394"/>
    <s v="Canada"/>
    <d v="2021-10-05T00:00:00"/>
    <s v="2/18/2022"/>
    <n v="2"/>
    <s v="cancelled"/>
    <d v="2021-01-07T00:00:00"/>
    <s v=" $39.74 "/>
    <n v="9"/>
    <n v="10"/>
    <s v="Home"/>
    <s v="Conditioner"/>
    <s v="Beauty"/>
    <x v="0"/>
    <n v="357.66"/>
    <s v="Misaligned"/>
    <s v="35-49 Gen X"/>
    <s v="High Value Tier"/>
    <s v="Stable"/>
  </r>
  <r>
    <s v="ORD5195"/>
    <s v="CUST1195"/>
    <n v="57"/>
    <s v="PROD395"/>
    <s v="India"/>
    <s v="7/19/2023"/>
    <s v="8/21/2024"/>
    <n v="0"/>
    <s v="active"/>
    <s v="1/14/2025"/>
    <s v=" $199.73 "/>
    <n v="6"/>
    <n v="46"/>
    <s v="Electronics"/>
    <s v="Dumbbells"/>
    <s v="Sports"/>
    <x v="1"/>
    <n v="1198.3800000000001"/>
    <s v="Misaligned"/>
    <s v="50-64 Boomers"/>
    <s v="High Value Tier"/>
    <s v="Stable"/>
  </r>
  <r>
    <s v="ORD5196"/>
    <s v="CUST1196"/>
    <n v="36"/>
    <s v="PROD396"/>
    <s v="India"/>
    <d v="2020-07-10T00:00:00"/>
    <s v="12/19/2022"/>
    <n v="3"/>
    <s v="active"/>
    <s v="5/22/2022"/>
    <s v=" $30.76 "/>
    <n v="9"/>
    <n v="49"/>
    <s v="Beauty"/>
    <s v="Jeans"/>
    <s v="Clothing"/>
    <x v="1"/>
    <n v="276.83999999999997"/>
    <s v="Misaligned"/>
    <s v="35-49 Gen X"/>
    <s v="High Value Tier"/>
    <s v="Stable"/>
  </r>
  <r>
    <s v="ORD5197"/>
    <s v="CUST1197"/>
    <n v="34"/>
    <s v="PROD397"/>
    <s v="USA"/>
    <d v="2022-01-10T00:00:00"/>
    <d v="2023-03-03T00:00:00"/>
    <n v="2"/>
    <s v="active"/>
    <s v="3/20/2023"/>
    <s v=" $429.25 "/>
    <n v="4"/>
    <n v="45"/>
    <s v="Electronics"/>
    <s v="Headphones"/>
    <s v="Electronics"/>
    <x v="1"/>
    <n v="1717"/>
    <s v="Aligned"/>
    <s v="25-34 Millennials"/>
    <s v="High Value Tier"/>
    <s v="Stable"/>
  </r>
  <r>
    <s v="ORD5198"/>
    <s v="CUST1198"/>
    <n v="39"/>
    <s v="PROD398"/>
    <s v="USA"/>
    <s v="4/25/2022"/>
    <d v="2024-06-03T00:00:00"/>
    <n v="4"/>
    <s v="cancelled"/>
    <s v="11/20/2022"/>
    <s v=" $122.72 "/>
    <n v="9"/>
    <n v="35"/>
    <s v="Electronics"/>
    <s v="Shirt"/>
    <s v="Clothing"/>
    <x v="0"/>
    <n v="1104.48"/>
    <s v="Misaligned"/>
    <s v="35-49 Gen X"/>
    <s v="High Value Tier"/>
    <s v="Stable"/>
  </r>
  <r>
    <s v="ORD5199"/>
    <s v="CUST1199"/>
    <n v="32"/>
    <s v="PROD399"/>
    <s v="Pakistan"/>
    <d v="2022-11-10T00:00:00"/>
    <s v="3/29/2023"/>
    <n v="4"/>
    <s v="active"/>
    <d v="2024-05-05T00:00:00"/>
    <s v=" $504.16 "/>
    <n v="3"/>
    <n v="43"/>
    <s v="Electronics"/>
    <s v="Hoodie"/>
    <s v="Clothing"/>
    <x v="1"/>
    <n v="1512.48"/>
    <s v="Misaligned"/>
    <s v="25-34 Millennials"/>
    <s v="High Value Tier"/>
    <s v="Critical Risk"/>
  </r>
  <r>
    <s v="ORD5200"/>
    <s v="CUST1200"/>
    <n v="69"/>
    <s v="PROD400"/>
    <s v="Germany"/>
    <d v="2021-11-07T00:00:00"/>
    <s v="9/19/2023"/>
    <n v="2"/>
    <s v="cancelled"/>
    <d v="2021-09-09T00:00:00"/>
    <s v=" $483.12 "/>
    <n v="4"/>
    <n v="23"/>
    <s v="Sports"/>
    <s v="Shampoo"/>
    <s v="Beauty"/>
    <x v="0"/>
    <n v="1932.48"/>
    <s v="Misaligned"/>
    <s v="65+ Seniors"/>
    <s v="High Value Tier"/>
    <s v="Stable"/>
  </r>
  <r>
    <s v="ORD5201"/>
    <s v="CUST1201"/>
    <n v="61"/>
    <s v="PROD401"/>
    <s v="India"/>
    <s v="3/29/2023"/>
    <d v="2025-02-06T00:00:00"/>
    <n v="0"/>
    <s v="cancelled"/>
    <s v="4/21/2023"/>
    <s v=" $138.92 "/>
    <n v="6"/>
    <n v="47"/>
    <s v="Electronics"/>
    <s v="Shirt"/>
    <s v="Clothing"/>
    <x v="1"/>
    <n v="833.52"/>
    <s v="Misaligned"/>
    <s v="50-64 Boomers"/>
    <s v="High Value Tier"/>
    <s v="Stable"/>
  </r>
  <r>
    <s v="ORD5202"/>
    <s v="CUST1202"/>
    <n v="68"/>
    <s v="PROD402"/>
    <s v="UK"/>
    <d v="2021-06-11T00:00:00"/>
    <s v="12/27/2022"/>
    <n v="4"/>
    <s v="active"/>
    <s v="4/17/2025"/>
    <s v=" $299.78 "/>
    <n v="6"/>
    <n v="13"/>
    <s v="Home"/>
    <s v="Vacuum Cleaner"/>
    <s v="Home"/>
    <x v="0"/>
    <n v="1798.68"/>
    <s v="Aligned"/>
    <s v="65+ Seniors"/>
    <s v="High Value Tier"/>
    <s v="Critical Risk"/>
  </r>
  <r>
    <s v="ORD5203"/>
    <s v="CUST1203"/>
    <n v="61"/>
    <s v="PROD403"/>
    <s v="Germany"/>
    <s v="7/22/2021"/>
    <s v="3/15/2023"/>
    <n v="4"/>
    <s v="cancelled"/>
    <d v="2022-04-09T00:00:00"/>
    <s v=" $296.68 "/>
    <n v="6"/>
    <n v="6"/>
    <s v="Clothing"/>
    <s v="Dress"/>
    <s v="Clothing"/>
    <x v="2"/>
    <n v="1780.08"/>
    <s v="Aligned"/>
    <s v="50-64 Boomers"/>
    <s v="High Value Tier"/>
    <s v="Stable"/>
  </r>
  <r>
    <s v="ORD5204"/>
    <s v="CUST1204"/>
    <n v="22"/>
    <s v="PROD404"/>
    <s v="USA"/>
    <d v="2021-12-05T00:00:00"/>
    <s v="10/25/2023"/>
    <n v="0"/>
    <s v="active"/>
    <d v="2024-06-09T00:00:00"/>
    <s v=" $63.16 "/>
    <n v="2"/>
    <n v="13"/>
    <s v="Clothing"/>
    <s v="Bluetooth Speaker"/>
    <s v="Electronics"/>
    <x v="0"/>
    <n v="126.32"/>
    <s v="Misaligned"/>
    <s v="18-24 Gen Z"/>
    <s v="Core Tier"/>
    <s v="Stable"/>
  </r>
  <r>
    <s v="ORD5205"/>
    <s v="CUST1205"/>
    <n v="58"/>
    <s v="PROD405"/>
    <s v="India"/>
    <s v="8/20/2021"/>
    <s v="4/22/2025"/>
    <n v="2"/>
    <s v="cancelled"/>
    <s v="1/30/2024"/>
    <s v=" $1,484.80 "/>
    <n v="1"/>
    <n v="13"/>
    <s v="Clothing"/>
    <s v="Headphones"/>
    <s v="Electronics"/>
    <x v="1"/>
    <n v="1484.8"/>
    <s v="Misaligned"/>
    <s v="50-64 Boomers"/>
    <s v="High Value Tier"/>
    <s v="Stable"/>
  </r>
  <r>
    <s v="ORD5206"/>
    <s v="CUST1206"/>
    <n v="59"/>
    <s v="PROD406"/>
    <s v="Germany"/>
    <s v="11/24/2021"/>
    <d v="2023-11-12T00:00:00"/>
    <n v="1"/>
    <s v="active"/>
    <d v="2024-08-06T00:00:00"/>
    <s v=" $263.02 "/>
    <n v="6"/>
    <n v="26"/>
    <s v="Beauty"/>
    <s v="Yoga Mat"/>
    <s v="Sports"/>
    <x v="0"/>
    <n v="1578.12"/>
    <s v="Misaligned"/>
    <s v="50-64 Boomers"/>
    <s v="High Value Tier"/>
    <s v="Stable"/>
  </r>
  <r>
    <s v="ORD5207"/>
    <s v="CUST1207"/>
    <n v="32"/>
    <s v="PROD407"/>
    <s v="India"/>
    <s v="7/16/2023"/>
    <d v="2023-03-12T00:00:00"/>
    <n v="1"/>
    <s v="active"/>
    <s v="8/18/2024"/>
    <s v=" $1,212.26 "/>
    <n v="1"/>
    <n v="38"/>
    <s v="Clothing"/>
    <s v="Vacuum Cleaner"/>
    <s v="Home"/>
    <x v="1"/>
    <n v="1212.26"/>
    <s v="Misaligned"/>
    <s v="25-34 Millennials"/>
    <s v="High Value Tier"/>
    <s v="Stable"/>
  </r>
  <r>
    <s v="ORD5208"/>
    <s v="CUST1208"/>
    <n v="37"/>
    <s v="PROD408"/>
    <s v="India"/>
    <d v="2022-12-09T00:00:00"/>
    <s v="8/17/2023"/>
    <n v="0"/>
    <s v="active"/>
    <s v="2/18/2023"/>
    <s v=" $1,790.40 "/>
    <n v="1"/>
    <n v="33"/>
    <s v="Beauty"/>
    <s v="Shirt"/>
    <s v="Clothing"/>
    <x v="1"/>
    <n v="1790.4"/>
    <s v="Misaligned"/>
    <s v="35-49 Gen X"/>
    <s v="High Value Tier"/>
    <s v="Stable"/>
  </r>
  <r>
    <s v="ORD5209"/>
    <s v="CUST1209"/>
    <n v="30"/>
    <s v="PROD409"/>
    <s v="Pakistan"/>
    <d v="2022-12-04T00:00:00"/>
    <s v="9/14/2024"/>
    <n v="2"/>
    <s v="active"/>
    <s v="11/28/2022"/>
    <s v=" $582.62 "/>
    <n v="2"/>
    <n v="6"/>
    <s v="Clothing"/>
    <s v="Sneakers"/>
    <s v="Clothing"/>
    <x v="1"/>
    <n v="1165.24"/>
    <s v="Aligned"/>
    <s v="25-34 Millennials"/>
    <s v="High Value Tier"/>
    <s v="Stable"/>
  </r>
  <r>
    <s v="ORD5210"/>
    <s v="CUST1210"/>
    <n v="30"/>
    <s v="PROD410"/>
    <s v="UK"/>
    <s v="3/14/2022"/>
    <s v="2/14/2023"/>
    <n v="0"/>
    <s v="active"/>
    <d v="2022-01-07T00:00:00"/>
    <s v=" $181.32 "/>
    <n v="2"/>
    <n v="40"/>
    <s v="Home"/>
    <s v="Moisturizer"/>
    <s v="Beauty"/>
    <x v="0"/>
    <n v="362.64"/>
    <s v="Misaligned"/>
    <s v="25-34 Millennials"/>
    <s v="High Value Tier"/>
    <s v="Stable"/>
  </r>
  <r>
    <s v="ORD5211"/>
    <s v="CUST1211"/>
    <n v="65"/>
    <s v="PROD411"/>
    <s v="UK"/>
    <d v="2022-08-03T00:00:00"/>
    <s v="2/18/2023"/>
    <n v="2"/>
    <s v="paused"/>
    <s v="5/15/2025"/>
    <s v=" $174.87 "/>
    <n v="9"/>
    <n v="34"/>
    <s v="Sports"/>
    <s v="Cricket Bat"/>
    <s v="Sports"/>
    <x v="1"/>
    <n v="1573.83"/>
    <s v="Aligned"/>
    <s v="65+ Seniors"/>
    <s v="High Value Tier"/>
    <s v="Elevated Risk"/>
  </r>
  <r>
    <s v="ORD5212"/>
    <s v="CUST1212"/>
    <n v="48"/>
    <s v="PROD412"/>
    <s v="Canada"/>
    <s v="4/26/2022"/>
    <d v="2024-11-02T00:00:00"/>
    <n v="4"/>
    <s v="cancelled"/>
    <d v="2023-12-06T00:00:00"/>
    <s v=" $462.90 "/>
    <n v="3"/>
    <n v="45"/>
    <s v="Clothing"/>
    <s v="Refrigerator"/>
    <s v="Home"/>
    <x v="0"/>
    <n v="1388.7"/>
    <s v="Misaligned"/>
    <s v="35-49 Gen X"/>
    <s v="High Value Tier"/>
    <s v="Stable"/>
  </r>
  <r>
    <s v="ORD5213"/>
    <s v="CUST1213"/>
    <n v="56"/>
    <s v="PROD413"/>
    <s v="Pakistan"/>
    <d v="2021-04-01T00:00:00"/>
    <s v="7/26/2024"/>
    <n v="2"/>
    <s v="cancelled"/>
    <s v="4/14/2025"/>
    <s v=" $490.01 "/>
    <n v="3"/>
    <n v="40"/>
    <s v="Sports"/>
    <s v="Headphones"/>
    <s v="Electronics"/>
    <x v="0"/>
    <n v="1470.03"/>
    <s v="Misaligned"/>
    <s v="50-64 Boomers"/>
    <s v="High Value Tier"/>
    <s v="Stable"/>
  </r>
  <r>
    <s v="ORD5214"/>
    <s v="CUST1214"/>
    <n v="29"/>
    <s v="PROD414"/>
    <s v="Germany"/>
    <s v="10/26/2022"/>
    <s v="12/14/2023"/>
    <n v="0"/>
    <s v="cancelled"/>
    <s v="1/14/2024"/>
    <s v=" $1,068.34 "/>
    <n v="1"/>
    <n v="36"/>
    <s v="Home"/>
    <s v="Chair"/>
    <s v="Home"/>
    <x v="0"/>
    <n v="1068.3399999999999"/>
    <s v="Aligned"/>
    <s v="25-34 Millennials"/>
    <s v="High Value Tier"/>
    <s v="Stable"/>
  </r>
  <r>
    <s v="ORD5215"/>
    <s v="CUST1215"/>
    <n v="64"/>
    <s v="PROD415"/>
    <s v="India"/>
    <d v="2021-08-03T00:00:00"/>
    <s v="5/19/2023"/>
    <n v="4"/>
    <s v="active"/>
    <d v="2024-04-05T00:00:00"/>
    <s v=" $151.03 "/>
    <n v="8"/>
    <n v="30"/>
    <s v="Beauty"/>
    <s v="Smartphone"/>
    <s v="Electronics"/>
    <x v="1"/>
    <n v="1208.24"/>
    <s v="Misaligned"/>
    <s v="50-64 Boomers"/>
    <s v="High Value Tier"/>
    <s v="Critical Risk"/>
  </r>
  <r>
    <s v="ORD5216"/>
    <s v="CUST1216"/>
    <n v="48"/>
    <s v="PROD416"/>
    <s v="Pakistan"/>
    <d v="2022-06-11T00:00:00"/>
    <s v="12/24/2022"/>
    <n v="3"/>
    <s v="active"/>
    <d v="2023-09-08T00:00:00"/>
    <s v=" $152.35 "/>
    <n v="8"/>
    <n v="32"/>
    <s v="Sports"/>
    <s v="Refrigerator"/>
    <s v="Home"/>
    <x v="0"/>
    <n v="1218.8"/>
    <s v="Misaligned"/>
    <s v="35-49 Gen X"/>
    <s v="High Value Tier"/>
    <s v="Stable"/>
  </r>
  <r>
    <s v="ORD5217"/>
    <s v="CUST1217"/>
    <n v="59"/>
    <s v="PROD417"/>
    <s v="Germany"/>
    <s v="4/27/2023"/>
    <d v="2023-04-12T00:00:00"/>
    <n v="5"/>
    <s v="active"/>
    <d v="2023-05-09T00:00:00"/>
    <s v=" $277.17 "/>
    <n v="7"/>
    <n v="3"/>
    <s v="Electronics"/>
    <s v="Lipstick"/>
    <s v="Beauty"/>
    <x v="1"/>
    <n v="1940.19"/>
    <s v="Misaligned"/>
    <s v="50-64 Boomers"/>
    <s v="High Value Tier"/>
    <s v="Critical Risk"/>
  </r>
  <r>
    <s v="ORD5218"/>
    <s v="CUST1218"/>
    <n v="36"/>
    <s v="PROD418"/>
    <s v="Canada"/>
    <d v="2022-01-07T00:00:00"/>
    <s v="2/28/2025"/>
    <n v="5"/>
    <s v="active"/>
    <s v="8/26/2023"/>
    <s v=" $90.95 "/>
    <n v="1"/>
    <n v="30"/>
    <s v="Sports"/>
    <s v="Moisturizer"/>
    <s v="Beauty"/>
    <x v="0"/>
    <n v="90.95"/>
    <s v="Misaligned"/>
    <s v="35-49 Gen X"/>
    <s v="High Value Tier"/>
    <s v="Critical Risk"/>
  </r>
  <r>
    <s v="ORD5219"/>
    <s v="CUST1219"/>
    <n v="20"/>
    <s v="PROD419"/>
    <s v="Canada"/>
    <s v="8/20/2023"/>
    <s v="12/29/2023"/>
    <n v="4"/>
    <s v="active"/>
    <d v="2025-08-06T00:00:00"/>
    <s v=" $813.90 "/>
    <n v="2"/>
    <n v="38"/>
    <s v="Sports"/>
    <s v="Cricket Bat"/>
    <s v="Sports"/>
    <x v="0"/>
    <n v="1627.8"/>
    <s v="Aligned"/>
    <s v="18-24 Gen Z"/>
    <s v="High Value Tier"/>
    <s v="Critical Risk"/>
  </r>
  <r>
    <s v="ORD5220"/>
    <s v="CUST1220"/>
    <n v="51"/>
    <s v="PROD420"/>
    <s v="Pakistan"/>
    <d v="2022-06-06T00:00:00"/>
    <d v="2023-12-07T00:00:00"/>
    <n v="3"/>
    <s v="paused"/>
    <s v="7/28/2025"/>
    <s v=" $262.87 "/>
    <n v="3"/>
    <n v="27"/>
    <s v="Home"/>
    <s v="Shampoo"/>
    <s v="Beauty"/>
    <x v="0"/>
    <n v="788.61"/>
    <s v="Misaligned"/>
    <s v="50-64 Boomers"/>
    <s v="High Value Tier"/>
    <s v="Elevated Risk"/>
  </r>
  <r>
    <s v="ORD5221"/>
    <s v="CUST1221"/>
    <n v="49"/>
    <s v="PROD421"/>
    <s v="USA"/>
    <d v="2020-01-10T00:00:00"/>
    <s v="5/16/2025"/>
    <n v="2"/>
    <s v="active"/>
    <d v="2023-07-05T00:00:00"/>
    <s v=" $173.20 "/>
    <n v="8"/>
    <n v="45"/>
    <s v="Sports"/>
    <s v="Running Shoes"/>
    <s v="Sports"/>
    <x v="0"/>
    <n v="1385.6"/>
    <s v="Aligned"/>
    <s v="35-49 Gen X"/>
    <s v="High Value Tier"/>
    <s v="Stable"/>
  </r>
  <r>
    <s v="ORD5222"/>
    <s v="CUST1222"/>
    <n v="46"/>
    <s v="PROD422"/>
    <s v="Canada"/>
    <s v="4/26/2022"/>
    <s v="5/31/2024"/>
    <n v="1"/>
    <s v="active"/>
    <s v="5/19/2024"/>
    <s v=" $398.18 "/>
    <n v="5"/>
    <n v="12"/>
    <s v="Sports"/>
    <s v="Perfume"/>
    <s v="Beauty"/>
    <x v="0"/>
    <n v="1990.9"/>
    <s v="Misaligned"/>
    <s v="35-49 Gen X"/>
    <s v="High Value Tier"/>
    <s v="Stable"/>
  </r>
  <r>
    <s v="ORD5223"/>
    <s v="CUST1223"/>
    <n v="25"/>
    <s v="PROD423"/>
    <s v="Pakistan"/>
    <d v="2023-05-01T00:00:00"/>
    <s v="10/20/2024"/>
    <n v="0"/>
    <s v="active"/>
    <d v="2023-01-05T00:00:00"/>
    <s v=" $211.82 "/>
    <n v="8"/>
    <n v="32"/>
    <s v="Home"/>
    <s v="Moisturizer"/>
    <s v="Beauty"/>
    <x v="0"/>
    <n v="1694.56"/>
    <s v="Misaligned"/>
    <s v="25-34 Millennials"/>
    <s v="High Value Tier"/>
    <s v="Stable"/>
  </r>
  <r>
    <s v="ORD5224"/>
    <s v="CUST1224"/>
    <n v="19"/>
    <s v="PROD424"/>
    <s v="USA"/>
    <s v="10/27/2021"/>
    <d v="2024-09-11T00:00:00"/>
    <n v="1"/>
    <s v="active"/>
    <s v="10/17/2024"/>
    <s v=" $255.77 "/>
    <n v="6"/>
    <n v="21"/>
    <s v="Beauty"/>
    <s v="Dumbbells"/>
    <s v="Sports"/>
    <x v="0"/>
    <n v="1534.62"/>
    <s v="Misaligned"/>
    <s v="18-24 Gen Z"/>
    <s v="High Value Tier"/>
    <s v="Stable"/>
  </r>
  <r>
    <s v="ORD5225"/>
    <s v="CUST1225"/>
    <n v="62"/>
    <s v="PROD425"/>
    <s v="UK"/>
    <s v="2/27/2023"/>
    <d v="2024-02-09T00:00:00"/>
    <n v="5"/>
    <s v="active"/>
    <d v="2024-08-05T00:00:00"/>
    <s v=" $63.52 "/>
    <n v="8"/>
    <n v="7"/>
    <s v="Beauty"/>
    <s v="Dumbbells"/>
    <s v="Sports"/>
    <x v="0"/>
    <n v="508.16"/>
    <s v="Misaligned"/>
    <s v="50-64 Boomers"/>
    <s v="High Value Tier"/>
    <s v="Critical Risk"/>
  </r>
  <r>
    <s v="ORD5226"/>
    <s v="CUST1226"/>
    <n v="52"/>
    <s v="PROD426"/>
    <s v="Germany"/>
    <s v="3/19/2021"/>
    <d v="2022-12-09T00:00:00"/>
    <n v="2"/>
    <s v="active"/>
    <d v="2023-06-02T00:00:00"/>
    <s v=" $317.31 "/>
    <n v="5"/>
    <n v="45"/>
    <s v="Electronics"/>
    <s v="Cricket Bat"/>
    <s v="Sports"/>
    <x v="0"/>
    <n v="1586.55"/>
    <s v="Misaligned"/>
    <s v="50-64 Boomers"/>
    <s v="High Value Tier"/>
    <s v="Stable"/>
  </r>
  <r>
    <s v="ORD5227"/>
    <s v="CUST1227"/>
    <n v="52"/>
    <s v="PROD427"/>
    <s v="Germany"/>
    <s v="9/14/2021"/>
    <s v="5/26/2025"/>
    <n v="5"/>
    <s v="active"/>
    <s v="9/23/2023"/>
    <s v=" $436.16 "/>
    <n v="2"/>
    <n v="11"/>
    <s v="Sports"/>
    <s v="Cycling Helmet"/>
    <s v="Sports"/>
    <x v="2"/>
    <n v="872.32"/>
    <s v="Aligned"/>
    <s v="50-64 Boomers"/>
    <s v="High Value Tier"/>
    <s v="Critical Risk"/>
  </r>
  <r>
    <s v="ORD5228"/>
    <s v="CUST1228"/>
    <n v="47"/>
    <s v="PROD428"/>
    <s v="Germany"/>
    <s v="3/16/2022"/>
    <s v="2/19/2023"/>
    <n v="0"/>
    <s v="active"/>
    <s v="5/29/2023"/>
    <s v=" $366.64 "/>
    <n v="4"/>
    <n v="13"/>
    <s v="Sports"/>
    <s v="Cycling Helmet"/>
    <s v="Sports"/>
    <x v="0"/>
    <n v="1466.56"/>
    <s v="Aligned"/>
    <s v="35-49 Gen X"/>
    <s v="High Value Tier"/>
    <s v="Stable"/>
  </r>
  <r>
    <s v="ORD5229"/>
    <s v="CUST1229"/>
    <n v="46"/>
    <s v="PROD429"/>
    <s v="UK"/>
    <s v="7/25/2022"/>
    <s v="1/15/2025"/>
    <n v="2"/>
    <s v="active"/>
    <s v="8/25/2023"/>
    <s v=" $347.76 "/>
    <n v="4"/>
    <n v="27"/>
    <s v="Beauty"/>
    <s v="Shirt"/>
    <s v="Clothing"/>
    <x v="1"/>
    <n v="1391.04"/>
    <s v="Misaligned"/>
    <s v="35-49 Gen X"/>
    <s v="High Value Tier"/>
    <s v="Stable"/>
  </r>
  <r>
    <s v="ORD5230"/>
    <s v="CUST1230"/>
    <n v="18"/>
    <s v="PROD430"/>
    <s v="India"/>
    <s v="6/21/2022"/>
    <s v="5/26/2023"/>
    <n v="1"/>
    <s v="active"/>
    <s v="11/29/2023"/>
    <s v=" $220.93 "/>
    <n v="8"/>
    <n v="38"/>
    <s v="Home"/>
    <s v="Basketball"/>
    <s v="Sports"/>
    <x v="0"/>
    <n v="1767.44"/>
    <s v="Misaligned"/>
    <s v="18-24 Gen Z"/>
    <s v="High Value Tier"/>
    <s v="Stable"/>
  </r>
  <r>
    <s v="ORD5231"/>
    <s v="CUST1231"/>
    <n v="66"/>
    <s v="PROD431"/>
    <s v="Pakistan"/>
    <d v="2023-12-01T00:00:00"/>
    <d v="2025-01-06T00:00:00"/>
    <n v="5"/>
    <s v="active"/>
    <d v="2025-07-06T00:00:00"/>
    <s v=" $1,331.03 "/>
    <n v="1"/>
    <n v="33"/>
    <s v="Sports"/>
    <s v="Sofa"/>
    <s v="Home"/>
    <x v="0"/>
    <n v="1331.03"/>
    <s v="Misaligned"/>
    <s v="65+ Seniors"/>
    <s v="High Value Tier"/>
    <s v="Critical Risk"/>
  </r>
  <r>
    <s v="ORD5232"/>
    <s v="CUST1232"/>
    <n v="54"/>
    <s v="PROD432"/>
    <s v="UK"/>
    <s v="7/14/2022"/>
    <d v="2023-06-10T00:00:00"/>
    <n v="4"/>
    <s v="cancelled"/>
    <d v="2024-11-04T00:00:00"/>
    <s v=" $134.40 "/>
    <n v="5"/>
    <n v="30"/>
    <s v="Electronics"/>
    <s v="Chair"/>
    <s v="Home"/>
    <x v="2"/>
    <n v="672"/>
    <s v="Misaligned"/>
    <s v="50-64 Boomers"/>
    <s v="High Value Tier"/>
    <s v="Stable"/>
  </r>
  <r>
    <s v="ORD5233"/>
    <s v="CUST1233"/>
    <n v="35"/>
    <s v="PROD433"/>
    <s v="India"/>
    <d v="2022-07-04T00:00:00"/>
    <d v="2024-02-06T00:00:00"/>
    <n v="1"/>
    <s v="active"/>
    <s v="11/24/2023"/>
    <s v=" $133.25 "/>
    <n v="9"/>
    <n v="26"/>
    <s v="Electronics"/>
    <s v="Sofa"/>
    <s v="Home"/>
    <x v="0"/>
    <n v="1199.25"/>
    <s v="Misaligned"/>
    <s v="35-49 Gen X"/>
    <s v="High Value Tier"/>
    <s v="Stable"/>
  </r>
  <r>
    <s v="ORD5234"/>
    <s v="CUST1234"/>
    <n v="65"/>
    <s v="PROD434"/>
    <s v="USA"/>
    <s v="11/16/2021"/>
    <d v="2025-05-01T00:00:00"/>
    <n v="1"/>
    <s v="cancelled"/>
    <s v="5/15/2022"/>
    <s v=" $210.26 "/>
    <n v="9"/>
    <n v="15"/>
    <s v="Sports"/>
    <s v="Cycling Helmet"/>
    <s v="Sports"/>
    <x v="1"/>
    <n v="1892.34"/>
    <s v="Aligned"/>
    <s v="65+ Seniors"/>
    <s v="High Value Tier"/>
    <s v="Stable"/>
  </r>
  <r>
    <s v="ORD5235"/>
    <s v="CUST1235"/>
    <n v="22"/>
    <s v="PROD435"/>
    <s v="Pakistan"/>
    <s v="9/22/2020"/>
    <s v="10/31/2022"/>
    <n v="0"/>
    <s v="cancelled"/>
    <s v="1/21/2022"/>
    <s v=" $80.21 "/>
    <n v="8"/>
    <n v="47"/>
    <s v="Clothing"/>
    <s v="Vacuum Cleaner"/>
    <s v="Home"/>
    <x v="0"/>
    <n v="641.67999999999995"/>
    <s v="Misaligned"/>
    <s v="18-24 Gen Z"/>
    <s v="High Value Tier"/>
    <s v="Stable"/>
  </r>
  <r>
    <s v="ORD5236"/>
    <s v="CUST1236"/>
    <n v="60"/>
    <s v="PROD436"/>
    <s v="Pakistan"/>
    <s v="9/23/2021"/>
    <s v="7/16/2022"/>
    <n v="2"/>
    <s v="active"/>
    <d v="2023-11-09T00:00:00"/>
    <s v=" $133.84 "/>
    <n v="4"/>
    <n v="11"/>
    <s v="Home"/>
    <s v="T-Shirt"/>
    <s v="Clothing"/>
    <x v="0"/>
    <n v="535.36"/>
    <s v="Misaligned"/>
    <s v="50-64 Boomers"/>
    <s v="High Value Tier"/>
    <s v="Stable"/>
  </r>
  <r>
    <s v="ORD5237"/>
    <s v="CUST1237"/>
    <n v="57"/>
    <s v="PROD437"/>
    <s v="Germany"/>
    <d v="2023-10-01T00:00:00"/>
    <d v="2023-07-10T00:00:00"/>
    <n v="1"/>
    <s v="cancelled"/>
    <s v="7/26/2023"/>
    <s v=" $286.69 "/>
    <n v="4"/>
    <n v="28"/>
    <s v="Electronics"/>
    <s v="Perfume"/>
    <s v="Beauty"/>
    <x v="0"/>
    <n v="1146.76"/>
    <s v="Misaligned"/>
    <s v="50-64 Boomers"/>
    <s v="High Value Tier"/>
    <s v="Stable"/>
  </r>
  <r>
    <s v="ORD5238"/>
    <s v="CUST1238"/>
    <n v="37"/>
    <s v="PROD438"/>
    <s v="Canada"/>
    <s v="11/29/2021"/>
    <s v="1/26/2023"/>
    <n v="2"/>
    <s v="active"/>
    <s v="5/28/2025"/>
    <s v=" $55.18 "/>
    <n v="8"/>
    <n v="3"/>
    <s v="Electronics"/>
    <s v="Smartphone"/>
    <s v="Electronics"/>
    <x v="0"/>
    <n v="441.44"/>
    <s v="Aligned"/>
    <s v="35-49 Gen X"/>
    <s v="Core Tier"/>
    <s v="Stable"/>
  </r>
  <r>
    <s v="ORD5239"/>
    <s v="CUST1239"/>
    <n v="50"/>
    <s v="PROD439"/>
    <s v="USA"/>
    <s v="12/27/2022"/>
    <s v="2/26/2025"/>
    <n v="5"/>
    <s v="active"/>
    <d v="2025-04-02T00:00:00"/>
    <s v=" $25.75 "/>
    <n v="7"/>
    <n v="8"/>
    <s v="Clothing"/>
    <s v="Tennis Racket"/>
    <s v="Sports"/>
    <x v="0"/>
    <n v="180.25"/>
    <s v="Misaligned"/>
    <s v="50-64 Boomers"/>
    <s v="Core Tier"/>
    <s v="Critical Risk"/>
  </r>
  <r>
    <s v="ORD5240"/>
    <s v="CUST1240"/>
    <n v="22"/>
    <s v="PROD440"/>
    <s v="Germany"/>
    <s v="5/21/2022"/>
    <d v="2023-09-04T00:00:00"/>
    <n v="5"/>
    <s v="active"/>
    <s v="5/30/2022"/>
    <s v=" $7.42 "/>
    <n v="6"/>
    <n v="22"/>
    <s v="Electronics"/>
    <s v="Lamp"/>
    <s v="Home"/>
    <x v="0"/>
    <n v="44.52"/>
    <s v="Misaligned"/>
    <s v="18-24 Gen Z"/>
    <s v="Core Tier"/>
    <s v="Critical Risk"/>
  </r>
  <r>
    <s v="ORD5241"/>
    <s v="CUST1241"/>
    <n v="46"/>
    <s v="PROD441"/>
    <s v="Canada"/>
    <s v="9/16/2020"/>
    <s v="1/23/2022"/>
    <n v="0"/>
    <s v="active"/>
    <s v="10/19/2024"/>
    <s v=" $430.28 "/>
    <n v="4"/>
    <n v="39"/>
    <s v="Sports"/>
    <s v="Jeans"/>
    <s v="Clothing"/>
    <x v="0"/>
    <n v="1721.12"/>
    <s v="Misaligned"/>
    <s v="35-49 Gen X"/>
    <s v="High Value Tier"/>
    <s v="Stable"/>
  </r>
  <r>
    <s v="ORD5242"/>
    <s v="CUST1242"/>
    <n v="59"/>
    <s v="PROD442"/>
    <s v="India"/>
    <d v="2021-09-05T00:00:00"/>
    <d v="2025-03-05T00:00:00"/>
    <n v="2"/>
    <s v="active"/>
    <s v="4/24/2023"/>
    <s v=" $307.95 "/>
    <n v="3"/>
    <n v="40"/>
    <s v="Clothing"/>
    <s v="Bluetooth Speaker"/>
    <s v="Electronics"/>
    <x v="1"/>
    <n v="923.85"/>
    <s v="Misaligned"/>
    <s v="50-64 Boomers"/>
    <s v="High Value Tier"/>
    <s v="Stable"/>
  </r>
  <r>
    <s v="ORD5243"/>
    <s v="CUST1243"/>
    <n v="53"/>
    <s v="PROD443"/>
    <s v="Germany"/>
    <s v="12/18/2021"/>
    <d v="2022-12-07T00:00:00"/>
    <n v="2"/>
    <s v="active"/>
    <s v="10/24/2023"/>
    <s v=" $235.70 "/>
    <n v="1"/>
    <n v="5"/>
    <s v="Beauty"/>
    <s v="Lipstick"/>
    <s v="Beauty"/>
    <x v="0"/>
    <n v="235.7"/>
    <s v="Aligned"/>
    <s v="50-64 Boomers"/>
    <s v="Core Tier"/>
    <s v="Stable"/>
  </r>
  <r>
    <s v="ORD5244"/>
    <s v="CUST1244"/>
    <n v="40"/>
    <s v="PROD444"/>
    <s v="USA"/>
    <s v="10/17/2022"/>
    <s v="3/28/2024"/>
    <n v="5"/>
    <s v="active"/>
    <d v="2023-03-04T00:00:00"/>
    <s v=" $174.95 "/>
    <n v="8"/>
    <n v="23"/>
    <s v="Home"/>
    <s v="Cycling Helmet"/>
    <s v="Sports"/>
    <x v="0"/>
    <n v="1399.6"/>
    <s v="Misaligned"/>
    <s v="35-49 Gen X"/>
    <s v="High Value Tier"/>
    <s v="Critical Risk"/>
  </r>
  <r>
    <s v="ORD5245"/>
    <s v="CUST1245"/>
    <n v="67"/>
    <s v="PROD445"/>
    <s v="UK"/>
    <s v="10/31/2020"/>
    <s v="7/23/2021"/>
    <n v="0"/>
    <s v="active"/>
    <d v="2025-06-07T00:00:00"/>
    <s v=" $232.39 "/>
    <n v="4"/>
    <n v="40"/>
    <s v="Beauty"/>
    <s v="Conditioner"/>
    <s v="Beauty"/>
    <x v="0"/>
    <n v="929.56"/>
    <s v="Aligned"/>
    <s v="65+ Seniors"/>
    <s v="High Value Tier"/>
    <s v="Stable"/>
  </r>
  <r>
    <s v="ORD5246"/>
    <s v="CUST1246"/>
    <n v="26"/>
    <s v="PROD446"/>
    <s v="Germany"/>
    <s v="1/13/2021"/>
    <s v="3/16/2024"/>
    <n v="2"/>
    <s v="active"/>
    <d v="2024-03-05T00:00:00"/>
    <s v=" $266.75 "/>
    <n v="4"/>
    <n v="23"/>
    <s v="Electronics"/>
    <s v="Vacuum Cleaner"/>
    <s v="Home"/>
    <x v="1"/>
    <n v="1067"/>
    <s v="Misaligned"/>
    <s v="25-34 Millennials"/>
    <s v="High Value Tier"/>
    <s v="Stable"/>
  </r>
  <r>
    <s v="ORD5247"/>
    <s v="CUST1247"/>
    <n v="67"/>
    <s v="PROD447"/>
    <s v="UK"/>
    <s v="11/18/2022"/>
    <s v="3/23/2025"/>
    <n v="5"/>
    <s v="active"/>
    <s v="9/30/2023"/>
    <s v=" $32.82 "/>
    <n v="2"/>
    <n v="39"/>
    <s v="Beauty"/>
    <s v="Gaming Console"/>
    <s v="Electronics"/>
    <x v="0"/>
    <n v="65.64"/>
    <s v="Misaligned"/>
    <s v="65+ Seniors"/>
    <s v="High Value Tier"/>
    <s v="Critical Risk"/>
  </r>
  <r>
    <s v="ORD5248"/>
    <s v="CUST1248"/>
    <n v="23"/>
    <s v="PROD448"/>
    <s v="USA"/>
    <s v="8/29/2021"/>
    <s v="11/21/2021"/>
    <n v="2"/>
    <s v="paused"/>
    <s v="4/30/2022"/>
    <s v=" $597.36 "/>
    <n v="3"/>
    <n v="11"/>
    <s v="Electronics"/>
    <s v="Conditioner"/>
    <s v="Beauty"/>
    <x v="1"/>
    <n v="1792.08"/>
    <s v="Misaligned"/>
    <s v="18-24 Gen Z"/>
    <s v="High Value Tier"/>
    <s v="Elevated Risk"/>
  </r>
  <r>
    <s v="ORD5249"/>
    <s v="CUST1249"/>
    <n v="51"/>
    <s v="PROD449"/>
    <s v="India"/>
    <s v="12/18/2022"/>
    <d v="2024-07-12T00:00:00"/>
    <n v="1"/>
    <s v="cancelled"/>
    <s v="9/14/2024"/>
    <s v=" $147.45 "/>
    <n v="8"/>
    <n v="18"/>
    <s v="Beauty"/>
    <s v="Conditioner"/>
    <s v="Beauty"/>
    <x v="0"/>
    <n v="1179.5999999999999"/>
    <s v="Aligned"/>
    <s v="50-64 Boomers"/>
    <s v="High Value Tier"/>
    <s v="Stable"/>
  </r>
  <r>
    <s v="ORD5250"/>
    <s v="CUST1250"/>
    <n v="64"/>
    <s v="PROD450"/>
    <s v="India"/>
    <s v="2/21/2021"/>
    <s v="11/16/2024"/>
    <n v="2"/>
    <s v="active"/>
    <d v="2022-12-01T00:00:00"/>
    <s v=" $91.92 "/>
    <n v="7"/>
    <n v="39"/>
    <s v="Electronics"/>
    <s v="Running Shoes"/>
    <s v="Sports"/>
    <x v="0"/>
    <n v="643.44000000000005"/>
    <s v="Misaligned"/>
    <s v="50-64 Boomers"/>
    <s v="High Value Tier"/>
    <s v="Stable"/>
  </r>
  <r>
    <s v="ORD5251"/>
    <s v="CUST1251"/>
    <n v="42"/>
    <s v="PROD451"/>
    <s v="Germany"/>
    <s v="5/20/2023"/>
    <d v="2024-08-11T00:00:00"/>
    <n v="2"/>
    <s v="active"/>
    <d v="2023-09-10T00:00:00"/>
    <s v=" $89.68 "/>
    <n v="6"/>
    <n v="39"/>
    <s v="Home"/>
    <s v="Skirt"/>
    <s v="Clothing"/>
    <x v="0"/>
    <n v="538.08000000000004"/>
    <s v="Misaligned"/>
    <s v="35-49 Gen X"/>
    <s v="High Value Tier"/>
    <s v="Stable"/>
  </r>
  <r>
    <s v="ORD5252"/>
    <s v="CUST1252"/>
    <n v="23"/>
    <s v="PROD452"/>
    <s v="Pakistan"/>
    <s v="5/13/2021"/>
    <s v="4/17/2024"/>
    <n v="1"/>
    <s v="paused"/>
    <d v="2022-02-02T00:00:00"/>
    <s v=" $269.62 "/>
    <n v="5"/>
    <n v="6"/>
    <s v="Sports"/>
    <s v="Blender"/>
    <s v="Home"/>
    <x v="1"/>
    <n v="1348.1"/>
    <s v="Misaligned"/>
    <s v="18-24 Gen Z"/>
    <s v="High Value Tier"/>
    <s v="Elevated Risk"/>
  </r>
  <r>
    <s v="ORD5253"/>
    <s v="CUST1253"/>
    <n v="57"/>
    <s v="PROD453"/>
    <s v="India"/>
    <d v="2021-12-02T00:00:00"/>
    <d v="2021-11-05T00:00:00"/>
    <n v="0"/>
    <s v="active"/>
    <d v="2022-10-12T00:00:00"/>
    <s v=" $214.01 "/>
    <n v="1"/>
    <n v="37"/>
    <s v="Clothing"/>
    <s v="Jeans"/>
    <s v="Clothing"/>
    <x v="0"/>
    <n v="214.01"/>
    <s v="Aligned"/>
    <s v="50-64 Boomers"/>
    <s v="High Value Tier"/>
    <s v="Stable"/>
  </r>
  <r>
    <s v="ORD5254"/>
    <s v="CUST1254"/>
    <n v="29"/>
    <s v="PROD454"/>
    <s v="India"/>
    <d v="2022-12-09T00:00:00"/>
    <s v="3/28/2025"/>
    <n v="0"/>
    <s v="active"/>
    <d v="2024-05-03T00:00:00"/>
    <s v=" $368.20 "/>
    <n v="2"/>
    <n v="24"/>
    <s v="Sports"/>
    <s v="Headphones"/>
    <s v="Electronics"/>
    <x v="1"/>
    <n v="736.4"/>
    <s v="Misaligned"/>
    <s v="25-34 Millennials"/>
    <s v="High Value Tier"/>
    <s v="Stable"/>
  </r>
  <r>
    <s v="ORD5255"/>
    <s v="CUST1255"/>
    <n v="60"/>
    <s v="PROD455"/>
    <s v="USA"/>
    <d v="2023-09-02T00:00:00"/>
    <s v="12/18/2023"/>
    <n v="5"/>
    <s v="paused"/>
    <s v="8/15/2024"/>
    <s v=" $560.24 "/>
    <n v="2"/>
    <n v="40"/>
    <s v="Clothing"/>
    <s v="Cricket Bat"/>
    <s v="Sports"/>
    <x v="0"/>
    <n v="1120.48"/>
    <s v="Misaligned"/>
    <s v="50-64 Boomers"/>
    <s v="High Value Tier"/>
    <s v="Elevated Risk"/>
  </r>
  <r>
    <s v="ORD5256"/>
    <s v="CUST1256"/>
    <n v="22"/>
    <s v="PROD456"/>
    <s v="Germany"/>
    <s v="5/28/2021"/>
    <d v="2024-10-09T00:00:00"/>
    <n v="2"/>
    <s v="active"/>
    <s v="2/20/2023"/>
    <s v=" $262.89 "/>
    <n v="1"/>
    <n v="44"/>
    <s v="Home"/>
    <s v="Dumbbells"/>
    <s v="Sports"/>
    <x v="0"/>
    <n v="262.89"/>
    <s v="Misaligned"/>
    <s v="18-24 Gen Z"/>
    <s v="High Value Tier"/>
    <s v="Stable"/>
  </r>
  <r>
    <s v="ORD5257"/>
    <s v="CUST1257"/>
    <n v="56"/>
    <s v="PROD457"/>
    <s v="Canada"/>
    <s v="10/18/2021"/>
    <s v="1/24/2025"/>
    <n v="2"/>
    <s v="cancelled"/>
    <s v="8/31/2023"/>
    <s v=" $113.52 "/>
    <n v="8"/>
    <n v="14"/>
    <s v="Beauty"/>
    <s v="Football"/>
    <s v="Sports"/>
    <x v="1"/>
    <n v="908.16"/>
    <s v="Misaligned"/>
    <s v="50-64 Boomers"/>
    <s v="High Value Tier"/>
    <s v="Stable"/>
  </r>
  <r>
    <s v="ORD5258"/>
    <s v="CUST1258"/>
    <n v="65"/>
    <s v="PROD458"/>
    <s v="India"/>
    <d v="2020-02-09T00:00:00"/>
    <s v="4/20/2025"/>
    <n v="2"/>
    <s v="active"/>
    <s v="8/14/2023"/>
    <s v=" $78.71 "/>
    <n v="7"/>
    <n v="35"/>
    <s v="Beauty"/>
    <s v="Dining Table"/>
    <s v="Home"/>
    <x v="0"/>
    <n v="550.97"/>
    <s v="Misaligned"/>
    <s v="65+ Seniors"/>
    <s v="High Value Tier"/>
    <s v="Stable"/>
  </r>
  <r>
    <s v="ORD5259"/>
    <s v="CUST1259"/>
    <n v="40"/>
    <s v="PROD459"/>
    <s v="USA"/>
    <s v="2/18/2021"/>
    <s v="4/17/2025"/>
    <n v="0"/>
    <s v="active"/>
    <d v="2021-02-10T00:00:00"/>
    <s v=" $283.52 "/>
    <n v="3"/>
    <n v="48"/>
    <s v="Home"/>
    <s v="Smartphone"/>
    <s v="Electronics"/>
    <x v="1"/>
    <n v="850.56"/>
    <s v="Misaligned"/>
    <s v="35-49 Gen X"/>
    <s v="High Value Tier"/>
    <s v="Stable"/>
  </r>
  <r>
    <s v="ORD5260"/>
    <s v="CUST1260"/>
    <n v="34"/>
    <s v="PROD460"/>
    <s v="UK"/>
    <s v="12/14/2022"/>
    <d v="2023-06-08T00:00:00"/>
    <n v="1"/>
    <s v="active"/>
    <s v="2/23/2023"/>
    <s v=" $174.45 "/>
    <n v="9"/>
    <n v="14"/>
    <s v="Clothing"/>
    <s v="Headphones"/>
    <s v="Electronics"/>
    <x v="0"/>
    <n v="1570.05"/>
    <s v="Misaligned"/>
    <s v="25-34 Millennials"/>
    <s v="High Value Tier"/>
    <s v="Stable"/>
  </r>
  <r>
    <s v="ORD5261"/>
    <s v="CUST1261"/>
    <n v="36"/>
    <s v="PROD461"/>
    <s v="UK"/>
    <d v="2022-02-09T00:00:00"/>
    <d v="2025-01-08T00:00:00"/>
    <n v="5"/>
    <s v="paused"/>
    <s v="5/28/2023"/>
    <s v=" $165.34 "/>
    <n v="6"/>
    <n v="8"/>
    <s v="Home"/>
    <s v="Skirt"/>
    <s v="Clothing"/>
    <x v="0"/>
    <n v="992.04"/>
    <s v="Misaligned"/>
    <s v="35-49 Gen X"/>
    <s v="High Value Tier"/>
    <s v="Elevated Risk"/>
  </r>
  <r>
    <s v="ORD5262"/>
    <s v="CUST1262"/>
    <n v="46"/>
    <s v="PROD462"/>
    <s v="India"/>
    <d v="2023-03-04T00:00:00"/>
    <s v="9/29/2023"/>
    <n v="1"/>
    <s v="active"/>
    <s v="5/17/2024"/>
    <s v=" $274.67 "/>
    <n v="4"/>
    <n v="25"/>
    <s v="Home"/>
    <s v="Conditioner"/>
    <s v="Beauty"/>
    <x v="0"/>
    <n v="1098.68"/>
    <s v="Misaligned"/>
    <s v="35-49 Gen X"/>
    <s v="High Value Tier"/>
    <s v="Stable"/>
  </r>
  <r>
    <s v="ORD5263"/>
    <s v="CUST1263"/>
    <n v="65"/>
    <s v="PROD463"/>
    <s v="UK"/>
    <d v="2020-02-09T00:00:00"/>
    <d v="2023-05-03T00:00:00"/>
    <n v="5"/>
    <s v="paused"/>
    <s v="10/26/2020"/>
    <s v=" $73.91 "/>
    <n v="5"/>
    <n v="28"/>
    <s v="Clothing"/>
    <s v="Smartwatch"/>
    <s v="Electronics"/>
    <x v="1"/>
    <n v="369.55"/>
    <s v="Misaligned"/>
    <s v="65+ Seniors"/>
    <s v="High Value Tier"/>
    <s v="Elevated Risk"/>
  </r>
  <r>
    <s v="ORD5264"/>
    <s v="CUST1264"/>
    <n v="31"/>
    <s v="PROD464"/>
    <s v="Pakistan"/>
    <s v="7/22/2022"/>
    <s v="5/30/2024"/>
    <n v="3"/>
    <s v="cancelled"/>
    <s v="7/20/2024"/>
    <s v=" $330.52 "/>
    <n v="2"/>
    <n v="37"/>
    <s v="Clothing"/>
    <s v="Foundation"/>
    <s v="Beauty"/>
    <x v="0"/>
    <n v="661.04"/>
    <s v="Misaligned"/>
    <s v="25-34 Millennials"/>
    <s v="High Value Tier"/>
    <s v="Stable"/>
  </r>
  <r>
    <s v="ORD5265"/>
    <s v="CUST1265"/>
    <n v="57"/>
    <s v="PROD465"/>
    <s v="Germany"/>
    <s v="2/27/2023"/>
    <s v="11/18/2024"/>
    <n v="3"/>
    <s v="cancelled"/>
    <s v="12/25/2023"/>
    <s v=" $1,865.18 "/>
    <n v="1"/>
    <n v="47"/>
    <s v="Electronics"/>
    <s v="Lipstick"/>
    <s v="Beauty"/>
    <x v="0"/>
    <n v="1865.18"/>
    <s v="Misaligned"/>
    <s v="50-64 Boomers"/>
    <s v="High Value Tier"/>
    <s v="Stable"/>
  </r>
  <r>
    <s v="ORD5266"/>
    <s v="CUST1266"/>
    <n v="32"/>
    <s v="PROD466"/>
    <s v="Pakistan"/>
    <s v="4/25/2023"/>
    <d v="2024-07-03T00:00:00"/>
    <n v="1"/>
    <s v="paused"/>
    <s v="9/15/2024"/>
    <s v=" $1,624.53 "/>
    <n v="1"/>
    <n v="16"/>
    <s v="Home"/>
    <s v="Skirt"/>
    <s v="Clothing"/>
    <x v="1"/>
    <n v="1624.53"/>
    <s v="Misaligned"/>
    <s v="25-34 Millennials"/>
    <s v="High Value Tier"/>
    <s v="Elevated Risk"/>
  </r>
  <r>
    <s v="ORD5267"/>
    <s v="CUST1267"/>
    <n v="47"/>
    <s v="PROD467"/>
    <s v="India"/>
    <s v="7/28/2022"/>
    <s v="1/19/2024"/>
    <n v="2"/>
    <s v="active"/>
    <s v="10/26/2024"/>
    <s v=" $222.38 "/>
    <n v="3"/>
    <n v="12"/>
    <s v="Sports"/>
    <s v="Lamp"/>
    <s v="Home"/>
    <x v="1"/>
    <n v="667.14"/>
    <s v="Misaligned"/>
    <s v="35-49 Gen X"/>
    <s v="High Value Tier"/>
    <s v="Stable"/>
  </r>
  <r>
    <s v="ORD5268"/>
    <s v="CUST1268"/>
    <n v="28"/>
    <s v="PROD468"/>
    <s v="USA"/>
    <s v="10/29/2022"/>
    <d v="2025-02-03T00:00:00"/>
    <n v="3"/>
    <s v="active"/>
    <d v="2023-09-12T00:00:00"/>
    <s v=" $190.60 "/>
    <n v="8"/>
    <n v="1"/>
    <s v="Clothing"/>
    <s v="Jeans"/>
    <s v="Clothing"/>
    <x v="1"/>
    <n v="1524.8"/>
    <s v="Aligned"/>
    <s v="25-34 Millennials"/>
    <s v="Core Tier"/>
    <s v="Stable"/>
  </r>
  <r>
    <s v="ORD5269"/>
    <s v="CUST1269"/>
    <n v="58"/>
    <s v="PROD469"/>
    <s v="UK"/>
    <s v="11/30/2021"/>
    <s v="9/19/2022"/>
    <n v="3"/>
    <s v="cancelled"/>
    <d v="2025-09-07T00:00:00"/>
    <s v=" $157.40 "/>
    <n v="4"/>
    <n v="45"/>
    <s v="Sports"/>
    <s v="Blender"/>
    <s v="Home"/>
    <x v="0"/>
    <n v="629.6"/>
    <s v="Misaligned"/>
    <s v="50-64 Boomers"/>
    <s v="High Value Tier"/>
    <s v="Stable"/>
  </r>
  <r>
    <s v="ORD5270"/>
    <s v="CUST1270"/>
    <n v="27"/>
    <s v="PROD470"/>
    <s v="Germany"/>
    <d v="2021-04-05T00:00:00"/>
    <s v="11/14/2022"/>
    <n v="1"/>
    <s v="cancelled"/>
    <d v="2022-05-11T00:00:00"/>
    <s v=" $97.56 "/>
    <n v="7"/>
    <n v="17"/>
    <s v="Electronics"/>
    <s v="Dress"/>
    <s v="Clothing"/>
    <x v="0"/>
    <n v="682.92"/>
    <s v="Misaligned"/>
    <s v="25-34 Millennials"/>
    <s v="High Value Tier"/>
    <s v="Stable"/>
  </r>
  <r>
    <s v="ORD5271"/>
    <s v="CUST1271"/>
    <n v="52"/>
    <s v="PROD471"/>
    <s v="India"/>
    <d v="2021-06-11T00:00:00"/>
    <d v="2025-05-03T00:00:00"/>
    <n v="4"/>
    <s v="paused"/>
    <s v="9/30/2022"/>
    <s v=" $43.76 "/>
    <n v="8"/>
    <n v="38"/>
    <s v="Sports"/>
    <s v="Skirt"/>
    <s v="Clothing"/>
    <x v="0"/>
    <n v="350.08"/>
    <s v="Misaligned"/>
    <s v="50-64 Boomers"/>
    <s v="High Value Tier"/>
    <s v="Elevated Risk"/>
  </r>
  <r>
    <s v="ORD5272"/>
    <s v="CUST1272"/>
    <n v="28"/>
    <s v="PROD472"/>
    <s v="USA"/>
    <s v="10/31/2022"/>
    <s v="3/27/2023"/>
    <n v="3"/>
    <s v="active"/>
    <d v="2024-07-05T00:00:00"/>
    <s v=" $238.30 "/>
    <n v="8"/>
    <n v="41"/>
    <s v="Clothing"/>
    <s v="Vacuum Cleaner"/>
    <s v="Home"/>
    <x v="0"/>
    <n v="1906.4"/>
    <s v="Misaligned"/>
    <s v="25-34 Millennials"/>
    <s v="High Value Tier"/>
    <s v="Stable"/>
  </r>
  <r>
    <s v="ORD5273"/>
    <s v="CUST1273"/>
    <n v="53"/>
    <s v="PROD473"/>
    <s v="Pakistan"/>
    <s v="3/28/2021"/>
    <d v="2023-06-03T00:00:00"/>
    <n v="1"/>
    <s v="active"/>
    <s v="8/18/2023"/>
    <s v=" $247.28 "/>
    <n v="6"/>
    <n v="49"/>
    <s v="Sports"/>
    <s v="Moisturizer"/>
    <s v="Beauty"/>
    <x v="0"/>
    <n v="1483.68"/>
    <s v="Misaligned"/>
    <s v="50-64 Boomers"/>
    <s v="High Value Tier"/>
    <s v="Stable"/>
  </r>
  <r>
    <s v="ORD5274"/>
    <s v="CUST1274"/>
    <n v="61"/>
    <s v="PROD474"/>
    <s v="USA"/>
    <s v="8/31/2021"/>
    <s v="2/18/2022"/>
    <n v="0"/>
    <s v="active"/>
    <s v="12/29/2022"/>
    <s v=" $341.04 "/>
    <n v="3"/>
    <n v="1"/>
    <s v="Beauty"/>
    <s v="Dining Table"/>
    <s v="Home"/>
    <x v="0"/>
    <n v="1023.12"/>
    <s v="Misaligned"/>
    <s v="50-64 Boomers"/>
    <s v="Core Tier"/>
    <s v="Stable"/>
  </r>
  <r>
    <s v="ORD5275"/>
    <s v="CUST1275"/>
    <n v="53"/>
    <s v="PROD475"/>
    <s v="Germany"/>
    <d v="2021-06-09T00:00:00"/>
    <s v="4/21/2022"/>
    <n v="3"/>
    <s v="active"/>
    <d v="2022-06-09T00:00:00"/>
    <s v=" $730.44 "/>
    <n v="2"/>
    <n v="46"/>
    <s v="Clothing"/>
    <s v="Moisturizer"/>
    <s v="Beauty"/>
    <x v="0"/>
    <n v="1460.88"/>
    <s v="Misaligned"/>
    <s v="50-64 Boomers"/>
    <s v="High Value Tier"/>
    <s v="Stable"/>
  </r>
  <r>
    <s v="ORD5276"/>
    <s v="CUST1276"/>
    <n v="59"/>
    <s v="PROD476"/>
    <s v="UK"/>
    <s v="5/29/2022"/>
    <s v="8/22/2024"/>
    <n v="3"/>
    <s v="cancelled"/>
    <s v="2/13/2023"/>
    <s v=" $14.55 "/>
    <n v="8"/>
    <n v="12"/>
    <s v="Home"/>
    <s v="Headphones"/>
    <s v="Electronics"/>
    <x v="0"/>
    <n v="116.4"/>
    <s v="Misaligned"/>
    <s v="50-64 Boomers"/>
    <s v="Core Tier"/>
    <s v="Stable"/>
  </r>
  <r>
    <s v="ORD5277"/>
    <s v="CUST1277"/>
    <n v="33"/>
    <s v="PROD477"/>
    <s v="India"/>
    <d v="2022-09-12T00:00:00"/>
    <s v="5/18/2024"/>
    <n v="4"/>
    <s v="active"/>
    <s v="1/23/2025"/>
    <s v=" $224.89 "/>
    <n v="6"/>
    <n v="30"/>
    <s v="Electronics"/>
    <s v="Dining Table"/>
    <s v="Home"/>
    <x v="0"/>
    <n v="1349.34"/>
    <s v="Misaligned"/>
    <s v="25-34 Millennials"/>
    <s v="High Value Tier"/>
    <s v="Critical Risk"/>
  </r>
  <r>
    <s v="ORD5278"/>
    <s v="CUST1278"/>
    <n v="53"/>
    <s v="PROD478"/>
    <s v="UK"/>
    <d v="2023-06-05T00:00:00"/>
    <s v="4/18/2025"/>
    <n v="0"/>
    <s v="paused"/>
    <d v="2024-05-09T00:00:00"/>
    <s v=" $244.49 "/>
    <n v="7"/>
    <n v="41"/>
    <s v="Sports"/>
    <s v="Bluetooth Speaker"/>
    <s v="Electronics"/>
    <x v="0"/>
    <n v="1711.43"/>
    <s v="Misaligned"/>
    <s v="50-64 Boomers"/>
    <s v="High Value Tier"/>
    <s v="Elevated Risk"/>
  </r>
  <r>
    <s v="ORD5279"/>
    <s v="CUST1279"/>
    <n v="47"/>
    <s v="PROD479"/>
    <s v="Germany"/>
    <s v="10/14/2020"/>
    <d v="2023-09-09T00:00:00"/>
    <n v="4"/>
    <s v="cancelled"/>
    <s v="12/22/2023"/>
    <s v=" $284.09 "/>
    <n v="2"/>
    <n v="49"/>
    <s v="Sports"/>
    <s v="Running Shoes"/>
    <s v="Sports"/>
    <x v="1"/>
    <n v="568.17999999999995"/>
    <s v="Aligned"/>
    <s v="35-49 Gen X"/>
    <s v="High Value Tier"/>
    <s v="Stable"/>
  </r>
  <r>
    <s v="ORD5280"/>
    <s v="CUST1280"/>
    <n v="52"/>
    <s v="PROD480"/>
    <s v="Canada"/>
    <s v="10/20/2022"/>
    <d v="2023-05-06T00:00:00"/>
    <n v="5"/>
    <s v="active"/>
    <s v="7/15/2023"/>
    <s v=" $239.57 "/>
    <n v="4"/>
    <n v="14"/>
    <s v="Clothing"/>
    <s v="Bluetooth Speaker"/>
    <s v="Electronics"/>
    <x v="1"/>
    <n v="958.28"/>
    <s v="Misaligned"/>
    <s v="50-64 Boomers"/>
    <s v="High Value Tier"/>
    <s v="Critical Risk"/>
  </r>
  <r>
    <s v="ORD5281"/>
    <s v="CUST1281"/>
    <n v="59"/>
    <s v="PROD481"/>
    <s v="UK"/>
    <d v="2021-04-04T00:00:00"/>
    <d v="2021-03-08T00:00:00"/>
    <n v="0"/>
    <s v="cancelled"/>
    <s v="8/16/2021"/>
    <s v=" $102.62 "/>
    <n v="3"/>
    <n v="23"/>
    <s v="Home"/>
    <s v="Yoga Mat"/>
    <s v="Sports"/>
    <x v="0"/>
    <n v="307.86"/>
    <s v="Misaligned"/>
    <s v="50-64 Boomers"/>
    <s v="High Value Tier"/>
    <s v="Stable"/>
  </r>
  <r>
    <s v="ORD5282"/>
    <s v="CUST1282"/>
    <n v="63"/>
    <s v="PROD482"/>
    <s v="Pakistan"/>
    <s v="5/15/2023"/>
    <d v="2025-09-08T00:00:00"/>
    <n v="2"/>
    <s v="active"/>
    <d v="2023-12-06T00:00:00"/>
    <s v=" $26.61 "/>
    <n v="8"/>
    <n v="28"/>
    <s v="Sports"/>
    <s v="Headphones"/>
    <s v="Electronics"/>
    <x v="1"/>
    <n v="212.88"/>
    <s v="Misaligned"/>
    <s v="50-64 Boomers"/>
    <s v="High Value Tier"/>
    <s v="Stable"/>
  </r>
  <r>
    <s v="ORD5283"/>
    <s v="CUST1283"/>
    <n v="29"/>
    <s v="PROD483"/>
    <s v="Canada"/>
    <d v="2021-09-07T00:00:00"/>
    <s v="10/23/2021"/>
    <n v="4"/>
    <s v="active"/>
    <d v="2024-08-02T00:00:00"/>
    <s v=" $281.71 "/>
    <n v="5"/>
    <n v="28"/>
    <s v="Sports"/>
    <s v="Camera"/>
    <s v="Electronics"/>
    <x v="1"/>
    <n v="1408.55"/>
    <s v="Misaligned"/>
    <s v="25-34 Millennials"/>
    <s v="High Value Tier"/>
    <s v="Critical Risk"/>
  </r>
  <r>
    <s v="ORD5284"/>
    <s v="CUST1284"/>
    <n v="45"/>
    <s v="PROD484"/>
    <s v="Germany"/>
    <d v="2020-06-11T00:00:00"/>
    <d v="2025-10-08T00:00:00"/>
    <n v="1"/>
    <s v="paused"/>
    <d v="2021-03-01T00:00:00"/>
    <s v=" $498.41 "/>
    <n v="3"/>
    <n v="23"/>
    <s v="Clothing"/>
    <s v="Hoodie"/>
    <s v="Clothing"/>
    <x v="1"/>
    <n v="1495.23"/>
    <s v="Aligned"/>
    <s v="35-49 Gen X"/>
    <s v="High Value Tier"/>
    <s v="Elevated Risk"/>
  </r>
  <r>
    <s v="ORD5285"/>
    <s v="CUST1285"/>
    <n v="54"/>
    <s v="PROD485"/>
    <s v="India"/>
    <s v="5/22/2021"/>
    <s v="5/29/2023"/>
    <n v="3"/>
    <s v="cancelled"/>
    <d v="2023-09-10T00:00:00"/>
    <s v=" $150.77 "/>
    <n v="7"/>
    <n v="39"/>
    <s v="Clothing"/>
    <s v="Jacket"/>
    <s v="Clothing"/>
    <x v="0"/>
    <n v="1055.3900000000001"/>
    <s v="Aligned"/>
    <s v="50-64 Boomers"/>
    <s v="High Value Tier"/>
    <s v="Stable"/>
  </r>
  <r>
    <s v="ORD5286"/>
    <s v="CUST1286"/>
    <n v="28"/>
    <s v="PROD486"/>
    <s v="UK"/>
    <s v="11/27/2021"/>
    <d v="2024-07-01T00:00:00"/>
    <n v="2"/>
    <s v="paused"/>
    <s v="7/13/2025"/>
    <s v=" $112.52 "/>
    <n v="7"/>
    <n v="24"/>
    <s v="Home"/>
    <s v="Jacket"/>
    <s v="Clothing"/>
    <x v="1"/>
    <n v="787.64"/>
    <s v="Misaligned"/>
    <s v="25-34 Millennials"/>
    <s v="High Value Tier"/>
    <s v="Elevated Risk"/>
  </r>
  <r>
    <s v="ORD5287"/>
    <s v="CUST1287"/>
    <n v="45"/>
    <s v="PROD487"/>
    <s v="UK"/>
    <d v="2022-09-04T00:00:00"/>
    <s v="7/29/2025"/>
    <n v="3"/>
    <s v="active"/>
    <d v="2022-09-09T00:00:00"/>
    <s v=" $194.81 "/>
    <n v="9"/>
    <n v="15"/>
    <s v="Electronics"/>
    <s v="Vacuum Cleaner"/>
    <s v="Home"/>
    <x v="0"/>
    <n v="1753.29"/>
    <s v="Misaligned"/>
    <s v="35-49 Gen X"/>
    <s v="High Value Tier"/>
    <s v="Stable"/>
  </r>
  <r>
    <s v="ORD5288"/>
    <s v="CUST1288"/>
    <n v="28"/>
    <s v="PROD488"/>
    <s v="Pakistan"/>
    <d v="2022-12-02T00:00:00"/>
    <d v="2024-07-04T00:00:00"/>
    <n v="1"/>
    <s v="active"/>
    <d v="2025-11-01T00:00:00"/>
    <s v=" $209.41 "/>
    <n v="5"/>
    <n v="8"/>
    <s v="Sports"/>
    <s v="Perfume"/>
    <s v="Beauty"/>
    <x v="1"/>
    <n v="1047.05"/>
    <s v="Misaligned"/>
    <s v="25-34 Millennials"/>
    <s v="High Value Tier"/>
    <s v="Stable"/>
  </r>
  <r>
    <s v="ORD5289"/>
    <s v="CUST1289"/>
    <n v="29"/>
    <s v="PROD489"/>
    <s v="USA"/>
    <d v="2021-08-04T00:00:00"/>
    <s v="12/23/2021"/>
    <n v="0"/>
    <s v="cancelled"/>
    <s v="12/15/2021"/>
    <s v=" $494.41 "/>
    <n v="2"/>
    <n v="22"/>
    <s v="Electronics"/>
    <s v="Shampoo"/>
    <s v="Beauty"/>
    <x v="2"/>
    <n v="988.82"/>
    <s v="Misaligned"/>
    <s v="25-34 Millennials"/>
    <s v="High Value Tier"/>
    <s v="Stable"/>
  </r>
  <r>
    <s v="ORD5290"/>
    <s v="CUST1290"/>
    <n v="47"/>
    <s v="PROD490"/>
    <s v="Pakistan"/>
    <s v="2/25/2023"/>
    <d v="2025-05-04T00:00:00"/>
    <n v="2"/>
    <s v="active"/>
    <d v="2023-01-04T00:00:00"/>
    <s v=" $187.03 "/>
    <n v="5"/>
    <n v="7"/>
    <s v="Beauty"/>
    <s v="Lamp"/>
    <s v="Home"/>
    <x v="1"/>
    <n v="935.15"/>
    <s v="Misaligned"/>
    <s v="35-49 Gen X"/>
    <s v="High Value Tier"/>
    <s v="Stable"/>
  </r>
  <r>
    <s v="ORD5291"/>
    <s v="CUST1291"/>
    <n v="41"/>
    <s v="PROD491"/>
    <s v="Germany"/>
    <s v="3/28/2023"/>
    <s v="7/28/2023"/>
    <n v="4"/>
    <s v="active"/>
    <s v="10/29/2024"/>
    <s v=" $314.88 "/>
    <n v="4"/>
    <n v="47"/>
    <s v="Sports"/>
    <s v="Football"/>
    <s v="Sports"/>
    <x v="0"/>
    <n v="1259.52"/>
    <s v="Aligned"/>
    <s v="35-49 Gen X"/>
    <s v="High Value Tier"/>
    <s v="Critical Risk"/>
  </r>
  <r>
    <s v="ORD5292"/>
    <s v="CUST1292"/>
    <n v="37"/>
    <s v="PROD492"/>
    <s v="India"/>
    <s v="12/13/2021"/>
    <s v="12/16/2021"/>
    <n v="5"/>
    <s v="cancelled"/>
    <d v="2024-01-07T00:00:00"/>
    <s v=" $233.87 "/>
    <n v="5"/>
    <n v="19"/>
    <s v="Clothing"/>
    <s v="Laptop"/>
    <s v="Electronics"/>
    <x v="1"/>
    <n v="1169.3499999999999"/>
    <s v="Misaligned"/>
    <s v="35-49 Gen X"/>
    <s v="High Value Tier"/>
    <s v="Stable"/>
  </r>
  <r>
    <s v="ORD5293"/>
    <s v="CUST1293"/>
    <n v="58"/>
    <s v="PROD493"/>
    <s v="UK"/>
    <d v="2023-05-01T00:00:00"/>
    <s v="1/16/2023"/>
    <n v="4"/>
    <s v="active"/>
    <s v="4/23/2023"/>
    <s v=" $171.07 "/>
    <n v="6"/>
    <n v="6"/>
    <s v="Sports"/>
    <s v="Cycling Helmet"/>
    <s v="Sports"/>
    <x v="1"/>
    <n v="1026.42"/>
    <s v="Aligned"/>
    <s v="50-64 Boomers"/>
    <s v="High Value Tier"/>
    <s v="Critical Risk"/>
  </r>
  <r>
    <s v="ORD5294"/>
    <s v="CUST1294"/>
    <n v="38"/>
    <s v="PROD494"/>
    <s v="Canada"/>
    <d v="2020-05-10T00:00:00"/>
    <d v="2021-08-09T00:00:00"/>
    <n v="5"/>
    <s v="active"/>
    <s v="6/20/2025"/>
    <s v=" $155.44 "/>
    <n v="5"/>
    <n v="29"/>
    <s v="Electronics"/>
    <s v="Moisturizer"/>
    <s v="Beauty"/>
    <x v="1"/>
    <n v="777.2"/>
    <s v="Misaligned"/>
    <s v="35-49 Gen X"/>
    <s v="High Value Tier"/>
    <s v="Critical Risk"/>
  </r>
  <r>
    <s v="ORD5295"/>
    <s v="CUST1295"/>
    <n v="68"/>
    <s v="PROD495"/>
    <s v="UK"/>
    <s v="1/15/2023"/>
    <d v="2025-06-05T00:00:00"/>
    <n v="0"/>
    <s v="active"/>
    <s v="7/23/2023"/>
    <s v=" $789.50 "/>
    <n v="2"/>
    <n v="14"/>
    <s v="Beauty"/>
    <s v="Shampoo"/>
    <s v="Beauty"/>
    <x v="1"/>
    <n v="1579"/>
    <s v="Aligned"/>
    <s v="65+ Seniors"/>
    <s v="High Value Tier"/>
    <s v="Stable"/>
  </r>
  <r>
    <s v="ORD5296"/>
    <s v="CUST1296"/>
    <n v="38"/>
    <s v="PROD496"/>
    <s v="UK"/>
    <d v="2022-09-06T00:00:00"/>
    <d v="2025-09-06T00:00:00"/>
    <n v="2"/>
    <s v="active"/>
    <s v="1/25/2024"/>
    <s v=" $232.75 "/>
    <n v="8"/>
    <n v="5"/>
    <s v="Beauty"/>
    <s v="Smartwatch"/>
    <s v="Electronics"/>
    <x v="0"/>
    <n v="1862"/>
    <s v="Misaligned"/>
    <s v="35-49 Gen X"/>
    <s v="High Value Tier"/>
    <s v="Stable"/>
  </r>
  <r>
    <s v="ORD5297"/>
    <s v="CUST1297"/>
    <n v="66"/>
    <s v="PROD497"/>
    <s v="Pakistan"/>
    <d v="2021-08-03T00:00:00"/>
    <s v="8/21/2024"/>
    <n v="5"/>
    <s v="paused"/>
    <s v="11/16/2022"/>
    <s v=" $1,786.22 "/>
    <n v="1"/>
    <n v="2"/>
    <s v="Home"/>
    <s v="Dress"/>
    <s v="Clothing"/>
    <x v="1"/>
    <n v="1786.22"/>
    <s v="Misaligned"/>
    <s v="65+ Seniors"/>
    <s v="High Value Tier"/>
    <s v="Elevated Risk"/>
  </r>
  <r>
    <s v="ORD5298"/>
    <s v="CUST1298"/>
    <n v="42"/>
    <s v="PROD498"/>
    <s v="USA"/>
    <d v="2021-01-03T00:00:00"/>
    <d v="2023-12-05T00:00:00"/>
    <n v="3"/>
    <s v="cancelled"/>
    <d v="2023-09-08T00:00:00"/>
    <s v=" $216.99 "/>
    <n v="8"/>
    <n v="15"/>
    <s v="Clothing"/>
    <s v="T-Shirt"/>
    <s v="Clothing"/>
    <x v="0"/>
    <n v="1735.92"/>
    <s v="Aligned"/>
    <s v="35-49 Gen X"/>
    <s v="High Value Tier"/>
    <s v="Stable"/>
  </r>
  <r>
    <s v="ORD5299"/>
    <s v="CUST1299"/>
    <n v="45"/>
    <s v="PROD499"/>
    <s v="Pakistan"/>
    <s v="2/28/2021"/>
    <s v="12/31/2023"/>
    <n v="5"/>
    <s v="cancelled"/>
    <s v="4/16/2025"/>
    <s v=" $10.88 "/>
    <n v="9"/>
    <n v="38"/>
    <s v="Electronics"/>
    <s v="Camera"/>
    <s v="Electronics"/>
    <x v="1"/>
    <n v="97.92"/>
    <s v="Aligned"/>
    <s v="35-49 Gen X"/>
    <s v="High Value Tier"/>
    <s v="Stable"/>
  </r>
  <r>
    <s v="ORD5300"/>
    <s v="CUST1300"/>
    <n v="19"/>
    <s v="PROD500"/>
    <s v="Canada"/>
    <s v="8/14/2023"/>
    <d v="2024-02-11T00:00:00"/>
    <n v="1"/>
    <s v="active"/>
    <d v="2023-05-11T00:00:00"/>
    <s v=" $1,226.18 "/>
    <n v="1"/>
    <n v="25"/>
    <s v="Sports"/>
    <s v="Conditioner"/>
    <s v="Beauty"/>
    <x v="0"/>
    <n v="1226.18"/>
    <s v="Misaligned"/>
    <s v="18-24 Gen Z"/>
    <s v="High Value Tier"/>
    <s v="Stable"/>
  </r>
  <r>
    <s v="ORD5301"/>
    <s v="CUST1301"/>
    <n v="65"/>
    <s v="PROD501"/>
    <s v="USA"/>
    <d v="2023-08-08T00:00:00"/>
    <s v="3/26/2024"/>
    <n v="2"/>
    <s v="active"/>
    <s v="12/15/2024"/>
    <s v=" $460.02 "/>
    <n v="4"/>
    <n v="7"/>
    <s v="Electronics"/>
    <s v="Sofa"/>
    <s v="Home"/>
    <x v="0"/>
    <n v="1840.08"/>
    <s v="Misaligned"/>
    <s v="65+ Seniors"/>
    <s v="High Value Tier"/>
    <s v="Stable"/>
  </r>
  <r>
    <s v="ORD5302"/>
    <s v="CUST1302"/>
    <n v="55"/>
    <s v="PROD502"/>
    <s v="USA"/>
    <s v="7/28/2023"/>
    <s v="8/28/2023"/>
    <n v="3"/>
    <s v="paused"/>
    <s v="3/22/2025"/>
    <s v=" $217.30 "/>
    <n v="7"/>
    <n v="21"/>
    <s v="Home"/>
    <s v="Cricket Bat"/>
    <s v="Sports"/>
    <x v="0"/>
    <n v="1521.1"/>
    <s v="Misaligned"/>
    <s v="50-64 Boomers"/>
    <s v="High Value Tier"/>
    <s v="Elevated Risk"/>
  </r>
  <r>
    <s v="ORD5303"/>
    <s v="CUST1303"/>
    <n v="45"/>
    <s v="PROD503"/>
    <s v="Germany"/>
    <d v="2022-12-09T00:00:00"/>
    <s v="6/28/2024"/>
    <n v="1"/>
    <s v="cancelled"/>
    <s v="8/19/2024"/>
    <s v=" $120.62 "/>
    <n v="5"/>
    <n v="11"/>
    <s v="Electronics"/>
    <s v="Gaming Console"/>
    <s v="Electronics"/>
    <x v="0"/>
    <n v="603.1"/>
    <s v="Aligned"/>
    <s v="35-49 Gen X"/>
    <s v="High Value Tier"/>
    <s v="Stable"/>
  </r>
  <r>
    <s v="ORD5304"/>
    <s v="CUST1304"/>
    <n v="35"/>
    <s v="PROD504"/>
    <s v="India"/>
    <s v="10/14/2021"/>
    <d v="2023-08-06T00:00:00"/>
    <n v="5"/>
    <s v="active"/>
    <s v="7/15/2022"/>
    <s v=" $90.23 "/>
    <n v="4"/>
    <n v="6"/>
    <s v="Electronics"/>
    <s v="Smartwatch"/>
    <s v="Electronics"/>
    <x v="1"/>
    <n v="360.92"/>
    <s v="Aligned"/>
    <s v="35-49 Gen X"/>
    <s v="Core Tier"/>
    <s v="Critical Risk"/>
  </r>
  <r>
    <s v="ORD5305"/>
    <s v="CUST1305"/>
    <n v="26"/>
    <s v="PROD505"/>
    <s v="Germany"/>
    <s v="7/28/2021"/>
    <s v="10/30/2022"/>
    <n v="3"/>
    <s v="active"/>
    <s v="9/21/2024"/>
    <s v=" $737.62 "/>
    <n v="2"/>
    <n v="31"/>
    <s v="Sports"/>
    <s v="Smartwatch"/>
    <s v="Electronics"/>
    <x v="1"/>
    <n v="1475.24"/>
    <s v="Misaligned"/>
    <s v="25-34 Millennials"/>
    <s v="High Value Tier"/>
    <s v="Stable"/>
  </r>
  <r>
    <s v="ORD5306"/>
    <s v="CUST1306"/>
    <n v="56"/>
    <s v="PROD506"/>
    <s v="USA"/>
    <s v="11/13/2022"/>
    <s v="4/29/2023"/>
    <n v="4"/>
    <s v="active"/>
    <s v="8/22/2023"/>
    <s v=" $658.94 "/>
    <n v="2"/>
    <n v="47"/>
    <s v="Electronics"/>
    <s v="Smartphone"/>
    <s v="Electronics"/>
    <x v="0"/>
    <n v="1317.88"/>
    <s v="Aligned"/>
    <s v="50-64 Boomers"/>
    <s v="High Value Tier"/>
    <s v="Critical Risk"/>
  </r>
  <r>
    <s v="ORD5307"/>
    <s v="CUST1307"/>
    <n v="40"/>
    <s v="PROD507"/>
    <s v="Canada"/>
    <s v="1/17/2022"/>
    <d v="2022-05-06T00:00:00"/>
    <n v="0"/>
    <s v="paused"/>
    <s v="8/21/2024"/>
    <s v=" $121.19 "/>
    <n v="3"/>
    <n v="20"/>
    <s v="Clothing"/>
    <s v="Face Wash"/>
    <s v="Beauty"/>
    <x v="1"/>
    <n v="363.57"/>
    <s v="Misaligned"/>
    <s v="35-49 Gen X"/>
    <s v="High Value Tier"/>
    <s v="Elevated Risk"/>
  </r>
  <r>
    <s v="ORD5308"/>
    <s v="CUST1308"/>
    <n v="57"/>
    <s v="PROD508"/>
    <s v="Germany"/>
    <d v="2021-08-04T00:00:00"/>
    <s v="12/14/2021"/>
    <n v="4"/>
    <s v="active"/>
    <d v="2024-01-01T00:00:00"/>
    <s v=" $583.41 "/>
    <n v="3"/>
    <n v="49"/>
    <s v="Home"/>
    <s v="Dumbbells"/>
    <s v="Sports"/>
    <x v="1"/>
    <n v="1750.23"/>
    <s v="Misaligned"/>
    <s v="50-64 Boomers"/>
    <s v="High Value Tier"/>
    <s v="Critical Risk"/>
  </r>
  <r>
    <s v="ORD5309"/>
    <s v="CUST1309"/>
    <n v="57"/>
    <s v="PROD509"/>
    <s v="UK"/>
    <s v="9/29/2020"/>
    <s v="10/26/2024"/>
    <n v="3"/>
    <s v="active"/>
    <s v="4/29/2023"/>
    <s v=" $242.39 "/>
    <n v="6"/>
    <n v="20"/>
    <s v="Clothing"/>
    <s v="Cricket Bat"/>
    <s v="Sports"/>
    <x v="0"/>
    <n v="1454.34"/>
    <s v="Misaligned"/>
    <s v="50-64 Boomers"/>
    <s v="High Value Tier"/>
    <s v="Stable"/>
  </r>
  <r>
    <s v="ORD5310"/>
    <s v="CUST1310"/>
    <n v="21"/>
    <s v="PROD510"/>
    <s v="Germany"/>
    <s v="3/16/2021"/>
    <s v="1/22/2023"/>
    <n v="4"/>
    <s v="cancelled"/>
    <s v="10/16/2023"/>
    <s v=" $84.73 "/>
    <n v="7"/>
    <n v="6"/>
    <s v="Sports"/>
    <s v="Camera"/>
    <s v="Electronics"/>
    <x v="0"/>
    <n v="593.11"/>
    <s v="Misaligned"/>
    <s v="18-24 Gen Z"/>
    <s v="High Value Tier"/>
    <s v="Stable"/>
  </r>
  <r>
    <s v="ORD5311"/>
    <s v="CUST1311"/>
    <n v="31"/>
    <s v="PROD511"/>
    <s v="Germany"/>
    <s v="9/19/2020"/>
    <s v="8/28/2021"/>
    <n v="3"/>
    <s v="paused"/>
    <s v="6/21/2024"/>
    <s v=" $399.32 "/>
    <n v="4"/>
    <n v="25"/>
    <s v="Sports"/>
    <s v="Cricket Bat"/>
    <s v="Sports"/>
    <x v="0"/>
    <n v="1597.28"/>
    <s v="Aligned"/>
    <s v="25-34 Millennials"/>
    <s v="High Value Tier"/>
    <s v="Elevated Risk"/>
  </r>
  <r>
    <s v="ORD5312"/>
    <s v="CUST1312"/>
    <n v="52"/>
    <s v="PROD512"/>
    <s v="UK"/>
    <d v="2020-01-12T00:00:00"/>
    <s v="10/27/2024"/>
    <n v="0"/>
    <s v="active"/>
    <d v="2023-05-09T00:00:00"/>
    <s v=" $96.56 "/>
    <n v="7"/>
    <n v="49"/>
    <s v="Home"/>
    <s v="Microwave"/>
    <s v="Home"/>
    <x v="0"/>
    <n v="675.92"/>
    <s v="Aligned"/>
    <s v="50-64 Boomers"/>
    <s v="High Value Tier"/>
    <s v="Stable"/>
  </r>
  <r>
    <s v="ORD5313"/>
    <s v="CUST1313"/>
    <n v="27"/>
    <s v="PROD513"/>
    <s v="Pakistan"/>
    <s v="10/21/2021"/>
    <s v="10/29/2023"/>
    <n v="4"/>
    <s v="active"/>
    <s v="11/25/2023"/>
    <s v=" $211.81 "/>
    <n v="6"/>
    <n v="30"/>
    <s v="Clothing"/>
    <s v="Shirt"/>
    <s v="Clothing"/>
    <x v="2"/>
    <n v="1270.8599999999999"/>
    <s v="Aligned"/>
    <s v="25-34 Millennials"/>
    <s v="High Value Tier"/>
    <s v="Critical Risk"/>
  </r>
  <r>
    <s v="ORD5314"/>
    <s v="CUST1314"/>
    <n v="32"/>
    <s v="PROD514"/>
    <s v="Canada"/>
    <d v="2021-08-01T00:00:00"/>
    <d v="2025-03-02T00:00:00"/>
    <n v="1"/>
    <s v="active"/>
    <s v="8/25/2024"/>
    <s v=" $227.67 "/>
    <n v="5"/>
    <n v="15"/>
    <s v="Clothing"/>
    <s v="Smartwatch"/>
    <s v="Electronics"/>
    <x v="1"/>
    <n v="1138.3499999999999"/>
    <s v="Misaligned"/>
    <s v="25-34 Millennials"/>
    <s v="High Value Tier"/>
    <s v="Stable"/>
  </r>
  <r>
    <s v="ORD5315"/>
    <s v="CUST1315"/>
    <n v="55"/>
    <s v="PROD515"/>
    <s v="Pakistan"/>
    <d v="2021-02-08T00:00:00"/>
    <s v="8/28/2024"/>
    <n v="5"/>
    <s v="cancelled"/>
    <s v="12/27/2022"/>
    <s v=" $65.36 "/>
    <n v="3"/>
    <n v="49"/>
    <s v="Clothing"/>
    <s v="Perfume"/>
    <s v="Beauty"/>
    <x v="1"/>
    <n v="196.08"/>
    <s v="Misaligned"/>
    <s v="50-64 Boomers"/>
    <s v="High Value Tier"/>
    <s v="Stable"/>
  </r>
  <r>
    <s v="ORD5316"/>
    <s v="CUST1316"/>
    <n v="37"/>
    <s v="PROD516"/>
    <s v="Canada"/>
    <d v="2022-02-03T00:00:00"/>
    <s v="10/23/2023"/>
    <n v="2"/>
    <s v="cancelled"/>
    <s v="9/18/2022"/>
    <s v=" $51.02 "/>
    <n v="6"/>
    <n v="32"/>
    <s v="Sports"/>
    <s v="Nail Polish"/>
    <s v="Beauty"/>
    <x v="0"/>
    <n v="306.12"/>
    <s v="Misaligned"/>
    <s v="35-49 Gen X"/>
    <s v="High Value Tier"/>
    <s v="Stable"/>
  </r>
  <r>
    <s v="ORD5317"/>
    <s v="CUST1317"/>
    <n v="19"/>
    <s v="PROD517"/>
    <s v="Germany"/>
    <d v="2023-08-05T00:00:00"/>
    <s v="9/16/2023"/>
    <n v="4"/>
    <s v="active"/>
    <s v="8/27/2024"/>
    <s v=" $462.30 "/>
    <n v="2"/>
    <n v="6"/>
    <s v="Sports"/>
    <s v="Blender"/>
    <s v="Home"/>
    <x v="0"/>
    <n v="924.6"/>
    <s v="Misaligned"/>
    <s v="18-24 Gen Z"/>
    <s v="High Value Tier"/>
    <s v="Critical Risk"/>
  </r>
  <r>
    <s v="ORD5318"/>
    <s v="CUST1318"/>
    <n v="59"/>
    <s v="PROD518"/>
    <s v="USA"/>
    <d v="2022-11-12T00:00:00"/>
    <d v="2023-09-12T00:00:00"/>
    <n v="1"/>
    <s v="cancelled"/>
    <s v="4/27/2023"/>
    <s v=" $126.46 "/>
    <n v="9"/>
    <n v="48"/>
    <s v="Sports"/>
    <s v="Perfume"/>
    <s v="Beauty"/>
    <x v="0"/>
    <n v="1138.1400000000001"/>
    <s v="Misaligned"/>
    <s v="50-64 Boomers"/>
    <s v="High Value Tier"/>
    <s v="Stable"/>
  </r>
  <r>
    <s v="ORD5319"/>
    <s v="CUST1319"/>
    <n v="67"/>
    <s v="PROD519"/>
    <s v="India"/>
    <s v="8/20/2023"/>
    <s v="7/22/2024"/>
    <n v="4"/>
    <s v="cancelled"/>
    <s v="10/27/2024"/>
    <s v=" $65.20 "/>
    <n v="5"/>
    <n v="32"/>
    <s v="Sports"/>
    <s v="Dining Table"/>
    <s v="Home"/>
    <x v="1"/>
    <n v="326"/>
    <s v="Misaligned"/>
    <s v="65+ Seniors"/>
    <s v="High Value Tier"/>
    <s v="Stable"/>
  </r>
  <r>
    <s v="ORD5320"/>
    <s v="CUST1320"/>
    <n v="31"/>
    <s v="PROD520"/>
    <s v="Germany"/>
    <d v="2023-07-03T00:00:00"/>
    <s v="9/24/2023"/>
    <n v="2"/>
    <s v="paused"/>
    <s v="12/27/2024"/>
    <s v=" $116.64 "/>
    <n v="4"/>
    <n v="46"/>
    <s v="Clothing"/>
    <s v="Cricket Bat"/>
    <s v="Sports"/>
    <x v="0"/>
    <n v="466.56"/>
    <s v="Misaligned"/>
    <s v="25-34 Millennials"/>
    <s v="High Value Tier"/>
    <s v="Elevated Risk"/>
  </r>
  <r>
    <s v="ORD5321"/>
    <s v="CUST1321"/>
    <n v="19"/>
    <s v="PROD521"/>
    <s v="USA"/>
    <d v="2023-07-04T00:00:00"/>
    <d v="2024-05-10T00:00:00"/>
    <n v="0"/>
    <s v="active"/>
    <d v="2023-01-12T00:00:00"/>
    <s v=" $140.63 "/>
    <n v="6"/>
    <n v="23"/>
    <s v="Electronics"/>
    <s v="Microwave"/>
    <s v="Home"/>
    <x v="1"/>
    <n v="843.78"/>
    <s v="Misaligned"/>
    <s v="18-24 Gen Z"/>
    <s v="High Value Tier"/>
    <s v="Stable"/>
  </r>
  <r>
    <s v="ORD5322"/>
    <s v="CUST1322"/>
    <n v="41"/>
    <s v="PROD522"/>
    <s v="India"/>
    <s v="8/27/2022"/>
    <d v="2022-04-12T00:00:00"/>
    <n v="5"/>
    <s v="cancelled"/>
    <d v="2025-03-04T00:00:00"/>
    <s v=" $152.53 "/>
    <n v="4"/>
    <n v="49"/>
    <s v="Clothing"/>
    <s v="Bluetooth Speaker"/>
    <s v="Electronics"/>
    <x v="0"/>
    <n v="610.12"/>
    <s v="Misaligned"/>
    <s v="35-49 Gen X"/>
    <s v="High Value Tier"/>
    <s v="Stable"/>
  </r>
  <r>
    <s v="ORD5323"/>
    <s v="CUST1323"/>
    <n v="59"/>
    <s v="PROD523"/>
    <s v="Pakistan"/>
    <s v="7/23/2022"/>
    <s v="8/19/2024"/>
    <n v="3"/>
    <s v="active"/>
    <s v="3/30/2024"/>
    <s v=" $285.44 "/>
    <n v="7"/>
    <n v="46"/>
    <s v="Home"/>
    <s v="Dumbbells"/>
    <s v="Sports"/>
    <x v="0"/>
    <n v="1998.08"/>
    <s v="Misaligned"/>
    <s v="50-64 Boomers"/>
    <s v="High Value Tier"/>
    <s v="Stable"/>
  </r>
  <r>
    <s v="ORD5324"/>
    <s v="CUST1324"/>
    <n v="61"/>
    <s v="PROD524"/>
    <s v="India"/>
    <s v="7/27/2023"/>
    <s v="8/20/2023"/>
    <n v="5"/>
    <s v="active"/>
    <d v="2024-11-01T00:00:00"/>
    <s v=" $136.30 "/>
    <n v="3"/>
    <n v="29"/>
    <s v="Beauty"/>
    <s v="Perfume"/>
    <s v="Beauty"/>
    <x v="1"/>
    <n v="408.9"/>
    <s v="Aligned"/>
    <s v="50-64 Boomers"/>
    <s v="High Value Tier"/>
    <s v="Critical Risk"/>
  </r>
  <r>
    <s v="ORD5325"/>
    <s v="CUST1325"/>
    <n v="46"/>
    <s v="PROD525"/>
    <s v="Canada"/>
    <d v="2020-10-09T00:00:00"/>
    <d v="2024-01-10T00:00:00"/>
    <n v="4"/>
    <s v="cancelled"/>
    <s v="4/28/2025"/>
    <s v=" $556.70 "/>
    <n v="2"/>
    <n v="39"/>
    <s v="Clothing"/>
    <s v="Gaming Console"/>
    <s v="Electronics"/>
    <x v="2"/>
    <n v="1113.4000000000001"/>
    <s v="Misaligned"/>
    <s v="35-49 Gen X"/>
    <s v="High Value Tier"/>
    <s v="Stable"/>
  </r>
  <r>
    <s v="ORD5326"/>
    <s v="CUST1326"/>
    <n v="19"/>
    <s v="PROD526"/>
    <s v="UK"/>
    <d v="2021-11-10T00:00:00"/>
    <s v="10/26/2024"/>
    <n v="2"/>
    <s v="active"/>
    <d v="2024-03-09T00:00:00"/>
    <s v=" $231.25 "/>
    <n v="6"/>
    <n v="39"/>
    <s v="Electronics"/>
    <s v="Jeans"/>
    <s v="Clothing"/>
    <x v="0"/>
    <n v="1387.5"/>
    <s v="Misaligned"/>
    <s v="18-24 Gen Z"/>
    <s v="High Value Tier"/>
    <s v="Stable"/>
  </r>
  <r>
    <s v="ORD5327"/>
    <s v="CUST1327"/>
    <n v="44"/>
    <s v="PROD527"/>
    <s v="Pakistan"/>
    <d v="2021-02-11T00:00:00"/>
    <s v="7/18/2022"/>
    <n v="4"/>
    <s v="active"/>
    <s v="4/15/2025"/>
    <s v=" $105.05 "/>
    <n v="6"/>
    <n v="15"/>
    <s v="Sports"/>
    <s v="Shampoo"/>
    <s v="Beauty"/>
    <x v="0"/>
    <n v="630.29999999999995"/>
    <s v="Misaligned"/>
    <s v="35-49 Gen X"/>
    <s v="High Value Tier"/>
    <s v="Critical Risk"/>
  </r>
  <r>
    <s v="ORD5328"/>
    <s v="CUST1328"/>
    <n v="64"/>
    <s v="PROD528"/>
    <s v="Pakistan"/>
    <s v="4/22/2022"/>
    <s v="8/30/2022"/>
    <n v="1"/>
    <s v="active"/>
    <s v="8/13/2025"/>
    <s v=" $11.73 "/>
    <n v="5"/>
    <n v="49"/>
    <s v="Home"/>
    <s v="Smartwatch"/>
    <s v="Electronics"/>
    <x v="1"/>
    <n v="58.65"/>
    <s v="Misaligned"/>
    <s v="50-64 Boomers"/>
    <s v="High Value Tier"/>
    <s v="Stable"/>
  </r>
  <r>
    <s v="ORD5329"/>
    <s v="CUST1329"/>
    <n v="66"/>
    <s v="PROD529"/>
    <s v="India"/>
    <d v="2021-12-09T00:00:00"/>
    <s v="5/19/2022"/>
    <n v="0"/>
    <s v="active"/>
    <s v="9/25/2021"/>
    <s v=" $230.61 "/>
    <n v="8"/>
    <n v="9"/>
    <s v="Electronics"/>
    <s v="Basketball"/>
    <s v="Sports"/>
    <x v="0"/>
    <n v="1844.88"/>
    <s v="Misaligned"/>
    <s v="65+ Seniors"/>
    <s v="High Value Tier"/>
    <s v="Stable"/>
  </r>
  <r>
    <s v="ORD5330"/>
    <s v="CUST1330"/>
    <n v="60"/>
    <s v="PROD530"/>
    <s v="Germany"/>
    <d v="2021-08-12T00:00:00"/>
    <d v="2023-08-04T00:00:00"/>
    <n v="2"/>
    <s v="active"/>
    <s v="7/17/2023"/>
    <s v=" $188.23 "/>
    <n v="8"/>
    <n v="13"/>
    <s v="Home"/>
    <s v="Tablet"/>
    <s v="Electronics"/>
    <x v="0"/>
    <n v="1505.84"/>
    <s v="Misaligned"/>
    <s v="50-64 Boomers"/>
    <s v="High Value Tier"/>
    <s v="Stable"/>
  </r>
  <r>
    <s v="ORD5331"/>
    <s v="CUST1331"/>
    <n v="36"/>
    <s v="PROD531"/>
    <s v="Canada"/>
    <s v="5/28/2022"/>
    <s v="11/16/2023"/>
    <n v="0"/>
    <s v="active"/>
    <d v="2024-09-12T00:00:00"/>
    <s v=" $28.65 "/>
    <n v="6"/>
    <n v="27"/>
    <s v="Clothing"/>
    <s v="Vacuum Cleaner"/>
    <s v="Home"/>
    <x v="0"/>
    <n v="171.9"/>
    <s v="Misaligned"/>
    <s v="35-49 Gen X"/>
    <s v="High Value Tier"/>
    <s v="Stable"/>
  </r>
  <r>
    <s v="ORD5332"/>
    <s v="CUST1332"/>
    <n v="49"/>
    <s v="PROD532"/>
    <s v="Canada"/>
    <d v="2022-10-08T00:00:00"/>
    <d v="2024-08-12T00:00:00"/>
    <n v="2"/>
    <s v="active"/>
    <s v="1/22/2024"/>
    <s v=" $175.42 "/>
    <n v="8"/>
    <n v="2"/>
    <s v="Home"/>
    <s v="Smartwatch"/>
    <s v="Electronics"/>
    <x v="1"/>
    <n v="1403.36"/>
    <s v="Misaligned"/>
    <s v="35-49 Gen X"/>
    <s v="High Value Tier"/>
    <s v="Stable"/>
  </r>
  <r>
    <s v="ORD5333"/>
    <s v="CUST1333"/>
    <n v="45"/>
    <s v="PROD533"/>
    <s v="Pakistan"/>
    <d v="2023-11-07T00:00:00"/>
    <s v="2/19/2025"/>
    <n v="4"/>
    <s v="active"/>
    <s v="8/20/2023"/>
    <s v=" $180.09 "/>
    <n v="8"/>
    <n v="25"/>
    <s v="Beauty"/>
    <s v="Foundation"/>
    <s v="Beauty"/>
    <x v="0"/>
    <n v="1440.72"/>
    <s v="Aligned"/>
    <s v="35-49 Gen X"/>
    <s v="High Value Tier"/>
    <s v="Critical Risk"/>
  </r>
  <r>
    <s v="ORD5334"/>
    <s v="CUST1334"/>
    <n v="54"/>
    <s v="PROD534"/>
    <s v="UK"/>
    <d v="2021-08-02T00:00:00"/>
    <s v="11/20/2024"/>
    <n v="4"/>
    <s v="active"/>
    <d v="2025-06-05T00:00:00"/>
    <s v=" $284.73 "/>
    <n v="7"/>
    <n v="47"/>
    <s v="Home"/>
    <s v="Blender"/>
    <s v="Home"/>
    <x v="1"/>
    <n v="1993.11"/>
    <s v="Aligned"/>
    <s v="50-64 Boomers"/>
    <s v="High Value Tier"/>
    <s v="Critical Risk"/>
  </r>
  <r>
    <s v="ORD5335"/>
    <s v="CUST1335"/>
    <n v="22"/>
    <s v="PROD535"/>
    <s v="Germany"/>
    <s v="12/24/2021"/>
    <s v="5/15/2022"/>
    <n v="0"/>
    <s v="cancelled"/>
    <d v="2025-03-07T00:00:00"/>
    <s v=" $231.43 "/>
    <n v="3"/>
    <n v="38"/>
    <s v="Sports"/>
    <s v="Basketball"/>
    <s v="Sports"/>
    <x v="0"/>
    <n v="694.29"/>
    <s v="Aligned"/>
    <s v="18-24 Gen Z"/>
    <s v="High Value Tier"/>
    <s v="Stable"/>
  </r>
  <r>
    <s v="ORD5336"/>
    <s v="CUST1336"/>
    <n v="22"/>
    <s v="PROD536"/>
    <s v="UK"/>
    <s v="8/24/2021"/>
    <d v="2025-08-01T00:00:00"/>
    <n v="5"/>
    <s v="active"/>
    <d v="2023-07-09T00:00:00"/>
    <s v=" $137.29 "/>
    <n v="7"/>
    <n v="2"/>
    <s v="Clothing"/>
    <s v="Cricket Bat"/>
    <s v="Sports"/>
    <x v="0"/>
    <n v="961.03"/>
    <s v="Misaligned"/>
    <s v="18-24 Gen Z"/>
    <s v="Core Tier"/>
    <s v="Critical Risk"/>
  </r>
  <r>
    <s v="ORD5337"/>
    <s v="CUST1337"/>
    <n v="22"/>
    <s v="PROD537"/>
    <s v="USA"/>
    <s v="7/19/2023"/>
    <d v="2024-04-12T00:00:00"/>
    <n v="0"/>
    <s v="paused"/>
    <s v="2/21/2025"/>
    <s v=" $210.01 "/>
    <n v="7"/>
    <n v="9"/>
    <s v="Home"/>
    <s v="Shirt"/>
    <s v="Clothing"/>
    <x v="0"/>
    <n v="1470.07"/>
    <s v="Misaligned"/>
    <s v="18-24 Gen Z"/>
    <s v="High Value Tier"/>
    <s v="Elevated Risk"/>
  </r>
  <r>
    <s v="ORD5338"/>
    <s v="CUST1338"/>
    <n v="45"/>
    <s v="PROD538"/>
    <s v="UK"/>
    <s v="6/14/2022"/>
    <s v="5/15/2024"/>
    <n v="3"/>
    <s v="paused"/>
    <d v="2025-12-08T00:00:00"/>
    <s v=" $348.76 "/>
    <n v="4"/>
    <n v="16"/>
    <s v="Sports"/>
    <s v="Gaming Console"/>
    <s v="Electronics"/>
    <x v="0"/>
    <n v="1395.04"/>
    <s v="Misaligned"/>
    <s v="35-49 Gen X"/>
    <s v="High Value Tier"/>
    <s v="Elevated Risk"/>
  </r>
  <r>
    <s v="ORD5339"/>
    <s v="CUST1339"/>
    <n v="40"/>
    <s v="PROD539"/>
    <s v="UK"/>
    <s v="9/13/2022"/>
    <d v="2023-10-11T00:00:00"/>
    <n v="2"/>
    <s v="active"/>
    <s v="3/26/2023"/>
    <s v=" $219.21 "/>
    <n v="4"/>
    <n v="23"/>
    <s v="Home"/>
    <s v="Laptop"/>
    <s v="Electronics"/>
    <x v="0"/>
    <n v="876.84"/>
    <s v="Misaligned"/>
    <s v="35-49 Gen X"/>
    <s v="High Value Tier"/>
    <s v="Stable"/>
  </r>
  <r>
    <s v="ORD5340"/>
    <s v="CUST1340"/>
    <n v="21"/>
    <s v="PROD540"/>
    <s v="Canada"/>
    <s v="3/15/2023"/>
    <s v="3/27/2025"/>
    <n v="1"/>
    <s v="active"/>
    <d v="2023-06-09T00:00:00"/>
    <s v=" $104.03 "/>
    <n v="7"/>
    <n v="27"/>
    <s v="Sports"/>
    <s v="Vacuum Cleaner"/>
    <s v="Home"/>
    <x v="0"/>
    <n v="728.21"/>
    <s v="Misaligned"/>
    <s v="18-24 Gen Z"/>
    <s v="High Value Tier"/>
    <s v="Stable"/>
  </r>
  <r>
    <s v="ORD5341"/>
    <s v="CUST1341"/>
    <n v="27"/>
    <s v="PROD541"/>
    <s v="Pakistan"/>
    <d v="2021-08-10T00:00:00"/>
    <s v="5/30/2022"/>
    <n v="2"/>
    <s v="active"/>
    <s v="6/14/2024"/>
    <s v=" $360.74 "/>
    <n v="5"/>
    <n v="10"/>
    <s v="Beauty"/>
    <s v="Face Wash"/>
    <s v="Beauty"/>
    <x v="1"/>
    <n v="1803.7"/>
    <s v="Aligned"/>
    <s v="25-34 Millennials"/>
    <s v="High Value Tier"/>
    <s v="Stable"/>
  </r>
  <r>
    <s v="ORD5342"/>
    <s v="CUST1342"/>
    <n v="57"/>
    <s v="PROD542"/>
    <s v="Canada"/>
    <d v="2021-09-01T00:00:00"/>
    <s v="2/16/2022"/>
    <n v="1"/>
    <s v="active"/>
    <s v="10/26/2022"/>
    <s v=" $208.01 "/>
    <n v="8"/>
    <n v="44"/>
    <s v="Home"/>
    <s v="Blender"/>
    <s v="Home"/>
    <x v="1"/>
    <n v="1664.08"/>
    <s v="Aligned"/>
    <s v="50-64 Boomers"/>
    <s v="High Value Tier"/>
    <s v="Stable"/>
  </r>
  <r>
    <s v="ORD5343"/>
    <s v="CUST1343"/>
    <n v="59"/>
    <s v="PROD543"/>
    <s v="Canada"/>
    <s v="2/16/2023"/>
    <s v="7/30/2023"/>
    <n v="5"/>
    <s v="active"/>
    <d v="2023-03-06T00:00:00"/>
    <s v=" $235.36 "/>
    <n v="5"/>
    <n v="30"/>
    <s v="Beauty"/>
    <s v="Camera"/>
    <s v="Electronics"/>
    <x v="1"/>
    <n v="1176.8"/>
    <s v="Misaligned"/>
    <s v="50-64 Boomers"/>
    <s v="High Value Tier"/>
    <s v="Critical Risk"/>
  </r>
  <r>
    <s v="ORD5344"/>
    <s v="CUST1344"/>
    <n v="21"/>
    <s v="PROD544"/>
    <s v="USA"/>
    <s v="4/14/2021"/>
    <s v="6/23/2025"/>
    <n v="0"/>
    <s v="active"/>
    <s v="7/14/2025"/>
    <s v=" $6.45 "/>
    <n v="7"/>
    <n v="37"/>
    <s v="Clothing"/>
    <s v="Conditioner"/>
    <s v="Beauty"/>
    <x v="1"/>
    <n v="45.15"/>
    <s v="Misaligned"/>
    <s v="18-24 Gen Z"/>
    <s v="Core Tier"/>
    <s v="Stable"/>
  </r>
  <r>
    <s v="ORD5345"/>
    <s v="CUST1345"/>
    <n v="35"/>
    <s v="PROD545"/>
    <s v="UK"/>
    <s v="12/26/2021"/>
    <d v="2022-09-12T00:00:00"/>
    <n v="4"/>
    <s v="active"/>
    <s v="12/30/2023"/>
    <s v=" $205.55 "/>
    <n v="2"/>
    <n v="15"/>
    <s v="Electronics"/>
    <s v="Laptop"/>
    <s v="Electronics"/>
    <x v="1"/>
    <n v="411.1"/>
    <s v="Aligned"/>
    <s v="35-49 Gen X"/>
    <s v="High Value Tier"/>
    <s v="Critical Risk"/>
  </r>
  <r>
    <s v="ORD5346"/>
    <s v="CUST1346"/>
    <n v="37"/>
    <s v="PROD546"/>
    <s v="Germany"/>
    <s v="10/14/2021"/>
    <d v="2022-05-12T00:00:00"/>
    <n v="2"/>
    <s v="active"/>
    <s v="12/23/2024"/>
    <s v=" $224.15 "/>
    <n v="1"/>
    <n v="7"/>
    <s v="Home"/>
    <s v="Smartwatch"/>
    <s v="Electronics"/>
    <x v="0"/>
    <n v="224.15"/>
    <s v="Misaligned"/>
    <s v="35-49 Gen X"/>
    <s v="Core Tier"/>
    <s v="Stable"/>
  </r>
  <r>
    <s v="ORD5347"/>
    <s v="CUST1347"/>
    <n v="26"/>
    <s v="PROD547"/>
    <s v="Pakistan"/>
    <d v="2020-12-10T00:00:00"/>
    <d v="2024-02-01T00:00:00"/>
    <n v="1"/>
    <s v="active"/>
    <s v="4/26/2022"/>
    <s v=" $115.98 "/>
    <n v="2"/>
    <n v="4"/>
    <s v="Clothing"/>
    <s v="Blender"/>
    <s v="Home"/>
    <x v="0"/>
    <n v="231.96"/>
    <s v="Misaligned"/>
    <s v="25-34 Millennials"/>
    <s v="Core Tier"/>
    <s v="Stable"/>
  </r>
  <r>
    <s v="ORD5348"/>
    <s v="CUST1348"/>
    <n v="41"/>
    <s v="PROD548"/>
    <s v="Germany"/>
    <s v="9/27/2021"/>
    <s v="8/19/2023"/>
    <n v="0"/>
    <s v="cancelled"/>
    <s v="9/21/2023"/>
    <s v=" $26.33 "/>
    <n v="1"/>
    <n v="11"/>
    <s v="Sports"/>
    <s v="Laptop"/>
    <s v="Electronics"/>
    <x v="1"/>
    <n v="26.33"/>
    <s v="Misaligned"/>
    <s v="35-49 Gen X"/>
    <s v="Value Tier"/>
    <s v="Stable"/>
  </r>
  <r>
    <s v="ORD5349"/>
    <s v="CUST1349"/>
    <n v="43"/>
    <s v="PROD549"/>
    <s v="Canada"/>
    <d v="2023-01-05T00:00:00"/>
    <s v="11/25/2024"/>
    <n v="1"/>
    <s v="active"/>
    <s v="9/14/2023"/>
    <s v=" $172.30 "/>
    <n v="6"/>
    <n v="8"/>
    <s v="Electronics"/>
    <s v="Basketball"/>
    <s v="Sports"/>
    <x v="1"/>
    <n v="1033.8"/>
    <s v="Misaligned"/>
    <s v="35-49 Gen X"/>
    <s v="High Value Tier"/>
    <s v="Stable"/>
  </r>
  <r>
    <s v="ORD5350"/>
    <s v="CUST1350"/>
    <n v="61"/>
    <s v="PROD550"/>
    <s v="UK"/>
    <s v="6/18/2021"/>
    <s v="1/22/2024"/>
    <n v="3"/>
    <s v="active"/>
    <s v="3/16/2025"/>
    <s v=" $374.37 "/>
    <n v="5"/>
    <n v="36"/>
    <s v="Electronics"/>
    <s v="Blender"/>
    <s v="Home"/>
    <x v="0"/>
    <n v="1871.85"/>
    <s v="Misaligned"/>
    <s v="50-64 Boomers"/>
    <s v="High Value Tier"/>
    <s v="Stable"/>
  </r>
  <r>
    <s v="ORD5351"/>
    <s v="CUST1351"/>
    <n v="51"/>
    <s v="PROD551"/>
    <s v="Pakistan"/>
    <s v="10/28/2021"/>
    <s v="2/17/2022"/>
    <n v="0"/>
    <s v="cancelled"/>
    <s v="8/14/2025"/>
    <s v=" $296.71 "/>
    <n v="6"/>
    <n v="2"/>
    <s v="Beauty"/>
    <s v="Jeans"/>
    <s v="Clothing"/>
    <x v="0"/>
    <n v="1780.26"/>
    <s v="Misaligned"/>
    <s v="50-64 Boomers"/>
    <s v="High Value Tier"/>
    <s v="Stable"/>
  </r>
  <r>
    <s v="ORD5352"/>
    <s v="CUST1352"/>
    <n v="57"/>
    <s v="PROD552"/>
    <s v="USA"/>
    <s v="11/18/2021"/>
    <s v="8/14/2025"/>
    <n v="4"/>
    <s v="cancelled"/>
    <s v="11/29/2024"/>
    <s v=" $575.92 "/>
    <n v="3"/>
    <n v="14"/>
    <s v="Clothing"/>
    <s v="Skirt"/>
    <s v="Clothing"/>
    <x v="0"/>
    <n v="1727.76"/>
    <s v="Aligned"/>
    <s v="50-64 Boomers"/>
    <s v="High Value Tier"/>
    <s v="Stable"/>
  </r>
  <r>
    <s v="ORD5353"/>
    <s v="CUST1353"/>
    <n v="34"/>
    <s v="PROD553"/>
    <s v="Germany"/>
    <s v="3/20/2021"/>
    <d v="2022-09-09T00:00:00"/>
    <n v="2"/>
    <s v="cancelled"/>
    <s v="4/28/2021"/>
    <s v=" $214.73 "/>
    <n v="7"/>
    <n v="49"/>
    <s v="Electronics"/>
    <s v="Tablet"/>
    <s v="Electronics"/>
    <x v="0"/>
    <n v="1503.11"/>
    <s v="Aligned"/>
    <s v="25-34 Millennials"/>
    <s v="High Value Tier"/>
    <s v="Stable"/>
  </r>
  <r>
    <s v="ORD5354"/>
    <s v="CUST1354"/>
    <n v="22"/>
    <s v="PROD554"/>
    <s v="UK"/>
    <s v="12/18/2022"/>
    <d v="2024-10-07T00:00:00"/>
    <n v="4"/>
    <s v="cancelled"/>
    <s v="8/24/2024"/>
    <s v=" $416.03 "/>
    <n v="3"/>
    <n v="8"/>
    <s v="Beauty"/>
    <s v="Dining Table"/>
    <s v="Home"/>
    <x v="0"/>
    <n v="1248.0899999999999"/>
    <s v="Misaligned"/>
    <s v="18-24 Gen Z"/>
    <s v="High Value Tier"/>
    <s v="Stable"/>
  </r>
  <r>
    <s v="ORD5355"/>
    <s v="CUST1355"/>
    <n v="50"/>
    <s v="PROD555"/>
    <s v="Pakistan"/>
    <s v="11/19/2020"/>
    <s v="11/28/2022"/>
    <n v="0"/>
    <s v="cancelled"/>
    <s v="6/24/2024"/>
    <s v=" $219.47 "/>
    <n v="6"/>
    <n v="38"/>
    <s v="Electronics"/>
    <s v="Football"/>
    <s v="Sports"/>
    <x v="1"/>
    <n v="1316.82"/>
    <s v="Misaligned"/>
    <s v="50-64 Boomers"/>
    <s v="High Value Tier"/>
    <s v="Stable"/>
  </r>
  <r>
    <s v="ORD5356"/>
    <s v="CUST1356"/>
    <n v="66"/>
    <s v="PROD556"/>
    <s v="UK"/>
    <d v="2020-03-11T00:00:00"/>
    <d v="2025-11-03T00:00:00"/>
    <n v="0"/>
    <s v="active"/>
    <d v="2024-09-04T00:00:00"/>
    <s v=" $34.42 "/>
    <n v="7"/>
    <n v="29"/>
    <s v="Electronics"/>
    <s v="Lipstick"/>
    <s v="Beauty"/>
    <x v="0"/>
    <n v="240.94"/>
    <s v="Misaligned"/>
    <s v="65+ Seniors"/>
    <s v="High Value Tier"/>
    <s v="Stable"/>
  </r>
  <r>
    <s v="ORD5357"/>
    <s v="CUST1357"/>
    <n v="66"/>
    <s v="PROD557"/>
    <s v="UK"/>
    <s v="8/21/2021"/>
    <s v="2/15/2023"/>
    <n v="3"/>
    <s v="active"/>
    <s v="2/26/2022"/>
    <s v=" $128.99 "/>
    <n v="9"/>
    <n v="29"/>
    <s v="Beauty"/>
    <s v="Blender"/>
    <s v="Home"/>
    <x v="1"/>
    <n v="1160.9100000000001"/>
    <s v="Misaligned"/>
    <s v="65+ Seniors"/>
    <s v="High Value Tier"/>
    <s v="Stable"/>
  </r>
  <r>
    <s v="ORD5358"/>
    <s v="CUST1358"/>
    <n v="47"/>
    <s v="PROD558"/>
    <s v="Canada"/>
    <d v="2020-12-09T00:00:00"/>
    <s v="2/14/2023"/>
    <n v="0"/>
    <s v="active"/>
    <s v="7/23/2024"/>
    <s v=" $148.19 "/>
    <n v="8"/>
    <n v="26"/>
    <s v="Sports"/>
    <s v="Dress"/>
    <s v="Clothing"/>
    <x v="0"/>
    <n v="1185.52"/>
    <s v="Misaligned"/>
    <s v="35-49 Gen X"/>
    <s v="High Value Tier"/>
    <s v="Stable"/>
  </r>
  <r>
    <s v="ORD5359"/>
    <s v="CUST1359"/>
    <n v="39"/>
    <s v="PROD559"/>
    <s v="India"/>
    <d v="2021-06-12T00:00:00"/>
    <s v="5/28/2025"/>
    <n v="5"/>
    <s v="cancelled"/>
    <s v="12/21/2021"/>
    <s v=" $343.33 "/>
    <n v="5"/>
    <n v="44"/>
    <s v="Beauty"/>
    <s v="Running Shoes"/>
    <s v="Sports"/>
    <x v="0"/>
    <n v="1716.65"/>
    <s v="Misaligned"/>
    <s v="35-49 Gen X"/>
    <s v="High Value Tier"/>
    <s v="Stable"/>
  </r>
  <r>
    <s v="ORD5360"/>
    <s v="CUST1360"/>
    <n v="48"/>
    <s v="PROD560"/>
    <s v="India"/>
    <d v="2023-01-08T00:00:00"/>
    <s v="7/31/2024"/>
    <n v="5"/>
    <s v="active"/>
    <s v="6/29/2024"/>
    <s v=" $146.28 "/>
    <n v="4"/>
    <n v="36"/>
    <s v="Beauty"/>
    <s v="Sneakers"/>
    <s v="Clothing"/>
    <x v="0"/>
    <n v="585.12"/>
    <s v="Misaligned"/>
    <s v="35-49 Gen X"/>
    <s v="High Value Tier"/>
    <s v="Critical Risk"/>
  </r>
  <r>
    <s v="ORD5361"/>
    <s v="CUST1361"/>
    <n v="23"/>
    <s v="PROD561"/>
    <s v="India"/>
    <d v="2022-05-08T00:00:00"/>
    <s v="10/30/2022"/>
    <n v="1"/>
    <s v="cancelled"/>
    <s v="10/16/2023"/>
    <s v=" $165.06 "/>
    <n v="9"/>
    <n v="48"/>
    <s v="Beauty"/>
    <s v="Sneakers"/>
    <s v="Clothing"/>
    <x v="1"/>
    <n v="1485.54"/>
    <s v="Misaligned"/>
    <s v="18-24 Gen Z"/>
    <s v="High Value Tier"/>
    <s v="Stable"/>
  </r>
  <r>
    <s v="ORD5362"/>
    <s v="CUST1362"/>
    <n v="18"/>
    <s v="PROD562"/>
    <s v="Germany"/>
    <d v="2021-11-06T00:00:00"/>
    <s v="10/24/2021"/>
    <n v="1"/>
    <s v="active"/>
    <s v="9/26/2022"/>
    <s v=" $222.30 "/>
    <n v="8"/>
    <n v="3"/>
    <s v="Electronics"/>
    <s v="Vacuum Cleaner"/>
    <s v="Home"/>
    <x v="0"/>
    <n v="1778.4"/>
    <s v="Misaligned"/>
    <s v="18-24 Gen Z"/>
    <s v="High Value Tier"/>
    <s v="Stable"/>
  </r>
  <r>
    <s v="ORD5363"/>
    <s v="CUST1363"/>
    <n v="29"/>
    <s v="PROD563"/>
    <s v="UK"/>
    <s v="10/19/2021"/>
    <s v="10/21/2023"/>
    <n v="4"/>
    <s v="cancelled"/>
    <s v="1/22/2024"/>
    <s v=" $662.89 "/>
    <n v="3"/>
    <n v="9"/>
    <s v="Sports"/>
    <s v="Vacuum Cleaner"/>
    <s v="Home"/>
    <x v="0"/>
    <n v="1988.67"/>
    <s v="Misaligned"/>
    <s v="25-34 Millennials"/>
    <s v="High Value Tier"/>
    <s v="Stable"/>
  </r>
  <r>
    <s v="ORD5364"/>
    <s v="CUST1364"/>
    <n v="21"/>
    <s v="PROD564"/>
    <s v="Germany"/>
    <s v="10/23/2020"/>
    <s v="1/29/2021"/>
    <n v="5"/>
    <s v="cancelled"/>
    <d v="2022-11-04T00:00:00"/>
    <s v=" $134.18 "/>
    <n v="9"/>
    <n v="41"/>
    <s v="Home"/>
    <s v="Shampoo"/>
    <s v="Beauty"/>
    <x v="0"/>
    <n v="1207.6199999999999"/>
    <s v="Misaligned"/>
    <s v="18-24 Gen Z"/>
    <s v="High Value Tier"/>
    <s v="Stable"/>
  </r>
  <r>
    <s v="ORD5365"/>
    <s v="CUST1365"/>
    <n v="32"/>
    <s v="PROD565"/>
    <s v="Pakistan"/>
    <d v="2021-01-02T00:00:00"/>
    <s v="10/15/2022"/>
    <n v="4"/>
    <s v="active"/>
    <s v="1/29/2024"/>
    <s v=" $57.06 "/>
    <n v="4"/>
    <n v="21"/>
    <s v="Beauty"/>
    <s v="Camera"/>
    <s v="Electronics"/>
    <x v="1"/>
    <n v="228.24"/>
    <s v="Misaligned"/>
    <s v="25-34 Millennials"/>
    <s v="High Value Tier"/>
    <s v="Critical Risk"/>
  </r>
  <r>
    <s v="ORD5366"/>
    <s v="CUST1366"/>
    <n v="60"/>
    <s v="PROD566"/>
    <s v="India"/>
    <s v="2/22/2022"/>
    <s v="10/20/2023"/>
    <n v="3"/>
    <s v="active"/>
    <d v="2023-03-01T00:00:00"/>
    <s v=" $668.04 "/>
    <n v="2"/>
    <n v="17"/>
    <s v="Electronics"/>
    <s v="Smartphone"/>
    <s v="Electronics"/>
    <x v="0"/>
    <n v="1336.08"/>
    <s v="Aligned"/>
    <s v="50-64 Boomers"/>
    <s v="High Value Tier"/>
    <s v="Stable"/>
  </r>
  <r>
    <s v="ORD5367"/>
    <s v="CUST1367"/>
    <n v="27"/>
    <s v="PROD567"/>
    <s v="Pakistan"/>
    <d v="2021-12-02T00:00:00"/>
    <s v="7/23/2024"/>
    <n v="3"/>
    <s v="active"/>
    <s v="4/28/2024"/>
    <s v=" $348.12 "/>
    <n v="4"/>
    <n v="24"/>
    <s v="Beauty"/>
    <s v="Lamp"/>
    <s v="Home"/>
    <x v="0"/>
    <n v="1392.48"/>
    <s v="Misaligned"/>
    <s v="25-34 Millennials"/>
    <s v="High Value Tier"/>
    <s v="Stable"/>
  </r>
  <r>
    <s v="ORD5368"/>
    <s v="CUST1368"/>
    <n v="66"/>
    <s v="PROD568"/>
    <s v="USA"/>
    <d v="2023-06-05T00:00:00"/>
    <s v="6/27/2025"/>
    <n v="3"/>
    <s v="cancelled"/>
    <s v="1/14/2024"/>
    <s v=" $76.13 "/>
    <n v="7"/>
    <n v="7"/>
    <s v="Beauty"/>
    <s v="Skirt"/>
    <s v="Clothing"/>
    <x v="1"/>
    <n v="532.91"/>
    <s v="Misaligned"/>
    <s v="65+ Seniors"/>
    <s v="High Value Tier"/>
    <s v="Stable"/>
  </r>
  <r>
    <s v="ORD5369"/>
    <s v="CUST1369"/>
    <n v="27"/>
    <s v="PROD569"/>
    <s v="USA"/>
    <d v="2021-09-05T00:00:00"/>
    <s v="4/18/2023"/>
    <n v="4"/>
    <s v="active"/>
    <d v="2024-07-01T00:00:00"/>
    <s v=" $89.75 "/>
    <n v="7"/>
    <n v="22"/>
    <s v="Clothing"/>
    <s v="Sneakers"/>
    <s v="Clothing"/>
    <x v="0"/>
    <n v="628.25"/>
    <s v="Aligned"/>
    <s v="25-34 Millennials"/>
    <s v="High Value Tier"/>
    <s v="Critical Risk"/>
  </r>
  <r>
    <s v="ORD5370"/>
    <s v="CUST1370"/>
    <n v="37"/>
    <s v="PROD570"/>
    <s v="UK"/>
    <s v="9/30/2021"/>
    <s v="9/23/2024"/>
    <n v="1"/>
    <s v="active"/>
    <d v="2024-02-07T00:00:00"/>
    <s v=" $390.53 "/>
    <n v="5"/>
    <n v="16"/>
    <s v="Clothing"/>
    <s v="Basketball"/>
    <s v="Sports"/>
    <x v="1"/>
    <n v="1952.65"/>
    <s v="Misaligned"/>
    <s v="35-49 Gen X"/>
    <s v="High Value Tier"/>
    <s v="Stable"/>
  </r>
  <r>
    <s v="ORD5371"/>
    <s v="CUST1371"/>
    <n v="43"/>
    <s v="PROD571"/>
    <s v="Canada"/>
    <s v="1/19/2023"/>
    <s v="6/20/2025"/>
    <n v="5"/>
    <s v="active"/>
    <d v="2025-02-05T00:00:00"/>
    <s v=" $725.84 "/>
    <n v="2"/>
    <n v="24"/>
    <s v="Clothing"/>
    <s v="Vacuum Cleaner"/>
    <s v="Home"/>
    <x v="0"/>
    <n v="1451.68"/>
    <s v="Misaligned"/>
    <s v="35-49 Gen X"/>
    <s v="High Value Tier"/>
    <s v="Critical Risk"/>
  </r>
  <r>
    <s v="ORD5372"/>
    <s v="CUST1372"/>
    <n v="63"/>
    <s v="PROD572"/>
    <s v="Germany"/>
    <s v="10/18/2022"/>
    <d v="2024-02-12T00:00:00"/>
    <n v="4"/>
    <s v="active"/>
    <s v="2/19/2023"/>
    <s v=" $604.52 "/>
    <n v="3"/>
    <n v="7"/>
    <s v="Sports"/>
    <s v="Camera"/>
    <s v="Electronics"/>
    <x v="1"/>
    <n v="1813.56"/>
    <s v="Misaligned"/>
    <s v="50-64 Boomers"/>
    <s v="High Value Tier"/>
    <s v="Critical Risk"/>
  </r>
  <r>
    <s v="ORD5373"/>
    <s v="CUST1373"/>
    <n v="64"/>
    <s v="PROD573"/>
    <s v="Germany"/>
    <s v="10/20/2021"/>
    <s v="4/23/2024"/>
    <n v="2"/>
    <s v="active"/>
    <s v="1/28/2025"/>
    <s v=" $316.46 "/>
    <n v="6"/>
    <n v="37"/>
    <s v="Sports"/>
    <s v="Dumbbells"/>
    <s v="Sports"/>
    <x v="0"/>
    <n v="1898.76"/>
    <s v="Aligned"/>
    <s v="50-64 Boomers"/>
    <s v="High Value Tier"/>
    <s v="Stable"/>
  </r>
  <r>
    <s v="ORD5374"/>
    <s v="CUST1374"/>
    <n v="19"/>
    <s v="PROD574"/>
    <s v="India"/>
    <s v="4/14/2021"/>
    <s v="11/16/2023"/>
    <n v="4"/>
    <s v="cancelled"/>
    <d v="2021-05-11T00:00:00"/>
    <s v=" $75.21 "/>
    <n v="6"/>
    <n v="38"/>
    <s v="Clothing"/>
    <s v="Microwave"/>
    <s v="Home"/>
    <x v="1"/>
    <n v="451.26"/>
    <s v="Misaligned"/>
    <s v="18-24 Gen Z"/>
    <s v="High Value Tier"/>
    <s v="Stable"/>
  </r>
  <r>
    <s v="ORD5375"/>
    <s v="CUST1375"/>
    <n v="63"/>
    <s v="PROD575"/>
    <s v="Germany"/>
    <s v="5/29/2022"/>
    <d v="2023-01-09T00:00:00"/>
    <n v="5"/>
    <s v="paused"/>
    <s v="3/23/2024"/>
    <s v=" $399.54 "/>
    <n v="4"/>
    <n v="17"/>
    <s v="Beauty"/>
    <s v="Face Wash"/>
    <s v="Beauty"/>
    <x v="1"/>
    <n v="1598.16"/>
    <s v="Aligned"/>
    <s v="50-64 Boomers"/>
    <s v="High Value Tier"/>
    <s v="Elevated Risk"/>
  </r>
  <r>
    <s v="ORD5376"/>
    <s v="CUST1376"/>
    <n v="56"/>
    <s v="PROD576"/>
    <s v="Germany"/>
    <s v="4/13/2022"/>
    <d v="2024-07-02T00:00:00"/>
    <n v="5"/>
    <s v="active"/>
    <d v="2023-02-06T00:00:00"/>
    <s v=" $12.03 "/>
    <n v="7"/>
    <n v="42"/>
    <s v="Beauty"/>
    <s v="T-Shirt"/>
    <s v="Clothing"/>
    <x v="0"/>
    <n v="84.21"/>
    <s v="Misaligned"/>
    <s v="50-64 Boomers"/>
    <s v="High Value Tier"/>
    <s v="Critical Risk"/>
  </r>
  <r>
    <s v="ORD5377"/>
    <s v="CUST1377"/>
    <n v="33"/>
    <s v="PROD577"/>
    <s v="Germany"/>
    <s v="7/28/2021"/>
    <d v="2024-08-10T00:00:00"/>
    <n v="3"/>
    <s v="active"/>
    <s v="3/28/2023"/>
    <s v=" $54.72 "/>
    <n v="4"/>
    <n v="34"/>
    <s v="Sports"/>
    <s v="Dining Table"/>
    <s v="Home"/>
    <x v="1"/>
    <n v="218.88"/>
    <s v="Misaligned"/>
    <s v="25-34 Millennials"/>
    <s v="High Value Tier"/>
    <s v="Stable"/>
  </r>
  <r>
    <s v="ORD5378"/>
    <s v="CUST1378"/>
    <n v="48"/>
    <s v="PROD578"/>
    <s v="Canada"/>
    <d v="2022-10-04T00:00:00"/>
    <d v="2024-03-12T00:00:00"/>
    <n v="1"/>
    <s v="active"/>
    <d v="2024-08-03T00:00:00"/>
    <s v=" $122.74 "/>
    <n v="5"/>
    <n v="40"/>
    <s v="Sports"/>
    <s v="Tablet"/>
    <s v="Electronics"/>
    <x v="1"/>
    <n v="613.70000000000005"/>
    <s v="Misaligned"/>
    <s v="35-49 Gen X"/>
    <s v="High Value Tier"/>
    <s v="Stable"/>
  </r>
  <r>
    <s v="ORD5379"/>
    <s v="CUST1379"/>
    <n v="47"/>
    <s v="PROD579"/>
    <s v="Germany"/>
    <s v="12/14/2021"/>
    <d v="2023-01-03T00:00:00"/>
    <n v="1"/>
    <s v="paused"/>
    <d v="2022-08-05T00:00:00"/>
    <s v=" $23.70 "/>
    <n v="6"/>
    <n v="48"/>
    <s v="Electronics"/>
    <s v="Headphones"/>
    <s v="Electronics"/>
    <x v="0"/>
    <n v="142.19999999999999"/>
    <s v="Aligned"/>
    <s v="35-49 Gen X"/>
    <s v="High Value Tier"/>
    <s v="Elevated Risk"/>
  </r>
  <r>
    <s v="ORD5380"/>
    <s v="CUST1380"/>
    <n v="46"/>
    <s v="PROD580"/>
    <s v="India"/>
    <d v="2023-10-07T00:00:00"/>
    <d v="2023-08-10T00:00:00"/>
    <n v="1"/>
    <s v="paused"/>
    <s v="1/19/2025"/>
    <s v=" $181.50 "/>
    <n v="3"/>
    <n v="20"/>
    <s v="Beauty"/>
    <s v="Refrigerator"/>
    <s v="Home"/>
    <x v="1"/>
    <n v="544.5"/>
    <s v="Misaligned"/>
    <s v="35-49 Gen X"/>
    <s v="High Value Tier"/>
    <s v="Elevated Risk"/>
  </r>
  <r>
    <s v="ORD5381"/>
    <s v="CUST1381"/>
    <n v="66"/>
    <s v="PROD581"/>
    <s v="Germany"/>
    <s v="7/22/2023"/>
    <s v="7/28/2025"/>
    <n v="3"/>
    <s v="active"/>
    <d v="2025-01-03T00:00:00"/>
    <s v=" $195.60 "/>
    <n v="2"/>
    <n v="45"/>
    <s v="Clothing"/>
    <s v="Conditioner"/>
    <s v="Beauty"/>
    <x v="0"/>
    <n v="391.2"/>
    <s v="Misaligned"/>
    <s v="65+ Seniors"/>
    <s v="High Value Tier"/>
    <s v="Stable"/>
  </r>
  <r>
    <s v="ORD5382"/>
    <s v="CUST1382"/>
    <n v="60"/>
    <s v="PROD582"/>
    <s v="Pakistan"/>
    <s v="1/13/2021"/>
    <s v="5/15/2025"/>
    <n v="5"/>
    <s v="cancelled"/>
    <d v="2021-11-12T00:00:00"/>
    <s v=" $107.92 "/>
    <n v="9"/>
    <n v="14"/>
    <s v="Beauty"/>
    <s v="Lipstick"/>
    <s v="Beauty"/>
    <x v="0"/>
    <n v="971.28"/>
    <s v="Aligned"/>
    <s v="50-64 Boomers"/>
    <s v="High Value Tier"/>
    <s v="Stable"/>
  </r>
  <r>
    <s v="ORD5383"/>
    <s v="CUST1383"/>
    <n v="39"/>
    <s v="PROD583"/>
    <s v="UK"/>
    <s v="5/26/2023"/>
    <s v="7/25/2024"/>
    <n v="2"/>
    <s v="active"/>
    <d v="2023-01-09T00:00:00"/>
    <s v=" $577.66 "/>
    <n v="3"/>
    <n v="18"/>
    <s v="Sports"/>
    <s v="Camera"/>
    <s v="Electronics"/>
    <x v="0"/>
    <n v="1732.98"/>
    <s v="Misaligned"/>
    <s v="35-49 Gen X"/>
    <s v="High Value Tier"/>
    <s v="Stable"/>
  </r>
  <r>
    <s v="ORD5384"/>
    <s v="CUST1384"/>
    <n v="31"/>
    <s v="PROD584"/>
    <s v="Pakistan"/>
    <s v="5/18/2022"/>
    <d v="2024-09-05T00:00:00"/>
    <n v="5"/>
    <s v="active"/>
    <s v="7/16/2023"/>
    <s v=" $81.15 "/>
    <n v="7"/>
    <n v="41"/>
    <s v="Beauty"/>
    <s v="Basketball"/>
    <s v="Sports"/>
    <x v="1"/>
    <n v="568.04999999999995"/>
    <s v="Misaligned"/>
    <s v="25-34 Millennials"/>
    <s v="High Value Tier"/>
    <s v="Critical Risk"/>
  </r>
  <r>
    <s v="ORD5385"/>
    <s v="CUST1385"/>
    <n v="26"/>
    <s v="PROD585"/>
    <s v="UK"/>
    <d v="2023-05-05T00:00:00"/>
    <d v="2024-04-03T00:00:00"/>
    <n v="4"/>
    <s v="paused"/>
    <s v="6/24/2024"/>
    <s v=" $68.54 "/>
    <n v="8"/>
    <n v="18"/>
    <s v="Sports"/>
    <s v="Gaming Console"/>
    <s v="Electronics"/>
    <x v="0"/>
    <n v="548.32000000000005"/>
    <s v="Misaligned"/>
    <s v="25-34 Millennials"/>
    <s v="High Value Tier"/>
    <s v="Elevated Risk"/>
  </r>
  <r>
    <s v="ORD5386"/>
    <s v="CUST1386"/>
    <n v="34"/>
    <s v="PROD586"/>
    <s v="India"/>
    <s v="10/27/2022"/>
    <d v="2023-03-03T00:00:00"/>
    <n v="3"/>
    <s v="cancelled"/>
    <s v="2/13/2024"/>
    <s v=" $193.43 "/>
    <n v="8"/>
    <n v="23"/>
    <s v="Sports"/>
    <s v="Running Shoes"/>
    <s v="Sports"/>
    <x v="1"/>
    <n v="1547.44"/>
    <s v="Aligned"/>
    <s v="25-34 Millennials"/>
    <s v="High Value Tier"/>
    <s v="Stable"/>
  </r>
  <r>
    <s v="ORD5387"/>
    <s v="CUST1387"/>
    <n v="44"/>
    <s v="PROD587"/>
    <s v="UK"/>
    <s v="1/18/2022"/>
    <s v="5/15/2022"/>
    <n v="5"/>
    <s v="active"/>
    <s v="1/22/2022"/>
    <s v=" $276.70 "/>
    <n v="6"/>
    <n v="22"/>
    <s v="Home"/>
    <s v="Blender"/>
    <s v="Home"/>
    <x v="1"/>
    <n v="1660.2"/>
    <s v="Aligned"/>
    <s v="35-49 Gen X"/>
    <s v="High Value Tier"/>
    <s v="Critical Risk"/>
  </r>
  <r>
    <s v="ORD5388"/>
    <s v="CUST1388"/>
    <n v="61"/>
    <s v="PROD588"/>
    <s v="Germany"/>
    <s v="12/31/2021"/>
    <s v="3/30/2022"/>
    <n v="0"/>
    <s v="cancelled"/>
    <s v="6/13/2025"/>
    <s v=" $51.83 "/>
    <n v="2"/>
    <n v="12"/>
    <s v="Electronics"/>
    <s v="Basketball"/>
    <s v="Sports"/>
    <x v="1"/>
    <n v="103.66"/>
    <s v="Misaligned"/>
    <s v="50-64 Boomers"/>
    <s v="Core Tier"/>
    <s v="Stable"/>
  </r>
  <r>
    <s v="ORD5389"/>
    <s v="CUST1389"/>
    <n v="46"/>
    <s v="PROD589"/>
    <s v="UK"/>
    <s v="12/16/2020"/>
    <s v="3/31/2021"/>
    <n v="1"/>
    <s v="active"/>
    <s v="7/17/2022"/>
    <s v=" $133.73 "/>
    <n v="8"/>
    <n v="33"/>
    <s v="Sports"/>
    <s v="Vacuum Cleaner"/>
    <s v="Home"/>
    <x v="0"/>
    <n v="1069.8399999999999"/>
    <s v="Misaligned"/>
    <s v="35-49 Gen X"/>
    <s v="High Value Tier"/>
    <s v="Stable"/>
  </r>
  <r>
    <s v="ORD5390"/>
    <s v="CUST1390"/>
    <n v="64"/>
    <s v="PROD590"/>
    <s v="UK"/>
    <d v="2022-08-01T00:00:00"/>
    <d v="2025-05-06T00:00:00"/>
    <n v="4"/>
    <s v="paused"/>
    <d v="2023-11-11T00:00:00"/>
    <s v=" $52.44 "/>
    <n v="4"/>
    <n v="34"/>
    <s v="Clothing"/>
    <s v="Smartphone"/>
    <s v="Electronics"/>
    <x v="1"/>
    <n v="209.76"/>
    <s v="Misaligned"/>
    <s v="50-64 Boomers"/>
    <s v="High Value Tier"/>
    <s v="Elevated Risk"/>
  </r>
  <r>
    <s v="ORD5391"/>
    <s v="CUST1391"/>
    <n v="60"/>
    <s v="PROD591"/>
    <s v="India"/>
    <s v="7/30/2021"/>
    <d v="2024-05-01T00:00:00"/>
    <n v="0"/>
    <s v="active"/>
    <d v="2023-10-07T00:00:00"/>
    <s v=" $1,499.71 "/>
    <n v="1"/>
    <n v="29"/>
    <s v="Clothing"/>
    <s v="Cricket Bat"/>
    <s v="Sports"/>
    <x v="0"/>
    <n v="1499.71"/>
    <s v="Misaligned"/>
    <s v="50-64 Boomers"/>
    <s v="High Value Tier"/>
    <s v="Stable"/>
  </r>
  <r>
    <s v="ORD5392"/>
    <s v="CUST1392"/>
    <n v="66"/>
    <s v="PROD592"/>
    <s v="Canada"/>
    <d v="2022-08-03T00:00:00"/>
    <s v="4/26/2024"/>
    <n v="1"/>
    <s v="paused"/>
    <s v="3/23/2025"/>
    <s v=" $562.84 "/>
    <n v="3"/>
    <n v="26"/>
    <s v="Beauty"/>
    <s v="Foundation"/>
    <s v="Beauty"/>
    <x v="1"/>
    <n v="1688.52"/>
    <s v="Aligned"/>
    <s v="65+ Seniors"/>
    <s v="High Value Tier"/>
    <s v="Elevated Risk"/>
  </r>
  <r>
    <s v="ORD5393"/>
    <s v="CUST1393"/>
    <n v="62"/>
    <s v="PROD593"/>
    <s v="India"/>
    <d v="2021-02-04T00:00:00"/>
    <s v="4/19/2021"/>
    <n v="0"/>
    <s v="active"/>
    <s v="1/20/2024"/>
    <s v=" $1,366.86 "/>
    <n v="1"/>
    <n v="45"/>
    <s v="Beauty"/>
    <s v="Lamp"/>
    <s v="Home"/>
    <x v="0"/>
    <n v="1366.86"/>
    <s v="Misaligned"/>
    <s v="50-64 Boomers"/>
    <s v="High Value Tier"/>
    <s v="Stable"/>
  </r>
  <r>
    <s v="ORD5394"/>
    <s v="CUST1394"/>
    <n v="43"/>
    <s v="PROD594"/>
    <s v="USA"/>
    <s v="5/14/2022"/>
    <s v="5/28/2022"/>
    <n v="3"/>
    <s v="active"/>
    <s v="5/27/2025"/>
    <s v=" $290.28 "/>
    <n v="6"/>
    <n v="38"/>
    <s v="Sports"/>
    <s v="Smartphone"/>
    <s v="Electronics"/>
    <x v="0"/>
    <n v="1741.68"/>
    <s v="Misaligned"/>
    <s v="35-49 Gen X"/>
    <s v="High Value Tier"/>
    <s v="Stable"/>
  </r>
  <r>
    <s v="ORD5395"/>
    <s v="CUST1395"/>
    <n v="60"/>
    <s v="PROD595"/>
    <s v="India"/>
    <s v="9/29/2022"/>
    <s v="7/31/2023"/>
    <n v="1"/>
    <s v="active"/>
    <d v="2024-02-04T00:00:00"/>
    <s v=" $134.53 "/>
    <n v="9"/>
    <n v="45"/>
    <s v="Electronics"/>
    <s v="Dumbbells"/>
    <s v="Sports"/>
    <x v="1"/>
    <n v="1210.77"/>
    <s v="Misaligned"/>
    <s v="50-64 Boomers"/>
    <s v="High Value Tier"/>
    <s v="Stable"/>
  </r>
  <r>
    <s v="ORD5396"/>
    <s v="CUST1396"/>
    <n v="52"/>
    <s v="PROD596"/>
    <s v="India"/>
    <s v="1/25/2021"/>
    <s v="11/24/2021"/>
    <n v="0"/>
    <s v="active"/>
    <s v="1/26/2023"/>
    <s v=" $434.16 "/>
    <n v="2"/>
    <n v="43"/>
    <s v="Sports"/>
    <s v="Dumbbells"/>
    <s v="Sports"/>
    <x v="0"/>
    <n v="868.32"/>
    <s v="Aligned"/>
    <s v="50-64 Boomers"/>
    <s v="High Value Tier"/>
    <s v="Stable"/>
  </r>
  <r>
    <s v="ORD5397"/>
    <s v="CUST1397"/>
    <n v="55"/>
    <s v="PROD597"/>
    <s v="Canada"/>
    <s v="1/23/2021"/>
    <s v="9/24/2022"/>
    <n v="0"/>
    <s v="paused"/>
    <s v="2/24/2024"/>
    <s v=" $44.89 "/>
    <n v="7"/>
    <n v="2"/>
    <s v="Clothing"/>
    <s v="Perfume"/>
    <s v="Beauty"/>
    <x v="0"/>
    <n v="314.23"/>
    <s v="Misaligned"/>
    <s v="50-64 Boomers"/>
    <s v="Value Tier"/>
    <s v="Elevated Risk"/>
  </r>
  <r>
    <s v="ORD5398"/>
    <s v="CUST1398"/>
    <n v="63"/>
    <s v="PROD598"/>
    <s v="Pakistan"/>
    <s v="7/14/2021"/>
    <s v="3/25/2025"/>
    <n v="0"/>
    <s v="paused"/>
    <s v="3/27/2022"/>
    <s v=" $158.19 "/>
    <n v="7"/>
    <n v="15"/>
    <s v="Clothing"/>
    <s v="Face Wash"/>
    <s v="Beauty"/>
    <x v="2"/>
    <n v="1107.33"/>
    <s v="Misaligned"/>
    <s v="50-64 Boomers"/>
    <s v="High Value Tier"/>
    <s v="Elevated Risk"/>
  </r>
  <r>
    <s v="ORD5399"/>
    <s v="CUST1399"/>
    <n v="43"/>
    <s v="PROD599"/>
    <s v="Pakistan"/>
    <d v="2022-03-10T00:00:00"/>
    <s v="1/23/2024"/>
    <n v="3"/>
    <s v="cancelled"/>
    <s v="12/16/2023"/>
    <s v=" $130.46 "/>
    <n v="7"/>
    <n v="17"/>
    <s v="Sports"/>
    <s v="Yoga Mat"/>
    <s v="Sports"/>
    <x v="0"/>
    <n v="913.22"/>
    <s v="Aligned"/>
    <s v="35-49 Gen X"/>
    <s v="High Value Tier"/>
    <s v="Stable"/>
  </r>
  <r>
    <s v="ORD5400"/>
    <s v="CUST1400"/>
    <n v="68"/>
    <s v="PROD600"/>
    <s v="Germany"/>
    <d v="2021-03-12T00:00:00"/>
    <s v="8/14/2024"/>
    <n v="5"/>
    <s v="active"/>
    <s v="3/22/2025"/>
    <s v=" $90.50 "/>
    <n v="4"/>
    <n v="32"/>
    <s v="Beauty"/>
    <s v="Gaming Console"/>
    <s v="Electronics"/>
    <x v="0"/>
    <n v="362"/>
    <s v="Misaligned"/>
    <s v="65+ Seniors"/>
    <s v="High Value Tier"/>
    <s v="Critical Risk"/>
  </r>
  <r>
    <s v="ORD5401"/>
    <s v="CUST1401"/>
    <n v="60"/>
    <s v="PROD601"/>
    <s v="Pakistan"/>
    <d v="2023-12-08T00:00:00"/>
    <s v="2/22/2024"/>
    <n v="0"/>
    <s v="cancelled"/>
    <d v="2025-04-08T00:00:00"/>
    <s v=" $132.55 "/>
    <n v="3"/>
    <n v="25"/>
    <s v="Sports"/>
    <s v="Sneakers"/>
    <s v="Clothing"/>
    <x v="1"/>
    <n v="397.65"/>
    <s v="Misaligned"/>
    <s v="50-64 Boomers"/>
    <s v="High Value Tier"/>
    <s v="Stable"/>
  </r>
  <r>
    <s v="ORD5402"/>
    <s v="CUST1402"/>
    <n v="27"/>
    <s v="PROD602"/>
    <s v="Germany"/>
    <d v="2021-12-05T00:00:00"/>
    <d v="2023-07-08T00:00:00"/>
    <n v="2"/>
    <s v="cancelled"/>
    <s v="8/28/2022"/>
    <s v=" $315.00 "/>
    <n v="2"/>
    <n v="25"/>
    <s v="Beauty"/>
    <s v="Laptop"/>
    <s v="Electronics"/>
    <x v="0"/>
    <n v="630"/>
    <s v="Misaligned"/>
    <s v="25-34 Millennials"/>
    <s v="High Value Tier"/>
    <s v="Stable"/>
  </r>
  <r>
    <s v="ORD5403"/>
    <s v="CUST1403"/>
    <n v="31"/>
    <s v="PROD603"/>
    <s v="India"/>
    <s v="3/15/2022"/>
    <d v="2022-12-11T00:00:00"/>
    <n v="0"/>
    <s v="active"/>
    <d v="2024-08-11T00:00:00"/>
    <s v=" $19.50 "/>
    <n v="6"/>
    <n v="14"/>
    <s v="Electronics"/>
    <s v="Microwave"/>
    <s v="Home"/>
    <x v="1"/>
    <n v="117"/>
    <s v="Misaligned"/>
    <s v="25-34 Millennials"/>
    <s v="Core Tier"/>
    <s v="Stable"/>
  </r>
  <r>
    <s v="ORD5404"/>
    <s v="CUST1404"/>
    <n v="52"/>
    <s v="PROD604"/>
    <s v="India"/>
    <d v="2022-11-10T00:00:00"/>
    <s v="9/19/2023"/>
    <n v="5"/>
    <s v="active"/>
    <s v="3/24/2025"/>
    <s v=" $74.49 "/>
    <n v="7"/>
    <n v="4"/>
    <s v="Home"/>
    <s v="Headphones"/>
    <s v="Electronics"/>
    <x v="0"/>
    <n v="521.42999999999995"/>
    <s v="Misaligned"/>
    <s v="50-64 Boomers"/>
    <s v="Core Tier"/>
    <s v="Critical Risk"/>
  </r>
  <r>
    <s v="ORD5405"/>
    <s v="CUST1405"/>
    <n v="40"/>
    <s v="PROD605"/>
    <s v="India"/>
    <d v="2020-05-09T00:00:00"/>
    <s v="6/26/2024"/>
    <n v="0"/>
    <s v="paused"/>
    <s v="4/24/2021"/>
    <s v=" $539.41 "/>
    <n v="3"/>
    <n v="33"/>
    <s v="Clothing"/>
    <s v="Skirt"/>
    <s v="Clothing"/>
    <x v="1"/>
    <n v="1618.23"/>
    <s v="Aligned"/>
    <s v="35-49 Gen X"/>
    <s v="High Value Tier"/>
    <s v="Elevated Risk"/>
  </r>
  <r>
    <s v="ORD5406"/>
    <s v="CUST1406"/>
    <n v="66"/>
    <s v="PROD606"/>
    <s v="USA"/>
    <d v="2023-11-08T00:00:00"/>
    <d v="2025-04-03T00:00:00"/>
    <n v="2"/>
    <s v="active"/>
    <d v="2024-11-04T00:00:00"/>
    <s v=" $101.02 "/>
    <n v="7"/>
    <n v="19"/>
    <s v="Home"/>
    <s v="T-Shirt"/>
    <s v="Clothing"/>
    <x v="0"/>
    <n v="707.14"/>
    <s v="Misaligned"/>
    <s v="65+ Seniors"/>
    <s v="High Value Tier"/>
    <s v="Stable"/>
  </r>
  <r>
    <s v="ORD5407"/>
    <s v="CUST1407"/>
    <n v="22"/>
    <s v="PROD607"/>
    <s v="UK"/>
    <d v="2022-11-03T00:00:00"/>
    <s v="8/23/2023"/>
    <n v="2"/>
    <s v="cancelled"/>
    <s v="5/20/2023"/>
    <s v=" $1,263.80 "/>
    <n v="1"/>
    <n v="6"/>
    <s v="Beauty"/>
    <s v="Lipstick"/>
    <s v="Beauty"/>
    <x v="0"/>
    <n v="1263.8"/>
    <s v="Aligned"/>
    <s v="18-24 Gen Z"/>
    <s v="High Value Tier"/>
    <s v="Stable"/>
  </r>
  <r>
    <s v="ORD5408"/>
    <s v="CUST1408"/>
    <n v="56"/>
    <s v="PROD608"/>
    <s v="USA"/>
    <d v="2023-06-03T00:00:00"/>
    <s v="7/26/2024"/>
    <n v="0"/>
    <s v="active"/>
    <s v="7/23/2023"/>
    <s v=" $643.24 "/>
    <n v="3"/>
    <n v="44"/>
    <s v="Home"/>
    <s v="Face Wash"/>
    <s v="Beauty"/>
    <x v="1"/>
    <n v="1929.72"/>
    <s v="Misaligned"/>
    <s v="50-64 Boomers"/>
    <s v="High Value Tier"/>
    <s v="Stable"/>
  </r>
  <r>
    <s v="ORD5409"/>
    <s v="CUST1409"/>
    <n v="61"/>
    <s v="PROD609"/>
    <s v="USA"/>
    <s v="5/31/2023"/>
    <d v="2025-07-02T00:00:00"/>
    <n v="5"/>
    <s v="paused"/>
    <s v="10/30/2024"/>
    <s v=" $217.29 "/>
    <n v="8"/>
    <n v="7"/>
    <s v="Electronics"/>
    <s v="Lamp"/>
    <s v="Home"/>
    <x v="0"/>
    <n v="1738.32"/>
    <s v="Misaligned"/>
    <s v="50-64 Boomers"/>
    <s v="High Value Tier"/>
    <s v="Elevated Risk"/>
  </r>
  <r>
    <s v="ORD5410"/>
    <s v="CUST1410"/>
    <n v="61"/>
    <s v="PROD610"/>
    <s v="Germany"/>
    <s v="10/23/2021"/>
    <d v="2022-01-10T00:00:00"/>
    <n v="5"/>
    <s v="active"/>
    <s v="6/27/2022"/>
    <s v=" $94.79 "/>
    <n v="8"/>
    <n v="1"/>
    <s v="Sports"/>
    <s v="Moisturizer"/>
    <s v="Beauty"/>
    <x v="1"/>
    <n v="758.32"/>
    <s v="Misaligned"/>
    <s v="50-64 Boomers"/>
    <s v="Core Tier"/>
    <s v="Critical Risk"/>
  </r>
  <r>
    <s v="ORD5411"/>
    <s v="CUST1411"/>
    <n v="64"/>
    <s v="PROD611"/>
    <s v="Germany"/>
    <s v="3/19/2022"/>
    <d v="2025-12-08T00:00:00"/>
    <n v="0"/>
    <s v="active"/>
    <d v="2024-11-08T00:00:00"/>
    <s v=" $305.80 "/>
    <n v="5"/>
    <n v="23"/>
    <s v="Beauty"/>
    <s v="Tablet"/>
    <s v="Electronics"/>
    <x v="0"/>
    <n v="1529"/>
    <s v="Misaligned"/>
    <s v="50-64 Boomers"/>
    <s v="High Value Tier"/>
    <s v="Stable"/>
  </r>
  <r>
    <s v="ORD5412"/>
    <s v="CUST1412"/>
    <n v="65"/>
    <s v="PROD612"/>
    <s v="Pakistan"/>
    <d v="2020-11-09T00:00:00"/>
    <d v="2025-07-08T00:00:00"/>
    <n v="3"/>
    <s v="active"/>
    <s v="4/22/2021"/>
    <s v=" $41.08 "/>
    <n v="4"/>
    <n v="18"/>
    <s v="Sports"/>
    <s v="Headphones"/>
    <s v="Electronics"/>
    <x v="0"/>
    <n v="164.32"/>
    <s v="Misaligned"/>
    <s v="65+ Seniors"/>
    <s v="High Value Tier"/>
    <s v="Stable"/>
  </r>
  <r>
    <s v="ORD5413"/>
    <s v="CUST1413"/>
    <n v="58"/>
    <s v="PROD613"/>
    <s v="India"/>
    <s v="3/23/2023"/>
    <d v="2024-04-11T00:00:00"/>
    <n v="1"/>
    <s v="active"/>
    <d v="2023-11-04T00:00:00"/>
    <s v=" $155.84 "/>
    <n v="8"/>
    <n v="29"/>
    <s v="Sports"/>
    <s v="Tennis Racket"/>
    <s v="Sports"/>
    <x v="1"/>
    <n v="1246.72"/>
    <s v="Aligned"/>
    <s v="50-64 Boomers"/>
    <s v="High Value Tier"/>
    <s v="Stable"/>
  </r>
  <r>
    <s v="ORD5414"/>
    <s v="CUST1414"/>
    <n v="33"/>
    <s v="PROD614"/>
    <s v="UK"/>
    <d v="2023-09-06T00:00:00"/>
    <s v="10/25/2024"/>
    <n v="2"/>
    <s v="active"/>
    <s v="3/17/2025"/>
    <s v=" $410.16 "/>
    <n v="3"/>
    <n v="31"/>
    <s v="Electronics"/>
    <s v="Jacket"/>
    <s v="Clothing"/>
    <x v="1"/>
    <n v="1230.48"/>
    <s v="Misaligned"/>
    <s v="25-34 Millennials"/>
    <s v="High Value Tier"/>
    <s v="Stable"/>
  </r>
  <r>
    <s v="ORD5415"/>
    <s v="CUST1415"/>
    <n v="24"/>
    <s v="PROD615"/>
    <s v="Germany"/>
    <d v="2022-10-05T00:00:00"/>
    <d v="2024-11-06T00:00:00"/>
    <n v="1"/>
    <s v="active"/>
    <d v="2023-10-12T00:00:00"/>
    <s v=" $350.48 "/>
    <n v="3"/>
    <n v="32"/>
    <s v="Clothing"/>
    <s v="Sneakers"/>
    <s v="Clothing"/>
    <x v="0"/>
    <n v="1051.44"/>
    <s v="Aligned"/>
    <s v="18-24 Gen Z"/>
    <s v="High Value Tier"/>
    <s v="Stable"/>
  </r>
  <r>
    <s v="ORD5416"/>
    <s v="CUST1416"/>
    <n v="62"/>
    <s v="PROD616"/>
    <s v="Pakistan"/>
    <s v="10/28/2022"/>
    <d v="2024-10-01T00:00:00"/>
    <n v="0"/>
    <s v="active"/>
    <d v="2023-08-03T00:00:00"/>
    <s v=" $216.64 "/>
    <n v="8"/>
    <n v="32"/>
    <s v="Clothing"/>
    <s v="Face Wash"/>
    <s v="Beauty"/>
    <x v="1"/>
    <n v="1733.12"/>
    <s v="Misaligned"/>
    <s v="50-64 Boomers"/>
    <s v="High Value Tier"/>
    <s v="Stable"/>
  </r>
  <r>
    <s v="ORD5417"/>
    <s v="CUST1417"/>
    <n v="42"/>
    <s v="PROD617"/>
    <s v="India"/>
    <s v="6/15/2021"/>
    <d v="2025-09-07T00:00:00"/>
    <n v="4"/>
    <s v="active"/>
    <s v="3/13/2024"/>
    <s v=" $75.20 "/>
    <n v="6"/>
    <n v="11"/>
    <s v="Beauty"/>
    <s v="Perfume"/>
    <s v="Beauty"/>
    <x v="1"/>
    <n v="451.2"/>
    <s v="Aligned"/>
    <s v="35-49 Gen X"/>
    <s v="High Value Tier"/>
    <s v="Critical Risk"/>
  </r>
  <r>
    <s v="ORD5418"/>
    <s v="CUST1418"/>
    <n v="22"/>
    <s v="PROD618"/>
    <s v="UK"/>
    <d v="2023-07-04T00:00:00"/>
    <d v="2025-08-07T00:00:00"/>
    <n v="3"/>
    <s v="active"/>
    <d v="2024-04-12T00:00:00"/>
    <s v=" $17.09 "/>
    <n v="7"/>
    <n v="4"/>
    <s v="Home"/>
    <s v="Shampoo"/>
    <s v="Beauty"/>
    <x v="0"/>
    <n v="119.63"/>
    <s v="Misaligned"/>
    <s v="18-24 Gen Z"/>
    <s v="Value Tier"/>
    <s v="Stable"/>
  </r>
  <r>
    <s v="ORD5419"/>
    <s v="CUST1419"/>
    <n v="65"/>
    <s v="PROD619"/>
    <s v="Canada"/>
    <d v="2022-06-03T00:00:00"/>
    <s v="12/17/2023"/>
    <n v="1"/>
    <s v="paused"/>
    <d v="2025-08-03T00:00:00"/>
    <s v=" $4.22 "/>
    <n v="9"/>
    <n v="31"/>
    <s v="Home"/>
    <s v="Sneakers"/>
    <s v="Clothing"/>
    <x v="0"/>
    <n v="37.979999999999997"/>
    <s v="Misaligned"/>
    <s v="65+ Seniors"/>
    <s v="Core Tier"/>
    <s v="Elevated Risk"/>
  </r>
  <r>
    <s v="ORD5420"/>
    <s v="CUST1420"/>
    <n v="39"/>
    <s v="PROD620"/>
    <s v="Canada"/>
    <d v="2021-04-02T00:00:00"/>
    <s v="1/19/2024"/>
    <n v="4"/>
    <s v="paused"/>
    <s v="3/23/2023"/>
    <s v=" $89.67 "/>
    <n v="2"/>
    <n v="35"/>
    <s v="Clothing"/>
    <s v="Lipstick"/>
    <s v="Beauty"/>
    <x v="2"/>
    <n v="179.34"/>
    <s v="Misaligned"/>
    <s v="35-49 Gen X"/>
    <s v="High Value Tier"/>
    <s v="Elevated Risk"/>
  </r>
  <r>
    <s v="ORD5421"/>
    <s v="CUST1421"/>
    <n v="37"/>
    <s v="PROD621"/>
    <s v="USA"/>
    <s v="5/15/2022"/>
    <s v="1/16/2025"/>
    <n v="2"/>
    <s v="active"/>
    <s v="7/17/2025"/>
    <s v=" $57.72 "/>
    <n v="4"/>
    <n v="11"/>
    <s v="Beauty"/>
    <s v="Vacuum Cleaner"/>
    <s v="Home"/>
    <x v="1"/>
    <n v="230.88"/>
    <s v="Misaligned"/>
    <s v="35-49 Gen X"/>
    <s v="High Value Tier"/>
    <s v="Stable"/>
  </r>
  <r>
    <s v="ORD5422"/>
    <s v="CUST1422"/>
    <n v="40"/>
    <s v="PROD622"/>
    <s v="Germany"/>
    <d v="2022-07-06T00:00:00"/>
    <s v="9/26/2024"/>
    <n v="1"/>
    <s v="active"/>
    <d v="2023-09-10T00:00:00"/>
    <s v=" $288.26 "/>
    <n v="5"/>
    <n v="32"/>
    <s v="Clothing"/>
    <s v="Jacket"/>
    <s v="Clothing"/>
    <x v="0"/>
    <n v="1441.3"/>
    <s v="Aligned"/>
    <s v="35-49 Gen X"/>
    <s v="High Value Tier"/>
    <s v="Stable"/>
  </r>
  <r>
    <s v="ORD5423"/>
    <s v="CUST1423"/>
    <n v="21"/>
    <s v="PROD623"/>
    <s v="Pakistan"/>
    <d v="2023-08-07T00:00:00"/>
    <s v="2/20/2025"/>
    <n v="2"/>
    <s v="active"/>
    <s v="3/27/2025"/>
    <s v=" $37.13 "/>
    <n v="8"/>
    <n v="9"/>
    <s v="Beauty"/>
    <s v="Skirt"/>
    <s v="Clothing"/>
    <x v="1"/>
    <n v="297.04000000000002"/>
    <s v="Misaligned"/>
    <s v="18-24 Gen Z"/>
    <s v="High Value Tier"/>
    <s v="Stable"/>
  </r>
  <r>
    <s v="ORD5424"/>
    <s v="CUST1424"/>
    <n v="55"/>
    <s v="PROD624"/>
    <s v="Canada"/>
    <d v="2021-09-08T00:00:00"/>
    <s v="9/22/2024"/>
    <n v="5"/>
    <s v="cancelled"/>
    <s v="11/30/2022"/>
    <s v=" $1,799.69 "/>
    <n v="1"/>
    <n v="39"/>
    <s v="Sports"/>
    <s v="Smartphone"/>
    <s v="Electronics"/>
    <x v="0"/>
    <n v="1799.69"/>
    <s v="Misaligned"/>
    <s v="50-64 Boomers"/>
    <s v="High Value Tier"/>
    <s v="Stable"/>
  </r>
  <r>
    <s v="ORD5425"/>
    <s v="CUST1425"/>
    <n v="26"/>
    <s v="PROD625"/>
    <s v="Canada"/>
    <s v="6/27/2023"/>
    <s v="12/19/2023"/>
    <n v="1"/>
    <s v="active"/>
    <s v="7/17/2024"/>
    <s v=" $367.19 "/>
    <n v="3"/>
    <n v="49"/>
    <s v="Home"/>
    <s v="Headphones"/>
    <s v="Electronics"/>
    <x v="1"/>
    <n v="1101.57"/>
    <s v="Misaligned"/>
    <s v="25-34 Millennials"/>
    <s v="High Value Tier"/>
    <s v="Stable"/>
  </r>
  <r>
    <s v="ORD5426"/>
    <s v="CUST1426"/>
    <n v="27"/>
    <s v="PROD626"/>
    <s v="UK"/>
    <d v="2023-08-05T00:00:00"/>
    <s v="9/15/2024"/>
    <n v="4"/>
    <s v="paused"/>
    <d v="2024-11-08T00:00:00"/>
    <s v=" $174.10 "/>
    <n v="7"/>
    <n v="40"/>
    <s v="Home"/>
    <s v="Shirt"/>
    <s v="Clothing"/>
    <x v="0"/>
    <n v="1218.7"/>
    <s v="Misaligned"/>
    <s v="25-34 Millennials"/>
    <s v="High Value Tier"/>
    <s v="Elevated Risk"/>
  </r>
  <r>
    <s v="ORD5427"/>
    <s v="CUST1427"/>
    <n v="35"/>
    <s v="PROD627"/>
    <s v="USA"/>
    <d v="2022-11-07T00:00:00"/>
    <s v="12/22/2024"/>
    <n v="3"/>
    <s v="cancelled"/>
    <s v="8/28/2024"/>
    <s v=" $208.23 "/>
    <n v="7"/>
    <n v="3"/>
    <s v="Home"/>
    <s v="Laptop"/>
    <s v="Electronics"/>
    <x v="0"/>
    <n v="1457.61"/>
    <s v="Misaligned"/>
    <s v="35-49 Gen X"/>
    <s v="High Value Tier"/>
    <s v="Stable"/>
  </r>
  <r>
    <s v="ORD5428"/>
    <s v="CUST1428"/>
    <n v="19"/>
    <s v="PROD628"/>
    <s v="USA"/>
    <d v="2022-04-07T00:00:00"/>
    <s v="1/17/2025"/>
    <n v="2"/>
    <s v="active"/>
    <s v="5/22/2023"/>
    <s v=" $106.21 "/>
    <n v="8"/>
    <n v="40"/>
    <s v="Beauty"/>
    <s v="Conditioner"/>
    <s v="Beauty"/>
    <x v="1"/>
    <n v="849.68"/>
    <s v="Aligned"/>
    <s v="18-24 Gen Z"/>
    <s v="High Value Tier"/>
    <s v="Stable"/>
  </r>
  <r>
    <s v="ORD5429"/>
    <s v="CUST1429"/>
    <n v="54"/>
    <s v="PROD629"/>
    <s v="Germany"/>
    <d v="2023-06-04T00:00:00"/>
    <d v="2024-10-01T00:00:00"/>
    <n v="5"/>
    <s v="cancelled"/>
    <s v="11/13/2023"/>
    <s v=" $93.51 "/>
    <n v="9"/>
    <n v="19"/>
    <s v="Beauty"/>
    <s v="Moisturizer"/>
    <s v="Beauty"/>
    <x v="0"/>
    <n v="841.59"/>
    <s v="Aligned"/>
    <s v="50-64 Boomers"/>
    <s v="High Value Tier"/>
    <s v="Stable"/>
  </r>
  <r>
    <s v="ORD5430"/>
    <s v="CUST1430"/>
    <n v="57"/>
    <s v="PROD630"/>
    <s v="India"/>
    <s v="1/16/2021"/>
    <s v="12/13/2024"/>
    <n v="0"/>
    <s v="cancelled"/>
    <s v="2/22/2022"/>
    <s v=" $409.61 "/>
    <n v="3"/>
    <n v="41"/>
    <s v="Home"/>
    <s v="Basketball"/>
    <s v="Sports"/>
    <x v="0"/>
    <n v="1228.83"/>
    <s v="Misaligned"/>
    <s v="50-64 Boomers"/>
    <s v="High Value Tier"/>
    <s v="Stable"/>
  </r>
  <r>
    <s v="ORD5431"/>
    <s v="CUST1431"/>
    <n v="41"/>
    <s v="PROD631"/>
    <s v="UK"/>
    <s v="8/24/2022"/>
    <s v="12/19/2023"/>
    <n v="5"/>
    <s v="active"/>
    <d v="2023-01-03T00:00:00"/>
    <s v=" $397.50 "/>
    <n v="2"/>
    <n v="23"/>
    <s v="Sports"/>
    <s v="Moisturizer"/>
    <s v="Beauty"/>
    <x v="0"/>
    <n v="795"/>
    <s v="Misaligned"/>
    <s v="35-49 Gen X"/>
    <s v="High Value Tier"/>
    <s v="Critical Risk"/>
  </r>
  <r>
    <s v="ORD5432"/>
    <s v="CUST1432"/>
    <n v="25"/>
    <s v="PROD632"/>
    <s v="India"/>
    <s v="12/21/2022"/>
    <d v="2023-07-06T00:00:00"/>
    <n v="4"/>
    <s v="cancelled"/>
    <d v="2024-12-04T00:00:00"/>
    <s v=" $65.33 "/>
    <n v="6"/>
    <n v="15"/>
    <s v="Electronics"/>
    <s v="Shirt"/>
    <s v="Clothing"/>
    <x v="1"/>
    <n v="391.98"/>
    <s v="Misaligned"/>
    <s v="25-34 Millennials"/>
    <s v="High Value Tier"/>
    <s v="Stable"/>
  </r>
  <r>
    <s v="ORD5433"/>
    <s v="CUST1433"/>
    <n v="48"/>
    <s v="PROD633"/>
    <s v="Pakistan"/>
    <d v="2022-08-01T00:00:00"/>
    <d v="2022-03-12T00:00:00"/>
    <n v="3"/>
    <s v="active"/>
    <s v="6/29/2024"/>
    <s v=" $83.72 "/>
    <n v="5"/>
    <n v="40"/>
    <s v="Electronics"/>
    <s v="Dumbbells"/>
    <s v="Sports"/>
    <x v="0"/>
    <n v="418.6"/>
    <s v="Misaligned"/>
    <s v="35-49 Gen X"/>
    <s v="High Value Tier"/>
    <s v="Stable"/>
  </r>
  <r>
    <s v="ORD5434"/>
    <s v="CUST1434"/>
    <n v="43"/>
    <s v="PROD634"/>
    <s v="Germany"/>
    <s v="8/29/2021"/>
    <s v="4/28/2023"/>
    <n v="0"/>
    <s v="cancelled"/>
    <d v="2025-01-01T00:00:00"/>
    <s v=" $368.73 "/>
    <n v="3"/>
    <n v="5"/>
    <s v="Sports"/>
    <s v="Chair"/>
    <s v="Home"/>
    <x v="1"/>
    <n v="1106.19"/>
    <s v="Misaligned"/>
    <s v="35-49 Gen X"/>
    <s v="High Value Tier"/>
    <s v="Stable"/>
  </r>
  <r>
    <s v="ORD5435"/>
    <s v="CUST1435"/>
    <n v="54"/>
    <s v="PROD635"/>
    <s v="Germany"/>
    <s v="7/26/2021"/>
    <s v="11/26/2023"/>
    <n v="5"/>
    <s v="paused"/>
    <s v="12/31/2024"/>
    <s v=" $148.77 "/>
    <n v="9"/>
    <n v="48"/>
    <s v="Beauty"/>
    <s v="Sneakers"/>
    <s v="Clothing"/>
    <x v="1"/>
    <n v="1338.93"/>
    <s v="Misaligned"/>
    <s v="50-64 Boomers"/>
    <s v="High Value Tier"/>
    <s v="Elevated Risk"/>
  </r>
  <r>
    <s v="ORD5436"/>
    <s v="CUST1436"/>
    <n v="50"/>
    <s v="PROD636"/>
    <s v="Pakistan"/>
    <s v="7/24/2022"/>
    <d v="2024-02-04T00:00:00"/>
    <n v="1"/>
    <s v="active"/>
    <d v="2023-04-03T00:00:00"/>
    <s v=" $302.58 "/>
    <n v="6"/>
    <n v="37"/>
    <s v="Beauty"/>
    <s v="Shampoo"/>
    <s v="Beauty"/>
    <x v="1"/>
    <n v="1815.48"/>
    <s v="Aligned"/>
    <s v="50-64 Boomers"/>
    <s v="High Value Tier"/>
    <s v="Stable"/>
  </r>
  <r>
    <s v="ORD5437"/>
    <s v="CUST1437"/>
    <n v="54"/>
    <s v="PROD637"/>
    <s v="Pakistan"/>
    <d v="2022-03-04T00:00:00"/>
    <d v="2024-10-07T00:00:00"/>
    <n v="0"/>
    <s v="active"/>
    <s v="8/14/2024"/>
    <s v=" $34.76 "/>
    <n v="8"/>
    <n v="13"/>
    <s v="Beauty"/>
    <s v="Skirt"/>
    <s v="Clothing"/>
    <x v="0"/>
    <n v="278.08"/>
    <s v="Misaligned"/>
    <s v="50-64 Boomers"/>
    <s v="High Value Tier"/>
    <s v="Stable"/>
  </r>
  <r>
    <s v="ORD5438"/>
    <s v="CUST1438"/>
    <n v="59"/>
    <s v="PROD638"/>
    <s v="Pakistan"/>
    <s v="2/15/2023"/>
    <d v="2024-05-03T00:00:00"/>
    <n v="3"/>
    <s v="cancelled"/>
    <s v="8/21/2024"/>
    <s v=" $347.58 "/>
    <n v="4"/>
    <n v="11"/>
    <s v="Beauty"/>
    <s v="Moisturizer"/>
    <s v="Beauty"/>
    <x v="2"/>
    <n v="1390.32"/>
    <s v="Aligned"/>
    <s v="50-64 Boomers"/>
    <s v="High Value Tier"/>
    <s v="Stable"/>
  </r>
  <r>
    <s v="ORD5439"/>
    <s v="CUST1439"/>
    <n v="32"/>
    <s v="PROD639"/>
    <s v="USA"/>
    <s v="7/16/2022"/>
    <s v="4/28/2024"/>
    <n v="1"/>
    <s v="active"/>
    <s v="7/25/2025"/>
    <s v=" $43.74 "/>
    <n v="4"/>
    <n v="31"/>
    <s v="Home"/>
    <s v="Dining Table"/>
    <s v="Home"/>
    <x v="1"/>
    <n v="174.96"/>
    <s v="Aligned"/>
    <s v="25-34 Millennials"/>
    <s v="High Value Tier"/>
    <s v="Stable"/>
  </r>
  <r>
    <s v="ORD5440"/>
    <s v="CUST1440"/>
    <n v="34"/>
    <s v="PROD640"/>
    <s v="USA"/>
    <s v="5/15/2022"/>
    <d v="2025-12-01T00:00:00"/>
    <n v="5"/>
    <s v="active"/>
    <d v="2024-04-12T00:00:00"/>
    <s v=" $123.64 "/>
    <n v="1"/>
    <n v="36"/>
    <s v="Home"/>
    <s v="Skirt"/>
    <s v="Clothing"/>
    <x v="0"/>
    <n v="123.64"/>
    <s v="Misaligned"/>
    <s v="25-34 Millennials"/>
    <s v="High Value Tier"/>
    <s v="Critical Risk"/>
  </r>
  <r>
    <s v="ORD5441"/>
    <s v="CUST1441"/>
    <n v="67"/>
    <s v="PROD641"/>
    <s v="India"/>
    <s v="2/13/2022"/>
    <s v="2/15/2023"/>
    <n v="1"/>
    <s v="active"/>
    <s v="11/17/2023"/>
    <s v=" $96.80 "/>
    <n v="6"/>
    <n v="18"/>
    <s v="Beauty"/>
    <s v="Headphones"/>
    <s v="Electronics"/>
    <x v="1"/>
    <n v="580.79999999999995"/>
    <s v="Misaligned"/>
    <s v="65+ Seniors"/>
    <s v="High Value Tier"/>
    <s v="Stable"/>
  </r>
  <r>
    <s v="ORD5442"/>
    <s v="CUST1442"/>
    <n v="67"/>
    <s v="PROD642"/>
    <s v="Pakistan"/>
    <s v="10/30/2020"/>
    <d v="2025-09-02T00:00:00"/>
    <n v="2"/>
    <s v="active"/>
    <d v="2023-06-04T00:00:00"/>
    <s v=" $64.18 "/>
    <n v="3"/>
    <n v="10"/>
    <s v="Clothing"/>
    <s v="Headphones"/>
    <s v="Electronics"/>
    <x v="0"/>
    <n v="192.54"/>
    <s v="Misaligned"/>
    <s v="65+ Seniors"/>
    <s v="Core Tier"/>
    <s v="Stable"/>
  </r>
  <r>
    <s v="ORD5443"/>
    <s v="CUST1443"/>
    <n v="39"/>
    <s v="PROD643"/>
    <s v="UK"/>
    <d v="2023-01-05T00:00:00"/>
    <s v="8/17/2023"/>
    <n v="2"/>
    <s v="active"/>
    <s v="12/27/2023"/>
    <s v=" $1,409.68 "/>
    <n v="1"/>
    <n v="20"/>
    <s v="Beauty"/>
    <s v="Running Shoes"/>
    <s v="Sports"/>
    <x v="0"/>
    <n v="1409.68"/>
    <s v="Misaligned"/>
    <s v="35-49 Gen X"/>
    <s v="High Value Tier"/>
    <s v="Stable"/>
  </r>
  <r>
    <s v="ORD5444"/>
    <s v="CUST1444"/>
    <n v="31"/>
    <s v="PROD644"/>
    <s v="India"/>
    <d v="2023-03-03T00:00:00"/>
    <d v="2025-10-01T00:00:00"/>
    <n v="5"/>
    <s v="active"/>
    <s v="9/18/2024"/>
    <s v=" $276.06 "/>
    <n v="6"/>
    <n v="19"/>
    <s v="Home"/>
    <s v="Sofa"/>
    <s v="Home"/>
    <x v="1"/>
    <n v="1656.36"/>
    <s v="Aligned"/>
    <s v="25-34 Millennials"/>
    <s v="High Value Tier"/>
    <s v="Critical Risk"/>
  </r>
  <r>
    <s v="ORD5445"/>
    <s v="CUST1445"/>
    <n v="56"/>
    <s v="PROD645"/>
    <s v="UK"/>
    <s v="9/30/2022"/>
    <d v="2024-07-05T00:00:00"/>
    <n v="0"/>
    <s v="active"/>
    <d v="2023-11-08T00:00:00"/>
    <s v=" $104.88 "/>
    <n v="8"/>
    <n v="49"/>
    <s v="Sports"/>
    <s v="Camera"/>
    <s v="Electronics"/>
    <x v="1"/>
    <n v="839.04"/>
    <s v="Misaligned"/>
    <s v="50-64 Boomers"/>
    <s v="High Value Tier"/>
    <s v="Stable"/>
  </r>
  <r>
    <s v="ORD5446"/>
    <s v="CUST1446"/>
    <n v="39"/>
    <s v="PROD646"/>
    <s v="Pakistan"/>
    <d v="2023-01-08T00:00:00"/>
    <d v="2023-07-09T00:00:00"/>
    <n v="0"/>
    <s v="cancelled"/>
    <s v="6/20/2024"/>
    <s v=" $552.26 "/>
    <n v="1"/>
    <n v="18"/>
    <s v="Beauty"/>
    <s v="Camera"/>
    <s v="Electronics"/>
    <x v="0"/>
    <n v="552.26"/>
    <s v="Misaligned"/>
    <s v="35-49 Gen X"/>
    <s v="High Value Tier"/>
    <s v="Stable"/>
  </r>
  <r>
    <s v="ORD5447"/>
    <s v="CUST1447"/>
    <n v="61"/>
    <s v="PROD647"/>
    <s v="Pakistan"/>
    <d v="2022-10-06T00:00:00"/>
    <s v="10/29/2022"/>
    <n v="0"/>
    <s v="active"/>
    <d v="2023-09-03T00:00:00"/>
    <s v=" $1,510.04 "/>
    <n v="1"/>
    <n v="30"/>
    <s v="Home"/>
    <s v="Blender"/>
    <s v="Home"/>
    <x v="0"/>
    <n v="1510.04"/>
    <s v="Aligned"/>
    <s v="50-64 Boomers"/>
    <s v="High Value Tier"/>
    <s v="Stable"/>
  </r>
  <r>
    <s v="ORD5448"/>
    <s v="CUST1448"/>
    <n v="29"/>
    <s v="PROD648"/>
    <s v="Germany"/>
    <s v="12/13/2020"/>
    <d v="2024-06-11T00:00:00"/>
    <n v="5"/>
    <s v="active"/>
    <s v="2/26/2023"/>
    <s v=" $300.19 "/>
    <n v="3"/>
    <n v="4"/>
    <s v="Sports"/>
    <s v="Smartwatch"/>
    <s v="Electronics"/>
    <x v="0"/>
    <n v="900.57"/>
    <s v="Misaligned"/>
    <s v="25-34 Millennials"/>
    <s v="High Value Tier"/>
    <s v="Critical Risk"/>
  </r>
  <r>
    <s v="ORD5449"/>
    <s v="CUST1449"/>
    <n v="38"/>
    <s v="PROD649"/>
    <s v="UK"/>
    <s v="4/30/2021"/>
    <d v="2024-10-04T00:00:00"/>
    <n v="3"/>
    <s v="paused"/>
    <s v="10/26/2021"/>
    <s v=" $90.89 "/>
    <n v="9"/>
    <n v="32"/>
    <s v="Electronics"/>
    <s v="Cricket Bat"/>
    <s v="Sports"/>
    <x v="1"/>
    <n v="818.01"/>
    <s v="Misaligned"/>
    <s v="35-49 Gen X"/>
    <s v="High Value Tier"/>
    <s v="Elevated Risk"/>
  </r>
  <r>
    <s v="ORD5450"/>
    <s v="CUST1450"/>
    <n v="34"/>
    <s v="PROD650"/>
    <s v="Germany"/>
    <d v="2022-06-07T00:00:00"/>
    <d v="2022-12-10T00:00:00"/>
    <n v="0"/>
    <s v="active"/>
    <s v="12/24/2022"/>
    <s v=" $260.15 "/>
    <n v="1"/>
    <n v="45"/>
    <s v="Clothing"/>
    <s v="Jeans"/>
    <s v="Clothing"/>
    <x v="1"/>
    <n v="260.14999999999998"/>
    <s v="Aligned"/>
    <s v="25-34 Millennials"/>
    <s v="High Value Tier"/>
    <s v="Stable"/>
  </r>
  <r>
    <s v="ORD5451"/>
    <s v="CUST1451"/>
    <n v="25"/>
    <s v="PROD651"/>
    <s v="Pakistan"/>
    <d v="2023-12-06T00:00:00"/>
    <s v="10/21/2024"/>
    <n v="1"/>
    <s v="active"/>
    <s v="12/20/2024"/>
    <s v=" $38.72 "/>
    <n v="8"/>
    <n v="32"/>
    <s v="Electronics"/>
    <s v="Shampoo"/>
    <s v="Beauty"/>
    <x v="1"/>
    <n v="309.76"/>
    <s v="Misaligned"/>
    <s v="25-34 Millennials"/>
    <s v="High Value Tier"/>
    <s v="Stable"/>
  </r>
  <r>
    <s v="ORD5452"/>
    <s v="CUST1452"/>
    <n v="22"/>
    <s v="PROD652"/>
    <s v="India"/>
    <s v="2/20/2021"/>
    <s v="8/25/2022"/>
    <n v="4"/>
    <s v="paused"/>
    <s v="9/25/2023"/>
    <s v=" $178.02 "/>
    <n v="6"/>
    <n v="48"/>
    <s v="Clothing"/>
    <s v="Chair"/>
    <s v="Home"/>
    <x v="1"/>
    <n v="1068.1199999999999"/>
    <s v="Misaligned"/>
    <s v="18-24 Gen Z"/>
    <s v="High Value Tier"/>
    <s v="Elevated Risk"/>
  </r>
  <r>
    <s v="ORD5453"/>
    <s v="CUST1453"/>
    <n v="44"/>
    <s v="PROD653"/>
    <s v="Germany"/>
    <d v="2022-04-10T00:00:00"/>
    <d v="2024-11-07T00:00:00"/>
    <n v="4"/>
    <s v="paused"/>
    <s v="12/19/2023"/>
    <s v=" $388.51 "/>
    <n v="2"/>
    <n v="32"/>
    <s v="Beauty"/>
    <s v="Dumbbells"/>
    <s v="Sports"/>
    <x v="0"/>
    <n v="777.02"/>
    <s v="Misaligned"/>
    <s v="35-49 Gen X"/>
    <s v="High Value Tier"/>
    <s v="Elevated Risk"/>
  </r>
  <r>
    <s v="ORD5454"/>
    <s v="CUST1454"/>
    <n v="45"/>
    <s v="PROD654"/>
    <s v="Pakistan"/>
    <d v="2023-01-02T00:00:00"/>
    <s v="5/26/2023"/>
    <n v="2"/>
    <s v="cancelled"/>
    <d v="2025-07-08T00:00:00"/>
    <s v=" $191.94 "/>
    <n v="9"/>
    <n v="40"/>
    <s v="Clothing"/>
    <s v="Blender"/>
    <s v="Home"/>
    <x v="0"/>
    <n v="1727.46"/>
    <s v="Misaligned"/>
    <s v="35-49 Gen X"/>
    <s v="High Value Tier"/>
    <s v="Stable"/>
  </r>
  <r>
    <s v="ORD5455"/>
    <s v="CUST1455"/>
    <n v="65"/>
    <s v="PROD655"/>
    <s v="India"/>
    <s v="11/21/2022"/>
    <d v="2024-05-10T00:00:00"/>
    <n v="4"/>
    <s v="active"/>
    <s v="8/31/2024"/>
    <s v=" $48.20 "/>
    <n v="9"/>
    <n v="32"/>
    <s v="Electronics"/>
    <s v="Shirt"/>
    <s v="Clothing"/>
    <x v="0"/>
    <n v="433.8"/>
    <s v="Misaligned"/>
    <s v="65+ Seniors"/>
    <s v="High Value Tier"/>
    <s v="Critical Risk"/>
  </r>
  <r>
    <s v="ORD5456"/>
    <s v="CUST1456"/>
    <n v="64"/>
    <s v="PROD656"/>
    <s v="India"/>
    <s v="2/27/2023"/>
    <d v="2024-11-04T00:00:00"/>
    <n v="2"/>
    <s v="active"/>
    <s v="8/21/2023"/>
    <s v=" $25.98 "/>
    <n v="6"/>
    <n v="44"/>
    <s v="Clothing"/>
    <s v="Dining Table"/>
    <s v="Home"/>
    <x v="0"/>
    <n v="155.88"/>
    <s v="Misaligned"/>
    <s v="50-64 Boomers"/>
    <s v="High Value Tier"/>
    <s v="Stable"/>
  </r>
  <r>
    <s v="ORD5457"/>
    <s v="CUST1457"/>
    <n v="52"/>
    <s v="PROD657"/>
    <s v="USA"/>
    <d v="2022-04-06T00:00:00"/>
    <d v="2024-10-06T00:00:00"/>
    <n v="2"/>
    <s v="active"/>
    <s v="5/15/2024"/>
    <s v=" $391.53 "/>
    <n v="3"/>
    <n v="2"/>
    <s v="Home"/>
    <s v="Nail Polish"/>
    <s v="Beauty"/>
    <x v="1"/>
    <n v="1174.5899999999999"/>
    <s v="Misaligned"/>
    <s v="50-64 Boomers"/>
    <s v="Core Tier"/>
    <s v="Stable"/>
  </r>
  <r>
    <s v="ORD5458"/>
    <s v="CUST1458"/>
    <n v="25"/>
    <s v="PROD658"/>
    <s v="Pakistan"/>
    <s v="6/13/2023"/>
    <s v="4/29/2025"/>
    <n v="1"/>
    <s v="active"/>
    <d v="2024-10-05T00:00:00"/>
    <s v=" $455.29 "/>
    <n v="3"/>
    <n v="41"/>
    <s v="Beauty"/>
    <s v="Dumbbells"/>
    <s v="Sports"/>
    <x v="0"/>
    <n v="1365.87"/>
    <s v="Misaligned"/>
    <s v="25-34 Millennials"/>
    <s v="High Value Tier"/>
    <s v="Stable"/>
  </r>
  <r>
    <s v="ORD5459"/>
    <s v="CUST1459"/>
    <n v="50"/>
    <s v="PROD659"/>
    <s v="Pakistan"/>
    <d v="2021-10-06T00:00:00"/>
    <s v="8/21/2022"/>
    <n v="2"/>
    <s v="active"/>
    <d v="2023-10-02T00:00:00"/>
    <s v=" $1,137.99 "/>
    <n v="1"/>
    <n v="16"/>
    <s v="Beauty"/>
    <s v="Lamp"/>
    <s v="Home"/>
    <x v="0"/>
    <n v="1137.99"/>
    <s v="Misaligned"/>
    <s v="50-64 Boomers"/>
    <s v="High Value Tier"/>
    <s v="Stable"/>
  </r>
  <r>
    <s v="ORD5460"/>
    <s v="CUST1460"/>
    <n v="66"/>
    <s v="PROD660"/>
    <s v="India"/>
    <s v="11/26/2022"/>
    <d v="2024-05-03T00:00:00"/>
    <n v="4"/>
    <s v="active"/>
    <s v="1/31/2024"/>
    <s v=" $207.28 "/>
    <n v="8"/>
    <n v="14"/>
    <s v="Beauty"/>
    <s v="Foundation"/>
    <s v="Beauty"/>
    <x v="0"/>
    <n v="1658.24"/>
    <s v="Aligned"/>
    <s v="65+ Seniors"/>
    <s v="High Value Tier"/>
    <s v="Critical Risk"/>
  </r>
  <r>
    <s v="ORD5461"/>
    <s v="CUST1461"/>
    <n v="66"/>
    <s v="PROD661"/>
    <s v="India"/>
    <s v="9/25/2021"/>
    <s v="5/16/2024"/>
    <n v="5"/>
    <s v="cancelled"/>
    <d v="2023-08-07T00:00:00"/>
    <s v=" $324.54 "/>
    <n v="6"/>
    <n v="40"/>
    <s v="Electronics"/>
    <s v="Refrigerator"/>
    <s v="Home"/>
    <x v="0"/>
    <n v="1947.24"/>
    <s v="Misaligned"/>
    <s v="65+ Seniors"/>
    <s v="High Value Tier"/>
    <s v="Stable"/>
  </r>
  <r>
    <s v="ORD5462"/>
    <s v="CUST1462"/>
    <n v="24"/>
    <s v="PROD662"/>
    <s v="Canada"/>
    <s v="11/24/2020"/>
    <s v="2/22/2021"/>
    <n v="0"/>
    <s v="active"/>
    <s v="5/28/2025"/>
    <s v=" $206.15 "/>
    <n v="5"/>
    <n v="10"/>
    <s v="Electronics"/>
    <s v="Shampoo"/>
    <s v="Beauty"/>
    <x v="0"/>
    <n v="1030.75"/>
    <s v="Misaligned"/>
    <s v="18-24 Gen Z"/>
    <s v="High Value Tier"/>
    <s v="Stable"/>
  </r>
  <r>
    <s v="ORD5463"/>
    <s v="CUST1463"/>
    <n v="46"/>
    <s v="PROD663"/>
    <s v="Canada"/>
    <s v="3/14/2021"/>
    <d v="2023-05-06T00:00:00"/>
    <n v="1"/>
    <s v="paused"/>
    <s v="11/23/2023"/>
    <s v=" $1,493.98 "/>
    <n v="1"/>
    <n v="21"/>
    <s v="Beauty"/>
    <s v="Smartphone"/>
    <s v="Electronics"/>
    <x v="1"/>
    <n v="1493.98"/>
    <s v="Misaligned"/>
    <s v="35-49 Gen X"/>
    <s v="High Value Tier"/>
    <s v="Elevated Risk"/>
  </r>
  <r>
    <s v="ORD5464"/>
    <s v="CUST1464"/>
    <n v="39"/>
    <s v="PROD664"/>
    <s v="India"/>
    <s v="1/16/2022"/>
    <d v="2025-07-05T00:00:00"/>
    <n v="5"/>
    <s v="paused"/>
    <s v="4/16/2022"/>
    <s v=" $553.36 "/>
    <n v="2"/>
    <n v="10"/>
    <s v="Beauty"/>
    <s v="Sneakers"/>
    <s v="Clothing"/>
    <x v="1"/>
    <n v="1106.72"/>
    <s v="Misaligned"/>
    <s v="35-49 Gen X"/>
    <s v="High Value Tier"/>
    <s v="Elevated Risk"/>
  </r>
  <r>
    <s v="ORD5465"/>
    <s v="CUST1465"/>
    <n v="26"/>
    <s v="PROD665"/>
    <s v="Pakistan"/>
    <s v="10/13/2021"/>
    <d v="2022-07-02T00:00:00"/>
    <n v="3"/>
    <s v="active"/>
    <s v="3/20/2025"/>
    <s v=" $178.28 "/>
    <n v="6"/>
    <n v="41"/>
    <s v="Electronics"/>
    <s v="Vacuum Cleaner"/>
    <s v="Home"/>
    <x v="0"/>
    <n v="1069.68"/>
    <s v="Misaligned"/>
    <s v="25-34 Millennials"/>
    <s v="High Value Tier"/>
    <s v="Stable"/>
  </r>
  <r>
    <s v="ORD5466"/>
    <s v="CUST1466"/>
    <n v="36"/>
    <s v="PROD666"/>
    <s v="India"/>
    <d v="2023-11-03T00:00:00"/>
    <s v="1/16/2024"/>
    <n v="5"/>
    <s v="cancelled"/>
    <s v="6/25/2024"/>
    <s v=" $638.11 "/>
    <n v="1"/>
    <n v="25"/>
    <s v="Electronics"/>
    <s v="Tablet"/>
    <s v="Electronics"/>
    <x v="0"/>
    <n v="638.11"/>
    <s v="Aligned"/>
    <s v="35-49 Gen X"/>
    <s v="High Value Tier"/>
    <s v="Stable"/>
  </r>
  <r>
    <s v="ORD5467"/>
    <s v="CUST1467"/>
    <n v="37"/>
    <s v="PROD667"/>
    <s v="India"/>
    <s v="8/18/2021"/>
    <s v="12/14/2021"/>
    <n v="1"/>
    <s v="active"/>
    <s v="6/25/2022"/>
    <s v=" $225.32 "/>
    <n v="8"/>
    <n v="34"/>
    <s v="Beauty"/>
    <s v="Blender"/>
    <s v="Home"/>
    <x v="0"/>
    <n v="1802.56"/>
    <s v="Misaligned"/>
    <s v="35-49 Gen X"/>
    <s v="High Value Tier"/>
    <s v="Stable"/>
  </r>
  <r>
    <s v="ORD5468"/>
    <s v="CUST1468"/>
    <n v="35"/>
    <s v="PROD668"/>
    <s v="Canada"/>
    <s v="9/22/2021"/>
    <d v="2023-09-02T00:00:00"/>
    <n v="2"/>
    <s v="active"/>
    <s v="1/25/2025"/>
    <s v=" $133.50 "/>
    <n v="9"/>
    <n v="49"/>
    <s v="Beauty"/>
    <s v="Basketball"/>
    <s v="Sports"/>
    <x v="0"/>
    <n v="1201.5"/>
    <s v="Misaligned"/>
    <s v="35-49 Gen X"/>
    <s v="High Value Tier"/>
    <s v="Stable"/>
  </r>
  <r>
    <s v="ORD5469"/>
    <s v="CUST1469"/>
    <n v="44"/>
    <s v="PROD669"/>
    <s v="Germany"/>
    <d v="2023-12-02T00:00:00"/>
    <s v="8/29/2023"/>
    <n v="2"/>
    <s v="cancelled"/>
    <s v="4/18/2023"/>
    <s v=" $213.51 "/>
    <n v="6"/>
    <n v="19"/>
    <s v="Home"/>
    <s v="Football"/>
    <s v="Sports"/>
    <x v="1"/>
    <n v="1281.06"/>
    <s v="Misaligned"/>
    <s v="35-49 Gen X"/>
    <s v="High Value Tier"/>
    <s v="Stable"/>
  </r>
  <r>
    <s v="ORD5470"/>
    <s v="CUST1470"/>
    <n v="51"/>
    <s v="PROD670"/>
    <s v="Germany"/>
    <s v="11/26/2022"/>
    <s v="3/27/2023"/>
    <n v="0"/>
    <s v="active"/>
    <s v="4/29/2025"/>
    <s v=" $185.37 "/>
    <n v="8"/>
    <n v="36"/>
    <s v="Clothing"/>
    <s v="Conditioner"/>
    <s v="Beauty"/>
    <x v="0"/>
    <n v="1482.96"/>
    <s v="Misaligned"/>
    <s v="50-64 Boomers"/>
    <s v="High Value Tier"/>
    <s v="Stable"/>
  </r>
  <r>
    <s v="ORD5471"/>
    <s v="CUST1471"/>
    <n v="35"/>
    <s v="PROD671"/>
    <s v="USA"/>
    <s v="4/20/2023"/>
    <s v="6/22/2025"/>
    <n v="0"/>
    <s v="cancelled"/>
    <d v="2024-04-04T00:00:00"/>
    <s v=" $87.80 "/>
    <n v="8"/>
    <n v="4"/>
    <s v="Home"/>
    <s v="Skirt"/>
    <s v="Clothing"/>
    <x v="0"/>
    <n v="702.4"/>
    <s v="Misaligned"/>
    <s v="35-49 Gen X"/>
    <s v="High Value Tier"/>
    <s v="Stable"/>
  </r>
  <r>
    <s v="ORD5472"/>
    <s v="CUST1472"/>
    <n v="51"/>
    <s v="PROD672"/>
    <s v="UK"/>
    <s v="4/21/2023"/>
    <s v="1/14/2025"/>
    <n v="0"/>
    <s v="cancelled"/>
    <s v="9/15/2024"/>
    <s v=" $97.78 "/>
    <n v="4"/>
    <n v="29"/>
    <s v="Home"/>
    <s v="Perfume"/>
    <s v="Beauty"/>
    <x v="1"/>
    <n v="391.12"/>
    <s v="Misaligned"/>
    <s v="50-64 Boomers"/>
    <s v="High Value Tier"/>
    <s v="Stable"/>
  </r>
  <r>
    <s v="ORD5473"/>
    <s v="CUST1473"/>
    <n v="56"/>
    <s v="PROD673"/>
    <s v="Pakistan"/>
    <s v="5/20/2023"/>
    <d v="2023-02-06T00:00:00"/>
    <n v="2"/>
    <s v="active"/>
    <s v="7/18/2023"/>
    <s v=" $197.60 "/>
    <n v="9"/>
    <n v="38"/>
    <s v="Clothing"/>
    <s v="Dress"/>
    <s v="Clothing"/>
    <x v="1"/>
    <n v="1778.4"/>
    <s v="Aligned"/>
    <s v="50-64 Boomers"/>
    <s v="High Value Tier"/>
    <s v="Stable"/>
  </r>
  <r>
    <s v="ORD5474"/>
    <s v="CUST1474"/>
    <n v="37"/>
    <s v="PROD674"/>
    <s v="USA"/>
    <d v="2021-04-08T00:00:00"/>
    <s v="1/31/2023"/>
    <n v="0"/>
    <s v="active"/>
    <d v="2024-06-01T00:00:00"/>
    <s v=" $532.09 "/>
    <n v="2"/>
    <n v="46"/>
    <s v="Beauty"/>
    <s v="Dining Table"/>
    <s v="Home"/>
    <x v="0"/>
    <n v="1064.18"/>
    <s v="Misaligned"/>
    <s v="35-49 Gen X"/>
    <s v="High Value Tier"/>
    <s v="Stable"/>
  </r>
  <r>
    <s v="ORD5475"/>
    <s v="CUST1475"/>
    <n v="40"/>
    <s v="PROD675"/>
    <s v="Canada"/>
    <d v="2020-09-12T00:00:00"/>
    <s v="3/30/2023"/>
    <n v="1"/>
    <s v="cancelled"/>
    <d v="2024-10-08T00:00:00"/>
    <s v=" $196.12 "/>
    <n v="5"/>
    <n v="7"/>
    <s v="Beauty"/>
    <s v="Shirt"/>
    <s v="Clothing"/>
    <x v="0"/>
    <n v="980.6"/>
    <s v="Misaligned"/>
    <s v="35-49 Gen X"/>
    <s v="High Value Tier"/>
    <s v="Stable"/>
  </r>
  <r>
    <s v="ORD5476"/>
    <s v="CUST1476"/>
    <n v="40"/>
    <s v="PROD676"/>
    <s v="Pakistan"/>
    <s v="5/20/2022"/>
    <s v="6/24/2024"/>
    <n v="5"/>
    <s v="cancelled"/>
    <s v="9/20/2022"/>
    <s v=" $313.86 "/>
    <n v="6"/>
    <n v="12"/>
    <s v="Sports"/>
    <s v="Dumbbells"/>
    <s v="Sports"/>
    <x v="0"/>
    <n v="1883.16"/>
    <s v="Aligned"/>
    <s v="35-49 Gen X"/>
    <s v="High Value Tier"/>
    <s v="Stable"/>
  </r>
  <r>
    <s v="ORD5477"/>
    <s v="CUST1477"/>
    <n v="31"/>
    <s v="PROD677"/>
    <s v="Germany"/>
    <s v="10/14/2022"/>
    <s v="9/17/2023"/>
    <n v="1"/>
    <s v="cancelled"/>
    <s v="11/20/2024"/>
    <s v=" $417.52 "/>
    <n v="2"/>
    <n v="34"/>
    <s v="Sports"/>
    <s v="T-Shirt"/>
    <s v="Clothing"/>
    <x v="0"/>
    <n v="835.04"/>
    <s v="Misaligned"/>
    <s v="25-34 Millennials"/>
    <s v="High Value Tier"/>
    <s v="Stable"/>
  </r>
  <r>
    <s v="ORD5478"/>
    <s v="CUST1478"/>
    <n v="23"/>
    <s v="PROD678"/>
    <s v="India"/>
    <s v="11/29/2020"/>
    <s v="1/22/2025"/>
    <n v="3"/>
    <s v="active"/>
    <d v="2024-08-04T00:00:00"/>
    <s v=" $124.76 "/>
    <n v="8"/>
    <n v="27"/>
    <s v="Home"/>
    <s v="Jeans"/>
    <s v="Clothing"/>
    <x v="0"/>
    <n v="998.08"/>
    <s v="Misaligned"/>
    <s v="18-24 Gen Z"/>
    <s v="High Value Tier"/>
    <s v="Stable"/>
  </r>
  <r>
    <s v="ORD5479"/>
    <s v="CUST1479"/>
    <n v="32"/>
    <s v="PROD679"/>
    <s v="India"/>
    <s v="10/16/2022"/>
    <d v="2025-05-03T00:00:00"/>
    <n v="2"/>
    <s v="cancelled"/>
    <s v="10/14/2024"/>
    <s v=" $90.21 "/>
    <n v="6"/>
    <n v="2"/>
    <s v="Clothing"/>
    <s v="Smartwatch"/>
    <s v="Electronics"/>
    <x v="0"/>
    <n v="541.26"/>
    <s v="Misaligned"/>
    <s v="25-34 Millennials"/>
    <s v="Core Tier"/>
    <s v="Stable"/>
  </r>
  <r>
    <s v="ORD5480"/>
    <s v="CUST1480"/>
    <n v="46"/>
    <s v="PROD680"/>
    <s v="Pakistan"/>
    <d v="2021-12-10T00:00:00"/>
    <s v="7/23/2025"/>
    <n v="4"/>
    <s v="paused"/>
    <s v="1/14/2023"/>
    <s v=" $277.47 "/>
    <n v="4"/>
    <n v="7"/>
    <s v="Beauty"/>
    <s v="Sneakers"/>
    <s v="Clothing"/>
    <x v="2"/>
    <n v="1109.8800000000001"/>
    <s v="Misaligned"/>
    <s v="35-49 Gen X"/>
    <s v="High Value Tier"/>
    <s v="Elevated Risk"/>
  </r>
  <r>
    <s v="ORD5481"/>
    <s v="CUST1481"/>
    <n v="65"/>
    <s v="PROD681"/>
    <s v="USA"/>
    <s v="4/21/2023"/>
    <s v="5/31/2023"/>
    <n v="0"/>
    <s v="cancelled"/>
    <d v="2025-06-03T00:00:00"/>
    <s v=" $132.87 "/>
    <n v="5"/>
    <n v="2"/>
    <s v="Electronics"/>
    <s v="Laptop"/>
    <s v="Electronics"/>
    <x v="1"/>
    <n v="664.35"/>
    <s v="Aligned"/>
    <s v="65+ Seniors"/>
    <s v="Core Tier"/>
    <s v="Stable"/>
  </r>
  <r>
    <s v="ORD5482"/>
    <s v="CUST1482"/>
    <n v="19"/>
    <s v="PROD682"/>
    <s v="Pakistan"/>
    <s v="7/26/2021"/>
    <d v="2023-03-07T00:00:00"/>
    <n v="3"/>
    <s v="active"/>
    <s v="8/26/2023"/>
    <s v=" $132.82 "/>
    <n v="8"/>
    <n v="10"/>
    <s v="Clothing"/>
    <s v="Sneakers"/>
    <s v="Clothing"/>
    <x v="0"/>
    <n v="1062.56"/>
    <s v="Aligned"/>
    <s v="18-24 Gen Z"/>
    <s v="High Value Tier"/>
    <s v="Stable"/>
  </r>
  <r>
    <s v="ORD5483"/>
    <s v="CUST1483"/>
    <n v="21"/>
    <s v="PROD683"/>
    <s v="UK"/>
    <d v="2022-04-12T00:00:00"/>
    <s v="12/21/2024"/>
    <n v="2"/>
    <s v="cancelled"/>
    <d v="2024-04-04T00:00:00"/>
    <s v=" $554.08 "/>
    <n v="1"/>
    <n v="47"/>
    <s v="Clothing"/>
    <s v="Chair"/>
    <s v="Home"/>
    <x v="1"/>
    <n v="554.08000000000004"/>
    <s v="Misaligned"/>
    <s v="18-24 Gen Z"/>
    <s v="High Value Tier"/>
    <s v="Stable"/>
  </r>
  <r>
    <s v="ORD5484"/>
    <s v="CUST1484"/>
    <n v="23"/>
    <s v="PROD684"/>
    <s v="USA"/>
    <d v="2023-06-08T00:00:00"/>
    <s v="3/27/2024"/>
    <n v="1"/>
    <s v="active"/>
    <s v="3/24/2024"/>
    <s v=" $190.43 "/>
    <n v="5"/>
    <n v="2"/>
    <s v="Home"/>
    <s v="Shampoo"/>
    <s v="Beauty"/>
    <x v="1"/>
    <n v="952.15"/>
    <s v="Misaligned"/>
    <s v="18-24 Gen Z"/>
    <s v="Core Tier"/>
    <s v="Stable"/>
  </r>
  <r>
    <s v="ORD5485"/>
    <s v="CUST1485"/>
    <n v="59"/>
    <s v="PROD685"/>
    <s v="Canada"/>
    <s v="4/19/2022"/>
    <s v="5/21/2023"/>
    <n v="0"/>
    <s v="active"/>
    <s v="1/23/2024"/>
    <s v=" $228.34 "/>
    <n v="7"/>
    <n v="16"/>
    <s v="Beauty"/>
    <s v="Tablet"/>
    <s v="Electronics"/>
    <x v="0"/>
    <n v="1598.38"/>
    <s v="Misaligned"/>
    <s v="50-64 Boomers"/>
    <s v="High Value Tier"/>
    <s v="Stable"/>
  </r>
  <r>
    <s v="ORD5486"/>
    <s v="CUST1486"/>
    <n v="28"/>
    <s v="PROD686"/>
    <s v="Germany"/>
    <s v="10/28/2021"/>
    <s v="9/29/2022"/>
    <n v="3"/>
    <s v="active"/>
    <s v="9/23/2023"/>
    <s v=" $975.01 "/>
    <n v="1"/>
    <n v="4"/>
    <s v="Clothing"/>
    <s v="Tennis Racket"/>
    <s v="Sports"/>
    <x v="1"/>
    <n v="975.01"/>
    <s v="Misaligned"/>
    <s v="25-34 Millennials"/>
    <s v="High Value Tier"/>
    <s v="Stable"/>
  </r>
  <r>
    <s v="ORD5487"/>
    <s v="CUST1487"/>
    <n v="40"/>
    <s v="PROD687"/>
    <s v="India"/>
    <s v="10/27/2021"/>
    <s v="6/26/2025"/>
    <n v="3"/>
    <s v="active"/>
    <s v="3/15/2024"/>
    <s v=" $62.15 "/>
    <n v="3"/>
    <n v="31"/>
    <s v="Electronics"/>
    <s v="Conditioner"/>
    <s v="Beauty"/>
    <x v="1"/>
    <n v="186.45"/>
    <s v="Misaligned"/>
    <s v="35-49 Gen X"/>
    <s v="High Value Tier"/>
    <s v="Stable"/>
  </r>
  <r>
    <s v="ORD5488"/>
    <s v="CUST1488"/>
    <n v="49"/>
    <s v="PROD688"/>
    <s v="Canada"/>
    <s v="11/27/2022"/>
    <s v="1/25/2024"/>
    <n v="1"/>
    <s v="active"/>
    <s v="4/22/2023"/>
    <s v=" $537.56 "/>
    <n v="2"/>
    <n v="11"/>
    <s v="Beauty"/>
    <s v="Shirt"/>
    <s v="Clothing"/>
    <x v="0"/>
    <n v="1075.1199999999999"/>
    <s v="Misaligned"/>
    <s v="35-49 Gen X"/>
    <s v="High Value Tier"/>
    <s v="Stable"/>
  </r>
  <r>
    <s v="ORD5489"/>
    <s v="CUST1489"/>
    <n v="46"/>
    <s v="PROD689"/>
    <s v="Germany"/>
    <d v="2023-07-04T00:00:00"/>
    <s v="4/16/2025"/>
    <n v="2"/>
    <s v="active"/>
    <s v="6/20/2024"/>
    <s v=" $472.65 "/>
    <n v="4"/>
    <n v="11"/>
    <s v="Sports"/>
    <s v="Lamp"/>
    <s v="Home"/>
    <x v="0"/>
    <n v="1890.6"/>
    <s v="Misaligned"/>
    <s v="35-49 Gen X"/>
    <s v="High Value Tier"/>
    <s v="Stable"/>
  </r>
  <r>
    <s v="ORD5490"/>
    <s v="CUST1490"/>
    <n v="44"/>
    <s v="PROD690"/>
    <s v="Germany"/>
    <s v="6/13/2023"/>
    <s v="1/28/2024"/>
    <n v="1"/>
    <s v="cancelled"/>
    <d v="2025-03-05T00:00:00"/>
    <s v=" $109.16 "/>
    <n v="8"/>
    <n v="31"/>
    <s v="Clothing"/>
    <s v="Camera"/>
    <s v="Electronics"/>
    <x v="0"/>
    <n v="873.28"/>
    <s v="Misaligned"/>
    <s v="35-49 Gen X"/>
    <s v="High Value Tier"/>
    <s v="Stable"/>
  </r>
  <r>
    <s v="ORD5491"/>
    <s v="CUST1491"/>
    <n v="50"/>
    <s v="PROD691"/>
    <s v="USA"/>
    <s v="1/14/2022"/>
    <s v="12/23/2022"/>
    <n v="3"/>
    <s v="paused"/>
    <s v="1/23/2023"/>
    <s v=" $261.49 "/>
    <n v="5"/>
    <n v="25"/>
    <s v="Sports"/>
    <s v="Bluetooth Speaker"/>
    <s v="Electronics"/>
    <x v="1"/>
    <n v="1307.45"/>
    <s v="Misaligned"/>
    <s v="50-64 Boomers"/>
    <s v="High Value Tier"/>
    <s v="Elevated Risk"/>
  </r>
  <r>
    <s v="ORD5492"/>
    <s v="CUST1492"/>
    <n v="49"/>
    <s v="PROD692"/>
    <s v="UK"/>
    <s v="9/30/2020"/>
    <s v="3/25/2024"/>
    <n v="5"/>
    <s v="active"/>
    <s v="7/16/2022"/>
    <s v=" $69.48 "/>
    <n v="7"/>
    <n v="41"/>
    <s v="Home"/>
    <s v="Cricket Bat"/>
    <s v="Sports"/>
    <x v="0"/>
    <n v="486.36"/>
    <s v="Misaligned"/>
    <s v="35-49 Gen X"/>
    <s v="High Value Tier"/>
    <s v="Critical Risk"/>
  </r>
  <r>
    <s v="ORD5493"/>
    <s v="CUST1493"/>
    <n v="38"/>
    <s v="PROD693"/>
    <s v="Canada"/>
    <s v="5/31/2023"/>
    <s v="7/22/2025"/>
    <n v="2"/>
    <s v="active"/>
    <s v="2/22/2025"/>
    <s v=" $1,481.71 "/>
    <n v="1"/>
    <n v="37"/>
    <s v="Clothing"/>
    <s v="Shirt"/>
    <s v="Clothing"/>
    <x v="0"/>
    <n v="1481.71"/>
    <s v="Aligned"/>
    <s v="35-49 Gen X"/>
    <s v="High Value Tier"/>
    <s v="Stable"/>
  </r>
  <r>
    <s v="ORD5494"/>
    <s v="CUST1494"/>
    <n v="25"/>
    <s v="PROD694"/>
    <s v="Canada"/>
    <s v="1/26/2023"/>
    <s v="10/13/2023"/>
    <n v="0"/>
    <s v="cancelled"/>
    <s v="3/29/2024"/>
    <s v=" $189.21 "/>
    <n v="9"/>
    <n v="30"/>
    <s v="Clothing"/>
    <s v="Hoodie"/>
    <s v="Clothing"/>
    <x v="1"/>
    <n v="1702.89"/>
    <s v="Aligned"/>
    <s v="25-34 Millennials"/>
    <s v="High Value Tier"/>
    <s v="Stable"/>
  </r>
  <r>
    <s v="ORD5495"/>
    <s v="CUST1495"/>
    <n v="62"/>
    <s v="PROD695"/>
    <s v="India"/>
    <d v="2021-07-09T00:00:00"/>
    <d v="2021-11-12T00:00:00"/>
    <n v="3"/>
    <s v="active"/>
    <d v="2023-06-06T00:00:00"/>
    <s v=" $271.14 "/>
    <n v="4"/>
    <n v="42"/>
    <s v="Sports"/>
    <s v="Face Wash"/>
    <s v="Beauty"/>
    <x v="0"/>
    <n v="1084.56"/>
    <s v="Misaligned"/>
    <s v="50-64 Boomers"/>
    <s v="High Value Tier"/>
    <s v="Stable"/>
  </r>
  <r>
    <s v="ORD5496"/>
    <s v="CUST1496"/>
    <n v="33"/>
    <s v="PROD696"/>
    <s v="Canada"/>
    <s v="9/19/2022"/>
    <d v="2023-11-01T00:00:00"/>
    <n v="5"/>
    <s v="active"/>
    <s v="3/22/2025"/>
    <s v=" $396.81 "/>
    <n v="5"/>
    <n v="20"/>
    <s v="Clothing"/>
    <s v="Camera"/>
    <s v="Electronics"/>
    <x v="0"/>
    <n v="1984.05"/>
    <s v="Misaligned"/>
    <s v="25-34 Millennials"/>
    <s v="High Value Tier"/>
    <s v="Critical Risk"/>
  </r>
  <r>
    <s v="ORD5497"/>
    <s v="CUST1497"/>
    <n v="20"/>
    <s v="PROD697"/>
    <s v="UK"/>
    <s v="7/14/2021"/>
    <s v="1/30/2025"/>
    <n v="0"/>
    <s v="cancelled"/>
    <d v="2023-12-07T00:00:00"/>
    <s v=" $836.76 "/>
    <n v="2"/>
    <n v="47"/>
    <s v="Beauty"/>
    <s v="Skirt"/>
    <s v="Clothing"/>
    <x v="1"/>
    <n v="1673.52"/>
    <s v="Misaligned"/>
    <s v="18-24 Gen Z"/>
    <s v="High Value Tier"/>
    <s v="Stable"/>
  </r>
  <r>
    <s v="ORD5498"/>
    <s v="CUST1498"/>
    <n v="29"/>
    <s v="PROD698"/>
    <s v="Canada"/>
    <s v="6/15/2021"/>
    <d v="2022-06-03T00:00:00"/>
    <n v="1"/>
    <s v="active"/>
    <s v="8/15/2023"/>
    <s v=" $71.96 "/>
    <n v="2"/>
    <n v="7"/>
    <s v="Beauty"/>
    <s v="Lipstick"/>
    <s v="Beauty"/>
    <x v="1"/>
    <n v="143.91999999999999"/>
    <s v="Aligned"/>
    <s v="25-34 Millennials"/>
    <s v="Core Tier"/>
    <s v="Stable"/>
  </r>
  <r>
    <s v="ORD5499"/>
    <s v="CUST1499"/>
    <n v="45"/>
    <s v="PROD699"/>
    <s v="Pakistan"/>
    <s v="4/13/2022"/>
    <s v="8/25/2022"/>
    <n v="3"/>
    <s v="active"/>
    <d v="2022-03-05T00:00:00"/>
    <s v=" $1,601.28 "/>
    <n v="1"/>
    <n v="33"/>
    <s v="Beauty"/>
    <s v="Shirt"/>
    <s v="Clothing"/>
    <x v="1"/>
    <n v="1601.28"/>
    <s v="Misaligned"/>
    <s v="35-49 Gen X"/>
    <s v="High Value Tier"/>
    <s v="Stable"/>
  </r>
  <r>
    <s v="ORD5500"/>
    <s v="CUST1500"/>
    <n v="49"/>
    <s v="PROD700"/>
    <s v="Canada"/>
    <d v="2021-02-05T00:00:00"/>
    <s v="2/24/2022"/>
    <n v="3"/>
    <s v="paused"/>
    <s v="7/15/2022"/>
    <s v=" $582.99 "/>
    <n v="3"/>
    <n v="3"/>
    <s v="Clothing"/>
    <s v="Perfume"/>
    <s v="Beauty"/>
    <x v="0"/>
    <n v="1748.97"/>
    <s v="Misaligned"/>
    <s v="35-49 Gen X"/>
    <s v="High Value Tier"/>
    <s v="Elevated Risk"/>
  </r>
  <r>
    <s v="ORD5501"/>
    <s v="CUST1501"/>
    <n v="51"/>
    <s v="PROD701"/>
    <s v="Pakistan"/>
    <d v="2022-01-10T00:00:00"/>
    <s v="5/27/2023"/>
    <n v="3"/>
    <s v="paused"/>
    <s v="5/22/2024"/>
    <s v=" $307.14 "/>
    <n v="2"/>
    <n v="34"/>
    <s v="Home"/>
    <s v="Basketball"/>
    <s v="Sports"/>
    <x v="2"/>
    <n v="614.28"/>
    <s v="Misaligned"/>
    <s v="50-64 Boomers"/>
    <s v="High Value Tier"/>
    <s v="Elevated Risk"/>
  </r>
  <r>
    <s v="ORD5502"/>
    <s v="CUST1502"/>
    <n v="66"/>
    <s v="PROD702"/>
    <s v="USA"/>
    <d v="2021-08-11T00:00:00"/>
    <s v="1/17/2025"/>
    <n v="4"/>
    <s v="paused"/>
    <s v="3/24/2022"/>
    <s v=" $193.22 "/>
    <n v="8"/>
    <n v="32"/>
    <s v="Beauty"/>
    <s v="Shirt"/>
    <s v="Clothing"/>
    <x v="1"/>
    <n v="1545.76"/>
    <s v="Misaligned"/>
    <s v="65+ Seniors"/>
    <s v="High Value Tier"/>
    <s v="Elevated Risk"/>
  </r>
  <r>
    <s v="ORD5503"/>
    <s v="CUST1503"/>
    <n v="58"/>
    <s v="PROD703"/>
    <s v="USA"/>
    <d v="2022-04-04T00:00:00"/>
    <s v="5/25/2024"/>
    <n v="1"/>
    <s v="cancelled"/>
    <s v="4/27/2025"/>
    <s v=" $996.56 "/>
    <n v="2"/>
    <n v="32"/>
    <s v="Beauty"/>
    <s v="Camera"/>
    <s v="Electronics"/>
    <x v="1"/>
    <n v="1993.12"/>
    <s v="Misaligned"/>
    <s v="50-64 Boomers"/>
    <s v="High Value Tier"/>
    <s v="Stable"/>
  </r>
  <r>
    <s v="ORD5504"/>
    <s v="CUST1504"/>
    <n v="31"/>
    <s v="PROD704"/>
    <s v="Pakistan"/>
    <d v="2023-06-04T00:00:00"/>
    <s v="3/29/2025"/>
    <n v="0"/>
    <s v="active"/>
    <s v="6/16/2024"/>
    <s v=" $965.67 "/>
    <n v="2"/>
    <n v="42"/>
    <s v="Clothing"/>
    <s v="Microwave"/>
    <s v="Home"/>
    <x v="0"/>
    <n v="1931.34"/>
    <s v="Misaligned"/>
    <s v="25-34 Millennials"/>
    <s v="High Value Tier"/>
    <s v="Stable"/>
  </r>
  <r>
    <s v="ORD5505"/>
    <s v="CUST1505"/>
    <n v="35"/>
    <s v="PROD705"/>
    <s v="Canada"/>
    <s v="7/22/2023"/>
    <d v="2025-02-06T00:00:00"/>
    <n v="4"/>
    <s v="active"/>
    <s v="9/22/2024"/>
    <s v=" $134.86 "/>
    <n v="9"/>
    <n v="7"/>
    <s v="Electronics"/>
    <s v="Dress"/>
    <s v="Clothing"/>
    <x v="1"/>
    <n v="1213.74"/>
    <s v="Misaligned"/>
    <s v="35-49 Gen X"/>
    <s v="High Value Tier"/>
    <s v="Critical Risk"/>
  </r>
  <r>
    <s v="ORD5506"/>
    <s v="CUST1506"/>
    <n v="48"/>
    <s v="PROD706"/>
    <s v="Pakistan"/>
    <s v="10/26/2020"/>
    <d v="2022-06-06T00:00:00"/>
    <n v="2"/>
    <s v="active"/>
    <s v="10/21/2024"/>
    <s v=" $59.06 "/>
    <n v="8"/>
    <n v="27"/>
    <s v="Clothing"/>
    <s v="T-Shirt"/>
    <s v="Clothing"/>
    <x v="0"/>
    <n v="472.48"/>
    <s v="Aligned"/>
    <s v="35-49 Gen X"/>
    <s v="High Value Tier"/>
    <s v="Stable"/>
  </r>
  <r>
    <s v="ORD5507"/>
    <s v="CUST1507"/>
    <n v="34"/>
    <s v="PROD707"/>
    <s v="Pakistan"/>
    <s v="3/30/2021"/>
    <s v="7/26/2025"/>
    <n v="0"/>
    <s v="cancelled"/>
    <d v="2021-02-10T00:00:00"/>
    <s v=" $163.78 "/>
    <n v="5"/>
    <n v="14"/>
    <s v="Electronics"/>
    <s v="Gaming Console"/>
    <s v="Electronics"/>
    <x v="1"/>
    <n v="818.9"/>
    <s v="Aligned"/>
    <s v="25-34 Millennials"/>
    <s v="High Value Tier"/>
    <s v="Stable"/>
  </r>
  <r>
    <s v="ORD5508"/>
    <s v="CUST1508"/>
    <n v="57"/>
    <s v="PROD708"/>
    <s v="India"/>
    <d v="2021-08-09T00:00:00"/>
    <d v="2024-04-01T00:00:00"/>
    <n v="3"/>
    <s v="paused"/>
    <s v="4/24/2024"/>
    <s v=" $204.26 "/>
    <n v="9"/>
    <n v="38"/>
    <s v="Beauty"/>
    <s v="Dining Table"/>
    <s v="Home"/>
    <x v="0"/>
    <n v="1838.34"/>
    <s v="Misaligned"/>
    <s v="50-64 Boomers"/>
    <s v="High Value Tier"/>
    <s v="Elevated Risk"/>
  </r>
  <r>
    <s v="ORD5509"/>
    <s v="CUST1509"/>
    <n v="42"/>
    <s v="PROD709"/>
    <s v="Germany"/>
    <s v="6/17/2023"/>
    <d v="2024-07-08T00:00:00"/>
    <n v="3"/>
    <s v="active"/>
    <s v="9/25/2023"/>
    <s v=" $162.05 "/>
    <n v="9"/>
    <n v="32"/>
    <s v="Electronics"/>
    <s v="Vacuum Cleaner"/>
    <s v="Home"/>
    <x v="1"/>
    <n v="1458.45"/>
    <s v="Misaligned"/>
    <s v="35-49 Gen X"/>
    <s v="High Value Tier"/>
    <s v="Stable"/>
  </r>
  <r>
    <s v="ORD5510"/>
    <s v="CUST1510"/>
    <n v="60"/>
    <s v="PROD710"/>
    <s v="Germany"/>
    <s v="10/25/2022"/>
    <s v="7/19/2025"/>
    <n v="3"/>
    <s v="cancelled"/>
    <s v="1/26/2024"/>
    <s v=" $124.82 "/>
    <n v="6"/>
    <n v="43"/>
    <s v="Home"/>
    <s v="Sneakers"/>
    <s v="Clothing"/>
    <x v="0"/>
    <n v="748.92"/>
    <s v="Misaligned"/>
    <s v="50-64 Boomers"/>
    <s v="High Value Tier"/>
    <s v="Stable"/>
  </r>
  <r>
    <s v="ORD5511"/>
    <s v="CUST1511"/>
    <n v="28"/>
    <s v="PROD711"/>
    <s v="Canada"/>
    <d v="2022-09-08T00:00:00"/>
    <d v="2024-02-09T00:00:00"/>
    <n v="1"/>
    <s v="paused"/>
    <d v="2024-07-03T00:00:00"/>
    <s v=" $81.49 "/>
    <n v="7"/>
    <n v="32"/>
    <s v="Beauty"/>
    <s v="Vacuum Cleaner"/>
    <s v="Home"/>
    <x v="0"/>
    <n v="570.42999999999995"/>
    <s v="Misaligned"/>
    <s v="25-34 Millennials"/>
    <s v="High Value Tier"/>
    <s v="Elevated Risk"/>
  </r>
  <r>
    <s v="ORD5512"/>
    <s v="CUST1512"/>
    <n v="34"/>
    <s v="PROD712"/>
    <s v="Canada"/>
    <d v="2021-11-07T00:00:00"/>
    <s v="5/22/2025"/>
    <n v="0"/>
    <s v="paused"/>
    <s v="7/25/2022"/>
    <s v=" $36.04 "/>
    <n v="3"/>
    <n v="23"/>
    <s v="Clothing"/>
    <s v="Face Wash"/>
    <s v="Beauty"/>
    <x v="1"/>
    <n v="108.12"/>
    <s v="Misaligned"/>
    <s v="25-34 Millennials"/>
    <s v="Core Tier"/>
    <s v="Elevated Risk"/>
  </r>
  <r>
    <s v="ORD5513"/>
    <s v="CUST1513"/>
    <n v="44"/>
    <s v="PROD713"/>
    <s v="Germany"/>
    <d v="2022-10-12T00:00:00"/>
    <s v="5/26/2025"/>
    <n v="4"/>
    <s v="cancelled"/>
    <d v="2024-05-01T00:00:00"/>
    <s v=" $243.55 "/>
    <n v="7"/>
    <n v="26"/>
    <s v="Beauty"/>
    <s v="Jeans"/>
    <s v="Clothing"/>
    <x v="1"/>
    <n v="1704.85"/>
    <s v="Misaligned"/>
    <s v="35-49 Gen X"/>
    <s v="High Value Tier"/>
    <s v="Stable"/>
  </r>
  <r>
    <s v="ORD5514"/>
    <s v="CUST1514"/>
    <n v="57"/>
    <s v="PROD714"/>
    <s v="India"/>
    <s v="3/20/2021"/>
    <d v="2023-08-01T00:00:00"/>
    <n v="1"/>
    <s v="active"/>
    <s v="3/18/2023"/>
    <s v=" $428.54 "/>
    <n v="3"/>
    <n v="33"/>
    <s v="Home"/>
    <s v="Tablet"/>
    <s v="Electronics"/>
    <x v="1"/>
    <n v="1285.6199999999999"/>
    <s v="Misaligned"/>
    <s v="50-64 Boomers"/>
    <s v="High Value Tier"/>
    <s v="Stable"/>
  </r>
  <r>
    <s v="ORD5515"/>
    <s v="CUST1515"/>
    <n v="54"/>
    <s v="PROD715"/>
    <s v="India"/>
    <s v="5/25/2022"/>
    <d v="2023-12-03T00:00:00"/>
    <n v="5"/>
    <s v="active"/>
    <d v="2025-09-04T00:00:00"/>
    <s v=" $234.67 "/>
    <n v="3"/>
    <n v="8"/>
    <s v="Home"/>
    <s v="Bluetooth Speaker"/>
    <s v="Electronics"/>
    <x v="1"/>
    <n v="704.01"/>
    <s v="Misaligned"/>
    <s v="50-64 Boomers"/>
    <s v="High Value Tier"/>
    <s v="Critical Risk"/>
  </r>
  <r>
    <s v="ORD5516"/>
    <s v="CUST1516"/>
    <n v="51"/>
    <s v="PROD716"/>
    <s v="India"/>
    <d v="2021-04-03T00:00:00"/>
    <s v="6/17/2023"/>
    <n v="1"/>
    <s v="cancelled"/>
    <s v="7/18/2024"/>
    <s v=" $142.25 "/>
    <n v="9"/>
    <n v="40"/>
    <s v="Home"/>
    <s v="Dining Table"/>
    <s v="Home"/>
    <x v="1"/>
    <n v="1280.25"/>
    <s v="Aligned"/>
    <s v="50-64 Boomers"/>
    <s v="High Value Tier"/>
    <s v="Stable"/>
  </r>
  <r>
    <s v="ORD5517"/>
    <s v="CUST1517"/>
    <n v="41"/>
    <s v="PROD717"/>
    <s v="USA"/>
    <d v="2023-12-03T00:00:00"/>
    <d v="2023-05-09T00:00:00"/>
    <n v="3"/>
    <s v="cancelled"/>
    <s v="11/14/2023"/>
    <s v=" $116.18 "/>
    <n v="6"/>
    <n v="20"/>
    <s v="Beauty"/>
    <s v="Dress"/>
    <s v="Clothing"/>
    <x v="1"/>
    <n v="697.08"/>
    <s v="Misaligned"/>
    <s v="35-49 Gen X"/>
    <s v="High Value Tier"/>
    <s v="Stable"/>
  </r>
  <r>
    <s v="ORD5518"/>
    <s v="CUST1518"/>
    <n v="47"/>
    <s v="PROD718"/>
    <s v="UK"/>
    <s v="7/16/2021"/>
    <s v="8/17/2022"/>
    <n v="5"/>
    <s v="active"/>
    <s v="2/15/2022"/>
    <s v=" $321.74 "/>
    <n v="6"/>
    <n v="15"/>
    <s v="Clothing"/>
    <s v="Sneakers"/>
    <s v="Clothing"/>
    <x v="1"/>
    <n v="1930.44"/>
    <s v="Aligned"/>
    <s v="35-49 Gen X"/>
    <s v="High Value Tier"/>
    <s v="Critical Risk"/>
  </r>
  <r>
    <s v="ORD5519"/>
    <s v="CUST1519"/>
    <n v="26"/>
    <s v="PROD719"/>
    <s v="USA"/>
    <d v="2020-01-09T00:00:00"/>
    <s v="5/22/2022"/>
    <n v="1"/>
    <s v="active"/>
    <d v="2023-12-03T00:00:00"/>
    <s v=" $266.97 "/>
    <n v="5"/>
    <n v="9"/>
    <s v="Beauty"/>
    <s v="Smartphone"/>
    <s v="Electronics"/>
    <x v="0"/>
    <n v="1334.85"/>
    <s v="Misaligned"/>
    <s v="25-34 Millennials"/>
    <s v="High Value Tier"/>
    <s v="Stable"/>
  </r>
  <r>
    <s v="ORD5520"/>
    <s v="CUST1520"/>
    <n v="40"/>
    <s v="PROD720"/>
    <s v="Canada"/>
    <s v="10/22/2022"/>
    <d v="2023-06-01T00:00:00"/>
    <n v="1"/>
    <s v="active"/>
    <s v="9/30/2024"/>
    <s v=" $283.96 "/>
    <n v="5"/>
    <n v="36"/>
    <s v="Home"/>
    <s v="Bluetooth Speaker"/>
    <s v="Electronics"/>
    <x v="0"/>
    <n v="1419.8"/>
    <s v="Misaligned"/>
    <s v="35-49 Gen X"/>
    <s v="High Value Tier"/>
    <s v="Stable"/>
  </r>
  <r>
    <s v="ORD5521"/>
    <s v="CUST1521"/>
    <n v="43"/>
    <s v="PROD721"/>
    <s v="India"/>
    <s v="2/27/2021"/>
    <s v="7/30/2025"/>
    <n v="2"/>
    <s v="active"/>
    <d v="2025-06-06T00:00:00"/>
    <s v=" $382.28 "/>
    <n v="4"/>
    <n v="47"/>
    <s v="Sports"/>
    <s v="Dress"/>
    <s v="Clothing"/>
    <x v="1"/>
    <n v="1529.12"/>
    <s v="Misaligned"/>
    <s v="35-49 Gen X"/>
    <s v="High Value Tier"/>
    <s v="Stable"/>
  </r>
  <r>
    <s v="ORD5522"/>
    <s v="CUST1522"/>
    <n v="53"/>
    <s v="PROD722"/>
    <s v="USA"/>
    <s v="6/30/2022"/>
    <s v="5/27/2024"/>
    <n v="2"/>
    <s v="paused"/>
    <d v="2024-09-07T00:00:00"/>
    <s v=" $217.42 "/>
    <n v="4"/>
    <n v="43"/>
    <s v="Home"/>
    <s v="Cycling Helmet"/>
    <s v="Sports"/>
    <x v="1"/>
    <n v="869.68"/>
    <s v="Misaligned"/>
    <s v="50-64 Boomers"/>
    <s v="High Value Tier"/>
    <s v="Elevated Risk"/>
  </r>
  <r>
    <s v="ORD5523"/>
    <s v="CUST1523"/>
    <n v="63"/>
    <s v="PROD723"/>
    <s v="Canada"/>
    <s v="2/24/2022"/>
    <s v="3/13/2022"/>
    <n v="3"/>
    <s v="active"/>
    <s v="11/18/2023"/>
    <s v=" $57.75 "/>
    <n v="8"/>
    <n v="5"/>
    <s v="Beauty"/>
    <s v="Lipstick"/>
    <s v="Beauty"/>
    <x v="1"/>
    <n v="462"/>
    <s v="Aligned"/>
    <s v="50-64 Boomers"/>
    <s v="Core Tier"/>
    <s v="Stable"/>
  </r>
  <r>
    <s v="ORD5524"/>
    <s v="CUST1524"/>
    <n v="43"/>
    <s v="PROD724"/>
    <s v="USA"/>
    <d v="2021-04-03T00:00:00"/>
    <d v="2022-08-07T00:00:00"/>
    <n v="5"/>
    <s v="active"/>
    <d v="2025-01-03T00:00:00"/>
    <s v=" $256.45 "/>
    <n v="4"/>
    <n v="29"/>
    <s v="Home"/>
    <s v="Camera"/>
    <s v="Electronics"/>
    <x v="0"/>
    <n v="1025.8"/>
    <s v="Misaligned"/>
    <s v="35-49 Gen X"/>
    <s v="High Value Tier"/>
    <s v="Critical Risk"/>
  </r>
  <r>
    <s v="ORD5525"/>
    <s v="CUST1525"/>
    <n v="66"/>
    <s v="PROD725"/>
    <s v="UK"/>
    <d v="2023-07-06T00:00:00"/>
    <d v="2024-12-06T00:00:00"/>
    <n v="5"/>
    <s v="paused"/>
    <s v="9/18/2023"/>
    <s v=" $300.55 "/>
    <n v="6"/>
    <n v="18"/>
    <s v="Electronics"/>
    <s v="Tablet"/>
    <s v="Electronics"/>
    <x v="1"/>
    <n v="1803.3"/>
    <s v="Aligned"/>
    <s v="65+ Seniors"/>
    <s v="High Value Tier"/>
    <s v="Elevated Risk"/>
  </r>
  <r>
    <s v="ORD5526"/>
    <s v="CUST1526"/>
    <n v="54"/>
    <s v="PROD726"/>
    <s v="India"/>
    <s v="12/17/2021"/>
    <s v="12/17/2021"/>
    <n v="3"/>
    <s v="paused"/>
    <s v="7/14/2023"/>
    <s v=" $75.60 "/>
    <n v="8"/>
    <n v="26"/>
    <s v="Sports"/>
    <s v="Smartphone"/>
    <s v="Electronics"/>
    <x v="1"/>
    <n v="604.79999999999995"/>
    <s v="Misaligned"/>
    <s v="50-64 Boomers"/>
    <s v="High Value Tier"/>
    <s v="Elevated Risk"/>
  </r>
  <r>
    <s v="ORD5527"/>
    <s v="CUST1527"/>
    <n v="30"/>
    <s v="PROD727"/>
    <s v="India"/>
    <s v="11/30/2020"/>
    <d v="2024-05-07T00:00:00"/>
    <n v="4"/>
    <s v="cancelled"/>
    <s v="7/20/2024"/>
    <s v=" $1,582.47 "/>
    <n v="1"/>
    <n v="39"/>
    <s v="Beauty"/>
    <s v="Sofa"/>
    <s v="Home"/>
    <x v="1"/>
    <n v="1582.47"/>
    <s v="Misaligned"/>
    <s v="25-34 Millennials"/>
    <s v="High Value Tier"/>
    <s v="Stable"/>
  </r>
  <r>
    <s v="ORD5528"/>
    <s v="CUST1528"/>
    <n v="24"/>
    <s v="PROD728"/>
    <s v="USA"/>
    <s v="8/29/2022"/>
    <d v="2023-08-03T00:00:00"/>
    <n v="5"/>
    <s v="active"/>
    <d v="2023-05-07T00:00:00"/>
    <s v=" $199.61 "/>
    <n v="6"/>
    <n v="30"/>
    <s v="Beauty"/>
    <s v="Microwave"/>
    <s v="Home"/>
    <x v="0"/>
    <n v="1197.6600000000001"/>
    <s v="Misaligned"/>
    <s v="18-24 Gen Z"/>
    <s v="High Value Tier"/>
    <s v="Critical Risk"/>
  </r>
  <r>
    <s v="ORD5529"/>
    <s v="CUST1529"/>
    <n v="50"/>
    <s v="PROD729"/>
    <s v="UK"/>
    <s v="3/30/2021"/>
    <d v="2025-07-01T00:00:00"/>
    <n v="3"/>
    <s v="active"/>
    <d v="2022-05-04T00:00:00"/>
    <s v=" $75.76 "/>
    <n v="9"/>
    <n v="7"/>
    <s v="Electronics"/>
    <s v="Moisturizer"/>
    <s v="Beauty"/>
    <x v="1"/>
    <n v="681.84"/>
    <s v="Misaligned"/>
    <s v="50-64 Boomers"/>
    <s v="High Value Tier"/>
    <s v="Stable"/>
  </r>
  <r>
    <s v="ORD5530"/>
    <s v="CUST1530"/>
    <n v="26"/>
    <s v="PROD730"/>
    <s v="Canada"/>
    <s v="3/25/2022"/>
    <s v="5/21/2024"/>
    <n v="1"/>
    <s v="active"/>
    <s v="9/24/2022"/>
    <s v=" $169.33 "/>
    <n v="3"/>
    <n v="19"/>
    <s v="Beauty"/>
    <s v="Lamp"/>
    <s v="Home"/>
    <x v="1"/>
    <n v="507.99"/>
    <s v="Misaligned"/>
    <s v="25-34 Millennials"/>
    <s v="High Value Tier"/>
    <s v="Stable"/>
  </r>
  <r>
    <s v="ORD5531"/>
    <s v="CUST1531"/>
    <n v="44"/>
    <s v="PROD731"/>
    <s v="Canada"/>
    <d v="2022-09-05T00:00:00"/>
    <s v="7/23/2022"/>
    <n v="5"/>
    <s v="active"/>
    <s v="8/14/2022"/>
    <s v=" $279.79 "/>
    <n v="5"/>
    <n v="32"/>
    <s v="Home"/>
    <s v="Cricket Bat"/>
    <s v="Sports"/>
    <x v="0"/>
    <n v="1398.95"/>
    <s v="Misaligned"/>
    <s v="35-49 Gen X"/>
    <s v="High Value Tier"/>
    <s v="Critical Risk"/>
  </r>
  <r>
    <s v="ORD5532"/>
    <s v="CUST1532"/>
    <n v="40"/>
    <s v="PROD732"/>
    <s v="USA"/>
    <s v="8/18/2022"/>
    <d v="2023-12-04T00:00:00"/>
    <n v="3"/>
    <s v="active"/>
    <s v="8/27/2024"/>
    <s v=" $18.93 "/>
    <n v="4"/>
    <n v="45"/>
    <s v="Electronics"/>
    <s v="Blender"/>
    <s v="Home"/>
    <x v="1"/>
    <n v="75.72"/>
    <s v="Misaligned"/>
    <s v="35-49 Gen X"/>
    <s v="High Value Tier"/>
    <s v="Stable"/>
  </r>
  <r>
    <s v="ORD5533"/>
    <s v="CUST1533"/>
    <n v="41"/>
    <s v="PROD733"/>
    <s v="India"/>
    <s v="11/28/2020"/>
    <d v="2024-06-06T00:00:00"/>
    <n v="2"/>
    <s v="active"/>
    <s v="9/15/2021"/>
    <s v=" $147.55 "/>
    <n v="8"/>
    <n v="32"/>
    <s v="Home"/>
    <s v="Lamp"/>
    <s v="Home"/>
    <x v="1"/>
    <n v="1180.4000000000001"/>
    <s v="Aligned"/>
    <s v="35-49 Gen X"/>
    <s v="High Value Tier"/>
    <s v="Stable"/>
  </r>
  <r>
    <s v="ORD5534"/>
    <s v="CUST1534"/>
    <n v="54"/>
    <s v="PROD734"/>
    <s v="UK"/>
    <s v="1/21/2023"/>
    <s v="11/14/2023"/>
    <n v="4"/>
    <s v="active"/>
    <d v="2023-10-07T00:00:00"/>
    <s v=" $82.68 "/>
    <n v="9"/>
    <n v="2"/>
    <s v="Clothing"/>
    <s v="Headphones"/>
    <s v="Electronics"/>
    <x v="1"/>
    <n v="744.12"/>
    <s v="Misaligned"/>
    <s v="50-64 Boomers"/>
    <s v="Core Tier"/>
    <s v="Critical Risk"/>
  </r>
  <r>
    <s v="ORD5535"/>
    <s v="CUST1535"/>
    <n v="29"/>
    <s v="PROD735"/>
    <s v="Pakistan"/>
    <s v="1/22/2023"/>
    <s v="12/17/2023"/>
    <n v="4"/>
    <s v="cancelled"/>
    <d v="2023-06-10T00:00:00"/>
    <s v=" $178.63 "/>
    <n v="9"/>
    <n v="15"/>
    <s v="Beauty"/>
    <s v="Vacuum Cleaner"/>
    <s v="Home"/>
    <x v="0"/>
    <n v="1607.67"/>
    <s v="Misaligned"/>
    <s v="25-34 Millennials"/>
    <s v="High Value Tier"/>
    <s v="Stable"/>
  </r>
  <r>
    <s v="ORD5536"/>
    <s v="CUST1536"/>
    <n v="20"/>
    <s v="PROD736"/>
    <s v="Pakistan"/>
    <s v="1/15/2023"/>
    <s v="2/14/2023"/>
    <n v="3"/>
    <s v="active"/>
    <d v="2024-03-10T00:00:00"/>
    <s v=" $22.44 "/>
    <n v="8"/>
    <n v="21"/>
    <s v="Home"/>
    <s v="Shirt"/>
    <s v="Clothing"/>
    <x v="0"/>
    <n v="179.52"/>
    <s v="Misaligned"/>
    <s v="18-24 Gen Z"/>
    <s v="High Value Tier"/>
    <s v="Stable"/>
  </r>
  <r>
    <s v="ORD5537"/>
    <s v="CUST1537"/>
    <n v="59"/>
    <s v="PROD737"/>
    <s v="India"/>
    <s v="5/30/2022"/>
    <d v="2024-09-10T00:00:00"/>
    <n v="0"/>
    <s v="active"/>
    <d v="2024-08-11T00:00:00"/>
    <s v=" $443.38 "/>
    <n v="4"/>
    <n v="8"/>
    <s v="Sports"/>
    <s v="Headphones"/>
    <s v="Electronics"/>
    <x v="0"/>
    <n v="1773.52"/>
    <s v="Misaligned"/>
    <s v="50-64 Boomers"/>
    <s v="High Value Tier"/>
    <s v="Stable"/>
  </r>
  <r>
    <s v="ORD5538"/>
    <s v="CUST1538"/>
    <n v="37"/>
    <s v="PROD738"/>
    <s v="Canada"/>
    <d v="2022-10-07T00:00:00"/>
    <s v="6/30/2024"/>
    <n v="0"/>
    <s v="active"/>
    <s v="11/20/2022"/>
    <s v=" $189.41 "/>
    <n v="8"/>
    <n v="46"/>
    <s v="Electronics"/>
    <s v="Yoga Mat"/>
    <s v="Sports"/>
    <x v="1"/>
    <n v="1515.28"/>
    <s v="Misaligned"/>
    <s v="35-49 Gen X"/>
    <s v="High Value Tier"/>
    <s v="Stable"/>
  </r>
  <r>
    <s v="ORD5539"/>
    <s v="CUST1539"/>
    <n v="61"/>
    <s v="PROD739"/>
    <s v="Canada"/>
    <d v="2022-07-11T00:00:00"/>
    <s v="2/13/2025"/>
    <n v="4"/>
    <s v="active"/>
    <s v="6/27/2024"/>
    <s v=" $440.91 "/>
    <n v="3"/>
    <n v="33"/>
    <s v="Electronics"/>
    <s v="Perfume"/>
    <s v="Beauty"/>
    <x v="0"/>
    <n v="1322.73"/>
    <s v="Misaligned"/>
    <s v="50-64 Boomers"/>
    <s v="High Value Tier"/>
    <s v="Critical Risk"/>
  </r>
  <r>
    <s v="ORD5540"/>
    <s v="CUST1540"/>
    <n v="50"/>
    <s v="PROD740"/>
    <s v="Canada"/>
    <d v="2020-02-11T00:00:00"/>
    <s v="7/15/2022"/>
    <n v="5"/>
    <s v="active"/>
    <d v="2021-05-02T00:00:00"/>
    <s v=" $944.82 "/>
    <n v="2"/>
    <n v="29"/>
    <s v="Beauty"/>
    <s v="Smartwatch"/>
    <s v="Electronics"/>
    <x v="0"/>
    <n v="1889.64"/>
    <s v="Misaligned"/>
    <s v="50-64 Boomers"/>
    <s v="High Value Tier"/>
    <s v="Critical Risk"/>
  </r>
  <r>
    <s v="ORD5541"/>
    <s v="CUST1541"/>
    <n v="67"/>
    <s v="PROD741"/>
    <s v="Pakistan"/>
    <s v="12/24/2022"/>
    <s v="1/22/2025"/>
    <n v="0"/>
    <s v="paused"/>
    <d v="2024-05-06T00:00:00"/>
    <s v=" $892.74 "/>
    <n v="2"/>
    <n v="49"/>
    <s v="Electronics"/>
    <s v="Blender"/>
    <s v="Home"/>
    <x v="1"/>
    <n v="1785.48"/>
    <s v="Misaligned"/>
    <s v="65+ Seniors"/>
    <s v="High Value Tier"/>
    <s v="Elevated Risk"/>
  </r>
  <r>
    <s v="ORD5542"/>
    <s v="CUST1542"/>
    <n v="39"/>
    <s v="PROD742"/>
    <s v="UK"/>
    <s v="7/18/2022"/>
    <d v="2023-06-11T00:00:00"/>
    <n v="4"/>
    <s v="cancelled"/>
    <s v="4/25/2023"/>
    <s v=" $589.28 "/>
    <n v="3"/>
    <n v="9"/>
    <s v="Home"/>
    <s v="Blender"/>
    <s v="Home"/>
    <x v="0"/>
    <n v="1767.84"/>
    <s v="Aligned"/>
    <s v="35-49 Gen X"/>
    <s v="High Value Tier"/>
    <s v="Stable"/>
  </r>
  <r>
    <s v="ORD5543"/>
    <s v="CUST1543"/>
    <n v="64"/>
    <s v="PROD743"/>
    <s v="Pakistan"/>
    <s v="12/13/2021"/>
    <d v="2022-07-01T00:00:00"/>
    <n v="5"/>
    <s v="paused"/>
    <d v="2023-07-03T00:00:00"/>
    <s v=" $233.33 "/>
    <n v="3"/>
    <n v="38"/>
    <s v="Clothing"/>
    <s v="Jacket"/>
    <s v="Clothing"/>
    <x v="1"/>
    <n v="699.99"/>
    <s v="Aligned"/>
    <s v="50-64 Boomers"/>
    <s v="High Value Tier"/>
    <s v="Elevated Risk"/>
  </r>
  <r>
    <s v="ORD5544"/>
    <s v="CUST1544"/>
    <n v="59"/>
    <s v="PROD744"/>
    <s v="UK"/>
    <d v="2022-08-09T00:00:00"/>
    <s v="6/25/2025"/>
    <n v="2"/>
    <s v="active"/>
    <d v="2025-11-05T00:00:00"/>
    <s v=" $168.05 "/>
    <n v="9"/>
    <n v="3"/>
    <s v="Electronics"/>
    <s v="Lipstick"/>
    <s v="Beauty"/>
    <x v="0"/>
    <n v="1512.45"/>
    <s v="Misaligned"/>
    <s v="50-64 Boomers"/>
    <s v="High Value Tier"/>
    <s v="Stable"/>
  </r>
  <r>
    <s v="ORD5545"/>
    <s v="CUST1545"/>
    <n v="40"/>
    <s v="PROD745"/>
    <s v="USA"/>
    <s v="2/24/2023"/>
    <d v="2024-11-02T00:00:00"/>
    <n v="2"/>
    <s v="active"/>
    <d v="2025-12-08T00:00:00"/>
    <s v=" $227.34 "/>
    <n v="5"/>
    <n v="17"/>
    <s v="Sports"/>
    <s v="Gaming Console"/>
    <s v="Electronics"/>
    <x v="0"/>
    <n v="1136.7"/>
    <s v="Misaligned"/>
    <s v="35-49 Gen X"/>
    <s v="High Value Tier"/>
    <s v="Stable"/>
  </r>
  <r>
    <s v="ORD5546"/>
    <s v="CUST1546"/>
    <n v="36"/>
    <s v="PROD746"/>
    <s v="UK"/>
    <d v="2021-04-07T00:00:00"/>
    <s v="12/26/2022"/>
    <n v="2"/>
    <s v="active"/>
    <d v="2025-09-01T00:00:00"/>
    <s v=" $164.42 "/>
    <n v="3"/>
    <n v="22"/>
    <s v="Clothing"/>
    <s v="Lamp"/>
    <s v="Home"/>
    <x v="1"/>
    <n v="493.26"/>
    <s v="Misaligned"/>
    <s v="35-49 Gen X"/>
    <s v="High Value Tier"/>
    <s v="Stable"/>
  </r>
  <r>
    <s v="ORD5547"/>
    <s v="CUST1547"/>
    <n v="49"/>
    <s v="PROD747"/>
    <s v="Germany"/>
    <s v="5/21/2023"/>
    <d v="2025-10-07T00:00:00"/>
    <n v="2"/>
    <s v="active"/>
    <s v="10/23/2023"/>
    <s v=" $577.99 "/>
    <n v="1"/>
    <n v="12"/>
    <s v="Electronics"/>
    <s v="Tablet"/>
    <s v="Electronics"/>
    <x v="0"/>
    <n v="577.99"/>
    <s v="Aligned"/>
    <s v="35-49 Gen X"/>
    <s v="High Value Tier"/>
    <s v="Stable"/>
  </r>
  <r>
    <s v="ORD5548"/>
    <s v="CUST1548"/>
    <n v="35"/>
    <s v="PROD748"/>
    <s v="UK"/>
    <s v="11/28/2020"/>
    <s v="3/24/2025"/>
    <n v="4"/>
    <s v="paused"/>
    <s v="3/24/2025"/>
    <s v=" $293.23 "/>
    <n v="4"/>
    <n v="6"/>
    <s v="Beauty"/>
    <s v="Refrigerator"/>
    <s v="Home"/>
    <x v="0"/>
    <n v="1172.92"/>
    <s v="Misaligned"/>
    <s v="35-49 Gen X"/>
    <s v="High Value Tier"/>
    <s v="Elevated Risk"/>
  </r>
  <r>
    <s v="ORD5549"/>
    <s v="CUST1549"/>
    <n v="56"/>
    <s v="PROD749"/>
    <s v="UK"/>
    <d v="2021-03-05T00:00:00"/>
    <s v="4/16/2022"/>
    <n v="1"/>
    <s v="active"/>
    <s v="1/24/2023"/>
    <s v=" $188.99 "/>
    <n v="6"/>
    <n v="20"/>
    <s v="Beauty"/>
    <s v="Yoga Mat"/>
    <s v="Sports"/>
    <x v="1"/>
    <n v="1133.94"/>
    <s v="Misaligned"/>
    <s v="50-64 Boomers"/>
    <s v="High Value Tier"/>
    <s v="Stable"/>
  </r>
  <r>
    <s v="ORD5550"/>
    <s v="CUST1550"/>
    <n v="57"/>
    <s v="PROD750"/>
    <s v="Canada"/>
    <d v="2022-02-10T00:00:00"/>
    <s v="4/13/2025"/>
    <n v="5"/>
    <s v="active"/>
    <s v="6/21/2025"/>
    <s v=" $904.56 "/>
    <n v="2"/>
    <n v="44"/>
    <s v="Clothing"/>
    <s v="Lipstick"/>
    <s v="Beauty"/>
    <x v="1"/>
    <n v="1809.12"/>
    <s v="Misaligned"/>
    <s v="50-64 Boomers"/>
    <s v="High Value Tier"/>
    <s v="Critical Risk"/>
  </r>
  <r>
    <s v="ORD5551"/>
    <s v="CUST1551"/>
    <n v="63"/>
    <s v="PROD751"/>
    <s v="UK"/>
    <d v="2021-11-07T00:00:00"/>
    <s v="8/25/2023"/>
    <n v="0"/>
    <s v="active"/>
    <d v="2024-01-11T00:00:00"/>
    <s v=" $1,220.25 "/>
    <n v="1"/>
    <n v="9"/>
    <s v="Home"/>
    <s v="Skirt"/>
    <s v="Clothing"/>
    <x v="0"/>
    <n v="1220.25"/>
    <s v="Misaligned"/>
    <s v="50-64 Boomers"/>
    <s v="High Value Tier"/>
    <s v="Stable"/>
  </r>
  <r>
    <s v="ORD5552"/>
    <s v="CUST1552"/>
    <n v="29"/>
    <s v="PROD752"/>
    <s v="India"/>
    <d v="2022-06-05T00:00:00"/>
    <s v="12/16/2022"/>
    <n v="2"/>
    <s v="active"/>
    <s v="4/20/2023"/>
    <s v=" $34.17 "/>
    <n v="6"/>
    <n v="35"/>
    <s v="Sports"/>
    <s v="Cycling Helmet"/>
    <s v="Sports"/>
    <x v="0"/>
    <n v="205.02"/>
    <s v="Aligned"/>
    <s v="25-34 Millennials"/>
    <s v="High Value Tier"/>
    <s v="Stable"/>
  </r>
  <r>
    <s v="ORD5553"/>
    <s v="CUST1553"/>
    <n v="40"/>
    <s v="PROD753"/>
    <s v="USA"/>
    <s v="8/30/2021"/>
    <s v="6/19/2025"/>
    <n v="2"/>
    <s v="active"/>
    <s v="10/24/2024"/>
    <s v=" $152.91 "/>
    <n v="9"/>
    <n v="5"/>
    <s v="Beauty"/>
    <s v="Shampoo"/>
    <s v="Beauty"/>
    <x v="0"/>
    <n v="1376.19"/>
    <s v="Aligned"/>
    <s v="35-49 Gen X"/>
    <s v="High Value Tier"/>
    <s v="Stable"/>
  </r>
  <r>
    <s v="ORD5554"/>
    <s v="CUST1554"/>
    <n v="54"/>
    <s v="PROD754"/>
    <s v="Germany"/>
    <s v="4/13/2022"/>
    <d v="2024-09-02T00:00:00"/>
    <n v="0"/>
    <s v="paused"/>
    <d v="2022-05-12T00:00:00"/>
    <s v=" $28.96 "/>
    <n v="8"/>
    <n v="22"/>
    <s v="Home"/>
    <s v="Blender"/>
    <s v="Home"/>
    <x v="0"/>
    <n v="231.68"/>
    <s v="Aligned"/>
    <s v="50-64 Boomers"/>
    <s v="High Value Tier"/>
    <s v="Elevated Risk"/>
  </r>
  <r>
    <s v="ORD5555"/>
    <s v="CUST1555"/>
    <n v="52"/>
    <s v="PROD755"/>
    <s v="India"/>
    <s v="12/28/2021"/>
    <s v="2/23/2024"/>
    <n v="3"/>
    <s v="active"/>
    <d v="2024-04-04T00:00:00"/>
    <s v=" $167.97 "/>
    <n v="7"/>
    <n v="6"/>
    <s v="Clothing"/>
    <s v="Jeans"/>
    <s v="Clothing"/>
    <x v="1"/>
    <n v="1175.79"/>
    <s v="Aligned"/>
    <s v="50-64 Boomers"/>
    <s v="High Value Tier"/>
    <s v="Stable"/>
  </r>
  <r>
    <s v="ORD5556"/>
    <s v="CUST1556"/>
    <n v="35"/>
    <s v="PROD756"/>
    <s v="India"/>
    <s v="10/20/2020"/>
    <d v="2022-02-12T00:00:00"/>
    <n v="5"/>
    <s v="active"/>
    <s v="6/20/2023"/>
    <s v=" $329.43 "/>
    <n v="3"/>
    <n v="35"/>
    <s v="Electronics"/>
    <s v="Dress"/>
    <s v="Clothing"/>
    <x v="0"/>
    <n v="988.29"/>
    <s v="Misaligned"/>
    <s v="35-49 Gen X"/>
    <s v="High Value Tier"/>
    <s v="Critical Risk"/>
  </r>
  <r>
    <s v="ORD5557"/>
    <s v="CUST1557"/>
    <n v="67"/>
    <s v="PROD757"/>
    <s v="USA"/>
    <d v="2022-09-11T00:00:00"/>
    <d v="2024-09-11T00:00:00"/>
    <n v="4"/>
    <s v="active"/>
    <d v="2024-06-01T00:00:00"/>
    <s v=" $1,543.19 "/>
    <n v="1"/>
    <n v="42"/>
    <s v="Beauty"/>
    <s v="Lamp"/>
    <s v="Home"/>
    <x v="1"/>
    <n v="1543.19"/>
    <s v="Misaligned"/>
    <s v="65+ Seniors"/>
    <s v="High Value Tier"/>
    <s v="Critical Risk"/>
  </r>
  <r>
    <s v="ORD5558"/>
    <s v="CUST1558"/>
    <n v="27"/>
    <s v="PROD758"/>
    <s v="UK"/>
    <d v="2021-08-12T00:00:00"/>
    <d v="2023-04-05T00:00:00"/>
    <n v="5"/>
    <s v="paused"/>
    <d v="2025-06-01T00:00:00"/>
    <s v=" $524.51 "/>
    <n v="2"/>
    <n v="43"/>
    <s v="Beauty"/>
    <s v="Dining Table"/>
    <s v="Home"/>
    <x v="0"/>
    <n v="1049.02"/>
    <s v="Misaligned"/>
    <s v="25-34 Millennials"/>
    <s v="High Value Tier"/>
    <s v="Elevated Risk"/>
  </r>
  <r>
    <s v="ORD5559"/>
    <s v="CUST1559"/>
    <n v="38"/>
    <s v="PROD759"/>
    <s v="Germany"/>
    <s v="5/20/2021"/>
    <s v="7/31/2021"/>
    <n v="4"/>
    <s v="active"/>
    <s v="6/22/2022"/>
    <s v=" $342.38 "/>
    <n v="4"/>
    <n v="41"/>
    <s v="Electronics"/>
    <s v="Jacket"/>
    <s v="Clothing"/>
    <x v="0"/>
    <n v="1369.52"/>
    <s v="Misaligned"/>
    <s v="35-49 Gen X"/>
    <s v="High Value Tier"/>
    <s v="Critical Risk"/>
  </r>
  <r>
    <s v="ORD5560"/>
    <s v="CUST1560"/>
    <n v="41"/>
    <s v="PROD760"/>
    <s v="UK"/>
    <d v="2023-11-05T00:00:00"/>
    <d v="2025-02-02T00:00:00"/>
    <n v="3"/>
    <s v="cancelled"/>
    <s v="1/25/2024"/>
    <s v=" $164.78 "/>
    <n v="9"/>
    <n v="22"/>
    <s v="Clothing"/>
    <s v="Face Wash"/>
    <s v="Beauty"/>
    <x v="0"/>
    <n v="1483.02"/>
    <s v="Misaligned"/>
    <s v="35-49 Gen X"/>
    <s v="High Value Tier"/>
    <s v="Stable"/>
  </r>
  <r>
    <s v="ORD5561"/>
    <s v="CUST1561"/>
    <n v="33"/>
    <s v="PROD761"/>
    <s v="India"/>
    <d v="2021-12-03T00:00:00"/>
    <d v="2024-03-04T00:00:00"/>
    <n v="3"/>
    <s v="active"/>
    <s v="1/31/2024"/>
    <s v=" $159.26 "/>
    <n v="9"/>
    <n v="30"/>
    <s v="Home"/>
    <s v="Moisturizer"/>
    <s v="Beauty"/>
    <x v="1"/>
    <n v="1433.34"/>
    <s v="Misaligned"/>
    <s v="25-34 Millennials"/>
    <s v="High Value Tier"/>
    <s v="Stable"/>
  </r>
  <r>
    <s v="ORD5562"/>
    <s v="CUST1562"/>
    <n v="45"/>
    <s v="PROD762"/>
    <s v="USA"/>
    <d v="2022-09-11T00:00:00"/>
    <d v="2024-08-10T00:00:00"/>
    <n v="3"/>
    <s v="active"/>
    <d v="2024-05-01T00:00:00"/>
    <s v=" $33.22 "/>
    <n v="8"/>
    <n v="7"/>
    <s v="Clothing"/>
    <s v="Chair"/>
    <s v="Home"/>
    <x v="0"/>
    <n v="265.76"/>
    <s v="Misaligned"/>
    <s v="35-49 Gen X"/>
    <s v="Core Tier"/>
    <s v="Stable"/>
  </r>
  <r>
    <s v="ORD5563"/>
    <s v="CUST1563"/>
    <n v="28"/>
    <s v="PROD763"/>
    <s v="Germany"/>
    <s v="12/22/2021"/>
    <s v="3/28/2024"/>
    <n v="4"/>
    <s v="cancelled"/>
    <s v="2/26/2023"/>
    <s v=" $1,815.34 "/>
    <n v="1"/>
    <n v="19"/>
    <s v="Electronics"/>
    <s v="Blender"/>
    <s v="Home"/>
    <x v="1"/>
    <n v="1815.34"/>
    <s v="Misaligned"/>
    <s v="25-34 Millennials"/>
    <s v="High Value Tier"/>
    <s v="Stable"/>
  </r>
  <r>
    <s v="ORD5564"/>
    <s v="CUST1564"/>
    <n v="27"/>
    <s v="PROD764"/>
    <s v="Germany"/>
    <d v="2021-09-06T00:00:00"/>
    <d v="2024-05-04T00:00:00"/>
    <n v="5"/>
    <s v="active"/>
    <s v="8/22/2021"/>
    <s v=" $17.00 "/>
    <n v="4"/>
    <n v="2"/>
    <s v="Clothing"/>
    <s v="Smartwatch"/>
    <s v="Electronics"/>
    <x v="1"/>
    <n v="68"/>
    <s v="Misaligned"/>
    <s v="25-34 Millennials"/>
    <s v="Value Tier"/>
    <s v="Critical Risk"/>
  </r>
  <r>
    <s v="ORD5565"/>
    <s v="CUST1565"/>
    <n v="33"/>
    <s v="PROD765"/>
    <s v="Pakistan"/>
    <s v="5/13/2022"/>
    <d v="2024-12-10T00:00:00"/>
    <n v="0"/>
    <s v="paused"/>
    <s v="1/20/2024"/>
    <s v=" $108.08 "/>
    <n v="6"/>
    <n v="5"/>
    <s v="Sports"/>
    <s v="Camera"/>
    <s v="Electronics"/>
    <x v="1"/>
    <n v="648.48"/>
    <s v="Misaligned"/>
    <s v="25-34 Millennials"/>
    <s v="High Value Tier"/>
    <s v="Elevated Risk"/>
  </r>
  <r>
    <s v="ORD5566"/>
    <s v="CUST1566"/>
    <n v="28"/>
    <s v="PROD766"/>
    <s v="India"/>
    <s v="2/23/2021"/>
    <s v="6/15/2022"/>
    <n v="4"/>
    <s v="active"/>
    <d v="2023-06-11T00:00:00"/>
    <s v=" $18.44 "/>
    <n v="6"/>
    <n v="5"/>
    <s v="Beauty"/>
    <s v="Jacket"/>
    <s v="Clothing"/>
    <x v="1"/>
    <n v="110.64"/>
    <s v="Misaligned"/>
    <s v="25-34 Millennials"/>
    <s v="Value Tier"/>
    <s v="Critical Risk"/>
  </r>
  <r>
    <s v="ORD5567"/>
    <s v="CUST1567"/>
    <n v="58"/>
    <s v="PROD767"/>
    <s v="UK"/>
    <d v="2020-12-09T00:00:00"/>
    <s v="10/25/2021"/>
    <n v="1"/>
    <s v="paused"/>
    <d v="2023-01-11T00:00:00"/>
    <s v=" $330.36 "/>
    <n v="4"/>
    <n v="49"/>
    <s v="Clothing"/>
    <s v="Running Shoes"/>
    <s v="Sports"/>
    <x v="0"/>
    <n v="1321.44"/>
    <s v="Misaligned"/>
    <s v="50-64 Boomers"/>
    <s v="High Value Tier"/>
    <s v="Elevated Risk"/>
  </r>
  <r>
    <s v="ORD5568"/>
    <s v="CUST1568"/>
    <n v="34"/>
    <s v="PROD768"/>
    <s v="Pakistan"/>
    <s v="4/20/2023"/>
    <s v="10/17/2023"/>
    <n v="2"/>
    <s v="active"/>
    <d v="2025-04-02T00:00:00"/>
    <s v=" $138.99 "/>
    <n v="7"/>
    <n v="36"/>
    <s v="Home"/>
    <s v="Moisturizer"/>
    <s v="Beauty"/>
    <x v="0"/>
    <n v="972.93"/>
    <s v="Misaligned"/>
    <s v="25-34 Millennials"/>
    <s v="High Value Tier"/>
    <s v="Stable"/>
  </r>
  <r>
    <s v="ORD5569"/>
    <s v="CUST1569"/>
    <n v="52"/>
    <s v="PROD769"/>
    <s v="Canada"/>
    <s v="11/24/2020"/>
    <s v="8/25/2023"/>
    <n v="4"/>
    <s v="active"/>
    <s v="12/19/2024"/>
    <s v=" $45.15 "/>
    <n v="5"/>
    <n v="33"/>
    <s v="Sports"/>
    <s v="Laptop"/>
    <s v="Electronics"/>
    <x v="0"/>
    <n v="225.75"/>
    <s v="Misaligned"/>
    <s v="50-64 Boomers"/>
    <s v="High Value Tier"/>
    <s v="Critical Risk"/>
  </r>
  <r>
    <s v="ORD5570"/>
    <s v="CUST1570"/>
    <n v="51"/>
    <s v="PROD770"/>
    <s v="USA"/>
    <s v="10/19/2020"/>
    <d v="2023-06-11T00:00:00"/>
    <n v="0"/>
    <s v="active"/>
    <s v="3/18/2023"/>
    <s v=" $266.24 "/>
    <n v="4"/>
    <n v="21"/>
    <s v="Beauty"/>
    <s v="Dining Table"/>
    <s v="Home"/>
    <x v="1"/>
    <n v="1064.96"/>
    <s v="Misaligned"/>
    <s v="50-64 Boomers"/>
    <s v="High Value Tier"/>
    <s v="Stable"/>
  </r>
  <r>
    <s v="ORD5571"/>
    <s v="CUST1571"/>
    <n v="38"/>
    <s v="PROD771"/>
    <s v="Pakistan"/>
    <s v="2/19/2023"/>
    <d v="2023-10-04T00:00:00"/>
    <n v="5"/>
    <s v="active"/>
    <d v="2023-06-07T00:00:00"/>
    <s v=" $127.91 "/>
    <n v="9"/>
    <n v="29"/>
    <s v="Sports"/>
    <s v="Lamp"/>
    <s v="Home"/>
    <x v="1"/>
    <n v="1151.19"/>
    <s v="Misaligned"/>
    <s v="35-49 Gen X"/>
    <s v="High Value Tier"/>
    <s v="Critical Risk"/>
  </r>
  <r>
    <s v="ORD5572"/>
    <s v="CUST1572"/>
    <n v="46"/>
    <s v="PROD772"/>
    <s v="UK"/>
    <s v="5/20/2023"/>
    <s v="4/14/2025"/>
    <n v="0"/>
    <s v="active"/>
    <s v="3/28/2024"/>
    <s v=" $49.35 "/>
    <n v="7"/>
    <n v="49"/>
    <s v="Clothing"/>
    <s v="Perfume"/>
    <s v="Beauty"/>
    <x v="0"/>
    <n v="345.45"/>
    <s v="Misaligned"/>
    <s v="35-49 Gen X"/>
    <s v="High Value Tier"/>
    <s v="Stable"/>
  </r>
  <r>
    <s v="ORD5573"/>
    <s v="CUST1573"/>
    <n v="35"/>
    <s v="PROD773"/>
    <s v="USA"/>
    <d v="2021-12-03T00:00:00"/>
    <d v="2023-04-11T00:00:00"/>
    <n v="4"/>
    <s v="active"/>
    <s v="9/15/2021"/>
    <s v=" $12.69 "/>
    <n v="9"/>
    <n v="14"/>
    <s v="Beauty"/>
    <s v="Camera"/>
    <s v="Electronics"/>
    <x v="0"/>
    <n v="114.21"/>
    <s v="Misaligned"/>
    <s v="35-49 Gen X"/>
    <s v="Core Tier"/>
    <s v="Critical Risk"/>
  </r>
  <r>
    <s v="ORD5574"/>
    <s v="CUST1574"/>
    <n v="34"/>
    <s v="PROD774"/>
    <s v="Pakistan"/>
    <s v="12/15/2021"/>
    <s v="5/27/2025"/>
    <n v="4"/>
    <s v="active"/>
    <s v="12/16/2024"/>
    <s v=" $55.16 "/>
    <n v="8"/>
    <n v="5"/>
    <s v="Beauty"/>
    <s v="Skirt"/>
    <s v="Clothing"/>
    <x v="1"/>
    <n v="441.28"/>
    <s v="Misaligned"/>
    <s v="25-34 Millennials"/>
    <s v="Core Tier"/>
    <s v="Critical Risk"/>
  </r>
  <r>
    <s v="ORD5575"/>
    <s v="CUST1575"/>
    <n v="62"/>
    <s v="PROD775"/>
    <s v="Germany"/>
    <s v="7/24/2021"/>
    <s v="5/28/2025"/>
    <n v="4"/>
    <s v="active"/>
    <d v="2024-09-08T00:00:00"/>
    <s v=" $228.64 "/>
    <n v="8"/>
    <n v="18"/>
    <s v="Sports"/>
    <s v="Smartphone"/>
    <s v="Electronics"/>
    <x v="2"/>
    <n v="1829.12"/>
    <s v="Misaligned"/>
    <s v="50-64 Boomers"/>
    <s v="High Value Tier"/>
    <s v="Critical Risk"/>
  </r>
  <r>
    <s v="ORD5576"/>
    <s v="CUST1576"/>
    <n v="56"/>
    <s v="PROD776"/>
    <s v="USA"/>
    <s v="7/31/2021"/>
    <s v="4/16/2023"/>
    <n v="4"/>
    <s v="active"/>
    <d v="2025-01-07T00:00:00"/>
    <s v=" $554.17 "/>
    <n v="3"/>
    <n v="46"/>
    <s v="Clothing"/>
    <s v="Bluetooth Speaker"/>
    <s v="Electronics"/>
    <x v="0"/>
    <n v="1662.51"/>
    <s v="Misaligned"/>
    <s v="50-64 Boomers"/>
    <s v="High Value Tier"/>
    <s v="Critical Risk"/>
  </r>
  <r>
    <s v="ORD5577"/>
    <s v="CUST1577"/>
    <n v="43"/>
    <s v="PROD777"/>
    <s v="UK"/>
    <d v="2021-04-03T00:00:00"/>
    <d v="2021-02-06T00:00:00"/>
    <n v="5"/>
    <s v="active"/>
    <d v="2022-05-12T00:00:00"/>
    <s v=" $559.72 "/>
    <n v="1"/>
    <n v="3"/>
    <s v="Beauty"/>
    <s v="Yoga Mat"/>
    <s v="Sports"/>
    <x v="0"/>
    <n v="559.72"/>
    <s v="Misaligned"/>
    <s v="35-49 Gen X"/>
    <s v="Core Tier"/>
    <s v="Critical Risk"/>
  </r>
  <r>
    <s v="ORD5578"/>
    <s v="CUST1578"/>
    <n v="43"/>
    <s v="PROD778"/>
    <s v="USA"/>
    <d v="2023-07-01T00:00:00"/>
    <s v="8/13/2023"/>
    <n v="4"/>
    <s v="active"/>
    <s v="7/16/2024"/>
    <s v=" $319.61 "/>
    <n v="3"/>
    <n v="18"/>
    <s v="Sports"/>
    <s v="Hoodie"/>
    <s v="Clothing"/>
    <x v="1"/>
    <n v="958.83"/>
    <s v="Misaligned"/>
    <s v="35-49 Gen X"/>
    <s v="High Value Tier"/>
    <s v="Critical Risk"/>
  </r>
  <r>
    <s v="ORD5579"/>
    <s v="CUST1579"/>
    <n v="30"/>
    <s v="PROD779"/>
    <s v="Germany"/>
    <s v="12/21/2022"/>
    <s v="11/26/2023"/>
    <n v="0"/>
    <s v="active"/>
    <s v="4/29/2023"/>
    <s v=" $71.54 "/>
    <n v="6"/>
    <n v="12"/>
    <s v="Electronics"/>
    <s v="Camera"/>
    <s v="Electronics"/>
    <x v="2"/>
    <n v="429.24"/>
    <s v="Aligned"/>
    <s v="25-34 Millennials"/>
    <s v="High Value Tier"/>
    <s v="Stable"/>
  </r>
  <r>
    <s v="ORD5580"/>
    <s v="CUST1580"/>
    <n v="46"/>
    <s v="PROD780"/>
    <s v="Germany"/>
    <d v="2020-02-11T00:00:00"/>
    <s v="4/17/2023"/>
    <n v="4"/>
    <s v="active"/>
    <s v="3/22/2024"/>
    <s v=" $36.79 "/>
    <n v="8"/>
    <n v="17"/>
    <s v="Clothing"/>
    <s v="Jeans"/>
    <s v="Clothing"/>
    <x v="1"/>
    <n v="294.32"/>
    <s v="Aligned"/>
    <s v="35-49 Gen X"/>
    <s v="High Value Tier"/>
    <s v="Critical Risk"/>
  </r>
  <r>
    <s v="ORD5581"/>
    <s v="CUST1581"/>
    <n v="65"/>
    <s v="PROD781"/>
    <s v="UK"/>
    <s v="5/23/2022"/>
    <s v="3/21/2023"/>
    <n v="1"/>
    <s v="active"/>
    <s v="7/16/2023"/>
    <s v=" $1,276.55 "/>
    <n v="1"/>
    <n v="48"/>
    <s v="Clothing"/>
    <s v="T-Shirt"/>
    <s v="Clothing"/>
    <x v="1"/>
    <n v="1276.55"/>
    <s v="Aligned"/>
    <s v="65+ Seniors"/>
    <s v="High Value Tier"/>
    <s v="Stable"/>
  </r>
  <r>
    <s v="ORD5582"/>
    <s v="CUST1582"/>
    <n v="23"/>
    <s v="PROD782"/>
    <s v="UK"/>
    <s v="12/20/2020"/>
    <s v="11/14/2021"/>
    <n v="0"/>
    <s v="active"/>
    <s v="3/26/2021"/>
    <s v=" $683.35 "/>
    <n v="2"/>
    <n v="10"/>
    <s v="Electronics"/>
    <s v="Sneakers"/>
    <s v="Clothing"/>
    <x v="1"/>
    <n v="1366.7"/>
    <s v="Misaligned"/>
    <s v="18-24 Gen Z"/>
    <s v="High Value Tier"/>
    <s v="Stable"/>
  </r>
  <r>
    <s v="ORD5583"/>
    <s v="CUST1583"/>
    <n v="56"/>
    <s v="PROD783"/>
    <s v="Canada"/>
    <s v="9/23/2021"/>
    <s v="2/21/2024"/>
    <n v="5"/>
    <s v="cancelled"/>
    <d v="2022-09-10T00:00:00"/>
    <s v=" $137.79 "/>
    <n v="5"/>
    <n v="12"/>
    <s v="Beauty"/>
    <s v="Lipstick"/>
    <s v="Beauty"/>
    <x v="0"/>
    <n v="688.95"/>
    <s v="Aligned"/>
    <s v="50-64 Boomers"/>
    <s v="High Value Tier"/>
    <s v="Stable"/>
  </r>
  <r>
    <s v="ORD5584"/>
    <s v="CUST1584"/>
    <n v="62"/>
    <s v="PROD784"/>
    <s v="USA"/>
    <d v="2022-01-06T00:00:00"/>
    <d v="2025-09-08T00:00:00"/>
    <n v="5"/>
    <s v="active"/>
    <s v="3/13/2024"/>
    <s v=" $309.26 "/>
    <n v="4"/>
    <n v="17"/>
    <s v="Home"/>
    <s v="Shampoo"/>
    <s v="Beauty"/>
    <x v="0"/>
    <n v="1237.04"/>
    <s v="Misaligned"/>
    <s v="50-64 Boomers"/>
    <s v="High Value Tier"/>
    <s v="Critical Risk"/>
  </r>
  <r>
    <s v="ORD5585"/>
    <s v="CUST1585"/>
    <n v="31"/>
    <s v="PROD785"/>
    <s v="Pakistan"/>
    <s v="4/22/2022"/>
    <s v="10/17/2024"/>
    <n v="2"/>
    <s v="cancelled"/>
    <s v="8/25/2023"/>
    <s v=" $43.08 "/>
    <n v="5"/>
    <n v="22"/>
    <s v="Electronics"/>
    <s v="Nail Polish"/>
    <s v="Beauty"/>
    <x v="0"/>
    <n v="215.4"/>
    <s v="Misaligned"/>
    <s v="25-34 Millennials"/>
    <s v="High Value Tier"/>
    <s v="Stable"/>
  </r>
  <r>
    <s v="ORD5586"/>
    <s v="CUST1586"/>
    <n v="67"/>
    <s v="PROD786"/>
    <s v="Germany"/>
    <s v="6/29/2023"/>
    <d v="2025-02-01T00:00:00"/>
    <n v="4"/>
    <s v="active"/>
    <s v="6/19/2024"/>
    <s v=" $659.12 "/>
    <n v="3"/>
    <n v="32"/>
    <s v="Home"/>
    <s v="Cricket Bat"/>
    <s v="Sports"/>
    <x v="0"/>
    <n v="1977.36"/>
    <s v="Misaligned"/>
    <s v="65+ Seniors"/>
    <s v="High Value Tier"/>
    <s v="Critical Risk"/>
  </r>
  <r>
    <s v="ORD5587"/>
    <s v="CUST1587"/>
    <n v="69"/>
    <s v="PROD787"/>
    <s v="Canada"/>
    <s v="6/13/2022"/>
    <d v="2022-08-11T00:00:00"/>
    <n v="5"/>
    <s v="active"/>
    <s v="11/20/2023"/>
    <s v=" $177.67 "/>
    <n v="7"/>
    <n v="28"/>
    <s v="Sports"/>
    <s v="Shirt"/>
    <s v="Clothing"/>
    <x v="0"/>
    <n v="1243.69"/>
    <s v="Misaligned"/>
    <s v="65+ Seniors"/>
    <s v="High Value Tier"/>
    <s v="Critical Risk"/>
  </r>
  <r>
    <s v="ORD5588"/>
    <s v="CUST1588"/>
    <n v="65"/>
    <s v="PROD788"/>
    <s v="USA"/>
    <s v="3/14/2021"/>
    <d v="2023-08-05T00:00:00"/>
    <n v="4"/>
    <s v="paused"/>
    <d v="2022-08-02T00:00:00"/>
    <s v=" $215.02 "/>
    <n v="7"/>
    <n v="19"/>
    <s v="Electronics"/>
    <s v="Dress"/>
    <s v="Clothing"/>
    <x v="1"/>
    <n v="1505.14"/>
    <s v="Misaligned"/>
    <s v="65+ Seniors"/>
    <s v="High Value Tier"/>
    <s v="Elevated Risk"/>
  </r>
  <r>
    <s v="ORD5589"/>
    <s v="CUST1589"/>
    <n v="51"/>
    <s v="PROD789"/>
    <s v="Germany"/>
    <d v="2021-07-06T00:00:00"/>
    <d v="2025-09-07T00:00:00"/>
    <n v="4"/>
    <s v="paused"/>
    <d v="2024-07-07T00:00:00"/>
    <s v=" $978.50 "/>
    <n v="1"/>
    <n v="14"/>
    <s v="Home"/>
    <s v="Face Wash"/>
    <s v="Beauty"/>
    <x v="1"/>
    <n v="978.5"/>
    <s v="Misaligned"/>
    <s v="50-64 Boomers"/>
    <s v="High Value Tier"/>
    <s v="Elevated Risk"/>
  </r>
  <r>
    <s v="ORD5590"/>
    <s v="CUST1590"/>
    <n v="43"/>
    <s v="PROD790"/>
    <s v="USA"/>
    <d v="2020-01-10T00:00:00"/>
    <d v="2024-11-10T00:00:00"/>
    <n v="0"/>
    <s v="active"/>
    <s v="4/27/2022"/>
    <s v=" $180.39 "/>
    <n v="2"/>
    <n v="44"/>
    <s v="Beauty"/>
    <s v="Chair"/>
    <s v="Home"/>
    <x v="1"/>
    <n v="360.78"/>
    <s v="Misaligned"/>
    <s v="35-49 Gen X"/>
    <s v="High Value Tier"/>
    <s v="Stable"/>
  </r>
  <r>
    <s v="ORD5591"/>
    <s v="CUST1591"/>
    <n v="56"/>
    <s v="PROD791"/>
    <s v="Canada"/>
    <s v="9/29/2022"/>
    <d v="2023-05-12T00:00:00"/>
    <n v="5"/>
    <s v="cancelled"/>
    <s v="8/17/2024"/>
    <s v=" $275.98 "/>
    <n v="4"/>
    <n v="21"/>
    <s v="Beauty"/>
    <s v="Microwave"/>
    <s v="Home"/>
    <x v="0"/>
    <n v="1103.92"/>
    <s v="Misaligned"/>
    <s v="50-64 Boomers"/>
    <s v="High Value Tier"/>
    <s v="Stable"/>
  </r>
  <r>
    <s v="ORD5592"/>
    <s v="CUST1592"/>
    <n v="30"/>
    <s v="PROD792"/>
    <s v="USA"/>
    <d v="2022-08-11T00:00:00"/>
    <s v="9/20/2024"/>
    <n v="0"/>
    <s v="active"/>
    <s v="12/15/2024"/>
    <s v=" $105.63 "/>
    <n v="7"/>
    <n v="36"/>
    <s v="Clothing"/>
    <s v="Laptop"/>
    <s v="Electronics"/>
    <x v="0"/>
    <n v="739.41"/>
    <s v="Misaligned"/>
    <s v="25-34 Millennials"/>
    <s v="High Value Tier"/>
    <s v="Stable"/>
  </r>
  <r>
    <s v="ORD5593"/>
    <s v="CUST1593"/>
    <n v="35"/>
    <s v="PROD793"/>
    <s v="India"/>
    <d v="2023-05-07T00:00:00"/>
    <s v="1/23/2024"/>
    <n v="5"/>
    <s v="active"/>
    <s v="7/29/2023"/>
    <s v=" $427.02 "/>
    <n v="4"/>
    <n v="35"/>
    <s v="Beauty"/>
    <s v="Refrigerator"/>
    <s v="Home"/>
    <x v="0"/>
    <n v="1708.08"/>
    <s v="Misaligned"/>
    <s v="35-49 Gen X"/>
    <s v="High Value Tier"/>
    <s v="Critical Risk"/>
  </r>
  <r>
    <s v="ORD5594"/>
    <s v="CUST1594"/>
    <n v="20"/>
    <s v="PROD794"/>
    <s v="Germany"/>
    <s v="4/23/2022"/>
    <d v="2025-03-04T00:00:00"/>
    <n v="1"/>
    <s v="active"/>
    <s v="9/30/2022"/>
    <s v=" $93.14 "/>
    <n v="9"/>
    <n v="2"/>
    <s v="Sports"/>
    <s v="Microwave"/>
    <s v="Home"/>
    <x v="0"/>
    <n v="838.26"/>
    <s v="Misaligned"/>
    <s v="18-24 Gen Z"/>
    <s v="Core Tier"/>
    <s v="Stable"/>
  </r>
  <r>
    <s v="ORD5595"/>
    <s v="CUST1595"/>
    <n v="59"/>
    <s v="PROD795"/>
    <s v="Pakistan"/>
    <s v="1/18/2022"/>
    <d v="2023-03-10T00:00:00"/>
    <n v="4"/>
    <s v="paused"/>
    <s v="9/20/2023"/>
    <s v=" $58.61 "/>
    <n v="3"/>
    <n v="47"/>
    <s v="Clothing"/>
    <s v="Dumbbells"/>
    <s v="Sports"/>
    <x v="2"/>
    <n v="175.83"/>
    <s v="Misaligned"/>
    <s v="50-64 Boomers"/>
    <s v="High Value Tier"/>
    <s v="Elevated Risk"/>
  </r>
  <r>
    <s v="ORD5596"/>
    <s v="CUST1596"/>
    <n v="53"/>
    <s v="PROD796"/>
    <s v="Pakistan"/>
    <d v="2023-02-01T00:00:00"/>
    <s v="2/14/2024"/>
    <n v="0"/>
    <s v="cancelled"/>
    <s v="4/13/2025"/>
    <s v=" $261.37 "/>
    <n v="6"/>
    <n v="41"/>
    <s v="Electronics"/>
    <s v="Jacket"/>
    <s v="Clothing"/>
    <x v="0"/>
    <n v="1568.22"/>
    <s v="Misaligned"/>
    <s v="50-64 Boomers"/>
    <s v="High Value Tier"/>
    <s v="Stable"/>
  </r>
  <r>
    <s v="ORD5597"/>
    <s v="CUST1597"/>
    <n v="66"/>
    <s v="PROD797"/>
    <s v="Canada"/>
    <s v="1/26/2021"/>
    <s v="1/28/2021"/>
    <n v="1"/>
    <s v="active"/>
    <d v="2023-04-12T00:00:00"/>
    <s v=" $697.60 "/>
    <n v="2"/>
    <n v="8"/>
    <s v="Electronics"/>
    <s v="Perfume"/>
    <s v="Beauty"/>
    <x v="1"/>
    <n v="1395.2"/>
    <s v="Misaligned"/>
    <s v="65+ Seniors"/>
    <s v="High Value Tier"/>
    <s v="Stable"/>
  </r>
  <r>
    <s v="ORD5598"/>
    <s v="CUST1598"/>
    <n v="31"/>
    <s v="PROD798"/>
    <s v="Pakistan"/>
    <d v="2021-07-01T00:00:00"/>
    <d v="2023-04-07T00:00:00"/>
    <n v="5"/>
    <s v="cancelled"/>
    <s v="10/24/2021"/>
    <s v=" $612.55 "/>
    <n v="3"/>
    <n v="9"/>
    <s v="Home"/>
    <s v="Sofa"/>
    <s v="Home"/>
    <x v="0"/>
    <n v="1837.65"/>
    <s v="Aligned"/>
    <s v="25-34 Millennials"/>
    <s v="High Value Tier"/>
    <s v="Stable"/>
  </r>
  <r>
    <s v="ORD5599"/>
    <s v="CUST1599"/>
    <n v="59"/>
    <s v="PROD799"/>
    <s v="Germany"/>
    <d v="2022-09-08T00:00:00"/>
    <s v="6/23/2024"/>
    <n v="0"/>
    <s v="active"/>
    <s v="12/14/2022"/>
    <s v=" $150.44 "/>
    <n v="2"/>
    <n v="47"/>
    <s v="Beauty"/>
    <s v="Cricket Bat"/>
    <s v="Sports"/>
    <x v="0"/>
    <n v="300.88"/>
    <s v="Misaligned"/>
    <s v="50-64 Boomers"/>
    <s v="High Value Tier"/>
    <s v="Stable"/>
  </r>
  <r>
    <s v="ORD5600"/>
    <s v="CUST1600"/>
    <n v="18"/>
    <s v="PROD800"/>
    <s v="Germany"/>
    <d v="2023-04-07T00:00:00"/>
    <d v="2025-02-04T00:00:00"/>
    <n v="5"/>
    <s v="active"/>
    <s v="7/19/2023"/>
    <s v=" $118.23 "/>
    <n v="9"/>
    <n v="40"/>
    <s v="Beauty"/>
    <s v="Dumbbells"/>
    <s v="Sports"/>
    <x v="2"/>
    <n v="1064.07"/>
    <s v="Misaligned"/>
    <s v="18-24 Gen Z"/>
    <s v="High Value Tier"/>
    <s v="Critical Risk"/>
  </r>
  <r>
    <s v="ORD5601"/>
    <s v="CUST1601"/>
    <n v="57"/>
    <s v="PROD801"/>
    <s v="USA"/>
    <s v="7/24/2022"/>
    <d v="2024-11-04T00:00:00"/>
    <n v="4"/>
    <s v="active"/>
    <d v="2024-07-12T00:00:00"/>
    <s v=" $1,043.23 "/>
    <n v="1"/>
    <n v="9"/>
    <s v="Electronics"/>
    <s v="Microwave"/>
    <s v="Home"/>
    <x v="1"/>
    <n v="1043.23"/>
    <s v="Misaligned"/>
    <s v="50-64 Boomers"/>
    <s v="High Value Tier"/>
    <s v="Critical Risk"/>
  </r>
  <r>
    <s v="ORD5602"/>
    <s v="CUST1602"/>
    <n v="61"/>
    <s v="PROD802"/>
    <s v="Germany"/>
    <d v="2022-07-02T00:00:00"/>
    <d v="2024-01-11T00:00:00"/>
    <n v="0"/>
    <s v="paused"/>
    <s v="4/28/2025"/>
    <s v=" $619.73 "/>
    <n v="3"/>
    <n v="11"/>
    <s v="Home"/>
    <s v="Cycling Helmet"/>
    <s v="Sports"/>
    <x v="0"/>
    <n v="1859.19"/>
    <s v="Misaligned"/>
    <s v="50-64 Boomers"/>
    <s v="High Value Tier"/>
    <s v="Elevated Risk"/>
  </r>
  <r>
    <s v="ORD5603"/>
    <s v="CUST1603"/>
    <n v="58"/>
    <s v="PROD803"/>
    <s v="UK"/>
    <s v="12/30/2022"/>
    <d v="2025-06-08T00:00:00"/>
    <n v="1"/>
    <s v="active"/>
    <s v="7/18/2023"/>
    <s v=" $449.28 "/>
    <n v="3"/>
    <n v="47"/>
    <s v="Home"/>
    <s v="Skirt"/>
    <s v="Clothing"/>
    <x v="0"/>
    <n v="1347.84"/>
    <s v="Misaligned"/>
    <s v="50-64 Boomers"/>
    <s v="High Value Tier"/>
    <s v="Stable"/>
  </r>
  <r>
    <s v="ORD5604"/>
    <s v="CUST1604"/>
    <n v="22"/>
    <s v="PROD804"/>
    <s v="Germany"/>
    <s v="4/28/2022"/>
    <d v="2025-06-06T00:00:00"/>
    <n v="2"/>
    <s v="active"/>
    <d v="2025-03-04T00:00:00"/>
    <s v=" $1,181.37 "/>
    <n v="1"/>
    <n v="17"/>
    <s v="Electronics"/>
    <s v="Dumbbells"/>
    <s v="Sports"/>
    <x v="0"/>
    <n v="1181.3699999999999"/>
    <s v="Misaligned"/>
    <s v="18-24 Gen Z"/>
    <s v="High Value Tier"/>
    <s v="Stable"/>
  </r>
  <r>
    <s v="ORD5605"/>
    <s v="CUST1605"/>
    <n v="53"/>
    <s v="PROD805"/>
    <s v="Germany"/>
    <d v="2023-05-06T00:00:00"/>
    <s v="11/26/2024"/>
    <n v="3"/>
    <s v="active"/>
    <s v="3/19/2024"/>
    <s v=" $56.24 "/>
    <n v="9"/>
    <n v="31"/>
    <s v="Electronics"/>
    <s v="Sneakers"/>
    <s v="Clothing"/>
    <x v="0"/>
    <n v="506.16"/>
    <s v="Misaligned"/>
    <s v="50-64 Boomers"/>
    <s v="High Value Tier"/>
    <s v="Stable"/>
  </r>
  <r>
    <s v="ORD5606"/>
    <s v="CUST1606"/>
    <n v="42"/>
    <s v="PROD806"/>
    <s v="Pakistan"/>
    <d v="2022-11-01T00:00:00"/>
    <s v="4/15/2023"/>
    <n v="1"/>
    <s v="active"/>
    <d v="2023-04-04T00:00:00"/>
    <s v=" $458.76 "/>
    <n v="4"/>
    <n v="16"/>
    <s v="Electronics"/>
    <s v="Moisturizer"/>
    <s v="Beauty"/>
    <x v="1"/>
    <n v="1835.04"/>
    <s v="Misaligned"/>
    <s v="35-49 Gen X"/>
    <s v="High Value Tier"/>
    <s v="Stable"/>
  </r>
  <r>
    <s v="ORD5607"/>
    <s v="CUST1607"/>
    <n v="57"/>
    <s v="PROD807"/>
    <s v="UK"/>
    <d v="2022-06-02T00:00:00"/>
    <d v="2022-01-10T00:00:00"/>
    <n v="0"/>
    <s v="cancelled"/>
    <s v="7/18/2024"/>
    <s v=" $4.92 "/>
    <n v="8"/>
    <n v="40"/>
    <s v="Home"/>
    <s v="Yoga Mat"/>
    <s v="Sports"/>
    <x v="1"/>
    <n v="39.36"/>
    <s v="Misaligned"/>
    <s v="50-64 Boomers"/>
    <s v="Core Tier"/>
    <s v="Stable"/>
  </r>
  <r>
    <s v="ORD5608"/>
    <s v="CUST1608"/>
    <n v="56"/>
    <s v="PROD808"/>
    <s v="UK"/>
    <s v="6/26/2023"/>
    <s v="1/17/2024"/>
    <n v="2"/>
    <s v="active"/>
    <s v="9/15/2024"/>
    <s v=" $314.80 "/>
    <n v="4"/>
    <n v="4"/>
    <s v="Electronics"/>
    <s v="Microwave"/>
    <s v="Home"/>
    <x v="0"/>
    <n v="1259.2"/>
    <s v="Misaligned"/>
    <s v="50-64 Boomers"/>
    <s v="High Value Tier"/>
    <s v="Stable"/>
  </r>
  <r>
    <s v="ORD5609"/>
    <s v="CUST1609"/>
    <n v="51"/>
    <s v="PROD809"/>
    <s v="Pakistan"/>
    <s v="8/18/2022"/>
    <s v="5/20/2023"/>
    <n v="4"/>
    <s v="paused"/>
    <s v="1/27/2023"/>
    <s v=" $475.45 "/>
    <n v="4"/>
    <n v="1"/>
    <s v="Clothing"/>
    <s v="Perfume"/>
    <s v="Beauty"/>
    <x v="0"/>
    <n v="1901.8"/>
    <s v="Misaligned"/>
    <s v="50-64 Boomers"/>
    <s v="Core Tier"/>
    <s v="Elevated Risk"/>
  </r>
  <r>
    <s v="ORD5610"/>
    <s v="CUST1610"/>
    <n v="51"/>
    <s v="PROD810"/>
    <s v="Pakistan"/>
    <s v="9/17/2020"/>
    <d v="2022-09-05T00:00:00"/>
    <n v="2"/>
    <s v="active"/>
    <s v="5/30/2023"/>
    <s v=" $224.82 "/>
    <n v="2"/>
    <n v="28"/>
    <s v="Sports"/>
    <s v="Bluetooth Speaker"/>
    <s v="Electronics"/>
    <x v="1"/>
    <n v="449.64"/>
    <s v="Misaligned"/>
    <s v="50-64 Boomers"/>
    <s v="High Value Tier"/>
    <s v="Stable"/>
  </r>
  <r>
    <s v="ORD5611"/>
    <s v="CUST1611"/>
    <n v="20"/>
    <s v="PROD811"/>
    <s v="USA"/>
    <s v="8/17/2021"/>
    <s v="12/25/2021"/>
    <n v="3"/>
    <s v="active"/>
    <s v="10/22/2024"/>
    <s v=" $187.96 "/>
    <n v="2"/>
    <n v="32"/>
    <s v="Electronics"/>
    <s v="Shampoo"/>
    <s v="Beauty"/>
    <x v="0"/>
    <n v="375.92"/>
    <s v="Misaligned"/>
    <s v="18-24 Gen Z"/>
    <s v="High Value Tier"/>
    <s v="Stable"/>
  </r>
  <r>
    <s v="ORD5612"/>
    <s v="CUST1612"/>
    <n v="26"/>
    <s v="PROD812"/>
    <s v="Germany"/>
    <s v="1/17/2022"/>
    <d v="2023-03-11T00:00:00"/>
    <n v="4"/>
    <s v="active"/>
    <d v="2024-05-02T00:00:00"/>
    <s v=" $123.54 "/>
    <n v="8"/>
    <n v="18"/>
    <s v="Beauty"/>
    <s v="Jacket"/>
    <s v="Clothing"/>
    <x v="1"/>
    <n v="988.32"/>
    <s v="Misaligned"/>
    <s v="25-34 Millennials"/>
    <s v="High Value Tier"/>
    <s v="Critical Risk"/>
  </r>
  <r>
    <s v="ORD5613"/>
    <s v="CUST1613"/>
    <n v="65"/>
    <s v="PROD813"/>
    <s v="India"/>
    <d v="2022-11-07T00:00:00"/>
    <s v="4/25/2023"/>
    <n v="1"/>
    <s v="cancelled"/>
    <d v="2024-01-10T00:00:00"/>
    <s v=" $384.32 "/>
    <n v="4"/>
    <n v="13"/>
    <s v="Clothing"/>
    <s v="Conditioner"/>
    <s v="Beauty"/>
    <x v="1"/>
    <n v="1537.28"/>
    <s v="Misaligned"/>
    <s v="65+ Seniors"/>
    <s v="High Value Tier"/>
    <s v="Stable"/>
  </r>
  <r>
    <s v="ORD5614"/>
    <s v="CUST1614"/>
    <n v="53"/>
    <s v="PROD814"/>
    <s v="USA"/>
    <s v="4/23/2021"/>
    <s v="3/30/2024"/>
    <n v="5"/>
    <s v="cancelled"/>
    <s v="7/30/2025"/>
    <s v=" $158.27 "/>
    <n v="4"/>
    <n v="40"/>
    <s v="Clothing"/>
    <s v="Laptop"/>
    <s v="Electronics"/>
    <x v="1"/>
    <n v="633.08000000000004"/>
    <s v="Misaligned"/>
    <s v="50-64 Boomers"/>
    <s v="High Value Tier"/>
    <s v="Stable"/>
  </r>
  <r>
    <s v="ORD5615"/>
    <s v="CUST1615"/>
    <n v="61"/>
    <s v="PROD815"/>
    <s v="Pakistan"/>
    <s v="10/14/2022"/>
    <d v="2024-10-08T00:00:00"/>
    <n v="4"/>
    <s v="cancelled"/>
    <s v="5/26/2023"/>
    <s v=" $252.11 "/>
    <n v="7"/>
    <n v="25"/>
    <s v="Clothing"/>
    <s v="Face Wash"/>
    <s v="Beauty"/>
    <x v="1"/>
    <n v="1764.77"/>
    <s v="Misaligned"/>
    <s v="50-64 Boomers"/>
    <s v="High Value Tier"/>
    <s v="Stable"/>
  </r>
  <r>
    <s v="ORD5616"/>
    <s v="CUST1616"/>
    <n v="26"/>
    <s v="PROD816"/>
    <s v="Germany"/>
    <s v="12/27/2022"/>
    <s v="9/18/2024"/>
    <n v="1"/>
    <s v="active"/>
    <s v="6/15/2023"/>
    <s v=" $174.23 "/>
    <n v="1"/>
    <n v="11"/>
    <s v="Sports"/>
    <s v="Face Wash"/>
    <s v="Beauty"/>
    <x v="1"/>
    <n v="174.23"/>
    <s v="Misaligned"/>
    <s v="25-34 Millennials"/>
    <s v="Core Tier"/>
    <s v="Stable"/>
  </r>
  <r>
    <s v="ORD5617"/>
    <s v="CUST1617"/>
    <n v="36"/>
    <s v="PROD817"/>
    <s v="USA"/>
    <d v="2022-08-09T00:00:00"/>
    <d v="2025-02-03T00:00:00"/>
    <n v="1"/>
    <s v="active"/>
    <s v="6/27/2025"/>
    <s v=" $150.89 "/>
    <n v="6"/>
    <n v="28"/>
    <s v="Beauty"/>
    <s v="Blender"/>
    <s v="Home"/>
    <x v="1"/>
    <n v="905.34"/>
    <s v="Misaligned"/>
    <s v="35-49 Gen X"/>
    <s v="High Value Tier"/>
    <s v="Stable"/>
  </r>
  <r>
    <s v="ORD5618"/>
    <s v="CUST1618"/>
    <n v="56"/>
    <s v="PROD818"/>
    <s v="USA"/>
    <d v="2021-04-08T00:00:00"/>
    <s v="10/26/2024"/>
    <n v="2"/>
    <s v="cancelled"/>
    <s v="12/26/2022"/>
    <s v=" $169.91 "/>
    <n v="8"/>
    <n v="24"/>
    <s v="Electronics"/>
    <s v="Smartphone"/>
    <s v="Electronics"/>
    <x v="1"/>
    <n v="1359.28"/>
    <s v="Aligned"/>
    <s v="50-64 Boomers"/>
    <s v="High Value Tier"/>
    <s v="Stable"/>
  </r>
  <r>
    <s v="ORD5619"/>
    <s v="CUST1619"/>
    <n v="57"/>
    <s v="PROD819"/>
    <s v="Pakistan"/>
    <s v="6/16/2021"/>
    <s v="8/27/2021"/>
    <n v="2"/>
    <s v="active"/>
    <s v="10/19/2021"/>
    <s v=" $94.81 "/>
    <n v="4"/>
    <n v="33"/>
    <s v="Clothing"/>
    <s v="Laptop"/>
    <s v="Electronics"/>
    <x v="1"/>
    <n v="379.24"/>
    <s v="Misaligned"/>
    <s v="50-64 Boomers"/>
    <s v="High Value Tier"/>
    <s v="Stable"/>
  </r>
  <r>
    <s v="ORD5620"/>
    <s v="CUST1620"/>
    <n v="21"/>
    <s v="PROD820"/>
    <s v="UK"/>
    <s v="3/29/2022"/>
    <s v="9/19/2024"/>
    <n v="4"/>
    <s v="active"/>
    <d v="2023-04-12T00:00:00"/>
    <s v=" $168.81 "/>
    <n v="3"/>
    <n v="37"/>
    <s v="Home"/>
    <s v="Moisturizer"/>
    <s v="Beauty"/>
    <x v="0"/>
    <n v="506.43"/>
    <s v="Misaligned"/>
    <s v="18-24 Gen Z"/>
    <s v="High Value Tier"/>
    <s v="Critical Risk"/>
  </r>
  <r>
    <s v="ORD5621"/>
    <s v="CUST1621"/>
    <n v="34"/>
    <s v="PROD821"/>
    <s v="India"/>
    <d v="2023-07-07T00:00:00"/>
    <s v="7/30/2023"/>
    <n v="5"/>
    <s v="active"/>
    <s v="1/20/2025"/>
    <s v=" $415.64 "/>
    <n v="1"/>
    <n v="13"/>
    <s v="Beauty"/>
    <s v="Skirt"/>
    <s v="Clothing"/>
    <x v="0"/>
    <n v="415.64"/>
    <s v="Misaligned"/>
    <s v="25-34 Millennials"/>
    <s v="High Value Tier"/>
    <s v="Critical Risk"/>
  </r>
  <r>
    <s v="ORD5622"/>
    <s v="CUST1622"/>
    <n v="23"/>
    <s v="PROD822"/>
    <s v="India"/>
    <s v="1/25/2022"/>
    <s v="5/28/2022"/>
    <n v="5"/>
    <s v="cancelled"/>
    <s v="8/23/2023"/>
    <s v=" $24.21 "/>
    <n v="5"/>
    <n v="19"/>
    <s v="Electronics"/>
    <s v="Microwave"/>
    <s v="Home"/>
    <x v="0"/>
    <n v="121.05"/>
    <s v="Misaligned"/>
    <s v="18-24 Gen Z"/>
    <s v="Core Tier"/>
    <s v="Stable"/>
  </r>
  <r>
    <s v="ORD5623"/>
    <s v="CUST1623"/>
    <n v="66"/>
    <s v="PROD823"/>
    <s v="USA"/>
    <d v="2022-06-03T00:00:00"/>
    <d v="2023-08-03T00:00:00"/>
    <n v="2"/>
    <s v="cancelled"/>
    <s v="7/23/2022"/>
    <s v=" $132.42 "/>
    <n v="8"/>
    <n v="14"/>
    <s v="Home"/>
    <s v="Gaming Console"/>
    <s v="Electronics"/>
    <x v="1"/>
    <n v="1059.3599999999999"/>
    <s v="Misaligned"/>
    <s v="65+ Seniors"/>
    <s v="High Value Tier"/>
    <s v="Stable"/>
  </r>
  <r>
    <s v="ORD5624"/>
    <s v="CUST1624"/>
    <n v="50"/>
    <s v="PROD824"/>
    <s v="USA"/>
    <d v="2021-07-01T00:00:00"/>
    <s v="4/28/2023"/>
    <n v="1"/>
    <s v="cancelled"/>
    <s v="1/25/2025"/>
    <s v=" $177.10 "/>
    <n v="5"/>
    <n v="49"/>
    <s v="Clothing"/>
    <s v="Face Wash"/>
    <s v="Beauty"/>
    <x v="1"/>
    <n v="885.5"/>
    <s v="Misaligned"/>
    <s v="50-64 Boomers"/>
    <s v="High Value Tier"/>
    <s v="Stable"/>
  </r>
  <r>
    <s v="ORD5625"/>
    <s v="CUST1625"/>
    <n v="64"/>
    <s v="PROD825"/>
    <s v="UK"/>
    <s v="10/17/2020"/>
    <d v="2021-06-01T00:00:00"/>
    <n v="2"/>
    <s v="active"/>
    <d v="2022-07-04T00:00:00"/>
    <s v=" $239.59 "/>
    <n v="7"/>
    <n v="35"/>
    <s v="Electronics"/>
    <s v="Basketball"/>
    <s v="Sports"/>
    <x v="0"/>
    <n v="1677.13"/>
    <s v="Misaligned"/>
    <s v="50-64 Boomers"/>
    <s v="High Value Tier"/>
    <s v="Stable"/>
  </r>
  <r>
    <s v="ORD5626"/>
    <s v="CUST1626"/>
    <n v="36"/>
    <s v="PROD826"/>
    <s v="India"/>
    <s v="12/21/2021"/>
    <s v="3/29/2025"/>
    <n v="3"/>
    <s v="cancelled"/>
    <s v="3/19/2024"/>
    <s v=" $165.39 "/>
    <n v="5"/>
    <n v="28"/>
    <s v="Clothing"/>
    <s v="Smartphone"/>
    <s v="Electronics"/>
    <x v="0"/>
    <n v="826.95"/>
    <s v="Misaligned"/>
    <s v="35-49 Gen X"/>
    <s v="High Value Tier"/>
    <s v="Stable"/>
  </r>
  <r>
    <s v="ORD5627"/>
    <s v="CUST1627"/>
    <n v="62"/>
    <s v="PROD827"/>
    <s v="Pakistan"/>
    <s v="8/23/2021"/>
    <d v="2023-07-10T00:00:00"/>
    <n v="1"/>
    <s v="paused"/>
    <s v="8/30/2022"/>
    <s v=" $445.44 "/>
    <n v="2"/>
    <n v="28"/>
    <s v="Beauty"/>
    <s v="Cricket Bat"/>
    <s v="Sports"/>
    <x v="0"/>
    <n v="890.88"/>
    <s v="Misaligned"/>
    <s v="50-64 Boomers"/>
    <s v="High Value Tier"/>
    <s v="Elevated Risk"/>
  </r>
  <r>
    <s v="ORD5628"/>
    <s v="CUST1628"/>
    <n v="46"/>
    <s v="PROD828"/>
    <s v="Germany"/>
    <s v="9/22/2021"/>
    <s v="4/23/2024"/>
    <n v="5"/>
    <s v="cancelled"/>
    <s v="12/18/2024"/>
    <s v=" $562.29 "/>
    <n v="3"/>
    <n v="30"/>
    <s v="Home"/>
    <s v="Tennis Racket"/>
    <s v="Sports"/>
    <x v="0"/>
    <n v="1686.87"/>
    <s v="Misaligned"/>
    <s v="35-49 Gen X"/>
    <s v="High Value Tier"/>
    <s v="Stable"/>
  </r>
  <r>
    <s v="ORD5629"/>
    <s v="CUST1629"/>
    <n v="43"/>
    <s v="PROD829"/>
    <s v="India"/>
    <d v="2022-08-01T00:00:00"/>
    <s v="10/17/2024"/>
    <n v="0"/>
    <s v="cancelled"/>
    <s v="12/29/2024"/>
    <s v=" $108.56 "/>
    <n v="8"/>
    <n v="10"/>
    <s v="Clothing"/>
    <s v="Chair"/>
    <s v="Home"/>
    <x v="0"/>
    <n v="868.48"/>
    <s v="Misaligned"/>
    <s v="35-49 Gen X"/>
    <s v="High Value Tier"/>
    <s v="Stable"/>
  </r>
  <r>
    <s v="ORD5630"/>
    <s v="CUST1630"/>
    <n v="67"/>
    <s v="PROD830"/>
    <s v="Germany"/>
    <d v="2021-03-02T00:00:00"/>
    <d v="2024-06-05T00:00:00"/>
    <n v="1"/>
    <s v="paused"/>
    <s v="12/16/2022"/>
    <s v=" $908.40 "/>
    <n v="2"/>
    <n v="46"/>
    <s v="Clothing"/>
    <s v="Skirt"/>
    <s v="Clothing"/>
    <x v="1"/>
    <n v="1816.8"/>
    <s v="Aligned"/>
    <s v="65+ Seniors"/>
    <s v="High Value Tier"/>
    <s v="Elevated Risk"/>
  </r>
  <r>
    <s v="ORD5631"/>
    <s v="CUST1631"/>
    <n v="57"/>
    <s v="PROD831"/>
    <s v="Canada"/>
    <d v="2022-07-01T00:00:00"/>
    <s v="6/29/2024"/>
    <n v="5"/>
    <s v="active"/>
    <d v="2025-12-08T00:00:00"/>
    <s v=" $1,904.04 "/>
    <n v="1"/>
    <n v="6"/>
    <s v="Beauty"/>
    <s v="Smartphone"/>
    <s v="Electronics"/>
    <x v="0"/>
    <n v="1904.04"/>
    <s v="Misaligned"/>
    <s v="50-64 Boomers"/>
    <s v="High Value Tier"/>
    <s v="Critical Risk"/>
  </r>
  <r>
    <s v="ORD5632"/>
    <s v="CUST1632"/>
    <n v="46"/>
    <s v="PROD832"/>
    <s v="Pakistan"/>
    <d v="2021-01-11T00:00:00"/>
    <s v="1/26/2024"/>
    <n v="1"/>
    <s v="active"/>
    <s v="6/22/2023"/>
    <s v=" $313.25 "/>
    <n v="6"/>
    <n v="42"/>
    <s v="Electronics"/>
    <s v="Running Shoes"/>
    <s v="Sports"/>
    <x v="1"/>
    <n v="1879.5"/>
    <s v="Misaligned"/>
    <s v="35-49 Gen X"/>
    <s v="High Value Tier"/>
    <s v="Stable"/>
  </r>
  <r>
    <s v="ORD5633"/>
    <s v="CUST1633"/>
    <n v="65"/>
    <s v="PROD833"/>
    <s v="Canada"/>
    <d v="2023-12-08T00:00:00"/>
    <s v="1/13/2024"/>
    <n v="0"/>
    <s v="paused"/>
    <s v="10/22/2024"/>
    <s v=" $174.86 "/>
    <n v="8"/>
    <n v="37"/>
    <s v="Clothing"/>
    <s v="Dining Table"/>
    <s v="Home"/>
    <x v="1"/>
    <n v="1398.88"/>
    <s v="Misaligned"/>
    <s v="65+ Seniors"/>
    <s v="High Value Tier"/>
    <s v="Elevated Risk"/>
  </r>
  <r>
    <s v="ORD5634"/>
    <s v="CUST1634"/>
    <n v="39"/>
    <s v="PROD834"/>
    <s v="Canada"/>
    <s v="11/13/2021"/>
    <s v="8/31/2022"/>
    <n v="5"/>
    <s v="active"/>
    <d v="2025-04-02T00:00:00"/>
    <s v=" $207.22 "/>
    <n v="8"/>
    <n v="18"/>
    <s v="Clothing"/>
    <s v="Cricket Bat"/>
    <s v="Sports"/>
    <x v="1"/>
    <n v="1657.76"/>
    <s v="Misaligned"/>
    <s v="35-49 Gen X"/>
    <s v="High Value Tier"/>
    <s v="Critical Risk"/>
  </r>
  <r>
    <s v="ORD5635"/>
    <s v="CUST1635"/>
    <n v="57"/>
    <s v="PROD835"/>
    <s v="India"/>
    <s v="6/16/2021"/>
    <s v="7/27/2025"/>
    <n v="0"/>
    <s v="active"/>
    <d v="2021-06-09T00:00:00"/>
    <s v=" $232.51 "/>
    <n v="4"/>
    <n v="40"/>
    <s v="Home"/>
    <s v="Sofa"/>
    <s v="Home"/>
    <x v="0"/>
    <n v="930.04"/>
    <s v="Aligned"/>
    <s v="50-64 Boomers"/>
    <s v="High Value Tier"/>
    <s v="Stable"/>
  </r>
  <r>
    <s v="ORD5636"/>
    <s v="CUST1636"/>
    <n v="55"/>
    <s v="PROD836"/>
    <s v="Germany"/>
    <d v="2022-02-01T00:00:00"/>
    <s v="7/19/2023"/>
    <n v="0"/>
    <s v="active"/>
    <d v="2025-04-02T00:00:00"/>
    <s v=" $67.19 "/>
    <n v="9"/>
    <n v="25"/>
    <s v="Sports"/>
    <s v="Lamp"/>
    <s v="Home"/>
    <x v="0"/>
    <n v="604.71"/>
    <s v="Misaligned"/>
    <s v="50-64 Boomers"/>
    <s v="High Value Tier"/>
    <s v="Stable"/>
  </r>
  <r>
    <s v="ORD5637"/>
    <s v="CUST1637"/>
    <n v="37"/>
    <s v="PROD837"/>
    <s v="UK"/>
    <s v="6/19/2021"/>
    <s v="7/15/2025"/>
    <n v="0"/>
    <s v="active"/>
    <s v="3/16/2025"/>
    <s v=" $111.88 "/>
    <n v="6"/>
    <n v="39"/>
    <s v="Electronics"/>
    <s v="Lipstick"/>
    <s v="Beauty"/>
    <x v="1"/>
    <n v="671.28"/>
    <s v="Misaligned"/>
    <s v="35-49 Gen X"/>
    <s v="High Value Tier"/>
    <s v="Stable"/>
  </r>
  <r>
    <s v="ORD5638"/>
    <s v="CUST1638"/>
    <n v="58"/>
    <s v="PROD838"/>
    <s v="UK"/>
    <s v="7/27/2021"/>
    <d v="2025-07-08T00:00:00"/>
    <n v="3"/>
    <s v="paused"/>
    <s v="5/20/2022"/>
    <s v=" $924.05 "/>
    <n v="1"/>
    <n v="1"/>
    <s v="Beauty"/>
    <s v="Running Shoes"/>
    <s v="Sports"/>
    <x v="0"/>
    <n v="924.05"/>
    <s v="Misaligned"/>
    <s v="50-64 Boomers"/>
    <s v="Core Tier"/>
    <s v="Elevated Risk"/>
  </r>
  <r>
    <s v="ORD5639"/>
    <s v="CUST1639"/>
    <n v="40"/>
    <s v="PROD839"/>
    <s v="Pakistan"/>
    <s v="1/23/2021"/>
    <s v="9/30/2021"/>
    <n v="3"/>
    <s v="active"/>
    <s v="3/26/2023"/>
    <s v=" $85.08 "/>
    <n v="6"/>
    <n v="6"/>
    <s v="Clothing"/>
    <s v="Basketball"/>
    <s v="Sports"/>
    <x v="0"/>
    <n v="510.48"/>
    <s v="Misaligned"/>
    <s v="35-49 Gen X"/>
    <s v="High Value Tier"/>
    <s v="Stable"/>
  </r>
  <r>
    <s v="ORD5640"/>
    <s v="CUST1640"/>
    <n v="69"/>
    <s v="PROD840"/>
    <s v="India"/>
    <s v="1/21/2021"/>
    <s v="6/22/2025"/>
    <n v="5"/>
    <s v="cancelled"/>
    <s v="8/28/2024"/>
    <s v=" $179.50 "/>
    <n v="8"/>
    <n v="33"/>
    <s v="Beauty"/>
    <s v="Smartwatch"/>
    <s v="Electronics"/>
    <x v="0"/>
    <n v="1436"/>
    <s v="Misaligned"/>
    <s v="65+ Seniors"/>
    <s v="High Value Tier"/>
    <s v="Stable"/>
  </r>
  <r>
    <s v="ORD5641"/>
    <s v="CUST1641"/>
    <n v="41"/>
    <s v="PROD841"/>
    <s v="Germany"/>
    <d v="2021-04-07T00:00:00"/>
    <s v="9/23/2022"/>
    <n v="4"/>
    <s v="paused"/>
    <s v="8/22/2023"/>
    <s v=" $73.15 "/>
    <n v="4"/>
    <n v="49"/>
    <s v="Home"/>
    <s v="Shirt"/>
    <s v="Clothing"/>
    <x v="1"/>
    <n v="292.60000000000002"/>
    <s v="Misaligned"/>
    <s v="35-49 Gen X"/>
    <s v="High Value Tier"/>
    <s v="Elevated Risk"/>
  </r>
  <r>
    <s v="ORD5642"/>
    <s v="CUST1642"/>
    <n v="64"/>
    <s v="PROD842"/>
    <s v="Pakistan"/>
    <d v="2022-11-09T00:00:00"/>
    <d v="2025-10-07T00:00:00"/>
    <n v="0"/>
    <s v="active"/>
    <d v="2025-11-01T00:00:00"/>
    <s v=" $180.64 "/>
    <n v="6"/>
    <n v="38"/>
    <s v="Home"/>
    <s v="Shirt"/>
    <s v="Clothing"/>
    <x v="1"/>
    <n v="1083.8399999999999"/>
    <s v="Misaligned"/>
    <s v="50-64 Boomers"/>
    <s v="High Value Tier"/>
    <s v="Stable"/>
  </r>
  <r>
    <s v="ORD5643"/>
    <s v="CUST1643"/>
    <n v="46"/>
    <s v="PROD843"/>
    <s v="UK"/>
    <s v="8/31/2022"/>
    <d v="2023-10-09T00:00:00"/>
    <n v="0"/>
    <s v="active"/>
    <s v="1/22/2023"/>
    <s v=" $160.41 "/>
    <n v="8"/>
    <n v="10"/>
    <s v="Beauty"/>
    <s v="Conditioner"/>
    <s v="Beauty"/>
    <x v="1"/>
    <n v="1283.28"/>
    <s v="Aligned"/>
    <s v="35-49 Gen X"/>
    <s v="High Value Tier"/>
    <s v="Stable"/>
  </r>
  <r>
    <s v="ORD5644"/>
    <s v="CUST1644"/>
    <n v="21"/>
    <s v="PROD844"/>
    <s v="Germany"/>
    <d v="2021-05-07T00:00:00"/>
    <d v="2024-09-12T00:00:00"/>
    <n v="0"/>
    <s v="active"/>
    <d v="2021-05-07T00:00:00"/>
    <s v=" $110.39 "/>
    <n v="9"/>
    <n v="28"/>
    <s v="Sports"/>
    <s v="Conditioner"/>
    <s v="Beauty"/>
    <x v="0"/>
    <n v="993.51"/>
    <s v="Misaligned"/>
    <s v="18-24 Gen Z"/>
    <s v="High Value Tier"/>
    <s v="Stable"/>
  </r>
  <r>
    <s v="ORD5645"/>
    <s v="CUST1645"/>
    <n v="32"/>
    <s v="PROD845"/>
    <s v="Pakistan"/>
    <s v="11/29/2021"/>
    <s v="7/28/2025"/>
    <n v="2"/>
    <s v="active"/>
    <d v="2024-05-08T00:00:00"/>
    <s v=" $202.22 "/>
    <n v="6"/>
    <n v="46"/>
    <s v="Clothing"/>
    <s v="Hoodie"/>
    <s v="Clothing"/>
    <x v="0"/>
    <n v="1213.32"/>
    <s v="Aligned"/>
    <s v="25-34 Millennials"/>
    <s v="High Value Tier"/>
    <s v="Stable"/>
  </r>
  <r>
    <s v="ORD5646"/>
    <s v="CUST1646"/>
    <n v="19"/>
    <s v="PROD846"/>
    <s v="Pakistan"/>
    <d v="2022-04-09T00:00:00"/>
    <s v="11/21/2023"/>
    <n v="4"/>
    <s v="active"/>
    <d v="2024-04-06T00:00:00"/>
    <s v=" $147.21 "/>
    <n v="8"/>
    <n v="13"/>
    <s v="Home"/>
    <s v="Microwave"/>
    <s v="Home"/>
    <x v="1"/>
    <n v="1177.68"/>
    <s v="Aligned"/>
    <s v="18-24 Gen Z"/>
    <s v="High Value Tier"/>
    <s v="Critical Risk"/>
  </r>
  <r>
    <s v="ORD5647"/>
    <s v="CUST1647"/>
    <n v="52"/>
    <s v="PROD847"/>
    <s v="UK"/>
    <s v="6/24/2021"/>
    <d v="2025-09-07T00:00:00"/>
    <n v="3"/>
    <s v="paused"/>
    <s v="9/22/2021"/>
    <s v=" $211.08 "/>
    <n v="2"/>
    <n v="16"/>
    <s v="Home"/>
    <s v="Running Shoes"/>
    <s v="Sports"/>
    <x v="0"/>
    <n v="422.16"/>
    <s v="Misaligned"/>
    <s v="50-64 Boomers"/>
    <s v="High Value Tier"/>
    <s v="Elevated Risk"/>
  </r>
  <r>
    <s v="ORD5648"/>
    <s v="CUST1648"/>
    <n v="24"/>
    <s v="PROD848"/>
    <s v="USA"/>
    <d v="2021-10-08T00:00:00"/>
    <s v="7/19/2023"/>
    <n v="0"/>
    <s v="paused"/>
    <s v="9/15/2024"/>
    <s v=" $57.73 "/>
    <n v="8"/>
    <n v="25"/>
    <s v="Clothing"/>
    <s v="Face Wash"/>
    <s v="Beauty"/>
    <x v="1"/>
    <n v="461.84"/>
    <s v="Misaligned"/>
    <s v="18-24 Gen Z"/>
    <s v="High Value Tier"/>
    <s v="Elevated Risk"/>
  </r>
  <r>
    <s v="ORD5649"/>
    <s v="CUST1649"/>
    <n v="66"/>
    <s v="PROD849"/>
    <s v="USA"/>
    <s v="12/27/2020"/>
    <s v="9/30/2023"/>
    <n v="2"/>
    <s v="cancelled"/>
    <s v="12/24/2022"/>
    <s v=" $786.08 "/>
    <n v="2"/>
    <n v="19"/>
    <s v="Sports"/>
    <s v="Jeans"/>
    <s v="Clothing"/>
    <x v="0"/>
    <n v="1572.16"/>
    <s v="Misaligned"/>
    <s v="65+ Seniors"/>
    <s v="High Value Tier"/>
    <s v="Stable"/>
  </r>
  <r>
    <s v="ORD5650"/>
    <s v="CUST1650"/>
    <n v="43"/>
    <s v="PROD850"/>
    <s v="USA"/>
    <s v="6/26/2021"/>
    <s v="10/29/2023"/>
    <n v="4"/>
    <s v="active"/>
    <s v="5/18/2022"/>
    <s v=" $77.67 "/>
    <n v="8"/>
    <n v="37"/>
    <s v="Beauty"/>
    <s v="Shampoo"/>
    <s v="Beauty"/>
    <x v="0"/>
    <n v="621.36"/>
    <s v="Aligned"/>
    <s v="35-49 Gen X"/>
    <s v="High Value Tier"/>
    <s v="Critical Risk"/>
  </r>
  <r>
    <s v="ORD5651"/>
    <s v="CUST1651"/>
    <n v="25"/>
    <s v="PROD851"/>
    <s v="UK"/>
    <s v="4/15/2022"/>
    <s v="9/13/2022"/>
    <n v="5"/>
    <s v="active"/>
    <d v="2023-10-11T00:00:00"/>
    <s v=" $85.40 "/>
    <n v="3"/>
    <n v="49"/>
    <s v="Sports"/>
    <s v="Jeans"/>
    <s v="Clothing"/>
    <x v="1"/>
    <n v="256.2"/>
    <s v="Misaligned"/>
    <s v="25-34 Millennials"/>
    <s v="High Value Tier"/>
    <s v="Critical Risk"/>
  </r>
  <r>
    <s v="ORD5652"/>
    <s v="CUST1652"/>
    <n v="59"/>
    <s v="PROD852"/>
    <s v="USA"/>
    <s v="2/24/2023"/>
    <d v="2024-11-07T00:00:00"/>
    <n v="1"/>
    <s v="active"/>
    <d v="2025-05-05T00:00:00"/>
    <s v=" $1,165.65 "/>
    <n v="1"/>
    <n v="28"/>
    <s v="Home"/>
    <s v="Dumbbells"/>
    <s v="Sports"/>
    <x v="1"/>
    <n v="1165.6500000000001"/>
    <s v="Misaligned"/>
    <s v="50-64 Boomers"/>
    <s v="High Value Tier"/>
    <s v="Stable"/>
  </r>
  <r>
    <s v="ORD5653"/>
    <s v="CUST1653"/>
    <n v="47"/>
    <s v="PROD853"/>
    <s v="UK"/>
    <s v="8/28/2021"/>
    <s v="12/14/2021"/>
    <n v="4"/>
    <s v="active"/>
    <s v="11/26/2021"/>
    <s v=" $49.06 "/>
    <n v="7"/>
    <n v="20"/>
    <s v="Clothing"/>
    <s v="Face Wash"/>
    <s v="Beauty"/>
    <x v="1"/>
    <n v="343.42"/>
    <s v="Misaligned"/>
    <s v="35-49 Gen X"/>
    <s v="High Value Tier"/>
    <s v="Critical Risk"/>
  </r>
  <r>
    <s v="ORD5654"/>
    <s v="CUST1654"/>
    <n v="46"/>
    <s v="PROD854"/>
    <s v="Canada"/>
    <s v="1/27/2023"/>
    <s v="7/14/2024"/>
    <n v="4"/>
    <s v="active"/>
    <s v="9/21/2023"/>
    <s v=" $164.98 "/>
    <n v="3"/>
    <n v="21"/>
    <s v="Beauty"/>
    <s v="Basketball"/>
    <s v="Sports"/>
    <x v="0"/>
    <n v="494.94"/>
    <s v="Misaligned"/>
    <s v="35-49 Gen X"/>
    <s v="High Value Tier"/>
    <s v="Critical Risk"/>
  </r>
  <r>
    <s v="ORD5655"/>
    <s v="CUST1655"/>
    <n v="56"/>
    <s v="PROD855"/>
    <s v="Canada"/>
    <d v="2023-12-07T00:00:00"/>
    <s v="3/19/2024"/>
    <n v="3"/>
    <s v="cancelled"/>
    <d v="2024-11-02T00:00:00"/>
    <s v=" $286.43 "/>
    <n v="3"/>
    <n v="16"/>
    <s v="Electronics"/>
    <s v="Vacuum Cleaner"/>
    <s v="Home"/>
    <x v="1"/>
    <n v="859.29"/>
    <s v="Misaligned"/>
    <s v="50-64 Boomers"/>
    <s v="High Value Tier"/>
    <s v="Stable"/>
  </r>
  <r>
    <s v="ORD5656"/>
    <s v="CUST1656"/>
    <n v="36"/>
    <s v="PROD856"/>
    <s v="Pakistan"/>
    <s v="10/29/2020"/>
    <s v="5/25/2023"/>
    <n v="1"/>
    <s v="active"/>
    <s v="4/22/2023"/>
    <s v=" $83.74 "/>
    <n v="4"/>
    <n v="34"/>
    <s v="Sports"/>
    <s v="Chair"/>
    <s v="Home"/>
    <x v="0"/>
    <n v="334.96"/>
    <s v="Misaligned"/>
    <s v="35-49 Gen X"/>
    <s v="High Value Tier"/>
    <s v="Stable"/>
  </r>
  <r>
    <s v="ORD5657"/>
    <s v="CUST1657"/>
    <n v="31"/>
    <s v="PROD857"/>
    <s v="Canada"/>
    <d v="2023-09-01T00:00:00"/>
    <s v="1/19/2025"/>
    <n v="0"/>
    <s v="active"/>
    <d v="2024-03-11T00:00:00"/>
    <s v=" $196.16 "/>
    <n v="5"/>
    <n v="47"/>
    <s v="Clothing"/>
    <s v="Dumbbells"/>
    <s v="Sports"/>
    <x v="0"/>
    <n v="980.8"/>
    <s v="Misaligned"/>
    <s v="25-34 Millennials"/>
    <s v="High Value Tier"/>
    <s v="Stable"/>
  </r>
  <r>
    <s v="ORD5658"/>
    <s v="CUST1658"/>
    <n v="39"/>
    <s v="PROD858"/>
    <s v="India"/>
    <s v="3/24/2023"/>
    <s v="8/16/2023"/>
    <n v="0"/>
    <s v="active"/>
    <d v="2025-11-08T00:00:00"/>
    <s v=" $694.93 "/>
    <n v="2"/>
    <n v="22"/>
    <s v="Clothing"/>
    <s v="Perfume"/>
    <s v="Beauty"/>
    <x v="0"/>
    <n v="1389.86"/>
    <s v="Misaligned"/>
    <s v="35-49 Gen X"/>
    <s v="High Value Tier"/>
    <s v="Stable"/>
  </r>
  <r>
    <s v="ORD5659"/>
    <s v="CUST1659"/>
    <n v="56"/>
    <s v="PROD859"/>
    <s v="Canada"/>
    <s v="9/29/2020"/>
    <s v="1/20/2025"/>
    <n v="4"/>
    <s v="active"/>
    <d v="2021-06-07T00:00:00"/>
    <s v=" $467.28 "/>
    <n v="2"/>
    <n v="34"/>
    <s v="Sports"/>
    <s v="Face Wash"/>
    <s v="Beauty"/>
    <x v="0"/>
    <n v="934.56"/>
    <s v="Misaligned"/>
    <s v="50-64 Boomers"/>
    <s v="High Value Tier"/>
    <s v="Critical Risk"/>
  </r>
  <r>
    <s v="ORD5660"/>
    <s v="CUST1660"/>
    <n v="60"/>
    <s v="PROD860"/>
    <s v="Pakistan"/>
    <d v="2023-08-01T00:00:00"/>
    <s v="11/15/2024"/>
    <n v="2"/>
    <s v="active"/>
    <s v="4/18/2023"/>
    <s v=" $146.17 "/>
    <n v="9"/>
    <n v="18"/>
    <s v="Electronics"/>
    <s v="Sneakers"/>
    <s v="Clothing"/>
    <x v="1"/>
    <n v="1315.53"/>
    <s v="Misaligned"/>
    <s v="50-64 Boomers"/>
    <s v="High Value Tier"/>
    <s v="Stable"/>
  </r>
  <r>
    <s v="ORD5661"/>
    <s v="CUST1661"/>
    <n v="32"/>
    <s v="PROD861"/>
    <s v="UK"/>
    <s v="5/27/2021"/>
    <d v="2022-08-06T00:00:00"/>
    <n v="3"/>
    <s v="active"/>
    <s v="6/18/2024"/>
    <s v=" $41.76 "/>
    <n v="7"/>
    <n v="41"/>
    <s v="Home"/>
    <s v="Smartwatch"/>
    <s v="Electronics"/>
    <x v="0"/>
    <n v="292.32"/>
    <s v="Misaligned"/>
    <s v="25-34 Millennials"/>
    <s v="High Value Tier"/>
    <s v="Stable"/>
  </r>
  <r>
    <s v="ORD5662"/>
    <s v="CUST1662"/>
    <n v="57"/>
    <s v="PROD862"/>
    <s v="UK"/>
    <s v="10/17/2020"/>
    <s v="2/16/2025"/>
    <n v="4"/>
    <s v="paused"/>
    <d v="2023-07-01T00:00:00"/>
    <s v=" $111.45 "/>
    <n v="8"/>
    <n v="39"/>
    <s v="Clothing"/>
    <s v="Microwave"/>
    <s v="Home"/>
    <x v="0"/>
    <n v="891.6"/>
    <s v="Misaligned"/>
    <s v="50-64 Boomers"/>
    <s v="High Value Tier"/>
    <s v="Elevated Risk"/>
  </r>
  <r>
    <s v="ORD5663"/>
    <s v="CUST1663"/>
    <n v="40"/>
    <s v="PROD863"/>
    <s v="Canada"/>
    <s v="8/23/2020"/>
    <s v="3/21/2025"/>
    <n v="1"/>
    <s v="active"/>
    <s v="5/15/2022"/>
    <s v=" $835.56 "/>
    <n v="2"/>
    <n v="10"/>
    <s v="Beauty"/>
    <s v="Chair"/>
    <s v="Home"/>
    <x v="0"/>
    <n v="1671.12"/>
    <s v="Misaligned"/>
    <s v="35-49 Gen X"/>
    <s v="High Value Tier"/>
    <s v="Stable"/>
  </r>
  <r>
    <s v="ORD5664"/>
    <s v="CUST1664"/>
    <n v="21"/>
    <s v="PROD864"/>
    <s v="India"/>
    <d v="2023-10-04T00:00:00"/>
    <s v="3/23/2025"/>
    <n v="2"/>
    <s v="paused"/>
    <s v="8/22/2023"/>
    <s v=" $660.78 "/>
    <n v="3"/>
    <n v="8"/>
    <s v="Electronics"/>
    <s v="Smartphone"/>
    <s v="Electronics"/>
    <x v="0"/>
    <n v="1982.34"/>
    <s v="Aligned"/>
    <s v="18-24 Gen Z"/>
    <s v="High Value Tier"/>
    <s v="Elevated Risk"/>
  </r>
  <r>
    <s v="ORD5665"/>
    <s v="CUST1665"/>
    <n v="42"/>
    <s v="PROD865"/>
    <s v="Germany"/>
    <d v="2022-06-04T00:00:00"/>
    <d v="2023-09-09T00:00:00"/>
    <n v="1"/>
    <s v="active"/>
    <s v="10/30/2022"/>
    <s v=" $150.11 "/>
    <n v="6"/>
    <n v="49"/>
    <s v="Sports"/>
    <s v="Jeans"/>
    <s v="Clothing"/>
    <x v="0"/>
    <n v="900.66"/>
    <s v="Misaligned"/>
    <s v="35-49 Gen X"/>
    <s v="High Value Tier"/>
    <s v="Stable"/>
  </r>
  <r>
    <s v="ORD5666"/>
    <s v="CUST1666"/>
    <n v="20"/>
    <s v="PROD866"/>
    <s v="Germany"/>
    <d v="2023-12-06T00:00:00"/>
    <s v="5/31/2024"/>
    <n v="0"/>
    <s v="cancelled"/>
    <s v="11/24/2024"/>
    <s v=" $283.26 "/>
    <n v="2"/>
    <n v="49"/>
    <s v="Sports"/>
    <s v="Smartphone"/>
    <s v="Electronics"/>
    <x v="1"/>
    <n v="566.52"/>
    <s v="Misaligned"/>
    <s v="18-24 Gen Z"/>
    <s v="High Value Tier"/>
    <s v="Stable"/>
  </r>
  <r>
    <s v="ORD5667"/>
    <s v="CUST1667"/>
    <n v="32"/>
    <s v="PROD867"/>
    <s v="Canada"/>
    <d v="2023-06-01T00:00:00"/>
    <s v="6/24/2023"/>
    <n v="0"/>
    <s v="active"/>
    <s v="7/29/2023"/>
    <s v=" $986.68 "/>
    <n v="1"/>
    <n v="29"/>
    <s v="Clothing"/>
    <s v="Lipstick"/>
    <s v="Beauty"/>
    <x v="1"/>
    <n v="986.68"/>
    <s v="Misaligned"/>
    <s v="25-34 Millennials"/>
    <s v="High Value Tier"/>
    <s v="Stable"/>
  </r>
  <r>
    <s v="ORD5668"/>
    <s v="CUST1668"/>
    <n v="32"/>
    <s v="PROD868"/>
    <s v="UK"/>
    <s v="4/18/2022"/>
    <s v="5/24/2024"/>
    <n v="2"/>
    <s v="cancelled"/>
    <s v="7/27/2024"/>
    <s v=" $169.24 "/>
    <n v="6"/>
    <n v="7"/>
    <s v="Home"/>
    <s v="Yoga Mat"/>
    <s v="Sports"/>
    <x v="0"/>
    <n v="1015.44"/>
    <s v="Misaligned"/>
    <s v="25-34 Millennials"/>
    <s v="High Value Tier"/>
    <s v="Stable"/>
  </r>
  <r>
    <s v="ORD5669"/>
    <s v="CUST1669"/>
    <n v="50"/>
    <s v="PROD869"/>
    <s v="Germany"/>
    <s v="12/15/2020"/>
    <s v="7/13/2025"/>
    <n v="4"/>
    <s v="cancelled"/>
    <s v="11/20/2021"/>
    <s v=" $192.21 "/>
    <n v="9"/>
    <n v="10"/>
    <s v="Sports"/>
    <s v="Shirt"/>
    <s v="Clothing"/>
    <x v="1"/>
    <n v="1729.89"/>
    <s v="Misaligned"/>
    <s v="50-64 Boomers"/>
    <s v="High Value Tier"/>
    <s v="Stable"/>
  </r>
  <r>
    <s v="ORD5670"/>
    <s v="CUST1670"/>
    <n v="30"/>
    <s v="PROD870"/>
    <s v="UK"/>
    <s v="9/23/2022"/>
    <d v="2023-11-07T00:00:00"/>
    <n v="3"/>
    <s v="active"/>
    <s v="11/19/2024"/>
    <s v=" $27.97 "/>
    <n v="9"/>
    <n v="14"/>
    <s v="Electronics"/>
    <s v="Perfume"/>
    <s v="Beauty"/>
    <x v="1"/>
    <n v="251.73"/>
    <s v="Misaligned"/>
    <s v="25-34 Millennials"/>
    <s v="High Value Tier"/>
    <s v="Stable"/>
  </r>
  <r>
    <s v="ORD5671"/>
    <s v="CUST1671"/>
    <n v="53"/>
    <s v="PROD871"/>
    <s v="Pakistan"/>
    <d v="2022-06-12T00:00:00"/>
    <d v="2023-03-03T00:00:00"/>
    <n v="4"/>
    <s v="cancelled"/>
    <s v="3/21/2025"/>
    <s v=" $170.74 "/>
    <n v="6"/>
    <n v="39"/>
    <s v="Sports"/>
    <s v="Tennis Racket"/>
    <s v="Sports"/>
    <x v="0"/>
    <n v="1024.44"/>
    <s v="Aligned"/>
    <s v="50-64 Boomers"/>
    <s v="High Value Tier"/>
    <s v="Stable"/>
  </r>
  <r>
    <s v="ORD5672"/>
    <s v="CUST1672"/>
    <n v="56"/>
    <s v="PROD872"/>
    <s v="Pakistan"/>
    <s v="8/19/2022"/>
    <s v="2/18/2023"/>
    <n v="1"/>
    <s v="cancelled"/>
    <s v="12/20/2023"/>
    <s v=" $124.97 "/>
    <n v="5"/>
    <n v="21"/>
    <s v="Electronics"/>
    <s v="Vacuum Cleaner"/>
    <s v="Home"/>
    <x v="0"/>
    <n v="624.85"/>
    <s v="Misaligned"/>
    <s v="50-64 Boomers"/>
    <s v="High Value Tier"/>
    <s v="Stable"/>
  </r>
  <r>
    <s v="ORD5673"/>
    <s v="CUST1673"/>
    <n v="48"/>
    <s v="PROD873"/>
    <s v="Pakistan"/>
    <d v="2021-03-12T00:00:00"/>
    <d v="2022-06-07T00:00:00"/>
    <n v="2"/>
    <s v="paused"/>
    <s v="5/18/2024"/>
    <s v=" $78.19 "/>
    <n v="7"/>
    <n v="30"/>
    <s v="Clothing"/>
    <s v="Perfume"/>
    <s v="Beauty"/>
    <x v="0"/>
    <n v="547.33000000000004"/>
    <s v="Misaligned"/>
    <s v="35-49 Gen X"/>
    <s v="High Value Tier"/>
    <s v="Elevated Risk"/>
  </r>
  <r>
    <s v="ORD5674"/>
    <s v="CUST1674"/>
    <n v="25"/>
    <s v="PROD874"/>
    <s v="USA"/>
    <s v="2/21/2023"/>
    <s v="1/31/2025"/>
    <n v="5"/>
    <s v="active"/>
    <s v="6/25/2023"/>
    <s v=" $301.07 "/>
    <n v="5"/>
    <n v="10"/>
    <s v="Electronics"/>
    <s v="Sofa"/>
    <s v="Home"/>
    <x v="1"/>
    <n v="1505.35"/>
    <s v="Misaligned"/>
    <s v="25-34 Millennials"/>
    <s v="High Value Tier"/>
    <s v="Critical Risk"/>
  </r>
  <r>
    <s v="ORD5675"/>
    <s v="CUST1675"/>
    <n v="42"/>
    <s v="PROD875"/>
    <s v="USA"/>
    <d v="2022-04-10T00:00:00"/>
    <d v="2023-04-09T00:00:00"/>
    <n v="4"/>
    <s v="paused"/>
    <s v="8/29/2024"/>
    <s v=" $51.81 "/>
    <n v="5"/>
    <n v="31"/>
    <s v="Electronics"/>
    <s v="Gaming Console"/>
    <s v="Electronics"/>
    <x v="1"/>
    <n v="259.05"/>
    <s v="Aligned"/>
    <s v="35-49 Gen X"/>
    <s v="High Value Tier"/>
    <s v="Elevated Risk"/>
  </r>
  <r>
    <s v="ORD5676"/>
    <s v="CUST1676"/>
    <n v="28"/>
    <s v="PROD876"/>
    <s v="India"/>
    <d v="2022-05-10T00:00:00"/>
    <s v="3/18/2023"/>
    <n v="0"/>
    <s v="cancelled"/>
    <d v="2025-11-06T00:00:00"/>
    <s v=" $817.55 "/>
    <n v="2"/>
    <n v="1"/>
    <s v="Sports"/>
    <s v="Conditioner"/>
    <s v="Beauty"/>
    <x v="0"/>
    <n v="1635.1"/>
    <s v="Misaligned"/>
    <s v="25-34 Millennials"/>
    <s v="Core Tier"/>
    <s v="Stable"/>
  </r>
  <r>
    <s v="ORD5677"/>
    <s v="CUST1677"/>
    <n v="20"/>
    <s v="PROD877"/>
    <s v="USA"/>
    <s v="7/23/2023"/>
    <d v="2025-11-04T00:00:00"/>
    <n v="2"/>
    <s v="cancelled"/>
    <s v="4/28/2024"/>
    <s v=" $470.40 "/>
    <n v="2"/>
    <n v="19"/>
    <s v="Beauty"/>
    <s v="Tablet"/>
    <s v="Electronics"/>
    <x v="1"/>
    <n v="940.8"/>
    <s v="Misaligned"/>
    <s v="18-24 Gen Z"/>
    <s v="High Value Tier"/>
    <s v="Stable"/>
  </r>
  <r>
    <s v="ORD5678"/>
    <s v="CUST1678"/>
    <n v="52"/>
    <s v="PROD878"/>
    <s v="Canada"/>
    <d v="2023-02-06T00:00:00"/>
    <s v="5/18/2024"/>
    <n v="2"/>
    <s v="paused"/>
    <d v="2025-04-01T00:00:00"/>
    <s v=" $244.14 "/>
    <n v="6"/>
    <n v="10"/>
    <s v="Home"/>
    <s v="Refrigerator"/>
    <s v="Home"/>
    <x v="0"/>
    <n v="1464.84"/>
    <s v="Aligned"/>
    <s v="50-64 Boomers"/>
    <s v="High Value Tier"/>
    <s v="Elevated Risk"/>
  </r>
  <r>
    <s v="ORD5679"/>
    <s v="CUST1679"/>
    <n v="66"/>
    <s v="PROD879"/>
    <s v="Pakistan"/>
    <s v="6/26/2021"/>
    <s v="9/17/2021"/>
    <n v="2"/>
    <s v="active"/>
    <s v="9/19/2023"/>
    <s v=" $95.20 "/>
    <n v="3"/>
    <n v="6"/>
    <s v="Beauty"/>
    <s v="Gaming Console"/>
    <s v="Electronics"/>
    <x v="0"/>
    <n v="285.60000000000002"/>
    <s v="Misaligned"/>
    <s v="65+ Seniors"/>
    <s v="Core Tier"/>
    <s v="Stable"/>
  </r>
  <r>
    <s v="ORD5680"/>
    <s v="CUST1680"/>
    <n v="57"/>
    <s v="PROD880"/>
    <s v="Canada"/>
    <s v="5/23/2023"/>
    <s v="2/18/2025"/>
    <n v="2"/>
    <s v="active"/>
    <s v="7/13/2024"/>
    <s v=" $670.66 "/>
    <n v="2"/>
    <n v="24"/>
    <s v="Sports"/>
    <s v="Tennis Racket"/>
    <s v="Sports"/>
    <x v="1"/>
    <n v="1341.32"/>
    <s v="Aligned"/>
    <s v="50-64 Boomers"/>
    <s v="High Value Tier"/>
    <s v="Stable"/>
  </r>
  <r>
    <s v="ORD5681"/>
    <s v="CUST1681"/>
    <n v="40"/>
    <s v="PROD881"/>
    <s v="India"/>
    <s v="6/28/2022"/>
    <s v="1/17/2024"/>
    <n v="3"/>
    <s v="active"/>
    <s v="3/31/2023"/>
    <s v=" $213.06 "/>
    <n v="1"/>
    <n v="13"/>
    <s v="Home"/>
    <s v="Lipstick"/>
    <s v="Beauty"/>
    <x v="1"/>
    <n v="213.06"/>
    <s v="Misaligned"/>
    <s v="35-49 Gen X"/>
    <s v="High Value Tier"/>
    <s v="Stable"/>
  </r>
  <r>
    <s v="ORD5682"/>
    <s v="CUST1682"/>
    <n v="39"/>
    <s v="PROD882"/>
    <s v="India"/>
    <d v="2021-03-03T00:00:00"/>
    <s v="10/17/2022"/>
    <n v="5"/>
    <s v="active"/>
    <d v="2022-08-03T00:00:00"/>
    <s v=" $36.45 "/>
    <n v="8"/>
    <n v="48"/>
    <s v="Home"/>
    <s v="Blender"/>
    <s v="Home"/>
    <x v="0"/>
    <n v="291.60000000000002"/>
    <s v="Aligned"/>
    <s v="35-49 Gen X"/>
    <s v="High Value Tier"/>
    <s v="Critical Risk"/>
  </r>
  <r>
    <s v="ORD5683"/>
    <s v="CUST1683"/>
    <n v="63"/>
    <s v="PROD883"/>
    <s v="India"/>
    <d v="2020-11-10T00:00:00"/>
    <s v="7/15/2024"/>
    <n v="4"/>
    <s v="active"/>
    <d v="2025-04-05T00:00:00"/>
    <s v=" $3.53 "/>
    <n v="7"/>
    <n v="15"/>
    <s v="Home"/>
    <s v="Conditioner"/>
    <s v="Beauty"/>
    <x v="1"/>
    <n v="24.71"/>
    <s v="Misaligned"/>
    <s v="50-64 Boomers"/>
    <s v="Value Tier"/>
    <s v="Critical Risk"/>
  </r>
  <r>
    <s v="ORD5684"/>
    <s v="CUST1684"/>
    <n v="40"/>
    <s v="PROD884"/>
    <s v="India"/>
    <s v="4/13/2022"/>
    <d v="2025-04-03T00:00:00"/>
    <n v="1"/>
    <s v="active"/>
    <d v="2025-11-06T00:00:00"/>
    <s v=" $1,951.85 "/>
    <n v="1"/>
    <n v="24"/>
    <s v="Home"/>
    <s v="Conditioner"/>
    <s v="Beauty"/>
    <x v="1"/>
    <n v="1951.85"/>
    <s v="Misaligned"/>
    <s v="35-49 Gen X"/>
    <s v="High Value Tier"/>
    <s v="Stable"/>
  </r>
  <r>
    <s v="ORD5685"/>
    <s v="CUST1685"/>
    <n v="64"/>
    <s v="PROD885"/>
    <s v="USA"/>
    <d v="2022-09-03T00:00:00"/>
    <s v="1/25/2023"/>
    <n v="3"/>
    <s v="active"/>
    <s v="4/25/2025"/>
    <s v=" $12.39 "/>
    <n v="6"/>
    <n v="1"/>
    <s v="Electronics"/>
    <s v="Dress"/>
    <s v="Clothing"/>
    <x v="0"/>
    <n v="74.34"/>
    <s v="Misaligned"/>
    <s v="50-64 Boomers"/>
    <s v="Value Tier"/>
    <s v="Stable"/>
  </r>
  <r>
    <s v="ORD5686"/>
    <s v="CUST1686"/>
    <n v="39"/>
    <s v="PROD886"/>
    <s v="Pakistan"/>
    <d v="2021-06-01T00:00:00"/>
    <s v="3/26/2021"/>
    <n v="1"/>
    <s v="paused"/>
    <d v="2024-02-09T00:00:00"/>
    <s v=" $28.48 "/>
    <n v="3"/>
    <n v="15"/>
    <s v="Electronics"/>
    <s v="Blender"/>
    <s v="Home"/>
    <x v="0"/>
    <n v="85.44"/>
    <s v="Misaligned"/>
    <s v="35-49 Gen X"/>
    <s v="Core Tier"/>
    <s v="Elevated Risk"/>
  </r>
  <r>
    <s v="ORD5687"/>
    <s v="CUST1687"/>
    <n v="48"/>
    <s v="PROD887"/>
    <s v="Canada"/>
    <s v="3/15/2022"/>
    <s v="8/25/2024"/>
    <n v="0"/>
    <s v="active"/>
    <d v="2022-04-08T00:00:00"/>
    <s v=" $853.97 "/>
    <n v="2"/>
    <n v="14"/>
    <s v="Beauty"/>
    <s v="Dumbbells"/>
    <s v="Sports"/>
    <x v="1"/>
    <n v="1707.94"/>
    <s v="Misaligned"/>
    <s v="35-49 Gen X"/>
    <s v="High Value Tier"/>
    <s v="Stable"/>
  </r>
  <r>
    <s v="ORD5688"/>
    <s v="CUST1688"/>
    <n v="34"/>
    <s v="PROD888"/>
    <s v="USA"/>
    <s v="10/24/2020"/>
    <s v="11/23/2024"/>
    <n v="4"/>
    <s v="active"/>
    <d v="2023-12-07T00:00:00"/>
    <s v=" $149.49 "/>
    <n v="4"/>
    <n v="33"/>
    <s v="Beauty"/>
    <s v="Tablet"/>
    <s v="Electronics"/>
    <x v="1"/>
    <n v="597.96"/>
    <s v="Misaligned"/>
    <s v="25-34 Millennials"/>
    <s v="High Value Tier"/>
    <s v="Critical Risk"/>
  </r>
  <r>
    <s v="ORD5689"/>
    <s v="CUST1689"/>
    <n v="42"/>
    <s v="PROD889"/>
    <s v="USA"/>
    <d v="2021-05-07T00:00:00"/>
    <s v="12/30/2021"/>
    <n v="3"/>
    <s v="cancelled"/>
    <s v="2/27/2025"/>
    <s v=" $46.66 "/>
    <n v="3"/>
    <n v="24"/>
    <s v="Beauty"/>
    <s v="Running Shoes"/>
    <s v="Sports"/>
    <x v="1"/>
    <n v="139.97999999999999"/>
    <s v="Misaligned"/>
    <s v="35-49 Gen X"/>
    <s v="High Value Tier"/>
    <s v="Stable"/>
  </r>
  <r>
    <s v="ORD5690"/>
    <s v="CUST1690"/>
    <n v="43"/>
    <s v="PROD890"/>
    <s v="UK"/>
    <s v="5/18/2023"/>
    <d v="2023-09-11T00:00:00"/>
    <n v="4"/>
    <s v="paused"/>
    <d v="2025-12-03T00:00:00"/>
    <s v=" $130.19 "/>
    <n v="9"/>
    <n v="44"/>
    <s v="Sports"/>
    <s v="Lipstick"/>
    <s v="Beauty"/>
    <x v="1"/>
    <n v="1171.71"/>
    <s v="Misaligned"/>
    <s v="35-49 Gen X"/>
    <s v="High Value Tier"/>
    <s v="Elevated Risk"/>
  </r>
  <r>
    <s v="ORD5691"/>
    <s v="CUST1691"/>
    <n v="24"/>
    <s v="PROD891"/>
    <s v="USA"/>
    <s v="4/16/2021"/>
    <d v="2024-02-07T00:00:00"/>
    <n v="1"/>
    <s v="active"/>
    <s v="6/13/2022"/>
    <s v=" $528.20 "/>
    <n v="3"/>
    <n v="11"/>
    <s v="Home"/>
    <s v="Tablet"/>
    <s v="Electronics"/>
    <x v="0"/>
    <n v="1584.6"/>
    <s v="Misaligned"/>
    <s v="18-24 Gen Z"/>
    <s v="High Value Tier"/>
    <s v="Stable"/>
  </r>
  <r>
    <s v="ORD5692"/>
    <s v="CUST1692"/>
    <n v="35"/>
    <s v="PROD892"/>
    <s v="USA"/>
    <s v="5/25/2021"/>
    <s v="3/30/2023"/>
    <n v="0"/>
    <s v="active"/>
    <s v="12/26/2024"/>
    <s v=" $189.18 "/>
    <n v="7"/>
    <n v="19"/>
    <s v="Electronics"/>
    <s v="Tablet"/>
    <s v="Electronics"/>
    <x v="1"/>
    <n v="1324.26"/>
    <s v="Aligned"/>
    <s v="35-49 Gen X"/>
    <s v="High Value Tier"/>
    <s v="Stable"/>
  </r>
  <r>
    <s v="ORD5693"/>
    <s v="CUST1693"/>
    <n v="51"/>
    <s v="PROD893"/>
    <s v="India"/>
    <d v="2022-10-02T00:00:00"/>
    <s v="1/17/2024"/>
    <n v="4"/>
    <s v="active"/>
    <s v="11/18/2022"/>
    <s v=" $45.62 "/>
    <n v="6"/>
    <n v="38"/>
    <s v="Beauty"/>
    <s v="Refrigerator"/>
    <s v="Home"/>
    <x v="0"/>
    <n v="273.72000000000003"/>
    <s v="Misaligned"/>
    <s v="50-64 Boomers"/>
    <s v="High Value Tier"/>
    <s v="Critical Risk"/>
  </r>
  <r>
    <s v="ORD5694"/>
    <s v="CUST1694"/>
    <n v="65"/>
    <s v="PROD894"/>
    <s v="Canada"/>
    <s v="5/13/2021"/>
    <s v="4/19/2024"/>
    <n v="4"/>
    <s v="cancelled"/>
    <d v="2023-10-01T00:00:00"/>
    <s v=" $86.53 "/>
    <n v="5"/>
    <n v="30"/>
    <s v="Clothing"/>
    <s v="Camera"/>
    <s v="Electronics"/>
    <x v="1"/>
    <n v="432.65"/>
    <s v="Misaligned"/>
    <s v="65+ Seniors"/>
    <s v="High Value Tier"/>
    <s v="Stable"/>
  </r>
  <r>
    <s v="ORD5695"/>
    <s v="CUST1695"/>
    <n v="39"/>
    <s v="PROD895"/>
    <s v="Pakistan"/>
    <s v="2/16/2023"/>
    <d v="2024-05-09T00:00:00"/>
    <n v="4"/>
    <s v="cancelled"/>
    <d v="2023-08-09T00:00:00"/>
    <s v=" $19.37 "/>
    <n v="9"/>
    <n v="22"/>
    <s v="Electronics"/>
    <s v="Dress"/>
    <s v="Clothing"/>
    <x v="0"/>
    <n v="174.33"/>
    <s v="Misaligned"/>
    <s v="35-49 Gen X"/>
    <s v="High Value Tier"/>
    <s v="Stable"/>
  </r>
  <r>
    <s v="ORD5696"/>
    <s v="CUST1696"/>
    <n v="65"/>
    <s v="PROD896"/>
    <s v="Canada"/>
    <s v="9/29/2021"/>
    <s v="11/27/2022"/>
    <n v="5"/>
    <s v="cancelled"/>
    <d v="2023-03-10T00:00:00"/>
    <s v=" $356.89 "/>
    <n v="3"/>
    <n v="11"/>
    <s v="Clothing"/>
    <s v="Headphones"/>
    <s v="Electronics"/>
    <x v="1"/>
    <n v="1070.67"/>
    <s v="Misaligned"/>
    <s v="65+ Seniors"/>
    <s v="High Value Tier"/>
    <s v="Stable"/>
  </r>
  <r>
    <s v="ORD5697"/>
    <s v="CUST1697"/>
    <n v="47"/>
    <s v="PROD897"/>
    <s v="UK"/>
    <d v="2020-04-09T00:00:00"/>
    <d v="2021-11-08T00:00:00"/>
    <n v="4"/>
    <s v="active"/>
    <s v="3/27/2025"/>
    <s v=" $219.58 "/>
    <n v="9"/>
    <n v="14"/>
    <s v="Electronics"/>
    <s v="Basketball"/>
    <s v="Sports"/>
    <x v="0"/>
    <n v="1976.22"/>
    <s v="Misaligned"/>
    <s v="35-49 Gen X"/>
    <s v="High Value Tier"/>
    <s v="Critical Risk"/>
  </r>
  <r>
    <s v="ORD5698"/>
    <s v="CUST1698"/>
    <n v="31"/>
    <s v="PROD898"/>
    <s v="UK"/>
    <s v="12/26/2021"/>
    <s v="7/19/2025"/>
    <n v="4"/>
    <s v="active"/>
    <s v="12/26/2024"/>
    <s v=" $1,371.02 "/>
    <n v="1"/>
    <n v="3"/>
    <s v="Beauty"/>
    <s v="Chair"/>
    <s v="Home"/>
    <x v="1"/>
    <n v="1371.02"/>
    <s v="Misaligned"/>
    <s v="25-34 Millennials"/>
    <s v="High Value Tier"/>
    <s v="Critical Risk"/>
  </r>
  <r>
    <s v="ORD5699"/>
    <s v="CUST1699"/>
    <n v="18"/>
    <s v="PROD899"/>
    <s v="Canada"/>
    <s v="9/25/2021"/>
    <s v="8/29/2022"/>
    <n v="4"/>
    <s v="paused"/>
    <s v="4/13/2025"/>
    <s v=" $29.54 "/>
    <n v="7"/>
    <n v="4"/>
    <s v="Sports"/>
    <s v="Running Shoes"/>
    <s v="Sports"/>
    <x v="1"/>
    <n v="206.78"/>
    <s v="Aligned"/>
    <s v="18-24 Gen Z"/>
    <s v="Core Tier"/>
    <s v="Elevated Risk"/>
  </r>
  <r>
    <s v="ORD5700"/>
    <s v="CUST1700"/>
    <n v="55"/>
    <s v="PROD900"/>
    <s v="Canada"/>
    <d v="2022-05-01T00:00:00"/>
    <s v="7/15/2024"/>
    <n v="4"/>
    <s v="paused"/>
    <s v="6/30/2023"/>
    <s v=" $155.45 "/>
    <n v="4"/>
    <n v="15"/>
    <s v="Sports"/>
    <s v="Conditioner"/>
    <s v="Beauty"/>
    <x v="1"/>
    <n v="621.79999999999995"/>
    <s v="Misaligned"/>
    <s v="50-64 Boomers"/>
    <s v="High Value Tier"/>
    <s v="Elevated Risk"/>
  </r>
  <r>
    <s v="ORD5701"/>
    <s v="CUST1701"/>
    <n v="29"/>
    <s v="PROD901"/>
    <s v="Canada"/>
    <s v="1/29/2023"/>
    <d v="2023-04-09T00:00:00"/>
    <n v="5"/>
    <s v="paused"/>
    <s v="2/18/2023"/>
    <s v=" $25.49 "/>
    <n v="5"/>
    <n v="21"/>
    <s v="Clothing"/>
    <s v="Headphones"/>
    <s v="Electronics"/>
    <x v="0"/>
    <n v="127.45"/>
    <s v="Misaligned"/>
    <s v="25-34 Millennials"/>
    <s v="High Value Tier"/>
    <s v="Elevated Risk"/>
  </r>
  <r>
    <s v="ORD5702"/>
    <s v="CUST1702"/>
    <n v="69"/>
    <s v="PROD902"/>
    <s v="Pakistan"/>
    <s v="7/20/2023"/>
    <d v="2025-07-08T00:00:00"/>
    <n v="5"/>
    <s v="active"/>
    <d v="2024-02-07T00:00:00"/>
    <s v=" $18.68 "/>
    <n v="7"/>
    <n v="24"/>
    <s v="Home"/>
    <s v="Cricket Bat"/>
    <s v="Sports"/>
    <x v="0"/>
    <n v="130.76"/>
    <s v="Misaligned"/>
    <s v="65+ Seniors"/>
    <s v="High Value Tier"/>
    <s v="Critical Risk"/>
  </r>
  <r>
    <s v="ORD5703"/>
    <s v="CUST1703"/>
    <n v="65"/>
    <s v="PROD903"/>
    <s v="Canada"/>
    <s v="11/20/2021"/>
    <s v="3/16/2024"/>
    <n v="5"/>
    <s v="active"/>
    <s v="4/25/2022"/>
    <s v=" $1,143.02 "/>
    <n v="1"/>
    <n v="32"/>
    <s v="Clothing"/>
    <s v="Gaming Console"/>
    <s v="Electronics"/>
    <x v="0"/>
    <n v="1143.02"/>
    <s v="Misaligned"/>
    <s v="65+ Seniors"/>
    <s v="High Value Tier"/>
    <s v="Critical Risk"/>
  </r>
  <r>
    <s v="ORD5704"/>
    <s v="CUST1704"/>
    <n v="56"/>
    <s v="PROD904"/>
    <s v="UK"/>
    <d v="2023-01-07T00:00:00"/>
    <d v="2024-12-03T00:00:00"/>
    <n v="3"/>
    <s v="paused"/>
    <s v="11/23/2023"/>
    <s v=" $17.62 "/>
    <n v="9"/>
    <n v="5"/>
    <s v="Home"/>
    <s v="Running Shoes"/>
    <s v="Sports"/>
    <x v="0"/>
    <n v="158.58000000000001"/>
    <s v="Misaligned"/>
    <s v="50-64 Boomers"/>
    <s v="Core Tier"/>
    <s v="Elevated Risk"/>
  </r>
  <r>
    <s v="ORD5705"/>
    <s v="CUST1705"/>
    <n v="31"/>
    <s v="PROD905"/>
    <s v="USA"/>
    <s v="3/23/2023"/>
    <s v="12/16/2024"/>
    <n v="2"/>
    <s v="active"/>
    <s v="12/13/2024"/>
    <s v=" $167.43 "/>
    <n v="7"/>
    <n v="15"/>
    <s v="Clothing"/>
    <s v="Foundation"/>
    <s v="Beauty"/>
    <x v="0"/>
    <n v="1172.01"/>
    <s v="Misaligned"/>
    <s v="25-34 Millennials"/>
    <s v="High Value Tier"/>
    <s v="Stable"/>
  </r>
  <r>
    <s v="ORD5706"/>
    <s v="CUST1706"/>
    <n v="40"/>
    <s v="PROD906"/>
    <s v="UK"/>
    <d v="2023-02-05T00:00:00"/>
    <s v="6/25/2023"/>
    <n v="1"/>
    <s v="active"/>
    <s v="7/31/2025"/>
    <s v=" $244.85 "/>
    <n v="5"/>
    <n v="34"/>
    <s v="Beauty"/>
    <s v="Football"/>
    <s v="Sports"/>
    <x v="0"/>
    <n v="1224.25"/>
    <s v="Misaligned"/>
    <s v="35-49 Gen X"/>
    <s v="High Value Tier"/>
    <s v="Stable"/>
  </r>
  <r>
    <s v="ORD5707"/>
    <s v="CUST1707"/>
    <n v="44"/>
    <s v="PROD907"/>
    <s v="USA"/>
    <d v="2022-06-05T00:00:00"/>
    <d v="2023-10-10T00:00:00"/>
    <n v="1"/>
    <s v="cancelled"/>
    <s v="4/20/2024"/>
    <s v=" $73.97 "/>
    <n v="7"/>
    <n v="46"/>
    <s v="Sports"/>
    <s v="Lipstick"/>
    <s v="Beauty"/>
    <x v="0"/>
    <n v="517.79"/>
    <s v="Misaligned"/>
    <s v="35-49 Gen X"/>
    <s v="High Value Tier"/>
    <s v="Stable"/>
  </r>
  <r>
    <s v="ORD5708"/>
    <s v="CUST1708"/>
    <n v="47"/>
    <s v="PROD908"/>
    <s v="Canada"/>
    <s v="1/25/2023"/>
    <s v="6/15/2024"/>
    <n v="1"/>
    <s v="active"/>
    <s v="9/15/2024"/>
    <s v=" $898.76 "/>
    <n v="2"/>
    <n v="26"/>
    <s v="Electronics"/>
    <s v="Skirt"/>
    <s v="Clothing"/>
    <x v="0"/>
    <n v="1797.52"/>
    <s v="Misaligned"/>
    <s v="35-49 Gen X"/>
    <s v="High Value Tier"/>
    <s v="Stable"/>
  </r>
  <r>
    <s v="ORD5709"/>
    <s v="CUST1709"/>
    <n v="51"/>
    <s v="PROD909"/>
    <s v="Germany"/>
    <d v="2021-08-01T00:00:00"/>
    <s v="8/26/2022"/>
    <n v="3"/>
    <s v="cancelled"/>
    <s v="5/13/2023"/>
    <s v=" $209.36 "/>
    <n v="4"/>
    <n v="36"/>
    <s v="Home"/>
    <s v="Refrigerator"/>
    <s v="Home"/>
    <x v="1"/>
    <n v="837.44"/>
    <s v="Aligned"/>
    <s v="50-64 Boomers"/>
    <s v="High Value Tier"/>
    <s v="Stable"/>
  </r>
  <r>
    <s v="ORD5710"/>
    <s v="CUST1710"/>
    <n v="22"/>
    <s v="PROD910"/>
    <s v="UK"/>
    <s v="2/16/2022"/>
    <s v="3/20/2022"/>
    <n v="5"/>
    <s v="active"/>
    <s v="3/24/2024"/>
    <s v=" $143.04 "/>
    <n v="9"/>
    <n v="45"/>
    <s v="Home"/>
    <s v="Blender"/>
    <s v="Home"/>
    <x v="0"/>
    <n v="1287.3599999999999"/>
    <s v="Aligned"/>
    <s v="18-24 Gen Z"/>
    <s v="High Value Tier"/>
    <s v="Critical Risk"/>
  </r>
  <r>
    <s v="ORD5711"/>
    <s v="CUST1711"/>
    <n v="19"/>
    <s v="PROD911"/>
    <s v="Canada"/>
    <s v="8/16/2023"/>
    <s v="2/27/2025"/>
    <n v="4"/>
    <s v="active"/>
    <s v="5/28/2024"/>
    <s v=" $164.34 "/>
    <n v="4"/>
    <n v="47"/>
    <s v="Electronics"/>
    <s v="Shirt"/>
    <s v="Clothing"/>
    <x v="1"/>
    <n v="657.36"/>
    <s v="Misaligned"/>
    <s v="18-24 Gen Z"/>
    <s v="High Value Tier"/>
    <s v="Critical Risk"/>
  </r>
  <r>
    <s v="ORD5712"/>
    <s v="CUST1712"/>
    <n v="67"/>
    <s v="PROD912"/>
    <s v="Germany"/>
    <s v="1/29/2022"/>
    <s v="1/25/2023"/>
    <n v="2"/>
    <s v="active"/>
    <s v="1/30/2023"/>
    <s v=" $188.11 "/>
    <n v="7"/>
    <n v="16"/>
    <s v="Electronics"/>
    <s v="Blender"/>
    <s v="Home"/>
    <x v="0"/>
    <n v="1316.77"/>
    <s v="Misaligned"/>
    <s v="65+ Seniors"/>
    <s v="High Value Tier"/>
    <s v="Stable"/>
  </r>
  <r>
    <s v="ORD5713"/>
    <s v="CUST1713"/>
    <n v="33"/>
    <s v="PROD913"/>
    <s v="Canada"/>
    <d v="2022-12-08T00:00:00"/>
    <s v="1/13/2025"/>
    <n v="1"/>
    <s v="cancelled"/>
    <d v="2024-01-05T00:00:00"/>
    <s v=" $343.89 "/>
    <n v="5"/>
    <n v="32"/>
    <s v="Electronics"/>
    <s v="Jeans"/>
    <s v="Clothing"/>
    <x v="1"/>
    <n v="1719.45"/>
    <s v="Misaligned"/>
    <s v="25-34 Millennials"/>
    <s v="High Value Tier"/>
    <s v="Stable"/>
  </r>
  <r>
    <s v="ORD5714"/>
    <s v="CUST1714"/>
    <n v="67"/>
    <s v="PROD914"/>
    <s v="Canada"/>
    <s v="5/13/2021"/>
    <d v="2021-10-09T00:00:00"/>
    <n v="1"/>
    <s v="cancelled"/>
    <d v="2024-06-06T00:00:00"/>
    <s v=" $291.77 "/>
    <n v="4"/>
    <n v="41"/>
    <s v="Home"/>
    <s v="Perfume"/>
    <s v="Beauty"/>
    <x v="1"/>
    <n v="1167.08"/>
    <s v="Misaligned"/>
    <s v="65+ Seniors"/>
    <s v="High Value Tier"/>
    <s v="Stable"/>
  </r>
  <r>
    <s v="ORD5715"/>
    <s v="CUST1715"/>
    <n v="67"/>
    <s v="PROD915"/>
    <s v="UK"/>
    <s v="8/14/2023"/>
    <s v="6/14/2025"/>
    <n v="5"/>
    <s v="active"/>
    <d v="2025-05-08T00:00:00"/>
    <s v=" $289.38 "/>
    <n v="5"/>
    <n v="46"/>
    <s v="Electronics"/>
    <s v="Gaming Console"/>
    <s v="Electronics"/>
    <x v="1"/>
    <n v="1446.9"/>
    <s v="Aligned"/>
    <s v="65+ Seniors"/>
    <s v="High Value Tier"/>
    <s v="Critical Risk"/>
  </r>
  <r>
    <s v="ORD5716"/>
    <s v="CUST1716"/>
    <n v="59"/>
    <s v="PROD916"/>
    <s v="USA"/>
    <d v="2022-05-04T00:00:00"/>
    <s v="7/15/2024"/>
    <n v="2"/>
    <s v="active"/>
    <d v="2024-11-09T00:00:00"/>
    <s v=" $184.92 "/>
    <n v="8"/>
    <n v="12"/>
    <s v="Beauty"/>
    <s v="Dress"/>
    <s v="Clothing"/>
    <x v="1"/>
    <n v="1479.36"/>
    <s v="Misaligned"/>
    <s v="50-64 Boomers"/>
    <s v="High Value Tier"/>
    <s v="Stable"/>
  </r>
  <r>
    <s v="ORD5717"/>
    <s v="CUST1717"/>
    <n v="68"/>
    <s v="PROD917"/>
    <s v="Pakistan"/>
    <d v="2021-02-09T00:00:00"/>
    <s v="10/26/2023"/>
    <n v="1"/>
    <s v="paused"/>
    <d v="2022-12-02T00:00:00"/>
    <s v=" $95.60 "/>
    <n v="8"/>
    <n v="38"/>
    <s v="Electronics"/>
    <s v="Cricket Bat"/>
    <s v="Sports"/>
    <x v="0"/>
    <n v="764.8"/>
    <s v="Misaligned"/>
    <s v="65+ Seniors"/>
    <s v="High Value Tier"/>
    <s v="Elevated Risk"/>
  </r>
  <r>
    <s v="ORD5718"/>
    <s v="CUST1718"/>
    <n v="46"/>
    <s v="PROD918"/>
    <s v="UK"/>
    <s v="10/26/2020"/>
    <s v="1/16/2022"/>
    <n v="4"/>
    <s v="active"/>
    <s v="1/25/2024"/>
    <s v=" $12.05 "/>
    <n v="7"/>
    <n v="12"/>
    <s v="Beauty"/>
    <s v="Tablet"/>
    <s v="Electronics"/>
    <x v="1"/>
    <n v="84.35"/>
    <s v="Misaligned"/>
    <s v="35-49 Gen X"/>
    <s v="Core Tier"/>
    <s v="Critical Risk"/>
  </r>
  <r>
    <s v="ORD5719"/>
    <s v="CUST1719"/>
    <n v="34"/>
    <s v="PROD919"/>
    <s v="UK"/>
    <s v="12/25/2022"/>
    <s v="5/18/2023"/>
    <n v="3"/>
    <s v="cancelled"/>
    <s v="3/14/2024"/>
    <s v=" $877.48 "/>
    <n v="2"/>
    <n v="45"/>
    <s v="Sports"/>
    <s v="Blender"/>
    <s v="Home"/>
    <x v="0"/>
    <n v="1754.96"/>
    <s v="Misaligned"/>
    <s v="25-34 Millennials"/>
    <s v="High Value Tier"/>
    <s v="Stable"/>
  </r>
  <r>
    <s v="ORD5720"/>
    <s v="CUST1720"/>
    <n v="36"/>
    <s v="PROD920"/>
    <s v="USA"/>
    <d v="2021-07-02T00:00:00"/>
    <s v="8/20/2024"/>
    <n v="3"/>
    <s v="paused"/>
    <s v="7/21/2025"/>
    <s v=" $129.11 "/>
    <n v="7"/>
    <n v="49"/>
    <s v="Home"/>
    <s v="Chair"/>
    <s v="Home"/>
    <x v="0"/>
    <n v="903.77"/>
    <s v="Aligned"/>
    <s v="35-49 Gen X"/>
    <s v="High Value Tier"/>
    <s v="Elevated Risk"/>
  </r>
  <r>
    <s v="ORD5721"/>
    <s v="CUST1721"/>
    <n v="18"/>
    <s v="PROD921"/>
    <s v="UK"/>
    <s v="7/22/2021"/>
    <s v="5/15/2022"/>
    <n v="1"/>
    <s v="active"/>
    <d v="2022-12-08T00:00:00"/>
    <s v=" $699.10 "/>
    <n v="1"/>
    <n v="29"/>
    <s v="Home"/>
    <s v="Chair"/>
    <s v="Home"/>
    <x v="0"/>
    <n v="699.1"/>
    <s v="Aligned"/>
    <s v="18-24 Gen Z"/>
    <s v="High Value Tier"/>
    <s v="Stable"/>
  </r>
  <r>
    <s v="ORD5722"/>
    <s v="CUST1722"/>
    <n v="19"/>
    <s v="PROD922"/>
    <s v="UK"/>
    <s v="1/17/2021"/>
    <d v="2024-05-05T00:00:00"/>
    <n v="3"/>
    <s v="active"/>
    <s v="11/20/2023"/>
    <s v=" $10.32 "/>
    <n v="6"/>
    <n v="4"/>
    <s v="Home"/>
    <s v="Bluetooth Speaker"/>
    <s v="Electronics"/>
    <x v="0"/>
    <n v="61.92"/>
    <s v="Misaligned"/>
    <s v="18-24 Gen Z"/>
    <s v="Value Tier"/>
    <s v="Stable"/>
  </r>
  <r>
    <s v="ORD5723"/>
    <s v="CUST1723"/>
    <n v="28"/>
    <s v="PROD923"/>
    <s v="Pakistan"/>
    <s v="9/16/2022"/>
    <d v="2025-02-08T00:00:00"/>
    <n v="1"/>
    <s v="active"/>
    <d v="2023-08-01T00:00:00"/>
    <s v=" $196.10 "/>
    <n v="9"/>
    <n v="15"/>
    <s v="Home"/>
    <s v="Dress"/>
    <s v="Clothing"/>
    <x v="0"/>
    <n v="1764.9"/>
    <s v="Misaligned"/>
    <s v="25-34 Millennials"/>
    <s v="High Value Tier"/>
    <s v="Stable"/>
  </r>
  <r>
    <s v="ORD5724"/>
    <s v="CUST1724"/>
    <n v="49"/>
    <s v="PROD924"/>
    <s v="UK"/>
    <d v="2023-07-02T00:00:00"/>
    <s v="1/28/2025"/>
    <n v="1"/>
    <s v="active"/>
    <d v="2025-07-04T00:00:00"/>
    <s v=" $173.64 "/>
    <n v="9"/>
    <n v="16"/>
    <s v="Clothing"/>
    <s v="Smartphone"/>
    <s v="Electronics"/>
    <x v="1"/>
    <n v="1562.76"/>
    <s v="Misaligned"/>
    <s v="35-49 Gen X"/>
    <s v="High Value Tier"/>
    <s v="Stable"/>
  </r>
  <r>
    <s v="ORD5725"/>
    <s v="CUST1725"/>
    <n v="39"/>
    <s v="PROD925"/>
    <s v="India"/>
    <s v="7/19/2022"/>
    <s v="12/26/2024"/>
    <n v="5"/>
    <s v="cancelled"/>
    <d v="2024-01-02T00:00:00"/>
    <s v=" $206.65 "/>
    <n v="5"/>
    <n v="43"/>
    <s v="Electronics"/>
    <s v="Hoodie"/>
    <s v="Clothing"/>
    <x v="0"/>
    <n v="1033.25"/>
    <s v="Misaligned"/>
    <s v="35-49 Gen X"/>
    <s v="High Value Tier"/>
    <s v="Stable"/>
  </r>
  <r>
    <s v="ORD5726"/>
    <s v="CUST1726"/>
    <n v="18"/>
    <s v="PROD926"/>
    <s v="Canada"/>
    <d v="2023-04-01T00:00:00"/>
    <s v="3/21/2023"/>
    <n v="1"/>
    <s v="active"/>
    <s v="11/13/2023"/>
    <s v=" $477.57 "/>
    <n v="1"/>
    <n v="41"/>
    <s v="Clothing"/>
    <s v="Camera"/>
    <s v="Electronics"/>
    <x v="1"/>
    <n v="477.57"/>
    <s v="Misaligned"/>
    <s v="18-24 Gen Z"/>
    <s v="High Value Tier"/>
    <s v="Stable"/>
  </r>
  <r>
    <s v="ORD5727"/>
    <s v="CUST1727"/>
    <n v="53"/>
    <s v="PROD927"/>
    <s v="Pakistan"/>
    <d v="2021-02-04T00:00:00"/>
    <s v="11/22/2022"/>
    <n v="0"/>
    <s v="active"/>
    <s v="2/23/2024"/>
    <s v=" $68.90 "/>
    <n v="6"/>
    <n v="17"/>
    <s v="Electronics"/>
    <s v="Skirt"/>
    <s v="Clothing"/>
    <x v="0"/>
    <n v="413.4"/>
    <s v="Misaligned"/>
    <s v="50-64 Boomers"/>
    <s v="High Value Tier"/>
    <s v="Stable"/>
  </r>
  <r>
    <s v="ORD5728"/>
    <s v="CUST1728"/>
    <n v="65"/>
    <s v="PROD928"/>
    <s v="Germany"/>
    <d v="2023-11-03T00:00:00"/>
    <s v="12/16/2024"/>
    <n v="3"/>
    <s v="active"/>
    <d v="2024-11-12T00:00:00"/>
    <s v=" $238.83 "/>
    <n v="7"/>
    <n v="22"/>
    <s v="Electronics"/>
    <s v="Foundation"/>
    <s v="Beauty"/>
    <x v="0"/>
    <n v="1671.81"/>
    <s v="Misaligned"/>
    <s v="65+ Seniors"/>
    <s v="High Value Tier"/>
    <s v="Stable"/>
  </r>
  <r>
    <s v="ORD5729"/>
    <s v="CUST1729"/>
    <n v="62"/>
    <s v="PROD929"/>
    <s v="India"/>
    <s v="9/28/2021"/>
    <s v="5/23/2025"/>
    <n v="0"/>
    <s v="paused"/>
    <s v="11/14/2021"/>
    <s v=" $120.28 "/>
    <n v="5"/>
    <n v="46"/>
    <s v="Sports"/>
    <s v="Dumbbells"/>
    <s v="Sports"/>
    <x v="1"/>
    <n v="601.4"/>
    <s v="Aligned"/>
    <s v="50-64 Boomers"/>
    <s v="High Value Tier"/>
    <s v="Elevated Risk"/>
  </r>
  <r>
    <s v="ORD5730"/>
    <s v="CUST1730"/>
    <n v="51"/>
    <s v="PROD930"/>
    <s v="Germany"/>
    <d v="2021-12-03T00:00:00"/>
    <d v="2024-04-04T00:00:00"/>
    <n v="0"/>
    <s v="active"/>
    <s v="8/25/2023"/>
    <s v=" $880.32 "/>
    <n v="1"/>
    <n v="30"/>
    <s v="Home"/>
    <s v="Smartwatch"/>
    <s v="Electronics"/>
    <x v="1"/>
    <n v="880.32"/>
    <s v="Misaligned"/>
    <s v="50-64 Boomers"/>
    <s v="High Value Tier"/>
    <s v="Stable"/>
  </r>
  <r>
    <s v="ORD5731"/>
    <s v="CUST1731"/>
    <n v="63"/>
    <s v="PROD931"/>
    <s v="Germany"/>
    <d v="2023-02-04T00:00:00"/>
    <s v="7/30/2024"/>
    <n v="1"/>
    <s v="active"/>
    <s v="9/20/2023"/>
    <s v=" $425.19 "/>
    <n v="1"/>
    <n v="8"/>
    <s v="Home"/>
    <s v="Yoga Mat"/>
    <s v="Sports"/>
    <x v="0"/>
    <n v="425.19"/>
    <s v="Misaligned"/>
    <s v="50-64 Boomers"/>
    <s v="High Value Tier"/>
    <s v="Stable"/>
  </r>
  <r>
    <s v="ORD5732"/>
    <s v="CUST1732"/>
    <n v="27"/>
    <s v="PROD932"/>
    <s v="Pakistan"/>
    <s v="3/31/2023"/>
    <s v="12/26/2023"/>
    <n v="5"/>
    <s v="active"/>
    <s v="12/31/2023"/>
    <s v=" $436.81 "/>
    <n v="3"/>
    <n v="42"/>
    <s v="Beauty"/>
    <s v="Jacket"/>
    <s v="Clothing"/>
    <x v="1"/>
    <n v="1310.43"/>
    <s v="Misaligned"/>
    <s v="25-34 Millennials"/>
    <s v="High Value Tier"/>
    <s v="Critical Risk"/>
  </r>
  <r>
    <s v="ORD5733"/>
    <s v="CUST1733"/>
    <n v="50"/>
    <s v="PROD933"/>
    <s v="Pakistan"/>
    <s v="6/19/2021"/>
    <s v="4/24/2023"/>
    <n v="0"/>
    <s v="active"/>
    <d v="2024-01-10T00:00:00"/>
    <s v=" $54.65 "/>
    <n v="3"/>
    <n v="21"/>
    <s v="Electronics"/>
    <s v="Basketball"/>
    <s v="Sports"/>
    <x v="0"/>
    <n v="163.95"/>
    <s v="Misaligned"/>
    <s v="50-64 Boomers"/>
    <s v="High Value Tier"/>
    <s v="Stable"/>
  </r>
  <r>
    <s v="ORD5734"/>
    <s v="CUST1734"/>
    <n v="51"/>
    <s v="PROD934"/>
    <s v="UK"/>
    <s v="12/24/2021"/>
    <d v="2024-07-04T00:00:00"/>
    <n v="3"/>
    <s v="active"/>
    <s v="9/30/2022"/>
    <s v=" $178.57 "/>
    <n v="6"/>
    <n v="33"/>
    <s v="Beauty"/>
    <s v="Shampoo"/>
    <s v="Beauty"/>
    <x v="1"/>
    <n v="1071.42"/>
    <s v="Aligned"/>
    <s v="50-64 Boomers"/>
    <s v="High Value Tier"/>
    <s v="Stable"/>
  </r>
  <r>
    <s v="ORD5735"/>
    <s v="CUST1735"/>
    <n v="67"/>
    <s v="PROD935"/>
    <s v="Canada"/>
    <s v="6/30/2021"/>
    <d v="2025-12-04T00:00:00"/>
    <n v="2"/>
    <s v="active"/>
    <s v="7/23/2024"/>
    <s v=" $18.43 "/>
    <n v="9"/>
    <n v="33"/>
    <s v="Clothing"/>
    <s v="Shirt"/>
    <s v="Clothing"/>
    <x v="0"/>
    <n v="165.87"/>
    <s v="Aligned"/>
    <s v="65+ Seniors"/>
    <s v="High Value Tier"/>
    <s v="Stable"/>
  </r>
  <r>
    <s v="ORD5736"/>
    <s v="CUST1736"/>
    <n v="41"/>
    <s v="PROD936"/>
    <s v="India"/>
    <s v="9/27/2020"/>
    <s v="7/25/2021"/>
    <n v="1"/>
    <s v="cancelled"/>
    <d v="2024-04-05T00:00:00"/>
    <s v=" $162.13 "/>
    <n v="8"/>
    <n v="24"/>
    <s v="Sports"/>
    <s v="Perfume"/>
    <s v="Beauty"/>
    <x v="0"/>
    <n v="1297.04"/>
    <s v="Misaligned"/>
    <s v="35-49 Gen X"/>
    <s v="High Value Tier"/>
    <s v="Stable"/>
  </r>
  <r>
    <s v="ORD5737"/>
    <s v="CUST1737"/>
    <n v="19"/>
    <s v="PROD937"/>
    <s v="Pakistan"/>
    <d v="2021-09-11T00:00:00"/>
    <s v="9/23/2023"/>
    <n v="2"/>
    <s v="active"/>
    <s v="9/15/2023"/>
    <s v=" $215.86 "/>
    <n v="4"/>
    <n v="5"/>
    <s v="Sports"/>
    <s v="Dining Table"/>
    <s v="Home"/>
    <x v="0"/>
    <n v="863.44"/>
    <s v="Misaligned"/>
    <s v="18-24 Gen Z"/>
    <s v="High Value Tier"/>
    <s v="Stable"/>
  </r>
  <r>
    <s v="ORD5738"/>
    <s v="CUST1738"/>
    <n v="68"/>
    <s v="PROD938"/>
    <s v="Canada"/>
    <s v="4/14/2021"/>
    <d v="2023-10-08T00:00:00"/>
    <n v="2"/>
    <s v="active"/>
    <s v="7/19/2024"/>
    <s v=" $448.02 "/>
    <n v="4"/>
    <n v="4"/>
    <s v="Sports"/>
    <s v="Dumbbells"/>
    <s v="Sports"/>
    <x v="1"/>
    <n v="1792.08"/>
    <s v="Aligned"/>
    <s v="65+ Seniors"/>
    <s v="High Value Tier"/>
    <s v="Stable"/>
  </r>
  <r>
    <s v="ORD5739"/>
    <s v="CUST1739"/>
    <n v="24"/>
    <s v="PROD939"/>
    <s v="UK"/>
    <s v="3/16/2022"/>
    <s v="7/23/2024"/>
    <n v="1"/>
    <s v="active"/>
    <s v="12/25/2022"/>
    <s v=" $202.23 "/>
    <n v="4"/>
    <n v="29"/>
    <s v="Beauty"/>
    <s v="Moisturizer"/>
    <s v="Beauty"/>
    <x v="0"/>
    <n v="808.92"/>
    <s v="Aligned"/>
    <s v="18-24 Gen Z"/>
    <s v="High Value Tier"/>
    <s v="Stable"/>
  </r>
  <r>
    <s v="ORD5740"/>
    <s v="CUST1740"/>
    <n v="67"/>
    <s v="PROD940"/>
    <s v="Germany"/>
    <d v="2022-06-11T00:00:00"/>
    <d v="2024-08-11T00:00:00"/>
    <n v="1"/>
    <s v="active"/>
    <d v="2025-10-08T00:00:00"/>
    <s v=" $412.98 "/>
    <n v="1"/>
    <n v="22"/>
    <s v="Beauty"/>
    <s v="Perfume"/>
    <s v="Beauty"/>
    <x v="1"/>
    <n v="412.98"/>
    <s v="Aligned"/>
    <s v="65+ Seniors"/>
    <s v="High Value Tier"/>
    <s v="Stable"/>
  </r>
  <r>
    <s v="ORD5741"/>
    <s v="CUST1741"/>
    <n v="45"/>
    <s v="PROD941"/>
    <s v="Canada"/>
    <s v="2/16/2021"/>
    <s v="3/27/2021"/>
    <n v="4"/>
    <s v="cancelled"/>
    <s v="7/20/2023"/>
    <s v=" $187.53 "/>
    <n v="4"/>
    <n v="22"/>
    <s v="Home"/>
    <s v="Dumbbells"/>
    <s v="Sports"/>
    <x v="1"/>
    <n v="750.12"/>
    <s v="Misaligned"/>
    <s v="35-49 Gen X"/>
    <s v="High Value Tier"/>
    <s v="Stable"/>
  </r>
  <r>
    <s v="ORD5742"/>
    <s v="CUST1742"/>
    <n v="52"/>
    <s v="PROD942"/>
    <s v="UK"/>
    <s v="7/13/2022"/>
    <s v="12/29/2022"/>
    <n v="1"/>
    <s v="active"/>
    <d v="2024-07-11T00:00:00"/>
    <s v=" $140.81 "/>
    <n v="8"/>
    <n v="5"/>
    <s v="Home"/>
    <s v="Bluetooth Speaker"/>
    <s v="Electronics"/>
    <x v="1"/>
    <n v="1126.48"/>
    <s v="Misaligned"/>
    <s v="50-64 Boomers"/>
    <s v="High Value Tier"/>
    <s v="Stable"/>
  </r>
  <r>
    <s v="ORD5743"/>
    <s v="CUST1743"/>
    <n v="52"/>
    <s v="PROD943"/>
    <s v="India"/>
    <s v="9/14/2021"/>
    <s v="10/17/2024"/>
    <n v="1"/>
    <s v="active"/>
    <s v="3/31/2025"/>
    <s v=" $66.97 "/>
    <n v="7"/>
    <n v="1"/>
    <s v="Home"/>
    <s v="Headphones"/>
    <s v="Electronics"/>
    <x v="2"/>
    <n v="468.79"/>
    <s v="Misaligned"/>
    <s v="50-64 Boomers"/>
    <s v="Value Tier"/>
    <s v="Stable"/>
  </r>
  <r>
    <s v="ORD5744"/>
    <s v="CUST1744"/>
    <n v="60"/>
    <s v="PROD944"/>
    <s v="UK"/>
    <s v="10/15/2021"/>
    <s v="12/27/2024"/>
    <n v="5"/>
    <s v="active"/>
    <d v="2024-12-01T00:00:00"/>
    <s v=" $73.09 "/>
    <n v="5"/>
    <n v="12"/>
    <s v="Beauty"/>
    <s v="Microwave"/>
    <s v="Home"/>
    <x v="0"/>
    <n v="365.45"/>
    <s v="Misaligned"/>
    <s v="50-64 Boomers"/>
    <s v="High Value Tier"/>
    <s v="Critical Risk"/>
  </r>
  <r>
    <s v="ORD5745"/>
    <s v="CUST1745"/>
    <n v="49"/>
    <s v="PROD945"/>
    <s v="Pakistan"/>
    <s v="11/25/2021"/>
    <s v="6/13/2023"/>
    <n v="5"/>
    <s v="active"/>
    <s v="10/18/2022"/>
    <s v=" $1,326.91 "/>
    <n v="1"/>
    <n v="3"/>
    <s v="Clothing"/>
    <s v="Dining Table"/>
    <s v="Home"/>
    <x v="1"/>
    <n v="1326.91"/>
    <s v="Misaligned"/>
    <s v="35-49 Gen X"/>
    <s v="High Value Tier"/>
    <s v="Critical Risk"/>
  </r>
  <r>
    <s v="ORD5746"/>
    <s v="CUST1746"/>
    <n v="59"/>
    <s v="PROD946"/>
    <s v="Canada"/>
    <s v="4/21/2021"/>
    <d v="2022-07-11T00:00:00"/>
    <n v="1"/>
    <s v="active"/>
    <d v="2021-12-07T00:00:00"/>
    <s v=" $187.35 "/>
    <n v="2"/>
    <n v="23"/>
    <s v="Beauty"/>
    <s v="Foundation"/>
    <s v="Beauty"/>
    <x v="0"/>
    <n v="374.7"/>
    <s v="Aligned"/>
    <s v="50-64 Boomers"/>
    <s v="High Value Tier"/>
    <s v="Stable"/>
  </r>
  <r>
    <s v="ORD5747"/>
    <s v="CUST1747"/>
    <n v="45"/>
    <s v="PROD947"/>
    <s v="UK"/>
    <s v="6/13/2021"/>
    <d v="2024-08-10T00:00:00"/>
    <n v="0"/>
    <s v="active"/>
    <s v="8/13/2022"/>
    <s v=" $421.14 "/>
    <n v="2"/>
    <n v="23"/>
    <s v="Clothing"/>
    <s v="Shampoo"/>
    <s v="Beauty"/>
    <x v="0"/>
    <n v="842.28"/>
    <s v="Misaligned"/>
    <s v="35-49 Gen X"/>
    <s v="High Value Tier"/>
    <s v="Stable"/>
  </r>
  <r>
    <s v="ORD5748"/>
    <s v="CUST1748"/>
    <n v="37"/>
    <s v="PROD948"/>
    <s v="India"/>
    <d v="2022-10-04T00:00:00"/>
    <s v="3/28/2025"/>
    <n v="2"/>
    <s v="active"/>
    <s v="7/18/2022"/>
    <s v=" $107.87 "/>
    <n v="9"/>
    <n v="31"/>
    <s v="Home"/>
    <s v="Microwave"/>
    <s v="Home"/>
    <x v="0"/>
    <n v="970.83"/>
    <s v="Aligned"/>
    <s v="35-49 Gen X"/>
    <s v="High Value Tier"/>
    <s v="Stable"/>
  </r>
  <r>
    <s v="ORD5749"/>
    <s v="CUST1749"/>
    <n v="38"/>
    <s v="PROD949"/>
    <s v="India"/>
    <d v="2020-03-12T00:00:00"/>
    <d v="2023-11-06T00:00:00"/>
    <n v="4"/>
    <s v="active"/>
    <s v="10/26/2023"/>
    <s v=" $185.96 "/>
    <n v="9"/>
    <n v="6"/>
    <s v="Clothing"/>
    <s v="Chair"/>
    <s v="Home"/>
    <x v="0"/>
    <n v="1673.64"/>
    <s v="Misaligned"/>
    <s v="35-49 Gen X"/>
    <s v="High Value Tier"/>
    <s v="Critical Risk"/>
  </r>
  <r>
    <s v="ORD5750"/>
    <s v="CUST1750"/>
    <n v="44"/>
    <s v="PROD950"/>
    <s v="USA"/>
    <d v="2023-09-06T00:00:00"/>
    <d v="2025-08-03T00:00:00"/>
    <n v="3"/>
    <s v="cancelled"/>
    <s v="9/29/2024"/>
    <s v=" $180.94 "/>
    <n v="7"/>
    <n v="34"/>
    <s v="Beauty"/>
    <s v="Basketball"/>
    <s v="Sports"/>
    <x v="0"/>
    <n v="1266.58"/>
    <s v="Misaligned"/>
    <s v="35-49 Gen X"/>
    <s v="High Value Tier"/>
    <s v="Stable"/>
  </r>
  <r>
    <s v="ORD5751"/>
    <s v="CUST1751"/>
    <n v="26"/>
    <s v="PROD951"/>
    <s v="UK"/>
    <d v="2022-11-05T00:00:00"/>
    <s v="3/26/2023"/>
    <n v="2"/>
    <s v="paused"/>
    <d v="2022-11-10T00:00:00"/>
    <s v=" $138.80 "/>
    <n v="3"/>
    <n v="1"/>
    <s v="Sports"/>
    <s v="Yoga Mat"/>
    <s v="Sports"/>
    <x v="0"/>
    <n v="416.4"/>
    <s v="Aligned"/>
    <s v="25-34 Millennials"/>
    <s v="Value Tier"/>
    <s v="Elevated Risk"/>
  </r>
  <r>
    <s v="ORD5752"/>
    <s v="CUST1752"/>
    <n v="38"/>
    <s v="PROD952"/>
    <s v="Pakistan"/>
    <s v="5/15/2023"/>
    <s v="8/31/2024"/>
    <n v="2"/>
    <s v="cancelled"/>
    <d v="2025-06-04T00:00:00"/>
    <s v=" $856.16 "/>
    <n v="1"/>
    <n v="26"/>
    <s v="Sports"/>
    <s v="Smartwatch"/>
    <s v="Electronics"/>
    <x v="1"/>
    <n v="856.16"/>
    <s v="Misaligned"/>
    <s v="35-49 Gen X"/>
    <s v="High Value Tier"/>
    <s v="Stable"/>
  </r>
  <r>
    <s v="ORD5753"/>
    <s v="CUST1753"/>
    <n v="24"/>
    <s v="PROD953"/>
    <s v="USA"/>
    <s v="7/14/2023"/>
    <d v="2025-08-02T00:00:00"/>
    <n v="5"/>
    <s v="active"/>
    <d v="2024-09-06T00:00:00"/>
    <s v=" $206.67 "/>
    <n v="9"/>
    <n v="8"/>
    <s v="Beauty"/>
    <s v="Face Wash"/>
    <s v="Beauty"/>
    <x v="1"/>
    <n v="1860.03"/>
    <s v="Aligned"/>
    <s v="18-24 Gen Z"/>
    <s v="High Value Tier"/>
    <s v="Critical Risk"/>
  </r>
  <r>
    <s v="ORD5754"/>
    <s v="CUST1754"/>
    <n v="33"/>
    <s v="PROD954"/>
    <s v="India"/>
    <s v="10/20/2021"/>
    <s v="2/14/2025"/>
    <n v="2"/>
    <s v="active"/>
    <d v="2022-08-11T00:00:00"/>
    <s v=" $175.10 "/>
    <n v="3"/>
    <n v="19"/>
    <s v="Beauty"/>
    <s v="Tablet"/>
    <s v="Electronics"/>
    <x v="1"/>
    <n v="525.29999999999995"/>
    <s v="Misaligned"/>
    <s v="25-34 Millennials"/>
    <s v="High Value Tier"/>
    <s v="Stable"/>
  </r>
  <r>
    <s v="ORD5755"/>
    <s v="CUST1755"/>
    <n v="58"/>
    <s v="PROD955"/>
    <s v="Canada"/>
    <s v="3/30/2021"/>
    <s v="3/26/2023"/>
    <n v="5"/>
    <s v="active"/>
    <d v="2024-12-06T00:00:00"/>
    <s v=" $174.92 "/>
    <n v="5"/>
    <n v="15"/>
    <s v="Beauty"/>
    <s v="Moisturizer"/>
    <s v="Beauty"/>
    <x v="0"/>
    <n v="874.6"/>
    <s v="Aligned"/>
    <s v="50-64 Boomers"/>
    <s v="High Value Tier"/>
    <s v="Critical Risk"/>
  </r>
  <r>
    <s v="ORD5756"/>
    <s v="CUST1756"/>
    <n v="64"/>
    <s v="PROD956"/>
    <s v="USA"/>
    <d v="2021-05-04T00:00:00"/>
    <s v="11/30/2023"/>
    <n v="0"/>
    <s v="cancelled"/>
    <s v="1/19/2022"/>
    <s v=" $406.39 "/>
    <n v="3"/>
    <n v="46"/>
    <s v="Beauty"/>
    <s v="Smartphone"/>
    <s v="Electronics"/>
    <x v="2"/>
    <n v="1219.17"/>
    <s v="Misaligned"/>
    <s v="50-64 Boomers"/>
    <s v="High Value Tier"/>
    <s v="Stable"/>
  </r>
  <r>
    <s v="ORD5757"/>
    <s v="CUST1757"/>
    <n v="53"/>
    <s v="PROD957"/>
    <s v="Germany"/>
    <s v="9/17/2022"/>
    <s v="11/27/2024"/>
    <n v="3"/>
    <s v="active"/>
    <d v="2023-11-03T00:00:00"/>
    <s v=" $190.94 "/>
    <n v="9"/>
    <n v="43"/>
    <s v="Sports"/>
    <s v="Laptop"/>
    <s v="Electronics"/>
    <x v="1"/>
    <n v="1718.46"/>
    <s v="Misaligned"/>
    <s v="50-64 Boomers"/>
    <s v="High Value Tier"/>
    <s v="Stable"/>
  </r>
  <r>
    <s v="ORD5758"/>
    <s v="CUST1758"/>
    <n v="35"/>
    <s v="PROD958"/>
    <s v="UK"/>
    <d v="2020-10-11T00:00:00"/>
    <d v="2021-04-01T00:00:00"/>
    <n v="3"/>
    <s v="active"/>
    <d v="2025-06-05T00:00:00"/>
    <s v=" $453.96 "/>
    <n v="4"/>
    <n v="17"/>
    <s v="Clothing"/>
    <s v="Smartphone"/>
    <s v="Electronics"/>
    <x v="1"/>
    <n v="1815.84"/>
    <s v="Misaligned"/>
    <s v="35-49 Gen X"/>
    <s v="High Value Tier"/>
    <s v="Stable"/>
  </r>
  <r>
    <s v="ORD5759"/>
    <s v="CUST1759"/>
    <n v="45"/>
    <s v="PROD959"/>
    <s v="India"/>
    <s v="6/27/2021"/>
    <s v="6/14/2022"/>
    <n v="3"/>
    <s v="active"/>
    <s v="9/21/2023"/>
    <s v=" $186.85 "/>
    <n v="4"/>
    <n v="8"/>
    <s v="Beauty"/>
    <s v="Football"/>
    <s v="Sports"/>
    <x v="0"/>
    <n v="747.4"/>
    <s v="Misaligned"/>
    <s v="35-49 Gen X"/>
    <s v="High Value Tier"/>
    <s v="Stable"/>
  </r>
  <r>
    <s v="ORD5760"/>
    <s v="CUST1760"/>
    <n v="41"/>
    <s v="PROD960"/>
    <s v="Germany"/>
    <d v="2021-12-07T00:00:00"/>
    <s v="12/18/2022"/>
    <n v="3"/>
    <s v="paused"/>
    <s v="7/26/2021"/>
    <s v=" $136.28 "/>
    <n v="9"/>
    <n v="24"/>
    <s v="Sports"/>
    <s v="Face Wash"/>
    <s v="Beauty"/>
    <x v="1"/>
    <n v="1226.52"/>
    <s v="Misaligned"/>
    <s v="35-49 Gen X"/>
    <s v="High Value Tier"/>
    <s v="Elevated Risk"/>
  </r>
  <r>
    <s v="ORD5761"/>
    <s v="CUST1761"/>
    <n v="46"/>
    <s v="PROD961"/>
    <s v="USA"/>
    <s v="5/15/2021"/>
    <d v="2023-10-11T00:00:00"/>
    <n v="2"/>
    <s v="cancelled"/>
    <s v="6/18/2024"/>
    <s v=" $187.92 "/>
    <n v="5"/>
    <n v="30"/>
    <s v="Sports"/>
    <s v="Smartphone"/>
    <s v="Electronics"/>
    <x v="0"/>
    <n v="939.6"/>
    <s v="Misaligned"/>
    <s v="35-49 Gen X"/>
    <s v="High Value Tier"/>
    <s v="Stable"/>
  </r>
  <r>
    <s v="ORD5762"/>
    <s v="CUST1762"/>
    <n v="33"/>
    <s v="PROD962"/>
    <s v="Pakistan"/>
    <s v="8/20/2021"/>
    <d v="2023-01-11T00:00:00"/>
    <n v="5"/>
    <s v="active"/>
    <d v="2023-03-04T00:00:00"/>
    <s v=" $1,779.70 "/>
    <n v="1"/>
    <n v="12"/>
    <s v="Sports"/>
    <s v="Face Wash"/>
    <s v="Beauty"/>
    <x v="1"/>
    <n v="1779.7"/>
    <s v="Misaligned"/>
    <s v="25-34 Millennials"/>
    <s v="High Value Tier"/>
    <s v="Critical Risk"/>
  </r>
  <r>
    <s v="ORD5763"/>
    <s v="CUST1763"/>
    <n v="38"/>
    <s v="PROD963"/>
    <s v="UK"/>
    <s v="5/20/2022"/>
    <d v="2023-10-04T00:00:00"/>
    <n v="2"/>
    <s v="active"/>
    <s v="8/16/2024"/>
    <s v=" $107.63 "/>
    <n v="5"/>
    <n v="5"/>
    <s v="Sports"/>
    <s v="Football"/>
    <s v="Sports"/>
    <x v="0"/>
    <n v="538.15"/>
    <s v="Aligned"/>
    <s v="35-49 Gen X"/>
    <s v="High Value Tier"/>
    <s v="Stable"/>
  </r>
  <r>
    <s v="ORD5764"/>
    <s v="CUST1764"/>
    <n v="29"/>
    <s v="PROD964"/>
    <s v="India"/>
    <d v="2023-10-04T00:00:00"/>
    <s v="7/28/2024"/>
    <n v="0"/>
    <s v="cancelled"/>
    <s v="1/24/2024"/>
    <s v=" $312.62 "/>
    <n v="2"/>
    <n v="21"/>
    <s v="Home"/>
    <s v="Vacuum Cleaner"/>
    <s v="Home"/>
    <x v="0"/>
    <n v="625.24"/>
    <s v="Aligned"/>
    <s v="25-34 Millennials"/>
    <s v="High Value Tier"/>
    <s v="Stable"/>
  </r>
  <r>
    <s v="ORD5765"/>
    <s v="CUST1765"/>
    <n v="38"/>
    <s v="PROD965"/>
    <s v="UK"/>
    <d v="2020-05-10T00:00:00"/>
    <d v="2024-04-12T00:00:00"/>
    <n v="4"/>
    <s v="paused"/>
    <s v="3/31/2021"/>
    <s v=" $296.94 "/>
    <n v="5"/>
    <n v="36"/>
    <s v="Beauty"/>
    <s v="Face Wash"/>
    <s v="Beauty"/>
    <x v="0"/>
    <n v="1484.7"/>
    <s v="Aligned"/>
    <s v="35-49 Gen X"/>
    <s v="High Value Tier"/>
    <s v="Elevated Risk"/>
  </r>
  <r>
    <s v="ORD5766"/>
    <s v="CUST1766"/>
    <n v="38"/>
    <s v="PROD966"/>
    <s v="UK"/>
    <d v="2023-04-03T00:00:00"/>
    <s v="4/28/2025"/>
    <n v="4"/>
    <s v="cancelled"/>
    <d v="2024-10-12T00:00:00"/>
    <s v=" $604.99 "/>
    <n v="3"/>
    <n v="5"/>
    <s v="Clothing"/>
    <s v="Blender"/>
    <s v="Home"/>
    <x v="1"/>
    <n v="1814.97"/>
    <s v="Misaligned"/>
    <s v="35-49 Gen X"/>
    <s v="High Value Tier"/>
    <s v="Stable"/>
  </r>
  <r>
    <s v="ORD5767"/>
    <s v="CUST1767"/>
    <n v="67"/>
    <s v="PROD967"/>
    <s v="UK"/>
    <s v="4/13/2023"/>
    <d v="2025-10-03T00:00:00"/>
    <n v="2"/>
    <s v="active"/>
    <d v="2024-04-05T00:00:00"/>
    <s v=" $267.93 "/>
    <n v="5"/>
    <n v="19"/>
    <s v="Beauty"/>
    <s v="Microwave"/>
    <s v="Home"/>
    <x v="0"/>
    <n v="1339.65"/>
    <s v="Misaligned"/>
    <s v="65+ Seniors"/>
    <s v="High Value Tier"/>
    <s v="Stable"/>
  </r>
  <r>
    <s v="ORD5768"/>
    <s v="CUST1768"/>
    <n v="38"/>
    <s v="PROD968"/>
    <s v="India"/>
    <d v="2023-08-05T00:00:00"/>
    <s v="7/21/2025"/>
    <n v="0"/>
    <s v="cancelled"/>
    <s v="2/15/2025"/>
    <s v=" $452.36 "/>
    <n v="4"/>
    <n v="48"/>
    <s v="Sports"/>
    <s v="Skirt"/>
    <s v="Clothing"/>
    <x v="1"/>
    <n v="1809.44"/>
    <s v="Misaligned"/>
    <s v="35-49 Gen X"/>
    <s v="High Value Tier"/>
    <s v="Stable"/>
  </r>
  <r>
    <s v="ORD5769"/>
    <s v="CUST1769"/>
    <n v="46"/>
    <s v="PROD969"/>
    <s v="Canada"/>
    <d v="2021-05-12T00:00:00"/>
    <s v="5/17/2022"/>
    <n v="1"/>
    <s v="active"/>
    <d v="2022-11-10T00:00:00"/>
    <s v=" $890.55 "/>
    <n v="2"/>
    <n v="24"/>
    <s v="Clothing"/>
    <s v="Sneakers"/>
    <s v="Clothing"/>
    <x v="1"/>
    <n v="1781.1"/>
    <s v="Aligned"/>
    <s v="35-49 Gen X"/>
    <s v="High Value Tier"/>
    <s v="Stable"/>
  </r>
  <r>
    <s v="ORD5770"/>
    <s v="CUST1770"/>
    <n v="27"/>
    <s v="PROD970"/>
    <s v="USA"/>
    <s v="9/22/2021"/>
    <d v="2025-09-07T00:00:00"/>
    <n v="4"/>
    <s v="active"/>
    <d v="2023-09-05T00:00:00"/>
    <s v=" $345.88 "/>
    <n v="2"/>
    <n v="41"/>
    <s v="Home"/>
    <s v="Jacket"/>
    <s v="Clothing"/>
    <x v="0"/>
    <n v="691.76"/>
    <s v="Misaligned"/>
    <s v="25-34 Millennials"/>
    <s v="High Value Tier"/>
    <s v="Critical Risk"/>
  </r>
  <r>
    <s v="ORD5771"/>
    <s v="CUST1771"/>
    <n v="23"/>
    <s v="PROD971"/>
    <s v="Germany"/>
    <s v="1/30/2021"/>
    <d v="2023-04-10T00:00:00"/>
    <n v="0"/>
    <s v="active"/>
    <s v="8/17/2022"/>
    <s v=" $104.90 "/>
    <n v="9"/>
    <n v="26"/>
    <s v="Sports"/>
    <s v="Moisturizer"/>
    <s v="Beauty"/>
    <x v="1"/>
    <n v="944.1"/>
    <s v="Misaligned"/>
    <s v="18-24 Gen Z"/>
    <s v="High Value Tier"/>
    <s v="Stable"/>
  </r>
  <r>
    <s v="ORD5772"/>
    <s v="CUST1772"/>
    <n v="67"/>
    <s v="PROD972"/>
    <s v="USA"/>
    <s v="5/15/2023"/>
    <s v="1/25/2024"/>
    <n v="1"/>
    <s v="active"/>
    <s v="7/24/2025"/>
    <s v=" $469.38 "/>
    <n v="4"/>
    <n v="19"/>
    <s v="Home"/>
    <s v="Tennis Racket"/>
    <s v="Sports"/>
    <x v="1"/>
    <n v="1877.52"/>
    <s v="Misaligned"/>
    <s v="65+ Seniors"/>
    <s v="High Value Tier"/>
    <s v="Stable"/>
  </r>
  <r>
    <s v="ORD5773"/>
    <s v="CUST1773"/>
    <n v="30"/>
    <s v="PROD973"/>
    <s v="UK"/>
    <s v="3/31/2022"/>
    <s v="1/25/2023"/>
    <n v="2"/>
    <s v="active"/>
    <s v="8/29/2022"/>
    <s v=" $1,603.98 "/>
    <n v="1"/>
    <n v="11"/>
    <s v="Beauty"/>
    <s v="Running Shoes"/>
    <s v="Sports"/>
    <x v="0"/>
    <n v="1603.98"/>
    <s v="Misaligned"/>
    <s v="25-34 Millennials"/>
    <s v="High Value Tier"/>
    <s v="Stable"/>
  </r>
  <r>
    <s v="ORD5774"/>
    <s v="CUST1774"/>
    <n v="50"/>
    <s v="PROD974"/>
    <s v="USA"/>
    <s v="3/14/2021"/>
    <d v="2021-08-06T00:00:00"/>
    <n v="4"/>
    <s v="active"/>
    <d v="2023-02-11T00:00:00"/>
    <s v=" $94.71 "/>
    <n v="9"/>
    <n v="35"/>
    <s v="Sports"/>
    <s v="Chair"/>
    <s v="Home"/>
    <x v="2"/>
    <n v="852.39"/>
    <s v="Misaligned"/>
    <s v="50-64 Boomers"/>
    <s v="High Value Tier"/>
    <s v="Critical Risk"/>
  </r>
  <r>
    <s v="ORD5775"/>
    <s v="CUST1775"/>
    <n v="47"/>
    <s v="PROD975"/>
    <s v="India"/>
    <s v="12/27/2020"/>
    <s v="10/21/2024"/>
    <n v="2"/>
    <s v="active"/>
    <d v="2023-10-10T00:00:00"/>
    <s v=" $356.64 "/>
    <n v="3"/>
    <n v="10"/>
    <s v="Electronics"/>
    <s v="Sofa"/>
    <s v="Home"/>
    <x v="1"/>
    <n v="1069.92"/>
    <s v="Misaligned"/>
    <s v="35-49 Gen X"/>
    <s v="High Value Tier"/>
    <s v="Stable"/>
  </r>
  <r>
    <s v="ORD5776"/>
    <s v="CUST1776"/>
    <n v="46"/>
    <s v="PROD976"/>
    <s v="Pakistan"/>
    <d v="2022-07-07T00:00:00"/>
    <d v="2024-10-01T00:00:00"/>
    <n v="2"/>
    <s v="cancelled"/>
    <s v="9/30/2022"/>
    <s v=" $1,866.70 "/>
    <n v="1"/>
    <n v="22"/>
    <s v="Beauty"/>
    <s v="Perfume"/>
    <s v="Beauty"/>
    <x v="0"/>
    <n v="1866.7"/>
    <s v="Aligned"/>
    <s v="35-49 Gen X"/>
    <s v="High Value Tier"/>
    <s v="Stable"/>
  </r>
  <r>
    <s v="ORD5777"/>
    <s v="CUST1777"/>
    <n v="34"/>
    <s v="PROD977"/>
    <s v="USA"/>
    <s v="3/18/2023"/>
    <s v="6/19/2023"/>
    <n v="0"/>
    <s v="active"/>
    <s v="12/29/2024"/>
    <s v=" $163.70 "/>
    <n v="9"/>
    <n v="14"/>
    <s v="Clothing"/>
    <s v="Moisturizer"/>
    <s v="Beauty"/>
    <x v="0"/>
    <n v="1473.3"/>
    <s v="Misaligned"/>
    <s v="25-34 Millennials"/>
    <s v="High Value Tier"/>
    <s v="Stable"/>
  </r>
  <r>
    <s v="ORD5778"/>
    <s v="CUST1778"/>
    <n v="45"/>
    <s v="PROD978"/>
    <s v="Pakistan"/>
    <d v="2020-11-11T00:00:00"/>
    <s v="10/18/2022"/>
    <n v="4"/>
    <s v="cancelled"/>
    <s v="12/17/2021"/>
    <s v=" $155.82 "/>
    <n v="4"/>
    <n v="12"/>
    <s v="Sports"/>
    <s v="Cycling Helmet"/>
    <s v="Sports"/>
    <x v="0"/>
    <n v="623.28"/>
    <s v="Aligned"/>
    <s v="35-49 Gen X"/>
    <s v="High Value Tier"/>
    <s v="Stable"/>
  </r>
  <r>
    <s v="ORD5779"/>
    <s v="CUST1779"/>
    <n v="48"/>
    <s v="PROD979"/>
    <s v="UK"/>
    <s v="7/22/2022"/>
    <s v="6/23/2025"/>
    <n v="0"/>
    <s v="paused"/>
    <s v="9/18/2023"/>
    <s v=" $106.10 "/>
    <n v="8"/>
    <n v="4"/>
    <s v="Clothing"/>
    <s v="Refrigerator"/>
    <s v="Home"/>
    <x v="1"/>
    <n v="848.8"/>
    <s v="Misaligned"/>
    <s v="35-49 Gen X"/>
    <s v="High Value Tier"/>
    <s v="Elevated Risk"/>
  </r>
  <r>
    <s v="ORD5780"/>
    <s v="CUST1780"/>
    <n v="22"/>
    <s v="PROD980"/>
    <s v="India"/>
    <s v="12/26/2021"/>
    <d v="2023-11-04T00:00:00"/>
    <n v="4"/>
    <s v="active"/>
    <s v="2/18/2022"/>
    <s v=" $1,612.53 "/>
    <n v="1"/>
    <n v="17"/>
    <s v="Electronics"/>
    <s v="Conditioner"/>
    <s v="Beauty"/>
    <x v="0"/>
    <n v="1612.53"/>
    <s v="Misaligned"/>
    <s v="18-24 Gen Z"/>
    <s v="High Value Tier"/>
    <s v="Critical Risk"/>
  </r>
  <r>
    <s v="ORD5781"/>
    <s v="CUST1781"/>
    <n v="25"/>
    <s v="PROD981"/>
    <s v="USA"/>
    <d v="2022-11-02T00:00:00"/>
    <s v="4/25/2022"/>
    <n v="1"/>
    <s v="active"/>
    <d v="2022-03-12T00:00:00"/>
    <s v=" $62.63 "/>
    <n v="9"/>
    <n v="25"/>
    <s v="Electronics"/>
    <s v="Camera"/>
    <s v="Electronics"/>
    <x v="0"/>
    <n v="563.66999999999996"/>
    <s v="Aligned"/>
    <s v="25-34 Millennials"/>
    <s v="High Value Tier"/>
    <s v="Stable"/>
  </r>
  <r>
    <s v="ORD5782"/>
    <s v="CUST1782"/>
    <n v="57"/>
    <s v="PROD982"/>
    <s v="India"/>
    <d v="2023-06-07T00:00:00"/>
    <s v="6/20/2024"/>
    <n v="2"/>
    <s v="active"/>
    <s v="9/13/2023"/>
    <s v=" $119.67 "/>
    <n v="8"/>
    <n v="27"/>
    <s v="Electronics"/>
    <s v="Laptop"/>
    <s v="Electronics"/>
    <x v="0"/>
    <n v="957.36"/>
    <s v="Aligned"/>
    <s v="50-64 Boomers"/>
    <s v="High Value Tier"/>
    <s v="Stable"/>
  </r>
  <r>
    <s v="ORD5783"/>
    <s v="CUST1783"/>
    <n v="47"/>
    <s v="PROD983"/>
    <s v="Pakistan"/>
    <s v="7/24/2022"/>
    <d v="2023-01-08T00:00:00"/>
    <n v="1"/>
    <s v="active"/>
    <s v="1/25/2023"/>
    <s v=" $521.39 "/>
    <n v="2"/>
    <n v="45"/>
    <s v="Electronics"/>
    <s v="Dumbbells"/>
    <s v="Sports"/>
    <x v="1"/>
    <n v="1042.78"/>
    <s v="Misaligned"/>
    <s v="35-49 Gen X"/>
    <s v="High Value Tier"/>
    <s v="Stable"/>
  </r>
  <r>
    <s v="ORD5784"/>
    <s v="CUST1784"/>
    <n v="50"/>
    <s v="PROD984"/>
    <s v="UK"/>
    <d v="2023-09-03T00:00:00"/>
    <d v="2024-02-11T00:00:00"/>
    <n v="5"/>
    <s v="paused"/>
    <d v="2023-12-03T00:00:00"/>
    <s v=" $206.37 "/>
    <n v="9"/>
    <n v="8"/>
    <s v="Clothing"/>
    <s v="Foundation"/>
    <s v="Beauty"/>
    <x v="0"/>
    <n v="1857.33"/>
    <s v="Misaligned"/>
    <s v="50-64 Boomers"/>
    <s v="High Value Tier"/>
    <s v="Elevated Risk"/>
  </r>
  <r>
    <s v="ORD5785"/>
    <s v="CUST1785"/>
    <n v="43"/>
    <s v="PROD985"/>
    <s v="India"/>
    <d v="2023-11-04T00:00:00"/>
    <s v="7/13/2024"/>
    <n v="1"/>
    <s v="active"/>
    <s v="10/31/2023"/>
    <s v=" $415.32 "/>
    <n v="4"/>
    <n v="17"/>
    <s v="Sports"/>
    <s v="Nail Polish"/>
    <s v="Beauty"/>
    <x v="1"/>
    <n v="1661.28"/>
    <s v="Misaligned"/>
    <s v="35-49 Gen X"/>
    <s v="High Value Tier"/>
    <s v="Stable"/>
  </r>
  <r>
    <s v="ORD5786"/>
    <s v="CUST1786"/>
    <n v="31"/>
    <s v="PROD986"/>
    <s v="Germany"/>
    <s v="8/16/2021"/>
    <d v="2025-08-07T00:00:00"/>
    <n v="5"/>
    <s v="active"/>
    <s v="4/14/2024"/>
    <s v=" $591.74 "/>
    <n v="2"/>
    <n v="27"/>
    <s v="Clothing"/>
    <s v="Headphones"/>
    <s v="Electronics"/>
    <x v="1"/>
    <n v="1183.48"/>
    <s v="Misaligned"/>
    <s v="25-34 Millennials"/>
    <s v="High Value Tier"/>
    <s v="Critical Risk"/>
  </r>
  <r>
    <s v="ORD5787"/>
    <s v="CUST1787"/>
    <n v="47"/>
    <s v="PROD987"/>
    <s v="Canada"/>
    <s v="5/19/2022"/>
    <s v="7/20/2024"/>
    <n v="3"/>
    <s v="cancelled"/>
    <d v="2025-12-03T00:00:00"/>
    <s v=" $80.74 "/>
    <n v="8"/>
    <n v="33"/>
    <s v="Home"/>
    <s v="Dress"/>
    <s v="Clothing"/>
    <x v="0"/>
    <n v="645.91999999999996"/>
    <s v="Misaligned"/>
    <s v="35-49 Gen X"/>
    <s v="High Value Tier"/>
    <s v="Stable"/>
  </r>
  <r>
    <s v="ORD5788"/>
    <s v="CUST1788"/>
    <n v="24"/>
    <s v="PROD988"/>
    <s v="Canada"/>
    <s v="1/20/2021"/>
    <s v="1/28/2023"/>
    <n v="2"/>
    <s v="active"/>
    <s v="5/21/2024"/>
    <s v=" $306.56 "/>
    <n v="6"/>
    <n v="3"/>
    <s v="Sports"/>
    <s v="Nail Polish"/>
    <s v="Beauty"/>
    <x v="0"/>
    <n v="1839.36"/>
    <s v="Misaligned"/>
    <s v="18-24 Gen Z"/>
    <s v="High Value Tier"/>
    <s v="Stable"/>
  </r>
  <r>
    <s v="ORD5789"/>
    <s v="CUST1789"/>
    <n v="21"/>
    <s v="PROD989"/>
    <s v="Canada"/>
    <s v="8/15/2022"/>
    <d v="2025-06-03T00:00:00"/>
    <n v="4"/>
    <s v="cancelled"/>
    <s v="10/19/2022"/>
    <s v=" $355.84 "/>
    <n v="5"/>
    <n v="34"/>
    <s v="Beauty"/>
    <s v="Gaming Console"/>
    <s v="Electronics"/>
    <x v="0"/>
    <n v="1779.2"/>
    <s v="Misaligned"/>
    <s v="18-24 Gen Z"/>
    <s v="High Value Tier"/>
    <s v="Stable"/>
  </r>
  <r>
    <s v="ORD5790"/>
    <s v="CUST1790"/>
    <n v="61"/>
    <s v="PROD990"/>
    <s v="Pakistan"/>
    <d v="2021-02-08T00:00:00"/>
    <s v="4/24/2023"/>
    <n v="4"/>
    <s v="paused"/>
    <d v="2024-03-08T00:00:00"/>
    <s v=" $1,830.76 "/>
    <n v="1"/>
    <n v="38"/>
    <s v="Clothing"/>
    <s v="Refrigerator"/>
    <s v="Home"/>
    <x v="0"/>
    <n v="1830.76"/>
    <s v="Misaligned"/>
    <s v="50-64 Boomers"/>
    <s v="High Value Tier"/>
    <s v="Elevated Risk"/>
  </r>
  <r>
    <s v="ORD5791"/>
    <s v="CUST1791"/>
    <n v="30"/>
    <s v="PROD991"/>
    <s v="Pakistan"/>
    <s v="3/29/2021"/>
    <d v="2023-11-12T00:00:00"/>
    <n v="2"/>
    <s v="active"/>
    <s v="8/29/2022"/>
    <s v=" $160.18 "/>
    <n v="7"/>
    <n v="5"/>
    <s v="Clothing"/>
    <s v="Conditioner"/>
    <s v="Beauty"/>
    <x v="1"/>
    <n v="1121.26"/>
    <s v="Misaligned"/>
    <s v="25-34 Millennials"/>
    <s v="High Value Tier"/>
    <s v="Stable"/>
  </r>
  <r>
    <s v="ORD5792"/>
    <s v="CUST1792"/>
    <n v="40"/>
    <s v="PROD992"/>
    <s v="India"/>
    <s v="3/16/2023"/>
    <s v="2/16/2024"/>
    <n v="0"/>
    <s v="active"/>
    <d v="2023-08-11T00:00:00"/>
    <s v=" $617.63 "/>
    <n v="3"/>
    <n v="24"/>
    <s v="Beauty"/>
    <s v="Face Wash"/>
    <s v="Beauty"/>
    <x v="0"/>
    <n v="1852.89"/>
    <s v="Aligned"/>
    <s v="35-49 Gen X"/>
    <s v="High Value Tier"/>
    <s v="Stable"/>
  </r>
  <r>
    <s v="ORD5793"/>
    <s v="CUST1793"/>
    <n v="50"/>
    <s v="PROD993"/>
    <s v="India"/>
    <s v="9/21/2021"/>
    <s v="3/15/2022"/>
    <n v="2"/>
    <s v="cancelled"/>
    <s v="3/19/2023"/>
    <s v=" $535.52 "/>
    <n v="3"/>
    <n v="1"/>
    <s v="Electronics"/>
    <s v="Football"/>
    <s v="Sports"/>
    <x v="0"/>
    <n v="1606.56"/>
    <s v="Misaligned"/>
    <s v="50-64 Boomers"/>
    <s v="Core Tier"/>
    <s v="Stable"/>
  </r>
  <r>
    <s v="ORD5794"/>
    <s v="CUST1794"/>
    <n v="67"/>
    <s v="PROD994"/>
    <s v="India"/>
    <s v="10/15/2020"/>
    <d v="2025-10-08T00:00:00"/>
    <n v="2"/>
    <s v="cancelled"/>
    <s v="5/29/2021"/>
    <s v=" $182.19 "/>
    <n v="5"/>
    <n v="19"/>
    <s v="Home"/>
    <s v="Sneakers"/>
    <s v="Clothing"/>
    <x v="1"/>
    <n v="910.95"/>
    <s v="Misaligned"/>
    <s v="65+ Seniors"/>
    <s v="High Value Tier"/>
    <s v="Stable"/>
  </r>
  <r>
    <s v="ORD5795"/>
    <s v="CUST1795"/>
    <n v="46"/>
    <s v="PROD995"/>
    <s v="UK"/>
    <d v="2023-04-03T00:00:00"/>
    <d v="2024-03-05T00:00:00"/>
    <n v="2"/>
    <s v="active"/>
    <s v="11/14/2024"/>
    <s v=" $93.02 "/>
    <n v="4"/>
    <n v="41"/>
    <s v="Home"/>
    <s v="Refrigerator"/>
    <s v="Home"/>
    <x v="0"/>
    <n v="372.08"/>
    <s v="Aligned"/>
    <s v="35-49 Gen X"/>
    <s v="High Value Tier"/>
    <s v="Stable"/>
  </r>
  <r>
    <s v="ORD5796"/>
    <s v="CUST1796"/>
    <n v="20"/>
    <s v="PROD996"/>
    <s v="Canada"/>
    <s v="1/22/2022"/>
    <d v="2023-05-06T00:00:00"/>
    <n v="1"/>
    <s v="active"/>
    <s v="11/29/2022"/>
    <s v=" $166.00 "/>
    <n v="8"/>
    <n v="39"/>
    <s v="Beauty"/>
    <s v="Dining Table"/>
    <s v="Home"/>
    <x v="1"/>
    <n v="1328"/>
    <s v="Misaligned"/>
    <s v="18-24 Gen Z"/>
    <s v="High Value Tier"/>
    <s v="Stable"/>
  </r>
  <r>
    <s v="ORD5797"/>
    <s v="CUST1797"/>
    <n v="54"/>
    <s v="PROD997"/>
    <s v="India"/>
    <s v="2/15/2021"/>
    <d v="2022-09-09T00:00:00"/>
    <n v="0"/>
    <s v="active"/>
    <s v="12/31/2022"/>
    <s v=" $70.69 "/>
    <n v="6"/>
    <n v="38"/>
    <s v="Sports"/>
    <s v="Sofa"/>
    <s v="Home"/>
    <x v="0"/>
    <n v="424.14"/>
    <s v="Misaligned"/>
    <s v="50-64 Boomers"/>
    <s v="High Value Tier"/>
    <s v="Stable"/>
  </r>
  <r>
    <s v="ORD5798"/>
    <s v="CUST1798"/>
    <n v="42"/>
    <s v="PROD998"/>
    <s v="UK"/>
    <d v="2021-08-02T00:00:00"/>
    <s v="1/17/2025"/>
    <n v="1"/>
    <s v="cancelled"/>
    <s v="12/16/2024"/>
    <s v=" $389.13 "/>
    <n v="4"/>
    <n v="38"/>
    <s v="Sports"/>
    <s v="Running Shoes"/>
    <s v="Sports"/>
    <x v="0"/>
    <n v="1556.52"/>
    <s v="Aligned"/>
    <s v="35-49 Gen X"/>
    <s v="High Value Tier"/>
    <s v="Stable"/>
  </r>
  <r>
    <s v="ORD5799"/>
    <s v="CUST1799"/>
    <n v="49"/>
    <s v="PROD999"/>
    <s v="Germany"/>
    <s v="7/26/2022"/>
    <d v="2023-06-04T00:00:00"/>
    <n v="3"/>
    <s v="active"/>
    <s v="9/18/2023"/>
    <s v=" $775.47 "/>
    <n v="1"/>
    <n v="36"/>
    <s v="Home"/>
    <s v="Yoga Mat"/>
    <s v="Sports"/>
    <x v="1"/>
    <n v="775.47"/>
    <s v="Misaligned"/>
    <s v="35-49 Gen X"/>
    <s v="High Value Tier"/>
    <s v="Stable"/>
  </r>
  <r>
    <s v="ORD5800"/>
    <s v="CUST1800"/>
    <n v="46"/>
    <s v="PROD1000"/>
    <s v="UK"/>
    <s v="4/30/2022"/>
    <d v="2024-09-05T00:00:00"/>
    <n v="2"/>
    <s v="active"/>
    <s v="1/13/2023"/>
    <s v=" $275.37 "/>
    <n v="6"/>
    <n v="30"/>
    <s v="Sports"/>
    <s v="Smartphone"/>
    <s v="Electronics"/>
    <x v="0"/>
    <n v="1652.22"/>
    <s v="Misaligned"/>
    <s v="35-49 Gen X"/>
    <s v="High Value Tier"/>
    <s v="Stable"/>
  </r>
  <r>
    <s v="ORD5801"/>
    <s v="CUST1801"/>
    <n v="24"/>
    <s v="PROD1001"/>
    <s v="UK"/>
    <s v="4/20/2021"/>
    <s v="10/15/2024"/>
    <n v="2"/>
    <s v="active"/>
    <s v="10/21/2023"/>
    <s v=" $70.36 "/>
    <n v="8"/>
    <n v="45"/>
    <s v="Home"/>
    <s v="Shirt"/>
    <s v="Clothing"/>
    <x v="0"/>
    <n v="562.88"/>
    <s v="Misaligned"/>
    <s v="18-24 Gen Z"/>
    <s v="High Value Tier"/>
    <s v="Stable"/>
  </r>
  <r>
    <s v="ORD5802"/>
    <s v="CUST1802"/>
    <n v="19"/>
    <s v="PROD1002"/>
    <s v="UK"/>
    <s v="11/15/2022"/>
    <s v="7/15/2025"/>
    <n v="1"/>
    <s v="active"/>
    <s v="5/24/2023"/>
    <s v=" $584.12 "/>
    <n v="2"/>
    <n v="38"/>
    <s v="Clothing"/>
    <s v="Nail Polish"/>
    <s v="Beauty"/>
    <x v="1"/>
    <n v="1168.24"/>
    <s v="Misaligned"/>
    <s v="18-24 Gen Z"/>
    <s v="High Value Tier"/>
    <s v="Stable"/>
  </r>
  <r>
    <s v="ORD5803"/>
    <s v="CUST1803"/>
    <n v="65"/>
    <s v="PROD1003"/>
    <s v="Canada"/>
    <d v="2021-03-04T00:00:00"/>
    <d v="2024-12-08T00:00:00"/>
    <n v="1"/>
    <s v="cancelled"/>
    <s v="1/30/2022"/>
    <s v=" $275.07 "/>
    <n v="7"/>
    <n v="25"/>
    <s v="Sports"/>
    <s v="Moisturizer"/>
    <s v="Beauty"/>
    <x v="1"/>
    <n v="1925.49"/>
    <s v="Misaligned"/>
    <s v="65+ Seniors"/>
    <s v="High Value Tier"/>
    <s v="Stable"/>
  </r>
  <r>
    <s v="ORD5804"/>
    <s v="CUST1804"/>
    <n v="19"/>
    <s v="PROD1004"/>
    <s v="USA"/>
    <s v="11/20/2021"/>
    <s v="5/13/2023"/>
    <n v="3"/>
    <s v="active"/>
    <d v="2022-02-07T00:00:00"/>
    <s v=" $228.54 "/>
    <n v="6"/>
    <n v="18"/>
    <s v="Beauty"/>
    <s v="Blender"/>
    <s v="Home"/>
    <x v="1"/>
    <n v="1371.24"/>
    <s v="Misaligned"/>
    <s v="18-24 Gen Z"/>
    <s v="High Value Tier"/>
    <s v="Stable"/>
  </r>
  <r>
    <s v="ORD5805"/>
    <s v="CUST1805"/>
    <n v="42"/>
    <s v="PROD1005"/>
    <s v="Germany"/>
    <d v="2023-12-01T00:00:00"/>
    <s v="2/13/2024"/>
    <n v="2"/>
    <s v="cancelled"/>
    <d v="2024-03-10T00:00:00"/>
    <s v=" $206.83 "/>
    <n v="6"/>
    <n v="3"/>
    <s v="Home"/>
    <s v="Chair"/>
    <s v="Home"/>
    <x v="0"/>
    <n v="1240.98"/>
    <s v="Aligned"/>
    <s v="35-49 Gen X"/>
    <s v="High Value Tier"/>
    <s v="Stable"/>
  </r>
  <r>
    <s v="ORD5806"/>
    <s v="CUST1806"/>
    <n v="30"/>
    <s v="PROD1006"/>
    <s v="Pakistan"/>
    <s v="9/15/2022"/>
    <s v="10/26/2022"/>
    <n v="1"/>
    <s v="active"/>
    <s v="7/13/2023"/>
    <s v=" $164.25 "/>
    <n v="3"/>
    <n v="8"/>
    <s v="Sports"/>
    <s v="Shampoo"/>
    <s v="Beauty"/>
    <x v="1"/>
    <n v="492.75"/>
    <s v="Misaligned"/>
    <s v="25-34 Millennials"/>
    <s v="High Value Tier"/>
    <s v="Stable"/>
  </r>
  <r>
    <s v="ORD5807"/>
    <s v="CUST1807"/>
    <n v="54"/>
    <s v="PROD1007"/>
    <s v="India"/>
    <s v="4/24/2023"/>
    <s v="5/15/2024"/>
    <n v="5"/>
    <s v="paused"/>
    <d v="2025-03-07T00:00:00"/>
    <s v=" $59.56 "/>
    <n v="9"/>
    <n v="15"/>
    <s v="Sports"/>
    <s v="Dumbbells"/>
    <s v="Sports"/>
    <x v="0"/>
    <n v="536.04"/>
    <s v="Aligned"/>
    <s v="50-64 Boomers"/>
    <s v="High Value Tier"/>
    <s v="Elevated Risk"/>
  </r>
  <r>
    <s v="ORD5808"/>
    <s v="CUST1808"/>
    <n v="68"/>
    <s v="PROD1008"/>
    <s v="Germany"/>
    <s v="6/18/2021"/>
    <s v="4/28/2023"/>
    <n v="0"/>
    <s v="active"/>
    <d v="2021-11-09T00:00:00"/>
    <s v=" $321.07 "/>
    <n v="6"/>
    <n v="37"/>
    <s v="Clothing"/>
    <s v="Football"/>
    <s v="Sports"/>
    <x v="1"/>
    <n v="1926.42"/>
    <s v="Misaligned"/>
    <s v="65+ Seniors"/>
    <s v="High Value Tier"/>
    <s v="Stable"/>
  </r>
  <r>
    <s v="ORD5809"/>
    <s v="CUST1809"/>
    <n v="39"/>
    <s v="PROD1009"/>
    <s v="India"/>
    <d v="2021-08-07T00:00:00"/>
    <s v="7/15/2023"/>
    <n v="5"/>
    <s v="cancelled"/>
    <d v="2023-10-07T00:00:00"/>
    <s v=" $1,727.60 "/>
    <n v="1"/>
    <n v="38"/>
    <s v="Electronics"/>
    <s v="Smartphone"/>
    <s v="Electronics"/>
    <x v="1"/>
    <n v="1727.6"/>
    <s v="Aligned"/>
    <s v="35-49 Gen X"/>
    <s v="High Value Tier"/>
    <s v="Stable"/>
  </r>
  <r>
    <s v="ORD5810"/>
    <s v="CUST1810"/>
    <n v="39"/>
    <s v="PROD1010"/>
    <s v="UK"/>
    <s v="9/24/2021"/>
    <s v="4/23/2024"/>
    <n v="5"/>
    <s v="active"/>
    <s v="9/22/2022"/>
    <s v=" $636.40 "/>
    <n v="1"/>
    <n v="38"/>
    <s v="Clothing"/>
    <s v="Perfume"/>
    <s v="Beauty"/>
    <x v="1"/>
    <n v="636.4"/>
    <s v="Misaligned"/>
    <s v="35-49 Gen X"/>
    <s v="High Value Tier"/>
    <s v="Critical Risk"/>
  </r>
  <r>
    <s v="ORD5811"/>
    <s v="CUST1811"/>
    <n v="19"/>
    <s v="PROD1011"/>
    <s v="USA"/>
    <s v="11/18/2022"/>
    <d v="2023-04-04T00:00:00"/>
    <n v="1"/>
    <s v="active"/>
    <s v="4/28/2024"/>
    <s v=" $3.22 "/>
    <n v="8"/>
    <n v="29"/>
    <s v="Beauty"/>
    <s v="Shirt"/>
    <s v="Clothing"/>
    <x v="1"/>
    <n v="25.76"/>
    <s v="Misaligned"/>
    <s v="18-24 Gen Z"/>
    <s v="Value Tier"/>
    <s v="Stable"/>
  </r>
  <r>
    <s v="ORD5812"/>
    <s v="CUST1812"/>
    <n v="31"/>
    <s v="PROD1012"/>
    <s v="India"/>
    <d v="2021-09-06T00:00:00"/>
    <d v="2022-04-08T00:00:00"/>
    <n v="3"/>
    <s v="paused"/>
    <d v="2022-05-05T00:00:00"/>
    <s v=" $412.53 "/>
    <n v="3"/>
    <n v="15"/>
    <s v="Sports"/>
    <s v="Dining Table"/>
    <s v="Home"/>
    <x v="1"/>
    <n v="1237.5899999999999"/>
    <s v="Misaligned"/>
    <s v="25-34 Millennials"/>
    <s v="High Value Tier"/>
    <s v="Elevated Risk"/>
  </r>
  <r>
    <s v="ORD5813"/>
    <s v="CUST1813"/>
    <n v="36"/>
    <s v="PROD1013"/>
    <s v="Germany"/>
    <d v="2023-06-02T00:00:00"/>
    <s v="2/15/2023"/>
    <n v="0"/>
    <s v="active"/>
    <s v="12/16/2023"/>
    <s v=" $6.28 "/>
    <n v="6"/>
    <n v="23"/>
    <s v="Home"/>
    <s v="Jacket"/>
    <s v="Clothing"/>
    <x v="0"/>
    <n v="37.68"/>
    <s v="Misaligned"/>
    <s v="35-49 Gen X"/>
    <s v="Core Tier"/>
    <s v="Stable"/>
  </r>
  <r>
    <s v="ORD5814"/>
    <s v="CUST1814"/>
    <n v="48"/>
    <s v="PROD1014"/>
    <s v="USA"/>
    <s v="9/13/2020"/>
    <d v="2023-11-07T00:00:00"/>
    <n v="4"/>
    <s v="active"/>
    <s v="10/29/2022"/>
    <s v=" $220.15 "/>
    <n v="4"/>
    <n v="11"/>
    <s v="Sports"/>
    <s v="Lipstick"/>
    <s v="Beauty"/>
    <x v="0"/>
    <n v="880.6"/>
    <s v="Misaligned"/>
    <s v="35-49 Gen X"/>
    <s v="High Value Tier"/>
    <s v="Critical Risk"/>
  </r>
  <r>
    <s v="ORD5815"/>
    <s v="CUST1815"/>
    <n v="32"/>
    <s v="PROD1015"/>
    <s v="India"/>
    <s v="4/20/2022"/>
    <s v="12/19/2022"/>
    <n v="1"/>
    <s v="active"/>
    <s v="6/21/2024"/>
    <s v=" $386.61 "/>
    <n v="3"/>
    <n v="13"/>
    <s v="Beauty"/>
    <s v="Shirt"/>
    <s v="Clothing"/>
    <x v="1"/>
    <n v="1159.83"/>
    <s v="Misaligned"/>
    <s v="25-34 Millennials"/>
    <s v="High Value Tier"/>
    <s v="Stable"/>
  </r>
  <r>
    <s v="ORD5816"/>
    <s v="CUST1816"/>
    <n v="66"/>
    <s v="PROD1016"/>
    <s v="UK"/>
    <d v="2022-04-12T00:00:00"/>
    <s v="7/16/2024"/>
    <n v="1"/>
    <s v="active"/>
    <d v="2025-09-01T00:00:00"/>
    <s v=" $133.37 "/>
    <n v="8"/>
    <n v="33"/>
    <s v="Clothing"/>
    <s v="Jacket"/>
    <s v="Clothing"/>
    <x v="1"/>
    <n v="1066.96"/>
    <s v="Aligned"/>
    <s v="65+ Seniors"/>
    <s v="High Value Tier"/>
    <s v="Stable"/>
  </r>
  <r>
    <s v="ORD5817"/>
    <s v="CUST1817"/>
    <n v="46"/>
    <s v="PROD1017"/>
    <s v="Germany"/>
    <d v="2022-11-06T00:00:00"/>
    <s v="2/21/2024"/>
    <n v="4"/>
    <s v="paused"/>
    <d v="2023-02-05T00:00:00"/>
    <s v=" $159.66 "/>
    <n v="8"/>
    <n v="27"/>
    <s v="Beauty"/>
    <s v="Smartwatch"/>
    <s v="Electronics"/>
    <x v="0"/>
    <n v="1277.28"/>
    <s v="Misaligned"/>
    <s v="35-49 Gen X"/>
    <s v="High Value Tier"/>
    <s v="Elevated Risk"/>
  </r>
  <r>
    <s v="ORD5818"/>
    <s v="CUST1818"/>
    <n v="47"/>
    <s v="PROD1018"/>
    <s v="Germany"/>
    <s v="3/26/2021"/>
    <s v="11/23/2024"/>
    <n v="1"/>
    <s v="paused"/>
    <d v="2023-08-03T00:00:00"/>
    <s v=" $777.63 "/>
    <n v="2"/>
    <n v="5"/>
    <s v="Clothing"/>
    <s v="Moisturizer"/>
    <s v="Beauty"/>
    <x v="1"/>
    <n v="1555.26"/>
    <s v="Misaligned"/>
    <s v="35-49 Gen X"/>
    <s v="High Value Tier"/>
    <s v="Elevated Risk"/>
  </r>
  <r>
    <s v="ORD5819"/>
    <s v="CUST1819"/>
    <n v="65"/>
    <s v="PROD1019"/>
    <s v="Canada"/>
    <s v="5/20/2023"/>
    <s v="5/14/2025"/>
    <n v="0"/>
    <s v="active"/>
    <s v="7/23/2023"/>
    <s v=" $160.33 "/>
    <n v="8"/>
    <n v="49"/>
    <s v="Electronics"/>
    <s v="Tennis Racket"/>
    <s v="Sports"/>
    <x v="0"/>
    <n v="1282.6400000000001"/>
    <s v="Misaligned"/>
    <s v="65+ Seniors"/>
    <s v="High Value Tier"/>
    <s v="Stable"/>
  </r>
  <r>
    <s v="ORD5820"/>
    <s v="CUST1820"/>
    <n v="36"/>
    <s v="PROD1020"/>
    <s v="USA"/>
    <s v="2/22/2021"/>
    <s v="4/21/2023"/>
    <n v="3"/>
    <s v="cancelled"/>
    <s v="7/29/2021"/>
    <s v=" $281.82 "/>
    <n v="6"/>
    <n v="38"/>
    <s v="Electronics"/>
    <s v="Lipstick"/>
    <s v="Beauty"/>
    <x v="0"/>
    <n v="1690.92"/>
    <s v="Misaligned"/>
    <s v="35-49 Gen X"/>
    <s v="High Value Tier"/>
    <s v="Stable"/>
  </r>
  <r>
    <s v="ORD5821"/>
    <s v="CUST1821"/>
    <n v="54"/>
    <s v="PROD1021"/>
    <s v="Canada"/>
    <d v="2021-05-10T00:00:00"/>
    <d v="2023-11-07T00:00:00"/>
    <n v="2"/>
    <s v="active"/>
    <d v="2022-06-05T00:00:00"/>
    <s v=" $32.79 "/>
    <n v="5"/>
    <n v="8"/>
    <s v="Sports"/>
    <s v="Foundation"/>
    <s v="Beauty"/>
    <x v="1"/>
    <n v="163.95"/>
    <s v="Misaligned"/>
    <s v="50-64 Boomers"/>
    <s v="Core Tier"/>
    <s v="Stable"/>
  </r>
  <r>
    <s v="ORD5822"/>
    <s v="CUST1822"/>
    <n v="67"/>
    <s v="PROD1022"/>
    <s v="USA"/>
    <s v="12/17/2022"/>
    <d v="2023-11-09T00:00:00"/>
    <n v="0"/>
    <s v="active"/>
    <d v="2024-10-10T00:00:00"/>
    <s v=" $64.02 "/>
    <n v="9"/>
    <n v="49"/>
    <s v="Beauty"/>
    <s v="Shampoo"/>
    <s v="Beauty"/>
    <x v="1"/>
    <n v="576.17999999999995"/>
    <s v="Aligned"/>
    <s v="65+ Seniors"/>
    <s v="High Value Tier"/>
    <s v="Stable"/>
  </r>
  <r>
    <s v="ORD5823"/>
    <s v="CUST1823"/>
    <n v="65"/>
    <s v="PROD1023"/>
    <s v="Canada"/>
    <d v="2021-04-11T00:00:00"/>
    <s v="2/16/2025"/>
    <n v="5"/>
    <s v="active"/>
    <d v="2022-08-04T00:00:00"/>
    <s v=" $219.25 "/>
    <n v="6"/>
    <n v="7"/>
    <s v="Clothing"/>
    <s v="Vacuum Cleaner"/>
    <s v="Home"/>
    <x v="0"/>
    <n v="1315.5"/>
    <s v="Misaligned"/>
    <s v="65+ Seniors"/>
    <s v="High Value Tier"/>
    <s v="Critical Risk"/>
  </r>
  <r>
    <s v="ORD5824"/>
    <s v="CUST1824"/>
    <n v="36"/>
    <s v="PROD1024"/>
    <s v="Germany"/>
    <d v="2022-03-10T00:00:00"/>
    <s v="7/29/2025"/>
    <n v="3"/>
    <s v="cancelled"/>
    <s v="7/30/2025"/>
    <s v=" $240.97 "/>
    <n v="3"/>
    <n v="12"/>
    <s v="Home"/>
    <s v="Headphones"/>
    <s v="Electronics"/>
    <x v="0"/>
    <n v="722.91"/>
    <s v="Misaligned"/>
    <s v="35-49 Gen X"/>
    <s v="High Value Tier"/>
    <s v="Stable"/>
  </r>
  <r>
    <s v="ORD5825"/>
    <s v="CUST1825"/>
    <n v="59"/>
    <s v="PROD1025"/>
    <s v="Germany"/>
    <s v="11/17/2022"/>
    <d v="2023-10-04T00:00:00"/>
    <n v="0"/>
    <s v="cancelled"/>
    <d v="2024-06-08T00:00:00"/>
    <s v=" $109.65 "/>
    <n v="8"/>
    <n v="33"/>
    <s v="Sports"/>
    <s v="Lipstick"/>
    <s v="Beauty"/>
    <x v="2"/>
    <n v="877.2"/>
    <s v="Misaligned"/>
    <s v="50-64 Boomers"/>
    <s v="High Value Tier"/>
    <s v="Stable"/>
  </r>
  <r>
    <s v="ORD5826"/>
    <s v="CUST1826"/>
    <n v="63"/>
    <s v="PROD1026"/>
    <s v="UK"/>
    <d v="2022-05-08T00:00:00"/>
    <d v="2023-11-01T00:00:00"/>
    <n v="5"/>
    <s v="paused"/>
    <d v="2025-12-02T00:00:00"/>
    <s v=" $147.48 "/>
    <n v="4"/>
    <n v="33"/>
    <s v="Electronics"/>
    <s v="Tablet"/>
    <s v="Electronics"/>
    <x v="0"/>
    <n v="589.91999999999996"/>
    <s v="Aligned"/>
    <s v="50-64 Boomers"/>
    <s v="High Value Tier"/>
    <s v="Elevated Risk"/>
  </r>
  <r>
    <s v="ORD5827"/>
    <s v="CUST1827"/>
    <n v="29"/>
    <s v="PROD1027"/>
    <s v="Germany"/>
    <s v="5/26/2022"/>
    <s v="2/19/2023"/>
    <n v="0"/>
    <s v="cancelled"/>
    <s v="5/19/2025"/>
    <s v=" $285.81 "/>
    <n v="4"/>
    <n v="22"/>
    <s v="Sports"/>
    <s v="Shampoo"/>
    <s v="Beauty"/>
    <x v="0"/>
    <n v="1143.24"/>
    <s v="Misaligned"/>
    <s v="25-34 Millennials"/>
    <s v="High Value Tier"/>
    <s v="Stable"/>
  </r>
  <r>
    <s v="ORD5828"/>
    <s v="CUST1828"/>
    <n v="46"/>
    <s v="PROD1028"/>
    <s v="UK"/>
    <d v="2021-08-08T00:00:00"/>
    <s v="1/29/2022"/>
    <n v="4"/>
    <s v="paused"/>
    <d v="2025-05-03T00:00:00"/>
    <s v=" $247.44 "/>
    <n v="2"/>
    <n v="4"/>
    <s v="Electronics"/>
    <s v="Shirt"/>
    <s v="Clothing"/>
    <x v="1"/>
    <n v="494.88"/>
    <s v="Misaligned"/>
    <s v="35-49 Gen X"/>
    <s v="Core Tier"/>
    <s v="Elevated Risk"/>
  </r>
  <r>
    <s v="ORD5829"/>
    <s v="CUST1829"/>
    <n v="61"/>
    <s v="PROD1029"/>
    <s v="Pakistan"/>
    <d v="2020-04-11T00:00:00"/>
    <s v="5/30/2024"/>
    <n v="4"/>
    <s v="active"/>
    <s v="2/28/2025"/>
    <s v=" $392.68 "/>
    <n v="5"/>
    <n v="24"/>
    <s v="Sports"/>
    <s v="Dumbbells"/>
    <s v="Sports"/>
    <x v="1"/>
    <n v="1963.4"/>
    <s v="Aligned"/>
    <s v="50-64 Boomers"/>
    <s v="High Value Tier"/>
    <s v="Critical Risk"/>
  </r>
  <r>
    <s v="ORD5830"/>
    <s v="CUST1830"/>
    <n v="21"/>
    <s v="PROD1030"/>
    <s v="USA"/>
    <d v="2021-09-12T00:00:00"/>
    <s v="10/25/2023"/>
    <n v="1"/>
    <s v="paused"/>
    <d v="2022-12-03T00:00:00"/>
    <s v=" $571.02 "/>
    <n v="2"/>
    <n v="47"/>
    <s v="Beauty"/>
    <s v="Smartwatch"/>
    <s v="Electronics"/>
    <x v="0"/>
    <n v="1142.04"/>
    <s v="Misaligned"/>
    <s v="18-24 Gen Z"/>
    <s v="High Value Tier"/>
    <s v="Elevated Risk"/>
  </r>
  <r>
    <s v="ORD5831"/>
    <s v="CUST1831"/>
    <n v="67"/>
    <s v="PROD1031"/>
    <s v="Germany"/>
    <s v="4/21/2022"/>
    <s v="12/22/2023"/>
    <n v="0"/>
    <s v="active"/>
    <d v="2024-02-01T00:00:00"/>
    <s v=" $193.46 "/>
    <n v="9"/>
    <n v="1"/>
    <s v="Beauty"/>
    <s v="Conditioner"/>
    <s v="Beauty"/>
    <x v="0"/>
    <n v="1741.14"/>
    <s v="Aligned"/>
    <s v="65+ Seniors"/>
    <s v="Core Tier"/>
    <s v="Stable"/>
  </r>
  <r>
    <s v="ORD5832"/>
    <s v="CUST1832"/>
    <n v="60"/>
    <s v="PROD1032"/>
    <s v="Canada"/>
    <s v="1/26/2022"/>
    <d v="2025-09-03T00:00:00"/>
    <n v="0"/>
    <s v="cancelled"/>
    <s v="10/18/2023"/>
    <s v=" $212.68 "/>
    <n v="9"/>
    <n v="10"/>
    <s v="Beauty"/>
    <s v="Chair"/>
    <s v="Home"/>
    <x v="0"/>
    <n v="1914.12"/>
    <s v="Misaligned"/>
    <s v="50-64 Boomers"/>
    <s v="High Value Tier"/>
    <s v="Stable"/>
  </r>
  <r>
    <s v="ORD5833"/>
    <s v="CUST1833"/>
    <n v="26"/>
    <s v="PROD1033"/>
    <s v="India"/>
    <s v="4/18/2022"/>
    <s v="4/26/2024"/>
    <n v="5"/>
    <s v="active"/>
    <s v="9/17/2024"/>
    <s v=" $630.94 "/>
    <n v="3"/>
    <n v="26"/>
    <s v="Beauty"/>
    <s v="Hoodie"/>
    <s v="Clothing"/>
    <x v="1"/>
    <n v="1892.82"/>
    <s v="Misaligned"/>
    <s v="25-34 Millennials"/>
    <s v="High Value Tier"/>
    <s v="Critical Risk"/>
  </r>
  <r>
    <s v="ORD5834"/>
    <s v="CUST1834"/>
    <n v="47"/>
    <s v="PROD1034"/>
    <s v="Pakistan"/>
    <d v="2020-07-10T00:00:00"/>
    <s v="6/14/2024"/>
    <n v="1"/>
    <s v="paused"/>
    <s v="9/16/2021"/>
    <s v=" $1,649.05 "/>
    <n v="1"/>
    <n v="18"/>
    <s v="Beauty"/>
    <s v="Dumbbells"/>
    <s v="Sports"/>
    <x v="1"/>
    <n v="1649.05"/>
    <s v="Misaligned"/>
    <s v="35-49 Gen X"/>
    <s v="High Value Tier"/>
    <s v="Elevated Risk"/>
  </r>
  <r>
    <s v="ORD5835"/>
    <s v="CUST1835"/>
    <n v="67"/>
    <s v="PROD1035"/>
    <s v="UK"/>
    <s v="9/15/2022"/>
    <s v="2/23/2023"/>
    <n v="5"/>
    <s v="active"/>
    <s v="1/16/2023"/>
    <s v=" $235.74 "/>
    <n v="7"/>
    <n v="4"/>
    <s v="Beauty"/>
    <s v="Vacuum Cleaner"/>
    <s v="Home"/>
    <x v="0"/>
    <n v="1650.18"/>
    <s v="Misaligned"/>
    <s v="65+ Seniors"/>
    <s v="High Value Tier"/>
    <s v="Critical Risk"/>
  </r>
  <r>
    <s v="ORD5836"/>
    <s v="CUST1836"/>
    <n v="57"/>
    <s v="PROD1036"/>
    <s v="India"/>
    <s v="3/29/2022"/>
    <s v="6/26/2023"/>
    <n v="0"/>
    <s v="cancelled"/>
    <s v="2/18/2023"/>
    <s v=" $280.06 "/>
    <n v="2"/>
    <n v="36"/>
    <s v="Home"/>
    <s v="Yoga Mat"/>
    <s v="Sports"/>
    <x v="2"/>
    <n v="560.12"/>
    <s v="Misaligned"/>
    <s v="50-64 Boomers"/>
    <s v="High Value Tier"/>
    <s v="Stable"/>
  </r>
  <r>
    <s v="ORD5837"/>
    <s v="CUST1837"/>
    <n v="61"/>
    <s v="PROD1037"/>
    <s v="Canada"/>
    <d v="2021-03-10T00:00:00"/>
    <s v="8/22/2024"/>
    <n v="3"/>
    <s v="paused"/>
    <d v="2025-08-02T00:00:00"/>
    <s v=" $407.36 "/>
    <n v="2"/>
    <n v="7"/>
    <s v="Home"/>
    <s v="Chair"/>
    <s v="Home"/>
    <x v="2"/>
    <n v="814.72"/>
    <s v="Aligned"/>
    <s v="50-64 Boomers"/>
    <s v="High Value Tier"/>
    <s v="Elevated Risk"/>
  </r>
  <r>
    <s v="ORD5838"/>
    <s v="CUST1838"/>
    <n v="49"/>
    <s v="PROD1038"/>
    <s v="India"/>
    <d v="2021-01-05T00:00:00"/>
    <s v="7/24/2022"/>
    <n v="0"/>
    <s v="cancelled"/>
    <s v="3/25/2025"/>
    <s v=" $15.74 "/>
    <n v="6"/>
    <n v="38"/>
    <s v="Beauty"/>
    <s v="Football"/>
    <s v="Sports"/>
    <x v="1"/>
    <n v="94.44"/>
    <s v="Misaligned"/>
    <s v="35-49 Gen X"/>
    <s v="High Value Tier"/>
    <s v="Stable"/>
  </r>
  <r>
    <s v="ORD5839"/>
    <s v="CUST1839"/>
    <n v="36"/>
    <s v="PROD1039"/>
    <s v="Pakistan"/>
    <s v="8/30/2021"/>
    <d v="2024-08-07T00:00:00"/>
    <n v="5"/>
    <s v="cancelled"/>
    <s v="5/16/2022"/>
    <s v=" $192.70 "/>
    <n v="6"/>
    <n v="6"/>
    <s v="Electronics"/>
    <s v="Gaming Console"/>
    <s v="Electronics"/>
    <x v="0"/>
    <n v="1156.2"/>
    <s v="Aligned"/>
    <s v="35-49 Gen X"/>
    <s v="High Value Tier"/>
    <s v="Stable"/>
  </r>
  <r>
    <s v="ORD5840"/>
    <s v="CUST1840"/>
    <n v="27"/>
    <s v="PROD1040"/>
    <s v="Germany"/>
    <s v="4/20/2021"/>
    <s v="12/28/2021"/>
    <n v="3"/>
    <s v="active"/>
    <d v="2023-08-06T00:00:00"/>
    <s v=" $69.18 "/>
    <n v="5"/>
    <n v="36"/>
    <s v="Beauty"/>
    <s v="Chair"/>
    <s v="Home"/>
    <x v="0"/>
    <n v="345.9"/>
    <s v="Misaligned"/>
    <s v="25-34 Millennials"/>
    <s v="High Value Tier"/>
    <s v="Stable"/>
  </r>
  <r>
    <s v="ORD5841"/>
    <s v="CUST1841"/>
    <n v="42"/>
    <s v="PROD1041"/>
    <s v="Germany"/>
    <s v="1/17/2023"/>
    <s v="7/22/2023"/>
    <n v="5"/>
    <s v="cancelled"/>
    <s v="9/24/2024"/>
    <s v=" $579.37 "/>
    <n v="3"/>
    <n v="40"/>
    <s v="Sports"/>
    <s v="Skirt"/>
    <s v="Clothing"/>
    <x v="1"/>
    <n v="1738.11"/>
    <s v="Misaligned"/>
    <s v="35-49 Gen X"/>
    <s v="High Value Tier"/>
    <s v="Stable"/>
  </r>
  <r>
    <s v="ORD5842"/>
    <s v="CUST1842"/>
    <n v="32"/>
    <s v="PROD1042"/>
    <s v="India"/>
    <s v="9/28/2021"/>
    <d v="2022-10-03T00:00:00"/>
    <n v="1"/>
    <s v="paused"/>
    <d v="2023-02-05T00:00:00"/>
    <s v=" $394.58 "/>
    <n v="3"/>
    <n v="39"/>
    <s v="Beauty"/>
    <s v="Yoga Mat"/>
    <s v="Sports"/>
    <x v="0"/>
    <n v="1183.74"/>
    <s v="Misaligned"/>
    <s v="25-34 Millennials"/>
    <s v="High Value Tier"/>
    <s v="Elevated Risk"/>
  </r>
  <r>
    <s v="ORD5843"/>
    <s v="CUST1843"/>
    <n v="62"/>
    <s v="PROD1043"/>
    <s v="Canada"/>
    <s v="8/31/2020"/>
    <d v="2025-09-06T00:00:00"/>
    <n v="0"/>
    <s v="active"/>
    <s v="9/18/2020"/>
    <s v=" $225.37 "/>
    <n v="5"/>
    <n v="38"/>
    <s v="Beauty"/>
    <s v="Skirt"/>
    <s v="Clothing"/>
    <x v="0"/>
    <n v="1126.8499999999999"/>
    <s v="Misaligned"/>
    <s v="50-64 Boomers"/>
    <s v="High Value Tier"/>
    <s v="Stable"/>
  </r>
  <r>
    <s v="ORD5844"/>
    <s v="CUST1844"/>
    <n v="29"/>
    <s v="PROD1044"/>
    <s v="UK"/>
    <d v="2023-06-06T00:00:00"/>
    <d v="2025-05-05T00:00:00"/>
    <n v="2"/>
    <s v="cancelled"/>
    <s v="6/20/2024"/>
    <s v=" $134.10 "/>
    <n v="3"/>
    <n v="34"/>
    <s v="Beauty"/>
    <s v="Jeans"/>
    <s v="Clothing"/>
    <x v="2"/>
    <n v="402.3"/>
    <s v="Misaligned"/>
    <s v="25-34 Millennials"/>
    <s v="High Value Tier"/>
    <s v="Stable"/>
  </r>
  <r>
    <s v="ORD5845"/>
    <s v="CUST1845"/>
    <n v="60"/>
    <s v="PROD1045"/>
    <s v="Canada"/>
    <s v="1/18/2023"/>
    <s v="4/18/2024"/>
    <n v="2"/>
    <s v="cancelled"/>
    <d v="2024-06-09T00:00:00"/>
    <s v=" $271.53 "/>
    <n v="5"/>
    <n v="45"/>
    <s v="Beauty"/>
    <s v="Vacuum Cleaner"/>
    <s v="Home"/>
    <x v="0"/>
    <n v="1357.65"/>
    <s v="Misaligned"/>
    <s v="50-64 Boomers"/>
    <s v="High Value Tier"/>
    <s v="Stable"/>
  </r>
  <r>
    <s v="ORD5846"/>
    <s v="CUST1846"/>
    <n v="53"/>
    <s v="PROD1046"/>
    <s v="India"/>
    <s v="1/18/2023"/>
    <d v="2025-05-02T00:00:00"/>
    <n v="3"/>
    <s v="cancelled"/>
    <s v="3/29/2025"/>
    <s v=" $185.23 "/>
    <n v="4"/>
    <n v="5"/>
    <s v="Beauty"/>
    <s v="Bluetooth Speaker"/>
    <s v="Electronics"/>
    <x v="0"/>
    <n v="740.92"/>
    <s v="Misaligned"/>
    <s v="50-64 Boomers"/>
    <s v="High Value Tier"/>
    <s v="Stable"/>
  </r>
  <r>
    <s v="ORD5847"/>
    <s v="CUST1847"/>
    <n v="28"/>
    <s v="PROD1047"/>
    <s v="Germany"/>
    <s v="7/24/2021"/>
    <d v="2021-11-09T00:00:00"/>
    <n v="1"/>
    <s v="active"/>
    <s v="2/24/2024"/>
    <s v=" $659.34 "/>
    <n v="3"/>
    <n v="1"/>
    <s v="Beauty"/>
    <s v="Tablet"/>
    <s v="Electronics"/>
    <x v="1"/>
    <n v="1978.02"/>
    <s v="Misaligned"/>
    <s v="25-34 Millennials"/>
    <s v="Core Tier"/>
    <s v="Stable"/>
  </r>
  <r>
    <s v="ORD5848"/>
    <s v="CUST1848"/>
    <n v="69"/>
    <s v="PROD1048"/>
    <s v="Germany"/>
    <s v="12/26/2021"/>
    <s v="8/22/2023"/>
    <n v="4"/>
    <s v="cancelled"/>
    <s v="10/17/2024"/>
    <s v=" $115.48 "/>
    <n v="2"/>
    <n v="35"/>
    <s v="Beauty"/>
    <s v="Cricket Bat"/>
    <s v="Sports"/>
    <x v="0"/>
    <n v="230.96"/>
    <s v="Misaligned"/>
    <s v="65+ Seniors"/>
    <s v="High Value Tier"/>
    <s v="Stable"/>
  </r>
  <r>
    <s v="ORD5849"/>
    <s v="CUST1849"/>
    <n v="23"/>
    <s v="PROD1049"/>
    <s v="Germany"/>
    <d v="2021-01-04T00:00:00"/>
    <s v="11/23/2024"/>
    <n v="0"/>
    <s v="active"/>
    <s v="6/17/2025"/>
    <s v=" $216.91 "/>
    <n v="4"/>
    <n v="41"/>
    <s v="Beauty"/>
    <s v="Sneakers"/>
    <s v="Clothing"/>
    <x v="1"/>
    <n v="867.64"/>
    <s v="Misaligned"/>
    <s v="18-24 Gen Z"/>
    <s v="High Value Tier"/>
    <s v="Stable"/>
  </r>
  <r>
    <s v="ORD5850"/>
    <s v="CUST1850"/>
    <n v="55"/>
    <s v="PROD1050"/>
    <s v="Germany"/>
    <s v="3/26/2021"/>
    <s v="3/28/2024"/>
    <n v="1"/>
    <s v="active"/>
    <s v="3/27/2021"/>
    <s v=" $565.54 "/>
    <n v="2"/>
    <n v="15"/>
    <s v="Sports"/>
    <s v="Shirt"/>
    <s v="Clothing"/>
    <x v="1"/>
    <n v="1131.08"/>
    <s v="Misaligned"/>
    <s v="50-64 Boomers"/>
    <s v="High Value Tier"/>
    <s v="Stable"/>
  </r>
  <r>
    <s v="ORD5851"/>
    <s v="CUST1851"/>
    <n v="38"/>
    <s v="PROD1051"/>
    <s v="Germany"/>
    <s v="4/21/2023"/>
    <d v="2025-06-02T00:00:00"/>
    <n v="2"/>
    <s v="cancelled"/>
    <d v="2023-09-12T00:00:00"/>
    <s v=" $1,146.75 "/>
    <n v="1"/>
    <n v="31"/>
    <s v="Sports"/>
    <s v="Tennis Racket"/>
    <s v="Sports"/>
    <x v="0"/>
    <n v="1146.75"/>
    <s v="Aligned"/>
    <s v="35-49 Gen X"/>
    <s v="High Value Tier"/>
    <s v="Stable"/>
  </r>
  <r>
    <s v="ORD5852"/>
    <s v="CUST1852"/>
    <n v="21"/>
    <s v="PROD1052"/>
    <s v="India"/>
    <d v="2021-02-06T00:00:00"/>
    <s v="7/22/2024"/>
    <n v="4"/>
    <s v="paused"/>
    <d v="2021-03-08T00:00:00"/>
    <s v=" $308.27 "/>
    <n v="6"/>
    <n v="29"/>
    <s v="Home"/>
    <s v="Sneakers"/>
    <s v="Clothing"/>
    <x v="1"/>
    <n v="1849.62"/>
    <s v="Misaligned"/>
    <s v="18-24 Gen Z"/>
    <s v="High Value Tier"/>
    <s v="Elevated Risk"/>
  </r>
  <r>
    <s v="ORD5853"/>
    <s v="CUST1853"/>
    <n v="57"/>
    <s v="PROD1053"/>
    <s v="USA"/>
    <d v="2021-04-12T00:00:00"/>
    <s v="7/30/2025"/>
    <n v="0"/>
    <s v="active"/>
    <s v="4/30/2024"/>
    <s v=" $35.94 "/>
    <n v="6"/>
    <n v="47"/>
    <s v="Home"/>
    <s v="Football"/>
    <s v="Sports"/>
    <x v="1"/>
    <n v="215.64"/>
    <s v="Misaligned"/>
    <s v="50-64 Boomers"/>
    <s v="High Value Tier"/>
    <s v="Stable"/>
  </r>
  <r>
    <s v="ORD5854"/>
    <s v="CUST1854"/>
    <n v="42"/>
    <s v="PROD1054"/>
    <s v="Canada"/>
    <s v="1/30/2022"/>
    <s v="5/29/2024"/>
    <n v="4"/>
    <s v="active"/>
    <d v="2022-12-08T00:00:00"/>
    <s v=" $59.83 "/>
    <n v="7"/>
    <n v="40"/>
    <s v="Electronics"/>
    <s v="Tennis Racket"/>
    <s v="Sports"/>
    <x v="0"/>
    <n v="418.81"/>
    <s v="Misaligned"/>
    <s v="35-49 Gen X"/>
    <s v="High Value Tier"/>
    <s v="Critical Risk"/>
  </r>
  <r>
    <s v="ORD5855"/>
    <s v="CUST1855"/>
    <n v="49"/>
    <s v="PROD1055"/>
    <s v="USA"/>
    <d v="2023-03-06T00:00:00"/>
    <d v="2025-06-04T00:00:00"/>
    <n v="0"/>
    <s v="active"/>
    <d v="2024-05-09T00:00:00"/>
    <s v=" $71.23 "/>
    <n v="5"/>
    <n v="28"/>
    <s v="Sports"/>
    <s v="Perfume"/>
    <s v="Beauty"/>
    <x v="0"/>
    <n v="356.15"/>
    <s v="Misaligned"/>
    <s v="35-49 Gen X"/>
    <s v="High Value Tier"/>
    <s v="Stable"/>
  </r>
  <r>
    <s v="ORD5856"/>
    <s v="CUST1856"/>
    <n v="57"/>
    <s v="PROD1056"/>
    <s v="Germany"/>
    <d v="2023-12-06T00:00:00"/>
    <d v="2023-01-07T00:00:00"/>
    <n v="3"/>
    <s v="active"/>
    <d v="2024-05-09T00:00:00"/>
    <s v=" $57.80 "/>
    <n v="9"/>
    <n v="37"/>
    <s v="Home"/>
    <s v="Refrigerator"/>
    <s v="Home"/>
    <x v="0"/>
    <n v="520.20000000000005"/>
    <s v="Aligned"/>
    <s v="50-64 Boomers"/>
    <s v="High Value Tier"/>
    <s v="Stable"/>
  </r>
  <r>
    <s v="ORD5857"/>
    <s v="CUST1857"/>
    <n v="66"/>
    <s v="PROD1057"/>
    <s v="USA"/>
    <s v="3/30/2023"/>
    <d v="2023-08-05T00:00:00"/>
    <n v="3"/>
    <s v="active"/>
    <s v="12/23/2023"/>
    <s v=" $168.42 "/>
    <n v="8"/>
    <n v="36"/>
    <s v="Sports"/>
    <s v="Cycling Helmet"/>
    <s v="Sports"/>
    <x v="0"/>
    <n v="1347.36"/>
    <s v="Aligned"/>
    <s v="65+ Seniors"/>
    <s v="High Value Tier"/>
    <s v="Stable"/>
  </r>
  <r>
    <s v="ORD5858"/>
    <s v="CUST1858"/>
    <n v="59"/>
    <s v="PROD1058"/>
    <s v="USA"/>
    <d v="2023-08-05T00:00:00"/>
    <s v="12/15/2024"/>
    <n v="3"/>
    <s v="active"/>
    <s v="1/18/2024"/>
    <s v=" $459.91 "/>
    <n v="4"/>
    <n v="20"/>
    <s v="Sports"/>
    <s v="Shirt"/>
    <s v="Clothing"/>
    <x v="1"/>
    <n v="1839.64"/>
    <s v="Misaligned"/>
    <s v="50-64 Boomers"/>
    <s v="High Value Tier"/>
    <s v="Stable"/>
  </r>
  <r>
    <s v="ORD5859"/>
    <s v="CUST1859"/>
    <n v="19"/>
    <s v="PROD1059"/>
    <s v="India"/>
    <s v="8/17/2021"/>
    <s v="4/18/2022"/>
    <n v="3"/>
    <s v="active"/>
    <s v="2/18/2025"/>
    <s v=" $553.70 "/>
    <n v="3"/>
    <n v="34"/>
    <s v="Clothing"/>
    <s v="Lamp"/>
    <s v="Home"/>
    <x v="1"/>
    <n v="1661.1"/>
    <s v="Misaligned"/>
    <s v="18-24 Gen Z"/>
    <s v="High Value Tier"/>
    <s v="Stable"/>
  </r>
  <r>
    <s v="ORD5860"/>
    <s v="CUST1860"/>
    <n v="35"/>
    <s v="PROD1060"/>
    <s v="Germany"/>
    <d v="2022-03-02T00:00:00"/>
    <d v="2023-11-06T00:00:00"/>
    <n v="1"/>
    <s v="paused"/>
    <d v="2023-06-08T00:00:00"/>
    <s v=" $109.72 "/>
    <n v="9"/>
    <n v="46"/>
    <s v="Home"/>
    <s v="Dining Table"/>
    <s v="Home"/>
    <x v="0"/>
    <n v="987.48"/>
    <s v="Aligned"/>
    <s v="35-49 Gen X"/>
    <s v="High Value Tier"/>
    <s v="Elevated Risk"/>
  </r>
  <r>
    <s v="ORD5861"/>
    <s v="CUST1861"/>
    <n v="30"/>
    <s v="PROD1061"/>
    <s v="Canada"/>
    <d v="2021-03-05T00:00:00"/>
    <s v="12/26/2024"/>
    <n v="4"/>
    <s v="active"/>
    <d v="2021-07-11T00:00:00"/>
    <s v=" $185.49 "/>
    <n v="8"/>
    <n v="5"/>
    <s v="Sports"/>
    <s v="Football"/>
    <s v="Sports"/>
    <x v="0"/>
    <n v="1483.92"/>
    <s v="Aligned"/>
    <s v="25-34 Millennials"/>
    <s v="High Value Tier"/>
    <s v="Critical Risk"/>
  </r>
  <r>
    <s v="ORD5862"/>
    <s v="CUST1862"/>
    <n v="65"/>
    <s v="PROD1062"/>
    <s v="Germany"/>
    <d v="2021-02-05T00:00:00"/>
    <s v="7/13/2021"/>
    <n v="3"/>
    <s v="cancelled"/>
    <d v="2024-05-06T00:00:00"/>
    <s v=" $120.62 "/>
    <n v="7"/>
    <n v="43"/>
    <s v="Home"/>
    <s v="Vacuum Cleaner"/>
    <s v="Home"/>
    <x v="0"/>
    <n v="844.34"/>
    <s v="Aligned"/>
    <s v="65+ Seniors"/>
    <s v="High Value Tier"/>
    <s v="Stable"/>
  </r>
  <r>
    <s v="ORD5863"/>
    <s v="CUST1863"/>
    <n v="31"/>
    <s v="PROD1063"/>
    <s v="USA"/>
    <s v="8/19/2023"/>
    <s v="5/29/2024"/>
    <n v="4"/>
    <s v="active"/>
    <d v="2024-07-10T00:00:00"/>
    <s v=" $12.13 "/>
    <n v="8"/>
    <n v="49"/>
    <s v="Electronics"/>
    <s v="Smartphone"/>
    <s v="Electronics"/>
    <x v="1"/>
    <n v="97.04"/>
    <s v="Aligned"/>
    <s v="25-34 Millennials"/>
    <s v="High Value Tier"/>
    <s v="Critical Risk"/>
  </r>
  <r>
    <s v="ORD5864"/>
    <s v="CUST1864"/>
    <n v="62"/>
    <s v="PROD1064"/>
    <s v="Pakistan"/>
    <s v="6/16/2022"/>
    <d v="2024-09-05T00:00:00"/>
    <n v="0"/>
    <s v="active"/>
    <s v="10/25/2022"/>
    <s v=" $125.67 "/>
    <n v="8"/>
    <n v="4"/>
    <s v="Beauty"/>
    <s v="Foundation"/>
    <s v="Beauty"/>
    <x v="1"/>
    <n v="1005.36"/>
    <s v="Aligned"/>
    <s v="50-64 Boomers"/>
    <s v="High Value Tier"/>
    <s v="Stable"/>
  </r>
  <r>
    <s v="ORD5865"/>
    <s v="CUST1865"/>
    <n v="61"/>
    <s v="PROD1065"/>
    <s v="Germany"/>
    <d v="2021-04-08T00:00:00"/>
    <s v="11/29/2023"/>
    <n v="1"/>
    <s v="active"/>
    <d v="2024-01-03T00:00:00"/>
    <s v=" $257.64 "/>
    <n v="5"/>
    <n v="11"/>
    <s v="Home"/>
    <s v="Lamp"/>
    <s v="Home"/>
    <x v="1"/>
    <n v="1288.2"/>
    <s v="Aligned"/>
    <s v="50-64 Boomers"/>
    <s v="High Value Tier"/>
    <s v="Stable"/>
  </r>
  <r>
    <s v="ORD5866"/>
    <s v="CUST1866"/>
    <n v="47"/>
    <s v="PROD1066"/>
    <s v="Pakistan"/>
    <d v="2020-02-10T00:00:00"/>
    <d v="2025-04-03T00:00:00"/>
    <n v="4"/>
    <s v="cancelled"/>
    <s v="4/25/2024"/>
    <s v=" $271.11 "/>
    <n v="3"/>
    <n v="30"/>
    <s v="Home"/>
    <s v="Yoga Mat"/>
    <s v="Sports"/>
    <x v="0"/>
    <n v="813.33"/>
    <s v="Misaligned"/>
    <s v="35-49 Gen X"/>
    <s v="High Value Tier"/>
    <s v="Stable"/>
  </r>
  <r>
    <s v="ORD5867"/>
    <s v="CUST1867"/>
    <n v="48"/>
    <s v="PROD1067"/>
    <s v="USA"/>
    <s v="6/17/2021"/>
    <s v="9/24/2021"/>
    <n v="4"/>
    <s v="cancelled"/>
    <s v="6/15/2023"/>
    <s v=" $163.32 "/>
    <n v="9"/>
    <n v="45"/>
    <s v="Beauty"/>
    <s v="Nail Polish"/>
    <s v="Beauty"/>
    <x v="0"/>
    <n v="1469.88"/>
    <s v="Aligned"/>
    <s v="35-49 Gen X"/>
    <s v="High Value Tier"/>
    <s v="Stable"/>
  </r>
  <r>
    <s v="ORD5868"/>
    <s v="CUST1868"/>
    <n v="53"/>
    <s v="PROD1068"/>
    <s v="USA"/>
    <s v="10/19/2022"/>
    <s v="9/28/2023"/>
    <n v="4"/>
    <s v="active"/>
    <s v="2/25/2025"/>
    <s v=" $392.26 "/>
    <n v="5"/>
    <n v="1"/>
    <s v="Sports"/>
    <s v="Dumbbells"/>
    <s v="Sports"/>
    <x v="0"/>
    <n v="1961.3"/>
    <s v="Aligned"/>
    <s v="50-64 Boomers"/>
    <s v="Core Tier"/>
    <s v="Critical Risk"/>
  </r>
  <r>
    <s v="ORD5869"/>
    <s v="CUST1869"/>
    <n v="55"/>
    <s v="PROD1069"/>
    <s v="Germany"/>
    <s v="9/20/2022"/>
    <s v="7/29/2023"/>
    <n v="3"/>
    <s v="active"/>
    <d v="2024-04-12T00:00:00"/>
    <s v=" $13.61 "/>
    <n v="6"/>
    <n v="4"/>
    <s v="Beauty"/>
    <s v="Shampoo"/>
    <s v="Beauty"/>
    <x v="0"/>
    <n v="81.66"/>
    <s v="Aligned"/>
    <s v="50-64 Boomers"/>
    <s v="Value Tier"/>
    <s v="Stable"/>
  </r>
  <r>
    <s v="ORD5870"/>
    <s v="CUST1870"/>
    <n v="68"/>
    <s v="PROD1070"/>
    <s v="Pakistan"/>
    <s v="8/28/2021"/>
    <d v="2022-09-03T00:00:00"/>
    <n v="5"/>
    <s v="active"/>
    <s v="4/18/2022"/>
    <s v=" $216.65 "/>
    <n v="3"/>
    <n v="7"/>
    <s v="Home"/>
    <s v="Hoodie"/>
    <s v="Clothing"/>
    <x v="0"/>
    <n v="649.95000000000005"/>
    <s v="Misaligned"/>
    <s v="65+ Seniors"/>
    <s v="High Value Tier"/>
    <s v="Critical Risk"/>
  </r>
  <r>
    <s v="ORD5871"/>
    <s v="CUST1871"/>
    <n v="67"/>
    <s v="PROD1071"/>
    <s v="Pakistan"/>
    <s v="1/24/2021"/>
    <d v="2022-11-11T00:00:00"/>
    <n v="3"/>
    <s v="cancelled"/>
    <s v="10/27/2023"/>
    <s v=" $16.71 "/>
    <n v="2"/>
    <n v="40"/>
    <s v="Clothing"/>
    <s v="Sofa"/>
    <s v="Home"/>
    <x v="0"/>
    <n v="33.42"/>
    <s v="Misaligned"/>
    <s v="65+ Seniors"/>
    <s v="Core Tier"/>
    <s v="Stable"/>
  </r>
  <r>
    <s v="ORD5872"/>
    <s v="CUST1872"/>
    <n v="18"/>
    <s v="PROD1072"/>
    <s v="Canada"/>
    <s v="11/30/2021"/>
    <d v="2022-03-02T00:00:00"/>
    <n v="0"/>
    <s v="paused"/>
    <d v="2023-06-09T00:00:00"/>
    <s v=" $175.08 "/>
    <n v="9"/>
    <n v="22"/>
    <s v="Sports"/>
    <s v="Sofa"/>
    <s v="Home"/>
    <x v="1"/>
    <n v="1575.72"/>
    <s v="Misaligned"/>
    <s v="18-24 Gen Z"/>
    <s v="High Value Tier"/>
    <s v="Elevated Risk"/>
  </r>
  <r>
    <s v="ORD5873"/>
    <s v="CUST1873"/>
    <n v="32"/>
    <s v="PROD1073"/>
    <s v="Germany"/>
    <s v="8/30/2020"/>
    <s v="3/30/2025"/>
    <n v="1"/>
    <s v="active"/>
    <d v="2024-12-04T00:00:00"/>
    <s v=" $14.48 "/>
    <n v="3"/>
    <n v="43"/>
    <s v="Clothing"/>
    <s v="Hoodie"/>
    <s v="Clothing"/>
    <x v="1"/>
    <n v="43.44"/>
    <s v="Aligned"/>
    <s v="25-34 Millennials"/>
    <s v="Core Tier"/>
    <s v="Stable"/>
  </r>
  <r>
    <s v="ORD5874"/>
    <s v="CUST1874"/>
    <n v="46"/>
    <s v="PROD1074"/>
    <s v="Germany"/>
    <s v="9/18/2020"/>
    <d v="2025-01-01T00:00:00"/>
    <n v="2"/>
    <s v="active"/>
    <d v="2020-05-11T00:00:00"/>
    <s v=" $278.55 "/>
    <n v="7"/>
    <n v="46"/>
    <s v="Beauty"/>
    <s v="Dress"/>
    <s v="Clothing"/>
    <x v="1"/>
    <n v="1949.85"/>
    <s v="Misaligned"/>
    <s v="35-49 Gen X"/>
    <s v="High Value Tier"/>
    <s v="Stable"/>
  </r>
  <r>
    <s v="ORD5875"/>
    <s v="CUST1875"/>
    <n v="62"/>
    <s v="PROD1075"/>
    <s v="India"/>
    <s v="4/22/2021"/>
    <d v="2023-09-02T00:00:00"/>
    <n v="1"/>
    <s v="active"/>
    <s v="8/17/2022"/>
    <s v=" $214.18 "/>
    <n v="9"/>
    <n v="2"/>
    <s v="Sports"/>
    <s v="Dining Table"/>
    <s v="Home"/>
    <x v="0"/>
    <n v="1927.62"/>
    <s v="Misaligned"/>
    <s v="50-64 Boomers"/>
    <s v="High Value Tier"/>
    <s v="Stable"/>
  </r>
  <r>
    <s v="ORD5876"/>
    <s v="CUST1876"/>
    <n v="23"/>
    <s v="PROD1076"/>
    <s v="Germany"/>
    <d v="2022-07-04T00:00:00"/>
    <s v="4/22/2025"/>
    <n v="5"/>
    <s v="cancelled"/>
    <s v="5/16/2025"/>
    <s v=" $230.54 "/>
    <n v="3"/>
    <n v="49"/>
    <s v="Sports"/>
    <s v="Yoga Mat"/>
    <s v="Sports"/>
    <x v="0"/>
    <n v="691.62"/>
    <s v="Aligned"/>
    <s v="18-24 Gen Z"/>
    <s v="High Value Tier"/>
    <s v="Stable"/>
  </r>
  <r>
    <s v="ORD5877"/>
    <s v="CUST1877"/>
    <n v="20"/>
    <s v="PROD1077"/>
    <s v="India"/>
    <s v="6/19/2021"/>
    <s v="6/26/2024"/>
    <n v="5"/>
    <s v="paused"/>
    <s v="10/28/2021"/>
    <s v=" $389.52 "/>
    <n v="3"/>
    <n v="32"/>
    <s v="Home"/>
    <s v="Jacket"/>
    <s v="Clothing"/>
    <x v="0"/>
    <n v="1168.56"/>
    <s v="Misaligned"/>
    <s v="18-24 Gen Z"/>
    <s v="High Value Tier"/>
    <s v="Elevated Risk"/>
  </r>
  <r>
    <s v="ORD5878"/>
    <s v="CUST1878"/>
    <n v="66"/>
    <s v="PROD1078"/>
    <s v="Germany"/>
    <s v="4/29/2022"/>
    <s v="7/31/2023"/>
    <n v="2"/>
    <s v="paused"/>
    <s v="5/21/2023"/>
    <s v=" $51.37 "/>
    <n v="7"/>
    <n v="38"/>
    <s v="Home"/>
    <s v="Dumbbells"/>
    <s v="Sports"/>
    <x v="1"/>
    <n v="359.59"/>
    <s v="Misaligned"/>
    <s v="65+ Seniors"/>
    <s v="High Value Tier"/>
    <s v="Elevated Risk"/>
  </r>
  <r>
    <s v="ORD5879"/>
    <s v="CUST1879"/>
    <n v="57"/>
    <s v="PROD1079"/>
    <s v="Canada"/>
    <s v="12/27/2020"/>
    <s v="1/25/2021"/>
    <n v="1"/>
    <s v="cancelled"/>
    <d v="2023-10-08T00:00:00"/>
    <s v=" $122.69 "/>
    <n v="3"/>
    <n v="2"/>
    <s v="Electronics"/>
    <s v="Jeans"/>
    <s v="Clothing"/>
    <x v="0"/>
    <n v="368.07"/>
    <s v="Misaligned"/>
    <s v="50-64 Boomers"/>
    <s v="Value Tier"/>
    <s v="Stable"/>
  </r>
  <r>
    <s v="ORD5880"/>
    <s v="CUST1880"/>
    <n v="69"/>
    <s v="PROD1080"/>
    <s v="USA"/>
    <s v="11/14/2022"/>
    <s v="5/24/2025"/>
    <n v="2"/>
    <s v="active"/>
    <s v="6/15/2025"/>
    <s v=" $330.62 "/>
    <n v="6"/>
    <n v="14"/>
    <s v="Sports"/>
    <s v="Skirt"/>
    <s v="Clothing"/>
    <x v="2"/>
    <n v="1983.72"/>
    <s v="Misaligned"/>
    <s v="65+ Seniors"/>
    <s v="High Value Tier"/>
    <s v="Stable"/>
  </r>
  <r>
    <s v="ORD5881"/>
    <s v="CUST1881"/>
    <n v="18"/>
    <s v="PROD1081"/>
    <s v="USA"/>
    <d v="2022-08-07T00:00:00"/>
    <d v="2023-03-02T00:00:00"/>
    <n v="3"/>
    <s v="active"/>
    <s v="5/31/2023"/>
    <s v=" $158.04 "/>
    <n v="9"/>
    <n v="19"/>
    <s v="Electronics"/>
    <s v="Hoodie"/>
    <s v="Clothing"/>
    <x v="1"/>
    <n v="1422.36"/>
    <s v="Misaligned"/>
    <s v="18-24 Gen Z"/>
    <s v="High Value Tier"/>
    <s v="Stable"/>
  </r>
  <r>
    <s v="ORD5882"/>
    <s v="CUST1882"/>
    <n v="33"/>
    <s v="PROD1082"/>
    <s v="Germany"/>
    <s v="1/28/2021"/>
    <d v="2025-10-07T00:00:00"/>
    <n v="4"/>
    <s v="active"/>
    <s v="12/17/2024"/>
    <s v=" $206.38 "/>
    <n v="3"/>
    <n v="10"/>
    <s v="Electronics"/>
    <s v="Moisturizer"/>
    <s v="Beauty"/>
    <x v="1"/>
    <n v="619.14"/>
    <s v="Misaligned"/>
    <s v="25-34 Millennials"/>
    <s v="High Value Tier"/>
    <s v="Critical Risk"/>
  </r>
  <r>
    <s v="ORD5883"/>
    <s v="CUST1883"/>
    <n v="24"/>
    <s v="PROD1083"/>
    <s v="UK"/>
    <s v="12/31/2020"/>
    <s v="1/17/2022"/>
    <n v="3"/>
    <s v="paused"/>
    <s v="8/14/2023"/>
    <s v=" $79.18 "/>
    <n v="8"/>
    <n v="35"/>
    <s v="Clothing"/>
    <s v="Cricket Bat"/>
    <s v="Sports"/>
    <x v="0"/>
    <n v="633.44000000000005"/>
    <s v="Misaligned"/>
    <s v="18-24 Gen Z"/>
    <s v="High Value Tier"/>
    <s v="Elevated Risk"/>
  </r>
  <r>
    <s v="ORD5884"/>
    <s v="CUST1884"/>
    <n v="45"/>
    <s v="PROD1084"/>
    <s v="Germany"/>
    <s v="1/30/2023"/>
    <s v="7/31/2023"/>
    <n v="2"/>
    <s v="cancelled"/>
    <d v="2025-09-05T00:00:00"/>
    <s v=" $255.14 "/>
    <n v="6"/>
    <n v="39"/>
    <s v="Sports"/>
    <s v="Dining Table"/>
    <s v="Home"/>
    <x v="0"/>
    <n v="1530.84"/>
    <s v="Misaligned"/>
    <s v="35-49 Gen X"/>
    <s v="High Value Tier"/>
    <s v="Stable"/>
  </r>
  <r>
    <s v="ORD5885"/>
    <s v="CUST1885"/>
    <n v="57"/>
    <s v="PROD1085"/>
    <s v="India"/>
    <s v="9/18/2021"/>
    <s v="5/23/2022"/>
    <n v="1"/>
    <s v="active"/>
    <s v="3/23/2025"/>
    <s v=" $37.30 "/>
    <n v="8"/>
    <n v="35"/>
    <s v="Sports"/>
    <s v="Yoga Mat"/>
    <s v="Sports"/>
    <x v="0"/>
    <n v="298.39999999999998"/>
    <s v="Aligned"/>
    <s v="50-64 Boomers"/>
    <s v="High Value Tier"/>
    <s v="Stable"/>
  </r>
  <r>
    <s v="ORD5886"/>
    <s v="CUST1886"/>
    <n v="61"/>
    <s v="PROD1086"/>
    <s v="Pakistan"/>
    <s v="6/16/2023"/>
    <s v="8/21/2024"/>
    <n v="5"/>
    <s v="active"/>
    <s v="6/23/2025"/>
    <s v=" $204.47 "/>
    <n v="8"/>
    <n v="19"/>
    <s v="Home"/>
    <s v="Shirt"/>
    <s v="Clothing"/>
    <x v="0"/>
    <n v="1635.76"/>
    <s v="Misaligned"/>
    <s v="50-64 Boomers"/>
    <s v="High Value Tier"/>
    <s v="Critical Risk"/>
  </r>
  <r>
    <s v="ORD5887"/>
    <s v="CUST1887"/>
    <n v="46"/>
    <s v="PROD1087"/>
    <s v="Germany"/>
    <d v="2021-01-06T00:00:00"/>
    <d v="2023-10-10T00:00:00"/>
    <n v="5"/>
    <s v="cancelled"/>
    <d v="2025-12-05T00:00:00"/>
    <s v=" $67.58 "/>
    <n v="2"/>
    <n v="34"/>
    <s v="Clothing"/>
    <s v="Cricket Bat"/>
    <s v="Sports"/>
    <x v="0"/>
    <n v="135.16"/>
    <s v="Misaligned"/>
    <s v="35-49 Gen X"/>
    <s v="High Value Tier"/>
    <s v="Stable"/>
  </r>
  <r>
    <s v="ORD5888"/>
    <s v="CUST1888"/>
    <n v="61"/>
    <s v="PROD1088"/>
    <s v="India"/>
    <d v="2021-10-04T00:00:00"/>
    <s v="8/24/2022"/>
    <n v="0"/>
    <s v="active"/>
    <s v="11/16/2023"/>
    <s v=" $120.78 "/>
    <n v="8"/>
    <n v="36"/>
    <s v="Electronics"/>
    <s v="Football"/>
    <s v="Sports"/>
    <x v="1"/>
    <n v="966.24"/>
    <s v="Misaligned"/>
    <s v="50-64 Boomers"/>
    <s v="High Value Tier"/>
    <s v="Stable"/>
  </r>
  <r>
    <s v="ORD5889"/>
    <s v="CUST1889"/>
    <n v="51"/>
    <s v="PROD1089"/>
    <s v="UK"/>
    <s v="11/16/2022"/>
    <s v="12/27/2024"/>
    <n v="4"/>
    <s v="active"/>
    <d v="2023-08-03T00:00:00"/>
    <s v=" $11.14 "/>
    <n v="5"/>
    <n v="1"/>
    <s v="Home"/>
    <s v="Running Shoes"/>
    <s v="Sports"/>
    <x v="1"/>
    <n v="55.7"/>
    <s v="Misaligned"/>
    <s v="50-64 Boomers"/>
    <s v="Value Tier"/>
    <s v="Critical Risk"/>
  </r>
  <r>
    <s v="ORD5890"/>
    <s v="CUST1890"/>
    <n v="48"/>
    <s v="PROD1090"/>
    <s v="USA"/>
    <d v="2021-02-11T00:00:00"/>
    <s v="12/16/2022"/>
    <n v="0"/>
    <s v="active"/>
    <s v="7/13/2023"/>
    <s v=" $1,928.31 "/>
    <n v="1"/>
    <n v="21"/>
    <s v="Home"/>
    <s v="Tablet"/>
    <s v="Electronics"/>
    <x v="0"/>
    <n v="1928.31"/>
    <s v="Misaligned"/>
    <s v="35-49 Gen X"/>
    <s v="High Value Tier"/>
    <s v="Stable"/>
  </r>
  <r>
    <s v="ORD5891"/>
    <s v="CUST1891"/>
    <n v="50"/>
    <s v="PROD1091"/>
    <s v="Germany"/>
    <s v="5/14/2022"/>
    <s v="5/25/2025"/>
    <n v="0"/>
    <s v="active"/>
    <d v="2024-12-09T00:00:00"/>
    <s v=" $90.22 "/>
    <n v="9"/>
    <n v="5"/>
    <s v="Beauty"/>
    <s v="T-Shirt"/>
    <s v="Clothing"/>
    <x v="0"/>
    <n v="811.98"/>
    <s v="Misaligned"/>
    <s v="50-64 Boomers"/>
    <s v="High Value Tier"/>
    <s v="Stable"/>
  </r>
  <r>
    <s v="ORD5892"/>
    <s v="CUST1892"/>
    <n v="55"/>
    <s v="PROD1092"/>
    <s v="UK"/>
    <s v="2/16/2021"/>
    <s v="11/18/2024"/>
    <n v="1"/>
    <s v="paused"/>
    <d v="2021-05-06T00:00:00"/>
    <s v=" $571.94 "/>
    <n v="3"/>
    <n v="24"/>
    <s v="Home"/>
    <s v="Gaming Console"/>
    <s v="Electronics"/>
    <x v="0"/>
    <n v="1715.82"/>
    <s v="Misaligned"/>
    <s v="50-64 Boomers"/>
    <s v="High Value Tier"/>
    <s v="Elevated Risk"/>
  </r>
  <r>
    <s v="ORD5893"/>
    <s v="CUST1893"/>
    <n v="35"/>
    <s v="PROD1093"/>
    <s v="India"/>
    <d v="2021-11-12T00:00:00"/>
    <s v="7/18/2025"/>
    <n v="0"/>
    <s v="cancelled"/>
    <s v="3/26/2024"/>
    <s v=" $294.41 "/>
    <n v="5"/>
    <n v="32"/>
    <s v="Home"/>
    <s v="Refrigerator"/>
    <s v="Home"/>
    <x v="0"/>
    <n v="1472.05"/>
    <s v="Aligned"/>
    <s v="35-49 Gen X"/>
    <s v="High Value Tier"/>
    <s v="Stable"/>
  </r>
  <r>
    <s v="ORD5894"/>
    <s v="CUST1894"/>
    <n v="21"/>
    <s v="PROD1094"/>
    <s v="Pakistan"/>
    <s v="5/15/2021"/>
    <d v="2024-07-09T00:00:00"/>
    <n v="0"/>
    <s v="paused"/>
    <s v="4/17/2024"/>
    <s v=" $68.21 "/>
    <n v="7"/>
    <n v="22"/>
    <s v="Clothing"/>
    <s v="Moisturizer"/>
    <s v="Beauty"/>
    <x v="2"/>
    <n v="477.47"/>
    <s v="Misaligned"/>
    <s v="18-24 Gen Z"/>
    <s v="High Value Tier"/>
    <s v="Elevated Risk"/>
  </r>
  <r>
    <s v="ORD5895"/>
    <s v="CUST1895"/>
    <n v="51"/>
    <s v="PROD1095"/>
    <s v="Germany"/>
    <s v="9/13/2022"/>
    <s v="3/18/2023"/>
    <n v="2"/>
    <s v="active"/>
    <s v="6/22/2025"/>
    <s v=" $134.68 "/>
    <n v="3"/>
    <n v="31"/>
    <s v="Beauty"/>
    <s v="Sneakers"/>
    <s v="Clothing"/>
    <x v="0"/>
    <n v="404.04"/>
    <s v="Misaligned"/>
    <s v="50-64 Boomers"/>
    <s v="High Value Tier"/>
    <s v="Stable"/>
  </r>
  <r>
    <s v="ORD5896"/>
    <s v="CUST1896"/>
    <n v="50"/>
    <s v="PROD1096"/>
    <s v="Pakistan"/>
    <d v="2022-03-12T00:00:00"/>
    <s v="11/15/2024"/>
    <n v="5"/>
    <s v="active"/>
    <d v="2023-08-06T00:00:00"/>
    <s v=" $295.07 "/>
    <n v="5"/>
    <n v="42"/>
    <s v="Home"/>
    <s v="Chair"/>
    <s v="Home"/>
    <x v="2"/>
    <n v="1475.35"/>
    <s v="Aligned"/>
    <s v="50-64 Boomers"/>
    <s v="High Value Tier"/>
    <s v="Critical Risk"/>
  </r>
  <r>
    <s v="ORD5897"/>
    <s v="CUST1897"/>
    <n v="44"/>
    <s v="PROD1097"/>
    <s v="Pakistan"/>
    <d v="2021-10-03T00:00:00"/>
    <d v="2024-11-02T00:00:00"/>
    <n v="5"/>
    <s v="active"/>
    <s v="7/24/2025"/>
    <s v=" $168.30 "/>
    <n v="9"/>
    <n v="17"/>
    <s v="Beauty"/>
    <s v="Football"/>
    <s v="Sports"/>
    <x v="0"/>
    <n v="1514.7"/>
    <s v="Misaligned"/>
    <s v="35-49 Gen X"/>
    <s v="High Value Tier"/>
    <s v="Critical Risk"/>
  </r>
  <r>
    <s v="ORD5898"/>
    <s v="CUST1898"/>
    <n v="39"/>
    <s v="PROD1098"/>
    <s v="India"/>
    <s v="8/28/2020"/>
    <s v="10/24/2023"/>
    <n v="3"/>
    <s v="paused"/>
    <d v="2022-02-03T00:00:00"/>
    <s v=" $134.51 "/>
    <n v="9"/>
    <n v="32"/>
    <s v="Electronics"/>
    <s v="Yoga Mat"/>
    <s v="Sports"/>
    <x v="1"/>
    <n v="1210.5899999999999"/>
    <s v="Misaligned"/>
    <s v="35-49 Gen X"/>
    <s v="High Value Tier"/>
    <s v="Elevated Risk"/>
  </r>
  <r>
    <s v="ORD5899"/>
    <s v="CUST1899"/>
    <n v="50"/>
    <s v="PROD1099"/>
    <s v="USA"/>
    <s v="11/27/2020"/>
    <d v="2022-04-03T00:00:00"/>
    <n v="1"/>
    <s v="cancelled"/>
    <s v="10/28/2023"/>
    <s v=" $203.05 "/>
    <n v="7"/>
    <n v="43"/>
    <s v="Electronics"/>
    <s v="Tennis Racket"/>
    <s v="Sports"/>
    <x v="1"/>
    <n v="1421.35"/>
    <s v="Misaligned"/>
    <s v="50-64 Boomers"/>
    <s v="High Value Tier"/>
    <s v="Stable"/>
  </r>
  <r>
    <s v="ORD5900"/>
    <s v="CUST1900"/>
    <n v="32"/>
    <s v="PROD1100"/>
    <s v="USA"/>
    <d v="2023-11-03T00:00:00"/>
    <d v="2024-08-01T00:00:00"/>
    <n v="2"/>
    <s v="active"/>
    <s v="12/22/2023"/>
    <s v=" $645.38 "/>
    <n v="3"/>
    <n v="9"/>
    <s v="Beauty"/>
    <s v="Smartphone"/>
    <s v="Electronics"/>
    <x v="1"/>
    <n v="1936.14"/>
    <s v="Misaligned"/>
    <s v="25-34 Millennials"/>
    <s v="High Value Tier"/>
    <s v="Stable"/>
  </r>
  <r>
    <s v="ORD5901"/>
    <s v="CUST1901"/>
    <n v="64"/>
    <s v="PROD1101"/>
    <s v="Germany"/>
    <d v="2020-09-12T00:00:00"/>
    <s v="12/14/2024"/>
    <n v="1"/>
    <s v="active"/>
    <s v="12/21/2022"/>
    <s v=" $395.81 "/>
    <n v="4"/>
    <n v="44"/>
    <s v="Electronics"/>
    <s v="Smartwatch"/>
    <s v="Electronics"/>
    <x v="1"/>
    <n v="1583.24"/>
    <s v="Aligned"/>
    <s v="50-64 Boomers"/>
    <s v="High Value Tier"/>
    <s v="Stable"/>
  </r>
  <r>
    <s v="ORD5902"/>
    <s v="CUST1902"/>
    <n v="32"/>
    <s v="PROD1102"/>
    <s v="UK"/>
    <d v="2023-02-03T00:00:00"/>
    <s v="11/15/2023"/>
    <n v="5"/>
    <s v="active"/>
    <d v="2024-12-12T00:00:00"/>
    <s v=" $326.37 "/>
    <n v="4"/>
    <n v="2"/>
    <s v="Sports"/>
    <s v="T-Shirt"/>
    <s v="Clothing"/>
    <x v="1"/>
    <n v="1305.48"/>
    <s v="Misaligned"/>
    <s v="25-34 Millennials"/>
    <s v="High Value Tier"/>
    <s v="Critical Risk"/>
  </r>
  <r>
    <s v="ORD5903"/>
    <s v="CUST1903"/>
    <n v="20"/>
    <s v="PROD1103"/>
    <s v="India"/>
    <s v="5/14/2022"/>
    <d v="2024-10-08T00:00:00"/>
    <n v="1"/>
    <s v="active"/>
    <s v="1/20/2024"/>
    <s v=" $1,200.43 "/>
    <n v="1"/>
    <n v="31"/>
    <s v="Sports"/>
    <s v="Shampoo"/>
    <s v="Beauty"/>
    <x v="0"/>
    <n v="1200.43"/>
    <s v="Misaligned"/>
    <s v="18-24 Gen Z"/>
    <s v="High Value Tier"/>
    <s v="Stable"/>
  </r>
  <r>
    <s v="ORD5904"/>
    <s v="CUST1904"/>
    <n v="44"/>
    <s v="PROD1104"/>
    <s v="USA"/>
    <s v="12/27/2022"/>
    <d v="2025-11-02T00:00:00"/>
    <n v="2"/>
    <s v="active"/>
    <s v="11/18/2024"/>
    <s v=" $772.71 "/>
    <n v="2"/>
    <n v="4"/>
    <s v="Beauty"/>
    <s v="Smartphone"/>
    <s v="Electronics"/>
    <x v="0"/>
    <n v="1545.42"/>
    <s v="Misaligned"/>
    <s v="35-49 Gen X"/>
    <s v="High Value Tier"/>
    <s v="Stable"/>
  </r>
  <r>
    <s v="ORD5905"/>
    <s v="CUST1905"/>
    <n v="40"/>
    <s v="PROD1105"/>
    <s v="USA"/>
    <d v="2020-07-09T00:00:00"/>
    <d v="2025-12-07T00:00:00"/>
    <n v="4"/>
    <s v="active"/>
    <s v="1/23/2021"/>
    <s v=" $23.66 "/>
    <n v="7"/>
    <n v="46"/>
    <s v="Home"/>
    <s v="Jeans"/>
    <s v="Clothing"/>
    <x v="0"/>
    <n v="165.62"/>
    <s v="Misaligned"/>
    <s v="35-49 Gen X"/>
    <s v="High Value Tier"/>
    <s v="Critical Risk"/>
  </r>
  <r>
    <s v="ORD5906"/>
    <s v="CUST1906"/>
    <n v="24"/>
    <s v="PROD1106"/>
    <s v="Germany"/>
    <s v="6/29/2021"/>
    <d v="2025-11-01T00:00:00"/>
    <n v="4"/>
    <s v="active"/>
    <d v="2024-07-05T00:00:00"/>
    <s v=" $285.94 "/>
    <n v="6"/>
    <n v="31"/>
    <s v="Beauty"/>
    <s v="Skirt"/>
    <s v="Clothing"/>
    <x v="1"/>
    <n v="1715.64"/>
    <s v="Misaligned"/>
    <s v="18-24 Gen Z"/>
    <s v="High Value Tier"/>
    <s v="Critical Risk"/>
  </r>
  <r>
    <s v="ORD5907"/>
    <s v="CUST1907"/>
    <n v="21"/>
    <s v="PROD1107"/>
    <s v="UK"/>
    <s v="11/13/2021"/>
    <s v="1/21/2025"/>
    <n v="1"/>
    <s v="active"/>
    <d v="2025-11-08T00:00:00"/>
    <s v=" $412.26 "/>
    <n v="4"/>
    <n v="9"/>
    <s v="Home"/>
    <s v="Sneakers"/>
    <s v="Clothing"/>
    <x v="0"/>
    <n v="1649.04"/>
    <s v="Misaligned"/>
    <s v="18-24 Gen Z"/>
    <s v="High Value Tier"/>
    <s v="Stable"/>
  </r>
  <r>
    <s v="ORD5908"/>
    <s v="CUST1908"/>
    <n v="54"/>
    <s v="PROD1108"/>
    <s v="Germany"/>
    <d v="2021-03-07T00:00:00"/>
    <s v="5/28/2023"/>
    <n v="3"/>
    <s v="active"/>
    <s v="6/26/2025"/>
    <s v=" $111.59 "/>
    <n v="7"/>
    <n v="42"/>
    <s v="Sports"/>
    <s v="Bluetooth Speaker"/>
    <s v="Electronics"/>
    <x v="1"/>
    <n v="781.13"/>
    <s v="Misaligned"/>
    <s v="50-64 Boomers"/>
    <s v="High Value Tier"/>
    <s v="Stable"/>
  </r>
  <r>
    <s v="ORD5909"/>
    <s v="CUST1909"/>
    <n v="23"/>
    <s v="PROD1109"/>
    <s v="USA"/>
    <s v="6/18/2022"/>
    <s v="6/13/2024"/>
    <n v="5"/>
    <s v="active"/>
    <d v="2023-08-10T00:00:00"/>
    <s v=" $135.86 "/>
    <n v="7"/>
    <n v="29"/>
    <s v="Beauty"/>
    <s v="Running Shoes"/>
    <s v="Sports"/>
    <x v="1"/>
    <n v="951.02"/>
    <s v="Misaligned"/>
    <s v="18-24 Gen Z"/>
    <s v="High Value Tier"/>
    <s v="Critical Risk"/>
  </r>
  <r>
    <s v="ORD5910"/>
    <s v="CUST1910"/>
    <n v="64"/>
    <s v="PROD1110"/>
    <s v="UK"/>
    <d v="2021-08-12T00:00:00"/>
    <d v="2022-07-05T00:00:00"/>
    <n v="3"/>
    <s v="paused"/>
    <d v="2024-08-07T00:00:00"/>
    <s v=" $652.41 "/>
    <n v="3"/>
    <n v="26"/>
    <s v="Clothing"/>
    <s v="Dumbbells"/>
    <s v="Sports"/>
    <x v="0"/>
    <n v="1957.23"/>
    <s v="Misaligned"/>
    <s v="50-64 Boomers"/>
    <s v="High Value Tier"/>
    <s v="Elevated Risk"/>
  </r>
  <r>
    <s v="ORD5911"/>
    <s v="CUST1911"/>
    <n v="62"/>
    <s v="PROD1111"/>
    <s v="Canada"/>
    <s v="12/26/2020"/>
    <d v="2024-04-04T00:00:00"/>
    <n v="3"/>
    <s v="active"/>
    <d v="2023-02-10T00:00:00"/>
    <s v=" $27.29 "/>
    <n v="7"/>
    <n v="34"/>
    <s v="Sports"/>
    <s v="Sneakers"/>
    <s v="Clothing"/>
    <x v="0"/>
    <n v="191.03"/>
    <s v="Misaligned"/>
    <s v="50-64 Boomers"/>
    <s v="High Value Tier"/>
    <s v="Stable"/>
  </r>
  <r>
    <s v="ORD5912"/>
    <s v="CUST1912"/>
    <n v="23"/>
    <s v="PROD1112"/>
    <s v="USA"/>
    <d v="2023-04-04T00:00:00"/>
    <s v="1/17/2025"/>
    <n v="1"/>
    <s v="cancelled"/>
    <s v="12/13/2023"/>
    <s v=" $113.52 "/>
    <n v="8"/>
    <n v="43"/>
    <s v="Electronics"/>
    <s v="Jacket"/>
    <s v="Clothing"/>
    <x v="0"/>
    <n v="908.16"/>
    <s v="Misaligned"/>
    <s v="18-24 Gen Z"/>
    <s v="High Value Tier"/>
    <s v="Stable"/>
  </r>
  <r>
    <s v="ORD5913"/>
    <s v="CUST1913"/>
    <n v="28"/>
    <s v="PROD1113"/>
    <s v="India"/>
    <d v="2023-08-07T00:00:00"/>
    <d v="2025-01-02T00:00:00"/>
    <n v="3"/>
    <s v="cancelled"/>
    <s v="9/21/2023"/>
    <s v=" $162.82 "/>
    <n v="4"/>
    <n v="11"/>
    <s v="Home"/>
    <s v="Smartphone"/>
    <s v="Electronics"/>
    <x v="1"/>
    <n v="651.28"/>
    <s v="Misaligned"/>
    <s v="25-34 Millennials"/>
    <s v="High Value Tier"/>
    <s v="Stable"/>
  </r>
  <r>
    <s v="ORD5914"/>
    <s v="CUST1914"/>
    <n v="63"/>
    <s v="PROD1114"/>
    <s v="Germany"/>
    <s v="2/22/2021"/>
    <d v="2024-09-11T00:00:00"/>
    <n v="5"/>
    <s v="cancelled"/>
    <s v="3/17/2022"/>
    <s v=" $12.45 "/>
    <n v="8"/>
    <n v="8"/>
    <s v="Clothing"/>
    <s v="Lamp"/>
    <s v="Home"/>
    <x v="0"/>
    <n v="99.6"/>
    <s v="Misaligned"/>
    <s v="50-64 Boomers"/>
    <s v="Core Tier"/>
    <s v="Stable"/>
  </r>
  <r>
    <s v="ORD5915"/>
    <s v="CUST1915"/>
    <n v="38"/>
    <s v="PROD1115"/>
    <s v="USA"/>
    <d v="2022-07-02T00:00:00"/>
    <s v="10/14/2023"/>
    <n v="0"/>
    <s v="cancelled"/>
    <d v="2023-01-01T00:00:00"/>
    <s v=" $105.53 "/>
    <n v="2"/>
    <n v="26"/>
    <s v="Sports"/>
    <s v="Skirt"/>
    <s v="Clothing"/>
    <x v="0"/>
    <n v="211.06"/>
    <s v="Misaligned"/>
    <s v="35-49 Gen X"/>
    <s v="High Value Tier"/>
    <s v="Stable"/>
  </r>
  <r>
    <s v="ORD5916"/>
    <s v="CUST1916"/>
    <n v="51"/>
    <s v="PROD1116"/>
    <s v="USA"/>
    <d v="2022-11-07T00:00:00"/>
    <s v="8/23/2022"/>
    <n v="5"/>
    <s v="cancelled"/>
    <s v="1/14/2024"/>
    <s v=" $177.37 "/>
    <n v="9"/>
    <n v="37"/>
    <s v="Home"/>
    <s v="Skirt"/>
    <s v="Clothing"/>
    <x v="0"/>
    <n v="1596.33"/>
    <s v="Misaligned"/>
    <s v="50-64 Boomers"/>
    <s v="High Value Tier"/>
    <s v="Stable"/>
  </r>
  <r>
    <s v="ORD5917"/>
    <s v="CUST1917"/>
    <n v="67"/>
    <s v="PROD1117"/>
    <s v="Canada"/>
    <s v="6/26/2022"/>
    <s v="10/25/2022"/>
    <n v="5"/>
    <s v="active"/>
    <s v="6/29/2024"/>
    <s v=" $236.75 "/>
    <n v="1"/>
    <n v="24"/>
    <s v="Beauty"/>
    <s v="Laptop"/>
    <s v="Electronics"/>
    <x v="1"/>
    <n v="236.75"/>
    <s v="Misaligned"/>
    <s v="65+ Seniors"/>
    <s v="High Value Tier"/>
    <s v="Critical Risk"/>
  </r>
  <r>
    <s v="ORD5918"/>
    <s v="CUST1918"/>
    <n v="51"/>
    <s v="PROD1118"/>
    <s v="Pakistan"/>
    <d v="2022-11-11T00:00:00"/>
    <s v="4/13/2023"/>
    <n v="0"/>
    <s v="active"/>
    <d v="2024-05-07T00:00:00"/>
    <s v=" $89.84 "/>
    <n v="6"/>
    <n v="43"/>
    <s v="Clothing"/>
    <s v="Dumbbells"/>
    <s v="Sports"/>
    <x v="0"/>
    <n v="539.04"/>
    <s v="Misaligned"/>
    <s v="50-64 Boomers"/>
    <s v="High Value Tier"/>
    <s v="Stable"/>
  </r>
  <r>
    <s v="ORD5919"/>
    <s v="CUST1919"/>
    <n v="31"/>
    <s v="PROD1119"/>
    <s v="Pakistan"/>
    <s v="9/28/2020"/>
    <s v="12/18/2021"/>
    <n v="5"/>
    <s v="active"/>
    <d v="2021-06-07T00:00:00"/>
    <s v=" $236.87 "/>
    <n v="8"/>
    <n v="40"/>
    <s v="Electronics"/>
    <s v="Sneakers"/>
    <s v="Clothing"/>
    <x v="0"/>
    <n v="1894.96"/>
    <s v="Misaligned"/>
    <s v="25-34 Millennials"/>
    <s v="High Value Tier"/>
    <s v="Critical Risk"/>
  </r>
  <r>
    <s v="ORD5920"/>
    <s v="CUST1920"/>
    <n v="48"/>
    <s v="PROD1120"/>
    <s v="Pakistan"/>
    <d v="2022-10-05T00:00:00"/>
    <d v="2023-09-12T00:00:00"/>
    <n v="2"/>
    <s v="cancelled"/>
    <d v="2025-03-01T00:00:00"/>
    <s v=" $485.77 "/>
    <n v="4"/>
    <n v="49"/>
    <s v="Electronics"/>
    <s v="Microwave"/>
    <s v="Home"/>
    <x v="1"/>
    <n v="1943.08"/>
    <s v="Misaligned"/>
    <s v="35-49 Gen X"/>
    <s v="High Value Tier"/>
    <s v="Stable"/>
  </r>
  <r>
    <s v="ORD5921"/>
    <s v="CUST1921"/>
    <n v="36"/>
    <s v="PROD1121"/>
    <s v="India"/>
    <s v="11/29/2022"/>
    <s v="11/25/2024"/>
    <n v="5"/>
    <s v="active"/>
    <d v="2023-06-07T00:00:00"/>
    <s v=" $223.30 "/>
    <n v="6"/>
    <n v="22"/>
    <s v="Home"/>
    <s v="Yoga Mat"/>
    <s v="Sports"/>
    <x v="1"/>
    <n v="1339.8"/>
    <s v="Misaligned"/>
    <s v="35-49 Gen X"/>
    <s v="High Value Tier"/>
    <s v="Critical Risk"/>
  </r>
  <r>
    <s v="ORD5922"/>
    <s v="CUST1922"/>
    <n v="68"/>
    <s v="PROD1122"/>
    <s v="Canada"/>
    <d v="2020-01-12T00:00:00"/>
    <s v="4/23/2021"/>
    <n v="2"/>
    <s v="cancelled"/>
    <d v="2023-03-05T00:00:00"/>
    <s v=" $141.79 "/>
    <n v="8"/>
    <n v="17"/>
    <s v="Clothing"/>
    <s v="Lamp"/>
    <s v="Home"/>
    <x v="0"/>
    <n v="1134.32"/>
    <s v="Misaligned"/>
    <s v="65+ Seniors"/>
    <s v="High Value Tier"/>
    <s v="Stable"/>
  </r>
  <r>
    <s v="ORD5923"/>
    <s v="CUST1923"/>
    <n v="44"/>
    <s v="PROD1123"/>
    <s v="USA"/>
    <d v="2021-05-04T00:00:00"/>
    <d v="2022-02-03T00:00:00"/>
    <n v="4"/>
    <s v="active"/>
    <d v="2024-10-06T00:00:00"/>
    <s v=" $316.21 "/>
    <n v="6"/>
    <n v="22"/>
    <s v="Sports"/>
    <s v="Basketball"/>
    <s v="Sports"/>
    <x v="1"/>
    <n v="1897.26"/>
    <s v="Aligned"/>
    <s v="35-49 Gen X"/>
    <s v="High Value Tier"/>
    <s v="Critical Risk"/>
  </r>
  <r>
    <s v="ORD5924"/>
    <s v="CUST1924"/>
    <n v="66"/>
    <s v="PROD1124"/>
    <s v="UK"/>
    <s v="5/27/2021"/>
    <d v="2025-08-05T00:00:00"/>
    <n v="1"/>
    <s v="active"/>
    <d v="2025-07-05T00:00:00"/>
    <s v=" $253.96 "/>
    <n v="1"/>
    <n v="37"/>
    <s v="Clothing"/>
    <s v="Blender"/>
    <s v="Home"/>
    <x v="0"/>
    <n v="253.96"/>
    <s v="Misaligned"/>
    <s v="65+ Seniors"/>
    <s v="High Value Tier"/>
    <s v="Stable"/>
  </r>
  <r>
    <s v="ORD5925"/>
    <s v="CUST1925"/>
    <n v="33"/>
    <s v="PROD1125"/>
    <s v="India"/>
    <s v="1/18/2023"/>
    <s v="1/30/2024"/>
    <n v="0"/>
    <s v="paused"/>
    <s v="7/23/2025"/>
    <s v=" $314.54 "/>
    <n v="1"/>
    <n v="39"/>
    <s v="Electronics"/>
    <s v="Dining Table"/>
    <s v="Home"/>
    <x v="0"/>
    <n v="314.54000000000002"/>
    <s v="Misaligned"/>
    <s v="25-34 Millennials"/>
    <s v="High Value Tier"/>
    <s v="Elevated Risk"/>
  </r>
  <r>
    <s v="ORD5926"/>
    <s v="CUST1926"/>
    <n v="44"/>
    <s v="PROD1126"/>
    <s v="UK"/>
    <d v="2021-08-04T00:00:00"/>
    <s v="3/24/2023"/>
    <n v="4"/>
    <s v="active"/>
    <d v="2023-11-11T00:00:00"/>
    <s v=" $183.60 "/>
    <n v="7"/>
    <n v="30"/>
    <s v="Clothing"/>
    <s v="Headphones"/>
    <s v="Electronics"/>
    <x v="2"/>
    <n v="1285.2"/>
    <s v="Misaligned"/>
    <s v="35-49 Gen X"/>
    <s v="High Value Tier"/>
    <s v="Critical Risk"/>
  </r>
  <r>
    <s v="ORD5927"/>
    <s v="CUST1927"/>
    <n v="54"/>
    <s v="PROD1127"/>
    <s v="Germany"/>
    <s v="9/28/2020"/>
    <d v="2023-10-09T00:00:00"/>
    <n v="3"/>
    <s v="paused"/>
    <s v="5/23/2023"/>
    <s v=" $326.20 "/>
    <n v="5"/>
    <n v="16"/>
    <s v="Home"/>
    <s v="Refrigerator"/>
    <s v="Home"/>
    <x v="0"/>
    <n v="1631"/>
    <s v="Aligned"/>
    <s v="50-64 Boomers"/>
    <s v="High Value Tier"/>
    <s v="Elevated Risk"/>
  </r>
  <r>
    <s v="ORD5928"/>
    <s v="CUST1928"/>
    <n v="19"/>
    <s v="PROD1128"/>
    <s v="India"/>
    <s v="10/31/2020"/>
    <s v="6/13/2023"/>
    <n v="1"/>
    <s v="paused"/>
    <s v="4/19/2023"/>
    <s v=" $203.29 "/>
    <n v="9"/>
    <n v="8"/>
    <s v="Electronics"/>
    <s v="Conditioner"/>
    <s v="Beauty"/>
    <x v="1"/>
    <n v="1829.61"/>
    <s v="Misaligned"/>
    <s v="18-24 Gen Z"/>
    <s v="High Value Tier"/>
    <s v="Elevated Risk"/>
  </r>
  <r>
    <s v="ORD5929"/>
    <s v="CUST1929"/>
    <n v="21"/>
    <s v="PROD1129"/>
    <s v="UK"/>
    <s v="10/15/2021"/>
    <d v="2022-01-05T00:00:00"/>
    <n v="0"/>
    <s v="active"/>
    <s v="4/18/2024"/>
    <s v=" $287.98 "/>
    <n v="4"/>
    <n v="38"/>
    <s v="Electronics"/>
    <s v="Jeans"/>
    <s v="Clothing"/>
    <x v="2"/>
    <n v="1151.92"/>
    <s v="Misaligned"/>
    <s v="18-24 Gen Z"/>
    <s v="High Value Tier"/>
    <s v="Stable"/>
  </r>
  <r>
    <s v="ORD5930"/>
    <s v="CUST1930"/>
    <n v="42"/>
    <s v="PROD1130"/>
    <s v="Pakistan"/>
    <s v="4/22/2023"/>
    <s v="10/14/2023"/>
    <n v="3"/>
    <s v="active"/>
    <d v="2024-08-09T00:00:00"/>
    <s v=" $1,187.15 "/>
    <n v="1"/>
    <n v="37"/>
    <s v="Beauty"/>
    <s v="Vacuum Cleaner"/>
    <s v="Home"/>
    <x v="0"/>
    <n v="1187.1500000000001"/>
    <s v="Misaligned"/>
    <s v="35-49 Gen X"/>
    <s v="High Value Tier"/>
    <s v="Stable"/>
  </r>
  <r>
    <s v="ORD5931"/>
    <s v="CUST1931"/>
    <n v="31"/>
    <s v="PROD1131"/>
    <s v="USA"/>
    <s v="6/18/2021"/>
    <s v="9/15/2024"/>
    <n v="1"/>
    <s v="active"/>
    <s v="3/25/2024"/>
    <s v=" $41.26 "/>
    <n v="2"/>
    <n v="43"/>
    <s v="Electronics"/>
    <s v="Tennis Racket"/>
    <s v="Sports"/>
    <x v="0"/>
    <n v="82.52"/>
    <s v="Misaligned"/>
    <s v="25-34 Millennials"/>
    <s v="High Value Tier"/>
    <s v="Stable"/>
  </r>
  <r>
    <s v="ORD5932"/>
    <s v="CUST1932"/>
    <n v="25"/>
    <s v="PROD1132"/>
    <s v="UK"/>
    <d v="2020-07-09T00:00:00"/>
    <s v="5/14/2025"/>
    <n v="5"/>
    <s v="active"/>
    <s v="6/26/2021"/>
    <s v=" $442.11 "/>
    <n v="4"/>
    <n v="32"/>
    <s v="Sports"/>
    <s v="Shampoo"/>
    <s v="Beauty"/>
    <x v="1"/>
    <n v="1768.44"/>
    <s v="Misaligned"/>
    <s v="25-34 Millennials"/>
    <s v="High Value Tier"/>
    <s v="Critical Risk"/>
  </r>
  <r>
    <s v="ORD5933"/>
    <s v="CUST1933"/>
    <n v="21"/>
    <s v="PROD1133"/>
    <s v="Canada"/>
    <d v="2021-08-09T00:00:00"/>
    <s v="1/27/2025"/>
    <n v="0"/>
    <s v="active"/>
    <s v="6/30/2022"/>
    <s v=" $157.40 "/>
    <n v="7"/>
    <n v="45"/>
    <s v="Sports"/>
    <s v="Lipstick"/>
    <s v="Beauty"/>
    <x v="1"/>
    <n v="1101.8"/>
    <s v="Misaligned"/>
    <s v="18-24 Gen Z"/>
    <s v="High Value Tier"/>
    <s v="Stable"/>
  </r>
  <r>
    <s v="ORD5934"/>
    <s v="CUST1934"/>
    <n v="30"/>
    <s v="PROD1134"/>
    <s v="USA"/>
    <d v="2022-05-03T00:00:00"/>
    <d v="2025-08-04T00:00:00"/>
    <n v="0"/>
    <s v="active"/>
    <d v="2024-09-08T00:00:00"/>
    <s v=" $840.86 "/>
    <n v="2"/>
    <n v="21"/>
    <s v="Home"/>
    <s v="Tennis Racket"/>
    <s v="Sports"/>
    <x v="0"/>
    <n v="1681.72"/>
    <s v="Misaligned"/>
    <s v="25-34 Millennials"/>
    <s v="High Value Tier"/>
    <s v="Stable"/>
  </r>
  <r>
    <s v="ORD5935"/>
    <s v="CUST1935"/>
    <n v="43"/>
    <s v="PROD1135"/>
    <s v="Canada"/>
    <s v="10/23/2022"/>
    <d v="2024-05-05T00:00:00"/>
    <n v="3"/>
    <s v="paused"/>
    <s v="8/21/2024"/>
    <s v=" $267.94 "/>
    <n v="6"/>
    <n v="40"/>
    <s v="Sports"/>
    <s v="Refrigerator"/>
    <s v="Home"/>
    <x v="0"/>
    <n v="1607.64"/>
    <s v="Misaligned"/>
    <s v="35-49 Gen X"/>
    <s v="High Value Tier"/>
    <s v="Elevated Risk"/>
  </r>
  <r>
    <s v="ORD5936"/>
    <s v="CUST1936"/>
    <n v="40"/>
    <s v="PROD1136"/>
    <s v="UK"/>
    <s v="1/24/2022"/>
    <s v="9/16/2023"/>
    <n v="5"/>
    <s v="active"/>
    <s v="3/20/2025"/>
    <s v=" $221.07 "/>
    <n v="8"/>
    <n v="27"/>
    <s v="Clothing"/>
    <s v="Sofa"/>
    <s v="Home"/>
    <x v="1"/>
    <n v="1768.56"/>
    <s v="Misaligned"/>
    <s v="35-49 Gen X"/>
    <s v="High Value Tier"/>
    <s v="Critical Risk"/>
  </r>
  <r>
    <s v="ORD5937"/>
    <s v="CUST1937"/>
    <n v="52"/>
    <s v="PROD1137"/>
    <s v="Germany"/>
    <s v="4/15/2021"/>
    <s v="6/22/2024"/>
    <n v="0"/>
    <s v="cancelled"/>
    <d v="2025-02-06T00:00:00"/>
    <s v=" $198.60 "/>
    <n v="4"/>
    <n v="47"/>
    <s v="Electronics"/>
    <s v="Shirt"/>
    <s v="Clothing"/>
    <x v="1"/>
    <n v="794.4"/>
    <s v="Misaligned"/>
    <s v="50-64 Boomers"/>
    <s v="High Value Tier"/>
    <s v="Stable"/>
  </r>
  <r>
    <s v="ORD5938"/>
    <s v="CUST1938"/>
    <n v="69"/>
    <s v="PROD1138"/>
    <s v="Canada"/>
    <d v="2020-05-12T00:00:00"/>
    <s v="4/30/2022"/>
    <n v="1"/>
    <s v="active"/>
    <d v="2022-08-08T00:00:00"/>
    <s v=" $1,782.82 "/>
    <n v="1"/>
    <n v="47"/>
    <s v="Sports"/>
    <s v="Dumbbells"/>
    <s v="Sports"/>
    <x v="0"/>
    <n v="1782.82"/>
    <s v="Aligned"/>
    <s v="65+ Seniors"/>
    <s v="High Value Tier"/>
    <s v="Stable"/>
  </r>
  <r>
    <s v="ORD5939"/>
    <s v="CUST1939"/>
    <n v="45"/>
    <s v="PROD1139"/>
    <s v="Pakistan"/>
    <s v="3/18/2022"/>
    <s v="7/21/2022"/>
    <n v="3"/>
    <s v="cancelled"/>
    <s v="5/18/2025"/>
    <s v=" $246.91 "/>
    <n v="7"/>
    <n v="25"/>
    <s v="Home"/>
    <s v="Tablet"/>
    <s v="Electronics"/>
    <x v="1"/>
    <n v="1728.37"/>
    <s v="Misaligned"/>
    <s v="35-49 Gen X"/>
    <s v="High Value Tier"/>
    <s v="Stable"/>
  </r>
  <r>
    <s v="ORD5940"/>
    <s v="CUST1940"/>
    <n v="26"/>
    <s v="PROD1140"/>
    <s v="Pakistan"/>
    <d v="2021-08-07T00:00:00"/>
    <s v="2/26/2023"/>
    <n v="0"/>
    <s v="paused"/>
    <d v="2024-11-10T00:00:00"/>
    <s v=" $41.50 "/>
    <n v="7"/>
    <n v="7"/>
    <s v="Electronics"/>
    <s v="Cricket Bat"/>
    <s v="Sports"/>
    <x v="1"/>
    <n v="290.5"/>
    <s v="Misaligned"/>
    <s v="25-34 Millennials"/>
    <s v="Core Tier"/>
    <s v="Elevated Risk"/>
  </r>
  <r>
    <s v="ORD5941"/>
    <s v="CUST1941"/>
    <n v="27"/>
    <s v="PROD1141"/>
    <s v="USA"/>
    <d v="2022-06-11T00:00:00"/>
    <s v="6/29/2024"/>
    <n v="3"/>
    <s v="active"/>
    <d v="2023-02-08T00:00:00"/>
    <s v=" $49.54 "/>
    <n v="5"/>
    <n v="2"/>
    <s v="Electronics"/>
    <s v="Cricket Bat"/>
    <s v="Sports"/>
    <x v="1"/>
    <n v="247.7"/>
    <s v="Misaligned"/>
    <s v="25-34 Millennials"/>
    <s v="Value Tier"/>
    <s v="Stable"/>
  </r>
  <r>
    <s v="ORD5942"/>
    <s v="CUST1942"/>
    <n v="56"/>
    <s v="PROD1142"/>
    <s v="UK"/>
    <d v="2022-06-05T00:00:00"/>
    <s v="1/21/2024"/>
    <n v="1"/>
    <s v="active"/>
    <s v="5/18/2025"/>
    <s v=" $394.99 "/>
    <n v="5"/>
    <n v="35"/>
    <s v="Home"/>
    <s v="Jacket"/>
    <s v="Clothing"/>
    <x v="0"/>
    <n v="1974.95"/>
    <s v="Misaligned"/>
    <s v="50-64 Boomers"/>
    <s v="High Value Tier"/>
    <s v="Stable"/>
  </r>
  <r>
    <s v="ORD5943"/>
    <s v="CUST1943"/>
    <n v="38"/>
    <s v="PROD1143"/>
    <s v="Germany"/>
    <s v="3/13/2023"/>
    <d v="2023-04-04T00:00:00"/>
    <n v="0"/>
    <s v="active"/>
    <d v="2023-04-09T00:00:00"/>
    <s v=" $117.48 "/>
    <n v="6"/>
    <n v="47"/>
    <s v="Home"/>
    <s v="Yoga Mat"/>
    <s v="Sports"/>
    <x v="0"/>
    <n v="704.88"/>
    <s v="Misaligned"/>
    <s v="35-49 Gen X"/>
    <s v="High Value Tier"/>
    <s v="Stable"/>
  </r>
  <r>
    <s v="ORD5944"/>
    <s v="CUST1944"/>
    <n v="33"/>
    <s v="PROD1144"/>
    <s v="India"/>
    <s v="2/21/2021"/>
    <s v="3/16/2024"/>
    <n v="5"/>
    <s v="cancelled"/>
    <d v="2021-08-06T00:00:00"/>
    <s v=" $262.89 "/>
    <n v="4"/>
    <n v="14"/>
    <s v="Home"/>
    <s v="Football"/>
    <s v="Sports"/>
    <x v="1"/>
    <n v="1051.56"/>
    <s v="Misaligned"/>
    <s v="25-34 Millennials"/>
    <s v="High Value Tier"/>
    <s v="Stable"/>
  </r>
  <r>
    <s v="ORD5945"/>
    <s v="CUST1945"/>
    <n v="19"/>
    <s v="PROD1145"/>
    <s v="Canada"/>
    <d v="2022-05-04T00:00:00"/>
    <d v="2022-07-12T00:00:00"/>
    <n v="0"/>
    <s v="paused"/>
    <s v="9/22/2022"/>
    <s v=" $113.64 "/>
    <n v="9"/>
    <n v="17"/>
    <s v="Electronics"/>
    <s v="Foundation"/>
    <s v="Beauty"/>
    <x v="1"/>
    <n v="1022.76"/>
    <s v="Misaligned"/>
    <s v="18-24 Gen Z"/>
    <s v="High Value Tier"/>
    <s v="Elevated Risk"/>
  </r>
  <r>
    <s v="ORD5946"/>
    <s v="CUST1946"/>
    <n v="44"/>
    <s v="PROD1146"/>
    <s v="Germany"/>
    <s v="7/18/2023"/>
    <s v="1/18/2024"/>
    <n v="1"/>
    <s v="paused"/>
    <s v="5/17/2025"/>
    <s v=" $871.85 "/>
    <n v="2"/>
    <n v="23"/>
    <s v="Electronics"/>
    <s v="Dress"/>
    <s v="Clothing"/>
    <x v="0"/>
    <n v="1743.7"/>
    <s v="Misaligned"/>
    <s v="35-49 Gen X"/>
    <s v="High Value Tier"/>
    <s v="Elevated Risk"/>
  </r>
  <r>
    <s v="ORD5947"/>
    <s v="CUST1947"/>
    <n v="69"/>
    <s v="PROD1147"/>
    <s v="USA"/>
    <s v="5/31/2022"/>
    <s v="6/22/2022"/>
    <n v="5"/>
    <s v="active"/>
    <s v="2/26/2023"/>
    <s v=" $470.37 "/>
    <n v="3"/>
    <n v="37"/>
    <s v="Electronics"/>
    <s v="Laptop"/>
    <s v="Electronics"/>
    <x v="1"/>
    <n v="1411.11"/>
    <s v="Aligned"/>
    <s v="65+ Seniors"/>
    <s v="High Value Tier"/>
    <s v="Critical Risk"/>
  </r>
  <r>
    <s v="ORD5948"/>
    <s v="CUST1948"/>
    <n v="39"/>
    <s v="PROD1148"/>
    <s v="USA"/>
    <d v="2020-11-12T00:00:00"/>
    <d v="2021-07-06T00:00:00"/>
    <n v="5"/>
    <s v="active"/>
    <s v="7/24/2021"/>
    <s v=" $349.45 "/>
    <n v="5"/>
    <n v="22"/>
    <s v="Electronics"/>
    <s v="Cycling Helmet"/>
    <s v="Sports"/>
    <x v="1"/>
    <n v="1747.25"/>
    <s v="Misaligned"/>
    <s v="35-49 Gen X"/>
    <s v="High Value Tier"/>
    <s v="Critical Risk"/>
  </r>
  <r>
    <s v="ORD5949"/>
    <s v="CUST1949"/>
    <n v="67"/>
    <s v="PROD1149"/>
    <s v="India"/>
    <s v="10/20/2021"/>
    <s v="7/25/2022"/>
    <n v="0"/>
    <s v="paused"/>
    <s v="11/27/2023"/>
    <s v=" $246.71 "/>
    <n v="6"/>
    <n v="12"/>
    <s v="Clothing"/>
    <s v="Perfume"/>
    <s v="Beauty"/>
    <x v="0"/>
    <n v="1480.26"/>
    <s v="Misaligned"/>
    <s v="65+ Seniors"/>
    <s v="High Value Tier"/>
    <s v="Elevated Risk"/>
  </r>
  <r>
    <s v="ORD5950"/>
    <s v="CUST1950"/>
    <n v="22"/>
    <s v="PROD1150"/>
    <s v="Germany"/>
    <d v="2023-09-04T00:00:00"/>
    <s v="4/22/2024"/>
    <n v="2"/>
    <s v="active"/>
    <s v="3/27/2025"/>
    <s v=" $219.88 "/>
    <n v="4"/>
    <n v="48"/>
    <s v="Clothing"/>
    <s v="Skirt"/>
    <s v="Clothing"/>
    <x v="1"/>
    <n v="879.52"/>
    <s v="Aligned"/>
    <s v="18-24 Gen Z"/>
    <s v="High Value Tier"/>
    <s v="Stable"/>
  </r>
  <r>
    <s v="ORD5951"/>
    <s v="CUST1951"/>
    <n v="57"/>
    <s v="PROD1151"/>
    <s v="Canada"/>
    <d v="2022-09-09T00:00:00"/>
    <d v="2023-02-09T00:00:00"/>
    <n v="5"/>
    <s v="active"/>
    <d v="2022-11-10T00:00:00"/>
    <s v=" $38.90 "/>
    <n v="7"/>
    <n v="48"/>
    <s v="Sports"/>
    <s v="Vacuum Cleaner"/>
    <s v="Home"/>
    <x v="0"/>
    <n v="272.3"/>
    <s v="Misaligned"/>
    <s v="50-64 Boomers"/>
    <s v="High Value Tier"/>
    <s v="Critical Risk"/>
  </r>
  <r>
    <s v="ORD5952"/>
    <s v="CUST1952"/>
    <n v="18"/>
    <s v="PROD1152"/>
    <s v="Pakistan"/>
    <s v="8/27/2022"/>
    <s v="8/14/2023"/>
    <n v="5"/>
    <s v="active"/>
    <s v="4/24/2024"/>
    <s v=" $235.66 "/>
    <n v="6"/>
    <n v="9"/>
    <s v="Clothing"/>
    <s v="Foundation"/>
    <s v="Beauty"/>
    <x v="1"/>
    <n v="1413.96"/>
    <s v="Misaligned"/>
    <s v="18-24 Gen Z"/>
    <s v="High Value Tier"/>
    <s v="Critical Risk"/>
  </r>
  <r>
    <s v="ORD5953"/>
    <s v="CUST1953"/>
    <n v="30"/>
    <s v="PROD1153"/>
    <s v="Canada"/>
    <s v="4/13/2021"/>
    <s v="4/13/2025"/>
    <n v="1"/>
    <s v="active"/>
    <s v="11/20/2024"/>
    <s v=" $1,880.02 "/>
    <n v="1"/>
    <n v="48"/>
    <s v="Clothing"/>
    <s v="Blender"/>
    <s v="Home"/>
    <x v="0"/>
    <n v="1880.02"/>
    <s v="Misaligned"/>
    <s v="25-34 Millennials"/>
    <s v="High Value Tier"/>
    <s v="Stable"/>
  </r>
  <r>
    <s v="ORD5954"/>
    <s v="CUST1954"/>
    <n v="64"/>
    <s v="PROD1154"/>
    <s v="Pakistan"/>
    <s v="6/15/2023"/>
    <s v="12/21/2024"/>
    <n v="4"/>
    <s v="cancelled"/>
    <s v="12/25/2024"/>
    <s v=" $55.52 "/>
    <n v="9"/>
    <n v="42"/>
    <s v="Sports"/>
    <s v="Cricket Bat"/>
    <s v="Sports"/>
    <x v="1"/>
    <n v="499.68"/>
    <s v="Aligned"/>
    <s v="50-64 Boomers"/>
    <s v="High Value Tier"/>
    <s v="Stable"/>
  </r>
  <r>
    <s v="ORD5955"/>
    <s v="CUST1955"/>
    <n v="45"/>
    <s v="PROD1155"/>
    <s v="USA"/>
    <d v="2023-11-04T00:00:00"/>
    <d v="2025-09-02T00:00:00"/>
    <n v="1"/>
    <s v="active"/>
    <s v="6/18/2023"/>
    <s v=" $73.02 "/>
    <n v="6"/>
    <n v="21"/>
    <s v="Beauty"/>
    <s v="Perfume"/>
    <s v="Beauty"/>
    <x v="0"/>
    <n v="438.12"/>
    <s v="Aligned"/>
    <s v="35-49 Gen X"/>
    <s v="High Value Tier"/>
    <s v="Stable"/>
  </r>
  <r>
    <s v="ORD5956"/>
    <s v="CUST1956"/>
    <n v="58"/>
    <s v="PROD1156"/>
    <s v="Pakistan"/>
    <s v="11/28/2021"/>
    <s v="3/27/2025"/>
    <n v="3"/>
    <s v="active"/>
    <d v="2023-08-02T00:00:00"/>
    <s v=" $1,802.85 "/>
    <n v="1"/>
    <n v="37"/>
    <s v="Electronics"/>
    <s v="T-Shirt"/>
    <s v="Clothing"/>
    <x v="1"/>
    <n v="1802.85"/>
    <s v="Misaligned"/>
    <s v="50-64 Boomers"/>
    <s v="High Value Tier"/>
    <s v="Stable"/>
  </r>
  <r>
    <s v="ORD5957"/>
    <s v="CUST1957"/>
    <n v="21"/>
    <s v="PROD1157"/>
    <s v="Pakistan"/>
    <d v="2021-12-10T00:00:00"/>
    <s v="10/27/2021"/>
    <n v="5"/>
    <s v="cancelled"/>
    <d v="2023-08-11T00:00:00"/>
    <s v=" $778.38 "/>
    <n v="2"/>
    <n v="28"/>
    <s v="Home"/>
    <s v="Sneakers"/>
    <s v="Clothing"/>
    <x v="1"/>
    <n v="1556.76"/>
    <s v="Misaligned"/>
    <s v="18-24 Gen Z"/>
    <s v="High Value Tier"/>
    <s v="Stable"/>
  </r>
  <r>
    <s v="ORD5958"/>
    <s v="CUST1958"/>
    <n v="22"/>
    <s v="PROD1158"/>
    <s v="Pakistan"/>
    <s v="1/27/2022"/>
    <s v="9/29/2024"/>
    <n v="3"/>
    <s v="cancelled"/>
    <s v="11/30/2024"/>
    <s v=" $128.14 "/>
    <n v="9"/>
    <n v="9"/>
    <s v="Home"/>
    <s v="Bluetooth Speaker"/>
    <s v="Electronics"/>
    <x v="0"/>
    <n v="1153.26"/>
    <s v="Misaligned"/>
    <s v="18-24 Gen Z"/>
    <s v="High Value Tier"/>
    <s v="Stable"/>
  </r>
  <r>
    <s v="ORD5959"/>
    <s v="CUST1959"/>
    <n v="36"/>
    <s v="PROD1159"/>
    <s v="Germany"/>
    <d v="2021-02-08T00:00:00"/>
    <d v="2022-08-07T00:00:00"/>
    <n v="3"/>
    <s v="active"/>
    <d v="2023-02-12T00:00:00"/>
    <s v=" $175.21 "/>
    <n v="7"/>
    <n v="5"/>
    <s v="Electronics"/>
    <s v="Basketball"/>
    <s v="Sports"/>
    <x v="0"/>
    <n v="1226.47"/>
    <s v="Misaligned"/>
    <s v="35-49 Gen X"/>
    <s v="High Value Tier"/>
    <s v="Stable"/>
  </r>
  <r>
    <s v="ORD5960"/>
    <s v="CUST1960"/>
    <n v="24"/>
    <s v="PROD1160"/>
    <s v="India"/>
    <d v="2020-03-10T00:00:00"/>
    <s v="3/15/2025"/>
    <n v="4"/>
    <s v="cancelled"/>
    <s v="9/16/2023"/>
    <s v=" $178.84 "/>
    <n v="3"/>
    <n v="34"/>
    <s v="Sports"/>
    <s v="Basketball"/>
    <s v="Sports"/>
    <x v="1"/>
    <n v="536.52"/>
    <s v="Aligned"/>
    <s v="18-24 Gen Z"/>
    <s v="High Value Tier"/>
    <s v="Stable"/>
  </r>
  <r>
    <s v="ORD5961"/>
    <s v="CUST1961"/>
    <n v="65"/>
    <s v="PROD1161"/>
    <s v="Canada"/>
    <s v="1/21/2022"/>
    <s v="8/13/2022"/>
    <n v="1"/>
    <s v="active"/>
    <s v="4/24/2024"/>
    <s v=" $100.80 "/>
    <n v="6"/>
    <n v="38"/>
    <s v="Beauty"/>
    <s v="Dining Table"/>
    <s v="Home"/>
    <x v="0"/>
    <n v="604.79999999999995"/>
    <s v="Misaligned"/>
    <s v="65+ Seniors"/>
    <s v="High Value Tier"/>
    <s v="Stable"/>
  </r>
  <r>
    <s v="ORD5962"/>
    <s v="CUST1962"/>
    <n v="56"/>
    <s v="PROD1162"/>
    <s v="USA"/>
    <s v="10/31/2021"/>
    <s v="7/25/2025"/>
    <n v="0"/>
    <s v="active"/>
    <s v="8/19/2024"/>
    <s v=" $469.18 "/>
    <n v="3"/>
    <n v="12"/>
    <s v="Electronics"/>
    <s v="Smartwatch"/>
    <s v="Electronics"/>
    <x v="1"/>
    <n v="1407.54"/>
    <s v="Aligned"/>
    <s v="50-64 Boomers"/>
    <s v="High Value Tier"/>
    <s v="Stable"/>
  </r>
  <r>
    <s v="ORD5963"/>
    <s v="CUST1963"/>
    <n v="21"/>
    <s v="PROD1163"/>
    <s v="India"/>
    <s v="9/26/2022"/>
    <s v="5/19/2023"/>
    <n v="1"/>
    <s v="cancelled"/>
    <s v="7/25/2023"/>
    <s v=" $395.18 "/>
    <n v="5"/>
    <n v="7"/>
    <s v="Home"/>
    <s v="Sneakers"/>
    <s v="Clothing"/>
    <x v="1"/>
    <n v="1975.9"/>
    <s v="Misaligned"/>
    <s v="18-24 Gen Z"/>
    <s v="High Value Tier"/>
    <s v="Stable"/>
  </r>
  <r>
    <s v="ORD5964"/>
    <s v="CUST1964"/>
    <n v="39"/>
    <s v="PROD1164"/>
    <s v="Canada"/>
    <s v="11/14/2022"/>
    <d v="2025-01-05T00:00:00"/>
    <n v="3"/>
    <s v="active"/>
    <d v="2024-01-11T00:00:00"/>
    <s v=" $66.90 "/>
    <n v="7"/>
    <n v="5"/>
    <s v="Electronics"/>
    <s v="T-Shirt"/>
    <s v="Clothing"/>
    <x v="0"/>
    <n v="468.3"/>
    <s v="Misaligned"/>
    <s v="35-49 Gen X"/>
    <s v="Core Tier"/>
    <s v="Stable"/>
  </r>
  <r>
    <s v="ORD5965"/>
    <s v="CUST1965"/>
    <n v="39"/>
    <s v="PROD1165"/>
    <s v="Pakistan"/>
    <d v="2021-04-11T00:00:00"/>
    <s v="12/21/2023"/>
    <n v="3"/>
    <s v="cancelled"/>
    <d v="2022-03-02T00:00:00"/>
    <s v=" $228.96 "/>
    <n v="7"/>
    <n v="11"/>
    <s v="Electronics"/>
    <s v="Sneakers"/>
    <s v="Clothing"/>
    <x v="0"/>
    <n v="1602.72"/>
    <s v="Misaligned"/>
    <s v="35-49 Gen X"/>
    <s v="High Value Tier"/>
    <s v="Stable"/>
  </r>
  <r>
    <s v="ORD5966"/>
    <s v="CUST1966"/>
    <n v="29"/>
    <s v="PROD1166"/>
    <s v="USA"/>
    <s v="5/13/2021"/>
    <s v="2/19/2024"/>
    <n v="2"/>
    <s v="paused"/>
    <d v="2023-06-04T00:00:00"/>
    <s v=" $150.30 "/>
    <n v="5"/>
    <n v="44"/>
    <s v="Sports"/>
    <s v="Perfume"/>
    <s v="Beauty"/>
    <x v="1"/>
    <n v="751.5"/>
    <s v="Misaligned"/>
    <s v="25-34 Millennials"/>
    <s v="High Value Tier"/>
    <s v="Elevated Risk"/>
  </r>
  <r>
    <s v="ORD5967"/>
    <s v="CUST1967"/>
    <n v="32"/>
    <s v="PROD1167"/>
    <s v="Germany"/>
    <s v="7/31/2021"/>
    <s v="5/20/2022"/>
    <n v="2"/>
    <s v="cancelled"/>
    <d v="2025-04-08T00:00:00"/>
    <s v=" $77.12 "/>
    <n v="3"/>
    <n v="31"/>
    <s v="Clothing"/>
    <s v="Chair"/>
    <s v="Home"/>
    <x v="1"/>
    <n v="231.36"/>
    <s v="Misaligned"/>
    <s v="25-34 Millennials"/>
    <s v="High Value Tier"/>
    <s v="Stable"/>
  </r>
  <r>
    <s v="ORD5968"/>
    <s v="CUST1968"/>
    <n v="54"/>
    <s v="PROD1168"/>
    <s v="Pakistan"/>
    <d v="2021-10-03T00:00:00"/>
    <d v="2024-12-06T00:00:00"/>
    <n v="1"/>
    <s v="active"/>
    <s v="7/21/2021"/>
    <s v=" $72.21 "/>
    <n v="6"/>
    <n v="29"/>
    <s v="Electronics"/>
    <s v="Lamp"/>
    <s v="Home"/>
    <x v="0"/>
    <n v="433.26"/>
    <s v="Misaligned"/>
    <s v="50-64 Boomers"/>
    <s v="High Value Tier"/>
    <s v="Stable"/>
  </r>
  <r>
    <s v="ORD5969"/>
    <s v="CUST1969"/>
    <n v="36"/>
    <s v="PROD1169"/>
    <s v="India"/>
    <s v="6/20/2023"/>
    <d v="2024-11-12T00:00:00"/>
    <n v="1"/>
    <s v="cancelled"/>
    <d v="2023-07-09T00:00:00"/>
    <s v=" $196.33 "/>
    <n v="3"/>
    <n v="22"/>
    <s v="Beauty"/>
    <s v="Camera"/>
    <s v="Electronics"/>
    <x v="1"/>
    <n v="588.99"/>
    <s v="Misaligned"/>
    <s v="35-49 Gen X"/>
    <s v="High Value Tier"/>
    <s v="Stable"/>
  </r>
  <r>
    <s v="ORD5970"/>
    <s v="CUST1970"/>
    <n v="47"/>
    <s v="PROD1170"/>
    <s v="Germany"/>
    <s v="3/17/2022"/>
    <s v="3/19/2025"/>
    <n v="4"/>
    <s v="active"/>
    <d v="2023-08-12T00:00:00"/>
    <s v=" $3.79 "/>
    <n v="6"/>
    <n v="47"/>
    <s v="Clothing"/>
    <s v="Moisturizer"/>
    <s v="Beauty"/>
    <x v="1"/>
    <n v="22.74"/>
    <s v="Misaligned"/>
    <s v="35-49 Gen X"/>
    <s v="Core Tier"/>
    <s v="Critical Risk"/>
  </r>
  <r>
    <s v="ORD5971"/>
    <s v="CUST1971"/>
    <n v="29"/>
    <s v="PROD1171"/>
    <s v="India"/>
    <s v="4/18/2022"/>
    <s v="11/14/2024"/>
    <n v="5"/>
    <s v="active"/>
    <s v="10/29/2023"/>
    <s v=" $106.22 "/>
    <n v="3"/>
    <n v="36"/>
    <s v="Electronics"/>
    <s v="Dining Table"/>
    <s v="Home"/>
    <x v="0"/>
    <n v="318.66000000000003"/>
    <s v="Misaligned"/>
    <s v="25-34 Millennials"/>
    <s v="High Value Tier"/>
    <s v="Critical Risk"/>
  </r>
  <r>
    <s v="ORD5972"/>
    <s v="CUST1972"/>
    <n v="62"/>
    <s v="PROD1172"/>
    <s v="India"/>
    <d v="2023-05-01T00:00:00"/>
    <s v="7/24/2025"/>
    <n v="2"/>
    <s v="cancelled"/>
    <s v="10/20/2024"/>
    <s v=" $180.75 "/>
    <n v="3"/>
    <n v="37"/>
    <s v="Electronics"/>
    <s v="Nail Polish"/>
    <s v="Beauty"/>
    <x v="0"/>
    <n v="542.25"/>
    <s v="Misaligned"/>
    <s v="50-64 Boomers"/>
    <s v="High Value Tier"/>
    <s v="Stable"/>
  </r>
  <r>
    <s v="ORD5973"/>
    <s v="CUST1973"/>
    <n v="61"/>
    <s v="PROD1173"/>
    <s v="Pakistan"/>
    <s v="9/25/2021"/>
    <s v="1/18/2025"/>
    <n v="3"/>
    <s v="active"/>
    <d v="2022-10-09T00:00:00"/>
    <s v=" $296.92 "/>
    <n v="4"/>
    <n v="28"/>
    <s v="Electronics"/>
    <s v="Camera"/>
    <s v="Electronics"/>
    <x v="0"/>
    <n v="1187.68"/>
    <s v="Aligned"/>
    <s v="50-64 Boomers"/>
    <s v="High Value Tier"/>
    <s v="Stable"/>
  </r>
  <r>
    <s v="ORD5974"/>
    <s v="CUST1974"/>
    <n v="63"/>
    <s v="PROD1174"/>
    <s v="Canada"/>
    <d v="2022-02-03T00:00:00"/>
    <s v="1/23/2023"/>
    <n v="5"/>
    <s v="active"/>
    <s v="12/18/2024"/>
    <s v=" $29.50 "/>
    <n v="8"/>
    <n v="14"/>
    <s v="Home"/>
    <s v="Jacket"/>
    <s v="Clothing"/>
    <x v="1"/>
    <n v="236"/>
    <s v="Misaligned"/>
    <s v="50-64 Boomers"/>
    <s v="High Value Tier"/>
    <s v="Critical Risk"/>
  </r>
  <r>
    <s v="ORD5975"/>
    <s v="CUST1975"/>
    <n v="53"/>
    <s v="PROD1175"/>
    <s v="India"/>
    <d v="2022-06-05T00:00:00"/>
    <s v="5/24/2025"/>
    <n v="2"/>
    <s v="active"/>
    <d v="2023-08-01T00:00:00"/>
    <s v=" $31.86 "/>
    <n v="9"/>
    <n v="14"/>
    <s v="Beauty"/>
    <s v="Tablet"/>
    <s v="Electronics"/>
    <x v="0"/>
    <n v="286.74"/>
    <s v="Misaligned"/>
    <s v="50-64 Boomers"/>
    <s v="High Value Tier"/>
    <s v="Stable"/>
  </r>
  <r>
    <s v="ORD5976"/>
    <s v="CUST1976"/>
    <n v="43"/>
    <s v="PROD1176"/>
    <s v="USA"/>
    <d v="2023-12-06T00:00:00"/>
    <d v="2023-07-11T00:00:00"/>
    <n v="0"/>
    <s v="active"/>
    <s v="6/23/2025"/>
    <s v=" $145.88 "/>
    <n v="7"/>
    <n v="9"/>
    <s v="Clothing"/>
    <s v="Basketball"/>
    <s v="Sports"/>
    <x v="0"/>
    <n v="1021.16"/>
    <s v="Misaligned"/>
    <s v="35-49 Gen X"/>
    <s v="High Value Tier"/>
    <s v="Stable"/>
  </r>
  <r>
    <s v="ORD5977"/>
    <s v="CUST1977"/>
    <n v="63"/>
    <s v="PROD1177"/>
    <s v="Canada"/>
    <s v="5/26/2021"/>
    <d v="2022-03-12T00:00:00"/>
    <n v="5"/>
    <s v="active"/>
    <s v="12/14/2023"/>
    <s v=" $296.35 "/>
    <n v="4"/>
    <n v="8"/>
    <s v="Beauty"/>
    <s v="Camera"/>
    <s v="Electronics"/>
    <x v="1"/>
    <n v="1185.4000000000001"/>
    <s v="Misaligned"/>
    <s v="50-64 Boomers"/>
    <s v="High Value Tier"/>
    <s v="Critical Risk"/>
  </r>
  <r>
    <s v="ORD5978"/>
    <s v="CUST1978"/>
    <n v="61"/>
    <s v="PROD1178"/>
    <s v="Pakistan"/>
    <s v="12/14/2022"/>
    <s v="9/18/2023"/>
    <n v="0"/>
    <s v="active"/>
    <s v="6/21/2023"/>
    <s v=" $488.66 "/>
    <n v="4"/>
    <n v="20"/>
    <s v="Home"/>
    <s v="Camera"/>
    <s v="Electronics"/>
    <x v="1"/>
    <n v="1954.64"/>
    <s v="Misaligned"/>
    <s v="50-64 Boomers"/>
    <s v="High Value Tier"/>
    <s v="Stable"/>
  </r>
  <r>
    <s v="ORD5979"/>
    <s v="CUST1979"/>
    <n v="29"/>
    <s v="PROD1179"/>
    <s v="Canada"/>
    <d v="2022-03-07T00:00:00"/>
    <s v="6/25/2025"/>
    <n v="1"/>
    <s v="paused"/>
    <s v="11/28/2023"/>
    <s v=" $132.21 "/>
    <n v="4"/>
    <n v="6"/>
    <s v="Beauty"/>
    <s v="Lipstick"/>
    <s v="Beauty"/>
    <x v="0"/>
    <n v="528.84"/>
    <s v="Aligned"/>
    <s v="25-34 Millennials"/>
    <s v="High Value Tier"/>
    <s v="Elevated Risk"/>
  </r>
  <r>
    <s v="ORD5980"/>
    <s v="CUST1980"/>
    <n v="64"/>
    <s v="PROD1180"/>
    <s v="Pakistan"/>
    <s v="4/18/2022"/>
    <s v="2/26/2025"/>
    <n v="3"/>
    <s v="paused"/>
    <s v="7/23/2022"/>
    <s v=" $213.50 "/>
    <n v="7"/>
    <n v="39"/>
    <s v="Home"/>
    <s v="Jacket"/>
    <s v="Clothing"/>
    <x v="0"/>
    <n v="1494.5"/>
    <s v="Misaligned"/>
    <s v="50-64 Boomers"/>
    <s v="High Value Tier"/>
    <s v="Elevated Risk"/>
  </r>
  <r>
    <s v="ORD5981"/>
    <s v="CUST1981"/>
    <n v="46"/>
    <s v="PROD1181"/>
    <s v="UK"/>
    <s v="6/27/2023"/>
    <s v="4/18/2025"/>
    <n v="3"/>
    <s v="cancelled"/>
    <d v="2024-02-04T00:00:00"/>
    <s v=" $160.90 "/>
    <n v="7"/>
    <n v="41"/>
    <s v="Sports"/>
    <s v="Hoodie"/>
    <s v="Clothing"/>
    <x v="1"/>
    <n v="1126.3"/>
    <s v="Misaligned"/>
    <s v="35-49 Gen X"/>
    <s v="High Value Tier"/>
    <s v="Stable"/>
  </r>
  <r>
    <s v="ORD5982"/>
    <s v="CUST1982"/>
    <n v="67"/>
    <s v="PROD1182"/>
    <s v="Pakistan"/>
    <s v="9/28/2020"/>
    <d v="2022-11-09T00:00:00"/>
    <n v="1"/>
    <s v="cancelled"/>
    <s v="9/28/2020"/>
    <s v=" $58.81 "/>
    <n v="7"/>
    <n v="46"/>
    <s v="Clothing"/>
    <s v="Lipstick"/>
    <s v="Beauty"/>
    <x v="1"/>
    <n v="411.67"/>
    <s v="Misaligned"/>
    <s v="65+ Seniors"/>
    <s v="High Value Tier"/>
    <s v="Stable"/>
  </r>
  <r>
    <s v="ORD5983"/>
    <s v="CUST1983"/>
    <n v="37"/>
    <s v="PROD1183"/>
    <s v="UK"/>
    <d v="2022-10-04T00:00:00"/>
    <s v="5/15/2022"/>
    <n v="0"/>
    <s v="active"/>
    <d v="2022-11-06T00:00:00"/>
    <s v=" $211.84 "/>
    <n v="6"/>
    <n v="30"/>
    <s v="Beauty"/>
    <s v="Camera"/>
    <s v="Electronics"/>
    <x v="1"/>
    <n v="1271.04"/>
    <s v="Misaligned"/>
    <s v="35-49 Gen X"/>
    <s v="High Value Tier"/>
    <s v="Stable"/>
  </r>
  <r>
    <s v="ORD5984"/>
    <s v="CUST1984"/>
    <n v="25"/>
    <s v="PROD1184"/>
    <s v="India"/>
    <s v="3/14/2021"/>
    <d v="2022-10-06T00:00:00"/>
    <n v="1"/>
    <s v="active"/>
    <s v="6/18/2025"/>
    <s v=" $1,982.82 "/>
    <n v="1"/>
    <n v="7"/>
    <s v="Sports"/>
    <s v="Sneakers"/>
    <s v="Clothing"/>
    <x v="1"/>
    <n v="1982.82"/>
    <s v="Misaligned"/>
    <s v="25-34 Millennials"/>
    <s v="High Value Tier"/>
    <s v="Stable"/>
  </r>
  <r>
    <s v="ORD5985"/>
    <s v="CUST1985"/>
    <n v="22"/>
    <s v="PROD1185"/>
    <s v="Pakistan"/>
    <d v="2023-06-02T00:00:00"/>
    <d v="2024-07-03T00:00:00"/>
    <n v="3"/>
    <s v="paused"/>
    <s v="4/24/2025"/>
    <s v=" $9.93 "/>
    <n v="8"/>
    <n v="28"/>
    <s v="Beauty"/>
    <s v="Tennis Racket"/>
    <s v="Sports"/>
    <x v="1"/>
    <n v="79.44"/>
    <s v="Misaligned"/>
    <s v="18-24 Gen Z"/>
    <s v="Core Tier"/>
    <s v="Elevated Risk"/>
  </r>
  <r>
    <s v="ORD5986"/>
    <s v="CUST1986"/>
    <n v="54"/>
    <s v="PROD1186"/>
    <s v="Germany"/>
    <d v="2021-01-04T00:00:00"/>
    <d v="2024-04-02T00:00:00"/>
    <n v="3"/>
    <s v="active"/>
    <s v="8/23/2024"/>
    <s v=" $7.25 "/>
    <n v="8"/>
    <n v="29"/>
    <s v="Home"/>
    <s v="Jeans"/>
    <s v="Clothing"/>
    <x v="1"/>
    <n v="58"/>
    <s v="Misaligned"/>
    <s v="50-64 Boomers"/>
    <s v="Core Tier"/>
    <s v="Stable"/>
  </r>
  <r>
    <s v="ORD5987"/>
    <s v="CUST1987"/>
    <n v="18"/>
    <s v="PROD1187"/>
    <s v="UK"/>
    <s v="2/19/2023"/>
    <s v="4/24/2023"/>
    <n v="4"/>
    <s v="active"/>
    <s v="9/21/2024"/>
    <s v=" $21.48 "/>
    <n v="9"/>
    <n v="17"/>
    <s v="Clothing"/>
    <s v="Bluetooth Speaker"/>
    <s v="Electronics"/>
    <x v="0"/>
    <n v="193.32"/>
    <s v="Misaligned"/>
    <s v="18-24 Gen Z"/>
    <s v="High Value Tier"/>
    <s v="Critical Risk"/>
  </r>
  <r>
    <s v="ORD5988"/>
    <s v="CUST1988"/>
    <n v="44"/>
    <s v="PROD1188"/>
    <s v="Germany"/>
    <d v="2023-08-01T00:00:00"/>
    <s v="7/31/2023"/>
    <n v="4"/>
    <s v="active"/>
    <d v="2023-02-04T00:00:00"/>
    <s v=" $211.96 "/>
    <n v="1"/>
    <n v="3"/>
    <s v="Home"/>
    <s v="Chair"/>
    <s v="Home"/>
    <x v="1"/>
    <n v="211.96"/>
    <s v="Aligned"/>
    <s v="35-49 Gen X"/>
    <s v="Value Tier"/>
    <s v="Critical Risk"/>
  </r>
  <r>
    <s v="ORD5989"/>
    <s v="CUST1989"/>
    <n v="62"/>
    <s v="PROD1189"/>
    <s v="India"/>
    <s v="12/25/2022"/>
    <d v="2024-07-06T00:00:00"/>
    <n v="0"/>
    <s v="active"/>
    <s v="8/16/2024"/>
    <s v=" $231.71 "/>
    <n v="4"/>
    <n v="2"/>
    <s v="Electronics"/>
    <s v="Blender"/>
    <s v="Home"/>
    <x v="0"/>
    <n v="926.84"/>
    <s v="Misaligned"/>
    <s v="50-64 Boomers"/>
    <s v="Core Tier"/>
    <s v="Stable"/>
  </r>
  <r>
    <s v="ORD5990"/>
    <s v="CUST1990"/>
    <n v="42"/>
    <s v="PROD1190"/>
    <s v="UK"/>
    <s v="2/24/2022"/>
    <s v="10/29/2022"/>
    <n v="1"/>
    <s v="active"/>
    <d v="2024-08-01T00:00:00"/>
    <s v=" $186.02 "/>
    <n v="6"/>
    <n v="11"/>
    <s v="Electronics"/>
    <s v="Conditioner"/>
    <s v="Beauty"/>
    <x v="0"/>
    <n v="1116.1199999999999"/>
    <s v="Misaligned"/>
    <s v="35-49 Gen X"/>
    <s v="High Value Tier"/>
    <s v="Stable"/>
  </r>
  <r>
    <s v="ORD5991"/>
    <s v="CUST1991"/>
    <n v="53"/>
    <s v="PROD1191"/>
    <s v="Pakistan"/>
    <d v="2021-11-02T00:00:00"/>
    <s v="9/19/2024"/>
    <n v="1"/>
    <s v="paused"/>
    <s v="11/26/2022"/>
    <s v=" $437.26 "/>
    <n v="1"/>
    <n v="8"/>
    <s v="Home"/>
    <s v="Smartphone"/>
    <s v="Electronics"/>
    <x v="0"/>
    <n v="437.26"/>
    <s v="Misaligned"/>
    <s v="50-64 Boomers"/>
    <s v="High Value Tier"/>
    <s v="Elevated Risk"/>
  </r>
  <r>
    <s v="ORD5992"/>
    <s v="CUST1992"/>
    <n v="26"/>
    <s v="PROD1192"/>
    <s v="Pakistan"/>
    <s v="2/13/2022"/>
    <s v="2/15/2024"/>
    <n v="1"/>
    <s v="cancelled"/>
    <s v="8/16/2025"/>
    <s v=" $139.94 "/>
    <n v="3"/>
    <n v="33"/>
    <s v="Home"/>
    <s v="Perfume"/>
    <s v="Beauty"/>
    <x v="2"/>
    <n v="419.82"/>
    <s v="Misaligned"/>
    <s v="25-34 Millennials"/>
    <s v="High Value Tier"/>
    <s v="Stable"/>
  </r>
  <r>
    <s v="ORD5993"/>
    <s v="CUST1993"/>
    <n v="40"/>
    <s v="PROD1193"/>
    <s v="UK"/>
    <s v="12/20/2022"/>
    <s v="11/21/2023"/>
    <n v="2"/>
    <s v="active"/>
    <d v="2024-06-02T00:00:00"/>
    <s v=" $125.24 "/>
    <n v="4"/>
    <n v="3"/>
    <s v="Sports"/>
    <s v="Smartphone"/>
    <s v="Electronics"/>
    <x v="0"/>
    <n v="500.96"/>
    <s v="Misaligned"/>
    <s v="35-49 Gen X"/>
    <s v="Core Tier"/>
    <s v="Stable"/>
  </r>
  <r>
    <s v="ORD5994"/>
    <s v="CUST1994"/>
    <n v="49"/>
    <s v="PROD1194"/>
    <s v="Pakistan"/>
    <d v="2020-09-12T00:00:00"/>
    <s v="3/22/2021"/>
    <n v="5"/>
    <s v="active"/>
    <d v="2025-03-05T00:00:00"/>
    <s v=" $404.70 "/>
    <n v="1"/>
    <n v="19"/>
    <s v="Beauty"/>
    <s v="Refrigerator"/>
    <s v="Home"/>
    <x v="0"/>
    <n v="404.7"/>
    <s v="Misaligned"/>
    <s v="35-49 Gen X"/>
    <s v="High Value Tier"/>
    <s v="Critical Risk"/>
  </r>
  <r>
    <s v="ORD5995"/>
    <s v="CUST1995"/>
    <n v="32"/>
    <s v="PROD1195"/>
    <s v="Pakistan"/>
    <s v="9/13/2020"/>
    <d v="2023-07-05T00:00:00"/>
    <n v="5"/>
    <s v="active"/>
    <s v="6/26/2023"/>
    <s v=" $141.68 "/>
    <n v="8"/>
    <n v="21"/>
    <s v="Home"/>
    <s v="Perfume"/>
    <s v="Beauty"/>
    <x v="0"/>
    <n v="1133.44"/>
    <s v="Misaligned"/>
    <s v="25-34 Millennials"/>
    <s v="High Value Tier"/>
    <s v="Critical Risk"/>
  </r>
  <r>
    <s v="ORD5996"/>
    <s v="CUST1996"/>
    <n v="39"/>
    <s v="PROD1196"/>
    <s v="Canada"/>
    <s v="11/20/2021"/>
    <d v="2025-05-06T00:00:00"/>
    <n v="1"/>
    <s v="active"/>
    <d v="2022-04-04T00:00:00"/>
    <s v=" $297.66 "/>
    <n v="5"/>
    <n v="27"/>
    <s v="Sports"/>
    <s v="Cricket Bat"/>
    <s v="Sports"/>
    <x v="1"/>
    <n v="1488.3"/>
    <s v="Aligned"/>
    <s v="35-49 Gen X"/>
    <s v="High Value Tier"/>
    <s v="Stable"/>
  </r>
  <r>
    <s v="ORD5997"/>
    <s v="CUST1997"/>
    <n v="53"/>
    <s v="PROD1197"/>
    <s v="UK"/>
    <s v="10/13/2022"/>
    <s v="10/15/2023"/>
    <n v="2"/>
    <s v="active"/>
    <d v="2023-12-07T00:00:00"/>
    <s v=" $36.92 "/>
    <n v="5"/>
    <n v="24"/>
    <s v="Sports"/>
    <s v="Football"/>
    <s v="Sports"/>
    <x v="0"/>
    <n v="184.6"/>
    <s v="Aligned"/>
    <s v="50-64 Boomers"/>
    <s v="High Value Tier"/>
    <s v="Stable"/>
  </r>
  <r>
    <s v="ORD5998"/>
    <s v="CUST1998"/>
    <n v="68"/>
    <s v="PROD1198"/>
    <s v="Canada"/>
    <d v="2023-05-02T00:00:00"/>
    <d v="2023-02-05T00:00:00"/>
    <n v="1"/>
    <s v="active"/>
    <s v="5/16/2023"/>
    <s v=" $11.28 "/>
    <n v="2"/>
    <n v="32"/>
    <s v="Sports"/>
    <s v="Cycling Helmet"/>
    <s v="Sports"/>
    <x v="0"/>
    <n v="22.56"/>
    <s v="Aligned"/>
    <s v="65+ Seniors"/>
    <s v="Value Tier"/>
    <s v="Stable"/>
  </r>
  <r>
    <s v="ORD5999"/>
    <s v="CUST1999"/>
    <n v="63"/>
    <s v="PROD1199"/>
    <s v="Germany"/>
    <d v="2022-03-11T00:00:00"/>
    <d v="2023-11-01T00:00:00"/>
    <n v="4"/>
    <s v="cancelled"/>
    <d v="2025-08-03T00:00:00"/>
    <s v=" $62.25 "/>
    <n v="3"/>
    <n v="40"/>
    <s v="Sports"/>
    <s v="Cricket Bat"/>
    <s v="Sports"/>
    <x v="1"/>
    <n v="186.75"/>
    <s v="Aligned"/>
    <s v="50-64 Boomers"/>
    <s v="High Value Tier"/>
    <s v="Stable"/>
  </r>
  <r>
    <s v="ORD6000"/>
    <s v="CUST2000"/>
    <n v="40"/>
    <s v="PROD1200"/>
    <s v="USA"/>
    <s v="3/30/2023"/>
    <d v="2025-11-01T00:00:00"/>
    <n v="2"/>
    <s v="paused"/>
    <s v="10/19/2023"/>
    <s v=" $317.92 "/>
    <n v="4"/>
    <n v="48"/>
    <s v="Beauty"/>
    <s v="Foundation"/>
    <s v="Beauty"/>
    <x v="1"/>
    <n v="1271.68"/>
    <s v="Aligned"/>
    <s v="35-49 Gen X"/>
    <s v="High Value Tier"/>
    <s v="Elevated Risk"/>
  </r>
  <r>
    <s v="ORD6001"/>
    <s v="CUST2001"/>
    <n v="50"/>
    <s v="PROD1201"/>
    <s v="Canada"/>
    <d v="2023-01-06T00:00:00"/>
    <d v="2023-05-10T00:00:00"/>
    <n v="5"/>
    <s v="active"/>
    <d v="2023-09-08T00:00:00"/>
    <s v=" $273.87 "/>
    <n v="6"/>
    <n v="22"/>
    <s v="Clothing"/>
    <s v="Face Wash"/>
    <s v="Beauty"/>
    <x v="1"/>
    <n v="1643.22"/>
    <s v="Misaligned"/>
    <s v="50-64 Boomers"/>
    <s v="High Value Tier"/>
    <s v="Critical Risk"/>
  </r>
  <r>
    <s v="ORD6002"/>
    <s v="CUST2002"/>
    <n v="55"/>
    <s v="PROD1202"/>
    <s v="Germany"/>
    <d v="2021-01-09T00:00:00"/>
    <s v="1/14/2024"/>
    <n v="5"/>
    <s v="cancelled"/>
    <d v="2024-05-04T00:00:00"/>
    <s v=" $408.29 "/>
    <n v="2"/>
    <n v="37"/>
    <s v="Clothing"/>
    <s v="Laptop"/>
    <s v="Electronics"/>
    <x v="1"/>
    <n v="816.58"/>
    <s v="Misaligned"/>
    <s v="50-64 Boomers"/>
    <s v="High Value Tier"/>
    <s v="Stable"/>
  </r>
  <r>
    <s v="ORD6003"/>
    <s v="CUST2003"/>
    <n v="66"/>
    <s v="PROD1203"/>
    <s v="UK"/>
    <s v="4/19/2021"/>
    <d v="2024-05-01T00:00:00"/>
    <n v="0"/>
    <s v="active"/>
    <d v="2025-10-05T00:00:00"/>
    <s v=" $168.28 "/>
    <n v="7"/>
    <n v="48"/>
    <s v="Sports"/>
    <s v="Sofa"/>
    <s v="Home"/>
    <x v="0"/>
    <n v="1177.96"/>
    <s v="Misaligned"/>
    <s v="65+ Seniors"/>
    <s v="High Value Tier"/>
    <s v="Stable"/>
  </r>
  <r>
    <s v="ORD6004"/>
    <s v="CUST2004"/>
    <n v="55"/>
    <s v="PROD1204"/>
    <s v="UK"/>
    <s v="7/20/2021"/>
    <d v="2025-02-08T00:00:00"/>
    <n v="0"/>
    <s v="active"/>
    <s v="2/18/2023"/>
    <s v=" $365.91 "/>
    <n v="3"/>
    <n v="34"/>
    <s v="Clothing"/>
    <s v="Yoga Mat"/>
    <s v="Sports"/>
    <x v="1"/>
    <n v="1097.73"/>
    <s v="Misaligned"/>
    <s v="50-64 Boomers"/>
    <s v="High Value Tier"/>
    <s v="Stable"/>
  </r>
  <r>
    <s v="ORD6005"/>
    <s v="CUST2005"/>
    <n v="26"/>
    <s v="PROD1205"/>
    <s v="India"/>
    <s v="5/17/2022"/>
    <d v="2024-07-02T00:00:00"/>
    <n v="2"/>
    <s v="paused"/>
    <d v="2024-05-01T00:00:00"/>
    <s v=" $54.74 "/>
    <n v="9"/>
    <n v="20"/>
    <s v="Electronics"/>
    <s v="Shirt"/>
    <s v="Clothing"/>
    <x v="0"/>
    <n v="492.66"/>
    <s v="Misaligned"/>
    <s v="25-34 Millennials"/>
    <s v="High Value Tier"/>
    <s v="Elevated Risk"/>
  </r>
  <r>
    <s v="ORD6006"/>
    <s v="CUST2006"/>
    <n v="36"/>
    <s v="PROD1206"/>
    <s v="India"/>
    <s v="7/28/2021"/>
    <d v="2023-05-09T00:00:00"/>
    <n v="5"/>
    <s v="active"/>
    <s v="2/17/2022"/>
    <s v=" $343.61 "/>
    <n v="5"/>
    <n v="5"/>
    <s v="Sports"/>
    <s v="Perfume"/>
    <s v="Beauty"/>
    <x v="1"/>
    <n v="1718.05"/>
    <s v="Misaligned"/>
    <s v="35-49 Gen X"/>
    <s v="High Value Tier"/>
    <s v="Critical Risk"/>
  </r>
  <r>
    <s v="ORD6007"/>
    <s v="CUST2007"/>
    <n v="36"/>
    <s v="PROD1207"/>
    <s v="Germany"/>
    <s v="5/29/2021"/>
    <d v="2023-12-07T00:00:00"/>
    <n v="3"/>
    <s v="paused"/>
    <d v="2022-10-01T00:00:00"/>
    <s v=" $144.61 "/>
    <n v="8"/>
    <n v="16"/>
    <s v="Electronics"/>
    <s v="Perfume"/>
    <s v="Beauty"/>
    <x v="1"/>
    <n v="1156.8800000000001"/>
    <s v="Misaligned"/>
    <s v="35-49 Gen X"/>
    <s v="High Value Tier"/>
    <s v="Elevated Risk"/>
  </r>
  <r>
    <s v="ORD6008"/>
    <s v="CUST2008"/>
    <n v="46"/>
    <s v="PROD1208"/>
    <s v="Pakistan"/>
    <s v="10/18/2021"/>
    <s v="12/19/2023"/>
    <n v="5"/>
    <s v="cancelled"/>
    <s v="3/27/2024"/>
    <s v=" $232.44 "/>
    <n v="5"/>
    <n v="38"/>
    <s v="Sports"/>
    <s v="Cricket Bat"/>
    <s v="Sports"/>
    <x v="1"/>
    <n v="1162.2"/>
    <s v="Aligned"/>
    <s v="35-49 Gen X"/>
    <s v="High Value Tier"/>
    <s v="Stable"/>
  </r>
  <r>
    <s v="ORD6009"/>
    <s v="CUST2009"/>
    <n v="68"/>
    <s v="PROD1209"/>
    <s v="Germany"/>
    <d v="2021-08-02T00:00:00"/>
    <s v="11/29/2021"/>
    <n v="2"/>
    <s v="active"/>
    <s v="7/16/2021"/>
    <s v=" $379.58 "/>
    <n v="3"/>
    <n v="20"/>
    <s v="Clothing"/>
    <s v="Bluetooth Speaker"/>
    <s v="Electronics"/>
    <x v="0"/>
    <n v="1138.74"/>
    <s v="Misaligned"/>
    <s v="65+ Seniors"/>
    <s v="High Value Tier"/>
    <s v="Stable"/>
  </r>
  <r>
    <s v="ORD6010"/>
    <s v="CUST2010"/>
    <n v="40"/>
    <s v="PROD1210"/>
    <s v="UK"/>
    <d v="2021-01-02T00:00:00"/>
    <s v="8/17/2023"/>
    <n v="1"/>
    <s v="active"/>
    <s v="2/25/2021"/>
    <s v=" $95.69 "/>
    <n v="9"/>
    <n v="2"/>
    <s v="Sports"/>
    <s v="Refrigerator"/>
    <s v="Home"/>
    <x v="2"/>
    <n v="861.21"/>
    <s v="Misaligned"/>
    <s v="35-49 Gen X"/>
    <s v="Core Tier"/>
    <s v="Stable"/>
  </r>
  <r>
    <s v="ORD6011"/>
    <s v="CUST2011"/>
    <n v="57"/>
    <s v="PROD1211"/>
    <s v="UK"/>
    <d v="2021-10-10T00:00:00"/>
    <s v="11/30/2023"/>
    <n v="4"/>
    <s v="active"/>
    <s v="2/14/2025"/>
    <s v=" $349.76 "/>
    <n v="5"/>
    <n v="21"/>
    <s v="Electronics"/>
    <s v="Running Shoes"/>
    <s v="Sports"/>
    <x v="1"/>
    <n v="1748.8"/>
    <s v="Misaligned"/>
    <s v="50-64 Boomers"/>
    <s v="High Value Tier"/>
    <s v="Critical Risk"/>
  </r>
  <r>
    <s v="ORD6012"/>
    <s v="CUST2012"/>
    <n v="60"/>
    <s v="PROD1212"/>
    <s v="Germany"/>
    <s v="3/17/2022"/>
    <d v="2025-10-02T00:00:00"/>
    <n v="2"/>
    <s v="active"/>
    <s v="3/30/2022"/>
    <s v=" $9.35 "/>
    <n v="5"/>
    <n v="21"/>
    <s v="Electronics"/>
    <s v="Hoodie"/>
    <s v="Clothing"/>
    <x v="0"/>
    <n v="46.75"/>
    <s v="Misaligned"/>
    <s v="50-64 Boomers"/>
    <s v="Core Tier"/>
    <s v="Stable"/>
  </r>
  <r>
    <s v="ORD6013"/>
    <s v="CUST2013"/>
    <n v="55"/>
    <s v="PROD1213"/>
    <s v="India"/>
    <d v="2021-03-04T00:00:00"/>
    <s v="8/17/2022"/>
    <n v="2"/>
    <s v="paused"/>
    <s v="7/18/2021"/>
    <s v=" $869.42 "/>
    <n v="1"/>
    <n v="7"/>
    <s v="Beauty"/>
    <s v="Skirt"/>
    <s v="Clothing"/>
    <x v="1"/>
    <n v="869.42"/>
    <s v="Misaligned"/>
    <s v="50-64 Boomers"/>
    <s v="High Value Tier"/>
    <s v="Elevated Risk"/>
  </r>
  <r>
    <s v="ORD6014"/>
    <s v="CUST2014"/>
    <n v="50"/>
    <s v="PROD1214"/>
    <s v="Canada"/>
    <s v="7/14/2023"/>
    <d v="2024-10-04T00:00:00"/>
    <n v="0"/>
    <s v="active"/>
    <s v="3/20/2025"/>
    <s v=" $328.95 "/>
    <n v="2"/>
    <n v="48"/>
    <s v="Sports"/>
    <s v="Smartwatch"/>
    <s v="Electronics"/>
    <x v="1"/>
    <n v="657.9"/>
    <s v="Misaligned"/>
    <s v="50-64 Boomers"/>
    <s v="High Value Tier"/>
    <s v="Stable"/>
  </r>
  <r>
    <s v="ORD6015"/>
    <s v="CUST2015"/>
    <n v="40"/>
    <s v="PROD1215"/>
    <s v="Canada"/>
    <s v="11/14/2021"/>
    <s v="3/17/2024"/>
    <n v="3"/>
    <s v="cancelled"/>
    <s v="8/21/2022"/>
    <s v=" $204.01 "/>
    <n v="4"/>
    <n v="12"/>
    <s v="Beauty"/>
    <s v="Yoga Mat"/>
    <s v="Sports"/>
    <x v="0"/>
    <n v="816.04"/>
    <s v="Misaligned"/>
    <s v="35-49 Gen X"/>
    <s v="High Value Tier"/>
    <s v="Stable"/>
  </r>
  <r>
    <s v="ORD6016"/>
    <s v="CUST2016"/>
    <n v="27"/>
    <s v="PROD1216"/>
    <s v="Pakistan"/>
    <d v="2020-04-11T00:00:00"/>
    <s v="9/19/2023"/>
    <n v="1"/>
    <s v="paused"/>
    <s v="3/19/2021"/>
    <s v=" $246.98 "/>
    <n v="3"/>
    <n v="16"/>
    <s v="Beauty"/>
    <s v="Lipstick"/>
    <s v="Beauty"/>
    <x v="0"/>
    <n v="740.94"/>
    <s v="Aligned"/>
    <s v="25-34 Millennials"/>
    <s v="High Value Tier"/>
    <s v="Elevated Risk"/>
  </r>
  <r>
    <s v="ORD6017"/>
    <s v="CUST2017"/>
    <n v="48"/>
    <s v="PROD1217"/>
    <s v="India"/>
    <s v="10/22/2022"/>
    <s v="10/30/2022"/>
    <n v="4"/>
    <s v="paused"/>
    <d v="2023-09-12T00:00:00"/>
    <s v=" $324.78 "/>
    <n v="4"/>
    <n v="39"/>
    <s v="Home"/>
    <s v="T-Shirt"/>
    <s v="Clothing"/>
    <x v="0"/>
    <n v="1299.1199999999999"/>
    <s v="Misaligned"/>
    <s v="35-49 Gen X"/>
    <s v="High Value Tier"/>
    <s v="Elevated Risk"/>
  </r>
  <r>
    <s v="ORD6018"/>
    <s v="CUST2018"/>
    <n v="39"/>
    <s v="PROD1218"/>
    <s v="UK"/>
    <s v="10/20/2022"/>
    <d v="2023-09-02T00:00:00"/>
    <n v="2"/>
    <s v="paused"/>
    <d v="2023-01-10T00:00:00"/>
    <s v=" $288.74 "/>
    <n v="4"/>
    <n v="20"/>
    <s v="Sports"/>
    <s v="Lipstick"/>
    <s v="Beauty"/>
    <x v="0"/>
    <n v="1154.96"/>
    <s v="Misaligned"/>
    <s v="35-49 Gen X"/>
    <s v="High Value Tier"/>
    <s v="Elevated Risk"/>
  </r>
  <r>
    <s v="ORD6019"/>
    <s v="CUST2019"/>
    <n v="67"/>
    <s v="PROD1219"/>
    <s v="UK"/>
    <s v="10/21/2021"/>
    <d v="2021-08-11T00:00:00"/>
    <n v="4"/>
    <s v="cancelled"/>
    <s v="4/27/2025"/>
    <s v=" $259.66 "/>
    <n v="6"/>
    <n v="42"/>
    <s v="Electronics"/>
    <s v="Jacket"/>
    <s v="Clothing"/>
    <x v="0"/>
    <n v="1557.96"/>
    <s v="Misaligned"/>
    <s v="65+ Seniors"/>
    <s v="High Value Tier"/>
    <s v="Stable"/>
  </r>
  <r>
    <s v="ORD6020"/>
    <s v="CUST2020"/>
    <n v="36"/>
    <s v="PROD1220"/>
    <s v="USA"/>
    <s v="3/20/2022"/>
    <s v="3/25/2025"/>
    <n v="5"/>
    <s v="active"/>
    <s v="4/24/2024"/>
    <s v=" $93.98 "/>
    <n v="8"/>
    <n v="49"/>
    <s v="Sports"/>
    <s v="Microwave"/>
    <s v="Home"/>
    <x v="1"/>
    <n v="751.84"/>
    <s v="Misaligned"/>
    <s v="35-49 Gen X"/>
    <s v="High Value Tier"/>
    <s v="Critical Risk"/>
  </r>
  <r>
    <s v="ORD6021"/>
    <s v="CUST2021"/>
    <n v="32"/>
    <s v="PROD1221"/>
    <s v="UK"/>
    <d v="2023-03-01T00:00:00"/>
    <d v="2025-04-03T00:00:00"/>
    <n v="2"/>
    <s v="active"/>
    <d v="2025-02-08T00:00:00"/>
    <s v=" $617.67 "/>
    <n v="2"/>
    <n v="46"/>
    <s v="Beauty"/>
    <s v="Yoga Mat"/>
    <s v="Sports"/>
    <x v="1"/>
    <n v="1235.3399999999999"/>
    <s v="Misaligned"/>
    <s v="25-34 Millennials"/>
    <s v="High Value Tier"/>
    <s v="Stable"/>
  </r>
  <r>
    <s v="ORD6022"/>
    <s v="CUST2022"/>
    <n v="32"/>
    <s v="PROD1222"/>
    <s v="Germany"/>
    <s v="7/31/2021"/>
    <d v="2023-07-09T00:00:00"/>
    <n v="4"/>
    <s v="active"/>
    <s v="5/15/2024"/>
    <s v=" $208.08 "/>
    <n v="7"/>
    <n v="39"/>
    <s v="Clothing"/>
    <s v="Football"/>
    <s v="Sports"/>
    <x v="1"/>
    <n v="1456.56"/>
    <s v="Misaligned"/>
    <s v="25-34 Millennials"/>
    <s v="High Value Tier"/>
    <s v="Critical Risk"/>
  </r>
  <r>
    <s v="ORD6023"/>
    <s v="CUST2023"/>
    <n v="27"/>
    <s v="PROD1223"/>
    <s v="USA"/>
    <s v="8/28/2020"/>
    <s v="12/25/2021"/>
    <n v="2"/>
    <s v="cancelled"/>
    <s v="3/21/2024"/>
    <s v=" $352.30 "/>
    <n v="4"/>
    <n v="18"/>
    <s v="Electronics"/>
    <s v="Refrigerator"/>
    <s v="Home"/>
    <x v="0"/>
    <n v="1409.2"/>
    <s v="Misaligned"/>
    <s v="25-34 Millennials"/>
    <s v="High Value Tier"/>
    <s v="Stable"/>
  </r>
  <r>
    <s v="ORD6024"/>
    <s v="CUST2024"/>
    <n v="57"/>
    <s v="PROD1224"/>
    <s v="USA"/>
    <s v="6/21/2022"/>
    <s v="9/13/2022"/>
    <n v="1"/>
    <s v="active"/>
    <d v="2023-01-02T00:00:00"/>
    <s v=" $1,129.55 "/>
    <n v="1"/>
    <n v="4"/>
    <s v="Clothing"/>
    <s v="Yoga Mat"/>
    <s v="Sports"/>
    <x v="0"/>
    <n v="1129.55"/>
    <s v="Misaligned"/>
    <s v="50-64 Boomers"/>
    <s v="High Value Tier"/>
    <s v="Stable"/>
  </r>
  <r>
    <s v="ORD6025"/>
    <s v="CUST2025"/>
    <n v="42"/>
    <s v="PROD1225"/>
    <s v="Canada"/>
    <s v="8/16/2021"/>
    <s v="3/18/2024"/>
    <n v="3"/>
    <s v="active"/>
    <d v="2024-09-06T00:00:00"/>
    <s v=" $578.42 "/>
    <n v="1"/>
    <n v="41"/>
    <s v="Home"/>
    <s v="Running Shoes"/>
    <s v="Sports"/>
    <x v="1"/>
    <n v="578.41999999999996"/>
    <s v="Misaligned"/>
    <s v="35-49 Gen X"/>
    <s v="High Value Tier"/>
    <s v="Stable"/>
  </r>
  <r>
    <s v="ORD6026"/>
    <s v="CUST2026"/>
    <n v="27"/>
    <s v="PROD1226"/>
    <s v="Canada"/>
    <s v="8/17/2022"/>
    <s v="3/15/2025"/>
    <n v="1"/>
    <s v="active"/>
    <d v="2023-05-09T00:00:00"/>
    <s v=" $179.48 "/>
    <n v="4"/>
    <n v="37"/>
    <s v="Beauty"/>
    <s v="Smartphone"/>
    <s v="Electronics"/>
    <x v="1"/>
    <n v="717.92"/>
    <s v="Misaligned"/>
    <s v="25-34 Millennials"/>
    <s v="High Value Tier"/>
    <s v="Stable"/>
  </r>
  <r>
    <s v="ORD6027"/>
    <s v="CUST2027"/>
    <n v="19"/>
    <s v="PROD1227"/>
    <s v="India"/>
    <s v="5/17/2023"/>
    <d v="2025-05-04T00:00:00"/>
    <n v="4"/>
    <s v="active"/>
    <s v="11/13/2024"/>
    <s v=" $157.13 "/>
    <n v="7"/>
    <n v="5"/>
    <s v="Sports"/>
    <s v="Sofa"/>
    <s v="Home"/>
    <x v="0"/>
    <n v="1099.9100000000001"/>
    <s v="Misaligned"/>
    <s v="18-24 Gen Z"/>
    <s v="High Value Tier"/>
    <s v="Critical Risk"/>
  </r>
  <r>
    <s v="ORD6028"/>
    <s v="CUST2028"/>
    <n v="24"/>
    <s v="PROD1228"/>
    <s v="USA"/>
    <s v="11/21/2022"/>
    <s v="7/24/2024"/>
    <n v="0"/>
    <s v="active"/>
    <s v="3/23/2023"/>
    <s v=" $21.02 "/>
    <n v="6"/>
    <n v="2"/>
    <s v="Clothing"/>
    <s v="Dumbbells"/>
    <s v="Sports"/>
    <x v="0"/>
    <n v="126.12"/>
    <s v="Misaligned"/>
    <s v="18-24 Gen Z"/>
    <s v="Value Tier"/>
    <s v="Stable"/>
  </r>
  <r>
    <s v="ORD6029"/>
    <s v="CUST2029"/>
    <n v="53"/>
    <s v="PROD1229"/>
    <s v="Canada"/>
    <d v="2023-10-07T00:00:00"/>
    <s v="3/27/2025"/>
    <n v="1"/>
    <s v="cancelled"/>
    <s v="12/23/2024"/>
    <s v=" $251.82 "/>
    <n v="2"/>
    <n v="25"/>
    <s v="Beauty"/>
    <s v="Shampoo"/>
    <s v="Beauty"/>
    <x v="0"/>
    <n v="503.64"/>
    <s v="Aligned"/>
    <s v="50-64 Boomers"/>
    <s v="High Value Tier"/>
    <s v="Stable"/>
  </r>
  <r>
    <s v="ORD6030"/>
    <s v="CUST2030"/>
    <n v="54"/>
    <s v="PROD1230"/>
    <s v="India"/>
    <s v="10/21/2022"/>
    <d v="2024-07-08T00:00:00"/>
    <n v="4"/>
    <s v="paused"/>
    <s v="9/26/2023"/>
    <s v=" $158.76 "/>
    <n v="6"/>
    <n v="25"/>
    <s v="Electronics"/>
    <s v="Hoodie"/>
    <s v="Clothing"/>
    <x v="1"/>
    <n v="952.56"/>
    <s v="Misaligned"/>
    <s v="50-64 Boomers"/>
    <s v="High Value Tier"/>
    <s v="Elevated Risk"/>
  </r>
  <r>
    <s v="ORD6031"/>
    <s v="CUST2031"/>
    <n v="37"/>
    <s v="PROD1231"/>
    <s v="Germany"/>
    <s v="12/16/2020"/>
    <d v="2021-02-02T00:00:00"/>
    <n v="1"/>
    <s v="cancelled"/>
    <d v="2021-05-05T00:00:00"/>
    <s v=" $384.21 "/>
    <n v="4"/>
    <n v="14"/>
    <s v="Sports"/>
    <s v="Gaming Console"/>
    <s v="Electronics"/>
    <x v="0"/>
    <n v="1536.84"/>
    <s v="Misaligned"/>
    <s v="35-49 Gen X"/>
    <s v="High Value Tier"/>
    <s v="Stable"/>
  </r>
  <r>
    <s v="ORD6032"/>
    <s v="CUST2032"/>
    <n v="49"/>
    <s v="PROD1232"/>
    <s v="Germany"/>
    <s v="11/30/2020"/>
    <s v="7/16/2021"/>
    <n v="3"/>
    <s v="active"/>
    <s v="1/26/2023"/>
    <s v=" $456.94 "/>
    <n v="1"/>
    <n v="20"/>
    <s v="Home"/>
    <s v="Sofa"/>
    <s v="Home"/>
    <x v="0"/>
    <n v="456.94"/>
    <s v="Aligned"/>
    <s v="35-49 Gen X"/>
    <s v="High Value Tier"/>
    <s v="Stable"/>
  </r>
  <r>
    <s v="ORD6033"/>
    <s v="CUST2033"/>
    <n v="68"/>
    <s v="PROD1233"/>
    <s v="Canada"/>
    <s v="2/22/2021"/>
    <s v="3/13/2024"/>
    <n v="2"/>
    <s v="cancelled"/>
    <s v="6/25/2022"/>
    <s v=" $60.37 "/>
    <n v="8"/>
    <n v="7"/>
    <s v="Electronics"/>
    <s v="Blender"/>
    <s v="Home"/>
    <x v="0"/>
    <n v="482.96"/>
    <s v="Misaligned"/>
    <s v="65+ Seniors"/>
    <s v="High Value Tier"/>
    <s v="Stable"/>
  </r>
  <r>
    <s v="ORD6034"/>
    <s v="CUST2034"/>
    <n v="56"/>
    <s v="PROD1234"/>
    <s v="India"/>
    <s v="5/16/2022"/>
    <s v="9/25/2023"/>
    <n v="3"/>
    <s v="cancelled"/>
    <s v="11/20/2023"/>
    <s v=" $88.97 "/>
    <n v="8"/>
    <n v="22"/>
    <s v="Clothing"/>
    <s v="Headphones"/>
    <s v="Electronics"/>
    <x v="0"/>
    <n v="711.76"/>
    <s v="Misaligned"/>
    <s v="50-64 Boomers"/>
    <s v="High Value Tier"/>
    <s v="Stable"/>
  </r>
  <r>
    <s v="ORD6035"/>
    <s v="CUST2035"/>
    <n v="26"/>
    <s v="PROD1235"/>
    <s v="Pakistan"/>
    <s v="11/26/2022"/>
    <s v="1/19/2023"/>
    <n v="1"/>
    <s v="active"/>
    <d v="2025-07-01T00:00:00"/>
    <s v=" $110.67 "/>
    <n v="7"/>
    <n v="36"/>
    <s v="Home"/>
    <s v="Tennis Racket"/>
    <s v="Sports"/>
    <x v="0"/>
    <n v="774.69"/>
    <s v="Misaligned"/>
    <s v="25-34 Millennials"/>
    <s v="High Value Tier"/>
    <s v="Stable"/>
  </r>
  <r>
    <s v="ORD6036"/>
    <s v="CUST2036"/>
    <n v="32"/>
    <s v="PROD1236"/>
    <s v="UK"/>
    <d v="2021-03-07T00:00:00"/>
    <d v="2022-03-02T00:00:00"/>
    <n v="2"/>
    <s v="cancelled"/>
    <s v="2/18/2024"/>
    <s v=" $791.70 "/>
    <n v="2"/>
    <n v="23"/>
    <s v="Beauty"/>
    <s v="Shampoo"/>
    <s v="Beauty"/>
    <x v="1"/>
    <n v="1583.4"/>
    <s v="Aligned"/>
    <s v="25-34 Millennials"/>
    <s v="High Value Tier"/>
    <s v="Stable"/>
  </r>
  <r>
    <s v="ORD6037"/>
    <s v="CUST2037"/>
    <n v="54"/>
    <s v="PROD1237"/>
    <s v="USA"/>
    <d v="2022-05-01T00:00:00"/>
    <s v="2/24/2025"/>
    <n v="2"/>
    <s v="paused"/>
    <s v="2/22/2025"/>
    <s v=" $811.80 "/>
    <n v="2"/>
    <n v="29"/>
    <s v="Sports"/>
    <s v="Cycling Helmet"/>
    <s v="Sports"/>
    <x v="0"/>
    <n v="1623.6"/>
    <s v="Aligned"/>
    <s v="50-64 Boomers"/>
    <s v="High Value Tier"/>
    <s v="Elevated Risk"/>
  </r>
  <r>
    <s v="ORD6038"/>
    <s v="CUST2038"/>
    <n v="63"/>
    <s v="PROD1238"/>
    <s v="Canada"/>
    <d v="2022-01-06T00:00:00"/>
    <d v="2025-03-04T00:00:00"/>
    <n v="0"/>
    <s v="cancelled"/>
    <s v="1/14/2025"/>
    <s v=" $71.40 "/>
    <n v="9"/>
    <n v="27"/>
    <s v="Electronics"/>
    <s v="Sneakers"/>
    <s v="Clothing"/>
    <x v="0"/>
    <n v="642.6"/>
    <s v="Misaligned"/>
    <s v="50-64 Boomers"/>
    <s v="High Value Tier"/>
    <s v="Stable"/>
  </r>
  <r>
    <s v="ORD6039"/>
    <s v="CUST2039"/>
    <n v="19"/>
    <s v="PROD1239"/>
    <s v="Pakistan"/>
    <d v="2022-12-05T00:00:00"/>
    <d v="2023-02-11T00:00:00"/>
    <n v="0"/>
    <s v="paused"/>
    <d v="2022-02-10T00:00:00"/>
    <s v=" $164.17 "/>
    <n v="6"/>
    <n v="41"/>
    <s v="Beauty"/>
    <s v="Smartwatch"/>
    <s v="Electronics"/>
    <x v="1"/>
    <n v="985.02"/>
    <s v="Misaligned"/>
    <s v="18-24 Gen Z"/>
    <s v="High Value Tier"/>
    <s v="Elevated Risk"/>
  </r>
  <r>
    <s v="ORD6040"/>
    <s v="CUST2040"/>
    <n v="61"/>
    <s v="PROD1240"/>
    <s v="India"/>
    <s v="3/19/2021"/>
    <s v="12/31/2023"/>
    <n v="2"/>
    <s v="active"/>
    <s v="4/19/2023"/>
    <s v=" $439.94 "/>
    <n v="4"/>
    <n v="46"/>
    <s v="Clothing"/>
    <s v="Skirt"/>
    <s v="Clothing"/>
    <x v="0"/>
    <n v="1759.76"/>
    <s v="Aligned"/>
    <s v="50-64 Boomers"/>
    <s v="High Value Tier"/>
    <s v="Stable"/>
  </r>
  <r>
    <s v="ORD6041"/>
    <s v="CUST2041"/>
    <n v="22"/>
    <s v="PROD1241"/>
    <s v="USA"/>
    <s v="7/23/2021"/>
    <s v="10/16/2021"/>
    <n v="1"/>
    <s v="cancelled"/>
    <s v="3/21/2023"/>
    <s v=" $156.82 "/>
    <n v="2"/>
    <n v="47"/>
    <s v="Home"/>
    <s v="Shirt"/>
    <s v="Clothing"/>
    <x v="1"/>
    <n v="313.64"/>
    <s v="Misaligned"/>
    <s v="18-24 Gen Z"/>
    <s v="High Value Tier"/>
    <s v="Stable"/>
  </r>
  <r>
    <s v="ORD6042"/>
    <s v="CUST2042"/>
    <n v="51"/>
    <s v="PROD1242"/>
    <s v="Pakistan"/>
    <d v="2021-07-05T00:00:00"/>
    <s v="7/16/2024"/>
    <n v="2"/>
    <s v="cancelled"/>
    <s v="1/25/2024"/>
    <s v=" $62.14 "/>
    <n v="5"/>
    <n v="33"/>
    <s v="Home"/>
    <s v="Running Shoes"/>
    <s v="Sports"/>
    <x v="1"/>
    <n v="310.7"/>
    <s v="Misaligned"/>
    <s v="50-64 Boomers"/>
    <s v="High Value Tier"/>
    <s v="Stable"/>
  </r>
  <r>
    <s v="ORD6043"/>
    <s v="CUST2043"/>
    <n v="53"/>
    <s v="PROD1243"/>
    <s v="UK"/>
    <s v="4/21/2022"/>
    <s v="2/27/2024"/>
    <n v="1"/>
    <s v="cancelled"/>
    <d v="2023-03-11T00:00:00"/>
    <s v=" $34.67 "/>
    <n v="7"/>
    <n v="37"/>
    <s v="Sports"/>
    <s v="Jacket"/>
    <s v="Clothing"/>
    <x v="1"/>
    <n v="242.69"/>
    <s v="Misaligned"/>
    <s v="50-64 Boomers"/>
    <s v="High Value Tier"/>
    <s v="Stable"/>
  </r>
  <r>
    <s v="ORD6044"/>
    <s v="CUST2044"/>
    <n v="52"/>
    <s v="PROD1244"/>
    <s v="USA"/>
    <s v="3/14/2023"/>
    <d v="2024-03-08T00:00:00"/>
    <n v="2"/>
    <s v="active"/>
    <s v="5/13/2024"/>
    <s v=" $1,707.78 "/>
    <n v="1"/>
    <n v="1"/>
    <s v="Electronics"/>
    <s v="Skirt"/>
    <s v="Clothing"/>
    <x v="0"/>
    <n v="1707.78"/>
    <s v="Misaligned"/>
    <s v="50-64 Boomers"/>
    <s v="Core Tier"/>
    <s v="Stable"/>
  </r>
  <r>
    <s v="ORD6045"/>
    <s v="CUST2045"/>
    <n v="39"/>
    <s v="PROD1245"/>
    <s v="India"/>
    <s v="9/25/2022"/>
    <s v="11/20/2023"/>
    <n v="2"/>
    <s v="active"/>
    <s v="4/24/2025"/>
    <s v=" $264.01 "/>
    <n v="6"/>
    <n v="27"/>
    <s v="Sports"/>
    <s v="Moisturizer"/>
    <s v="Beauty"/>
    <x v="1"/>
    <n v="1584.06"/>
    <s v="Misaligned"/>
    <s v="35-49 Gen X"/>
    <s v="High Value Tier"/>
    <s v="Stable"/>
  </r>
  <r>
    <s v="ORD6046"/>
    <s v="CUST2046"/>
    <n v="31"/>
    <s v="PROD1246"/>
    <s v="India"/>
    <d v="2021-12-11T00:00:00"/>
    <s v="3/16/2024"/>
    <n v="2"/>
    <s v="active"/>
    <s v="1/20/2024"/>
    <s v=" $87.51 "/>
    <n v="5"/>
    <n v="13"/>
    <s v="Clothing"/>
    <s v="T-Shirt"/>
    <s v="Clothing"/>
    <x v="0"/>
    <n v="437.55"/>
    <s v="Aligned"/>
    <s v="25-34 Millennials"/>
    <s v="High Value Tier"/>
    <s v="Stable"/>
  </r>
  <r>
    <s v="ORD6047"/>
    <s v="CUST2047"/>
    <n v="22"/>
    <s v="PROD1247"/>
    <s v="USA"/>
    <s v="9/22/2021"/>
    <s v="7/25/2024"/>
    <n v="0"/>
    <s v="active"/>
    <s v="1/24/2024"/>
    <s v=" $243.13 "/>
    <n v="5"/>
    <n v="35"/>
    <s v="Home"/>
    <s v="Conditioner"/>
    <s v="Beauty"/>
    <x v="1"/>
    <n v="1215.6500000000001"/>
    <s v="Misaligned"/>
    <s v="18-24 Gen Z"/>
    <s v="High Value Tier"/>
    <s v="Stable"/>
  </r>
  <r>
    <s v="ORD6048"/>
    <s v="CUST2048"/>
    <n v="61"/>
    <s v="PROD1248"/>
    <s v="Germany"/>
    <s v="1/17/2022"/>
    <s v="7/15/2024"/>
    <n v="1"/>
    <s v="cancelled"/>
    <d v="2022-02-02T00:00:00"/>
    <s v=" $880.36 "/>
    <n v="2"/>
    <n v="27"/>
    <s v="Clothing"/>
    <s v="Bluetooth Speaker"/>
    <s v="Electronics"/>
    <x v="0"/>
    <n v="1760.72"/>
    <s v="Misaligned"/>
    <s v="50-64 Boomers"/>
    <s v="High Value Tier"/>
    <s v="Stable"/>
  </r>
  <r>
    <s v="ORD6049"/>
    <s v="CUST2049"/>
    <n v="47"/>
    <s v="PROD1249"/>
    <s v="Canada"/>
    <d v="2021-02-07T00:00:00"/>
    <s v="12/23/2022"/>
    <n v="4"/>
    <s v="cancelled"/>
    <d v="2024-02-01T00:00:00"/>
    <s v=" $793.56 "/>
    <n v="1"/>
    <n v="31"/>
    <s v="Sports"/>
    <s v="Lamp"/>
    <s v="Home"/>
    <x v="0"/>
    <n v="793.56"/>
    <s v="Misaligned"/>
    <s v="35-49 Gen X"/>
    <s v="High Value Tier"/>
    <s v="Stable"/>
  </r>
  <r>
    <s v="ORD6050"/>
    <s v="CUST2050"/>
    <n v="29"/>
    <s v="PROD1250"/>
    <s v="Canada"/>
    <s v="7/26/2023"/>
    <d v="2024-06-11T00:00:00"/>
    <n v="1"/>
    <s v="paused"/>
    <s v="12/28/2023"/>
    <s v=" $100.04 "/>
    <n v="9"/>
    <n v="11"/>
    <s v="Beauty"/>
    <s v="Lipstick"/>
    <s v="Beauty"/>
    <x v="0"/>
    <n v="900.36"/>
    <s v="Aligned"/>
    <s v="25-34 Millennials"/>
    <s v="High Value Tier"/>
    <s v="Elevated Risk"/>
  </r>
  <r>
    <s v="ORD6051"/>
    <s v="CUST2051"/>
    <n v="38"/>
    <s v="PROD1251"/>
    <s v="USA"/>
    <d v="2022-08-12T00:00:00"/>
    <d v="2025-07-02T00:00:00"/>
    <n v="0"/>
    <s v="active"/>
    <s v="1/16/2025"/>
    <s v=" $207.64 "/>
    <n v="7"/>
    <n v="14"/>
    <s v="Beauty"/>
    <s v="Moisturizer"/>
    <s v="Beauty"/>
    <x v="0"/>
    <n v="1453.48"/>
    <s v="Aligned"/>
    <s v="35-49 Gen X"/>
    <s v="High Value Tier"/>
    <s v="Stable"/>
  </r>
  <r>
    <s v="ORD6052"/>
    <s v="CUST2052"/>
    <n v="56"/>
    <s v="PROD1252"/>
    <s v="Canada"/>
    <d v="2022-03-10T00:00:00"/>
    <s v="5/16/2025"/>
    <n v="3"/>
    <s v="cancelled"/>
    <s v="6/28/2024"/>
    <s v=" $96.98 "/>
    <n v="8"/>
    <n v="38"/>
    <s v="Clothing"/>
    <s v="Laptop"/>
    <s v="Electronics"/>
    <x v="0"/>
    <n v="775.84"/>
    <s v="Misaligned"/>
    <s v="50-64 Boomers"/>
    <s v="High Value Tier"/>
    <s v="Stable"/>
  </r>
  <r>
    <s v="ORD6053"/>
    <s v="CUST2053"/>
    <n v="23"/>
    <s v="PROD1253"/>
    <s v="Pakistan"/>
    <s v="2/24/2022"/>
    <s v="12/18/2024"/>
    <n v="3"/>
    <s v="paused"/>
    <s v="12/16/2022"/>
    <s v=" $149.00 "/>
    <n v="4"/>
    <n v="1"/>
    <s v="Electronics"/>
    <s v="Conditioner"/>
    <s v="Beauty"/>
    <x v="0"/>
    <n v="596"/>
    <s v="Misaligned"/>
    <s v="18-24 Gen Z"/>
    <s v="Value Tier"/>
    <s v="Elevated Risk"/>
  </r>
  <r>
    <s v="ORD6054"/>
    <s v="CUST2054"/>
    <n v="50"/>
    <s v="PROD1254"/>
    <s v="India"/>
    <s v="4/24/2023"/>
    <s v="4/22/2024"/>
    <n v="1"/>
    <s v="active"/>
    <d v="2025-01-05T00:00:00"/>
    <s v=" $451.57 "/>
    <n v="2"/>
    <n v="21"/>
    <s v="Clothing"/>
    <s v="Laptop"/>
    <s v="Electronics"/>
    <x v="0"/>
    <n v="903.14"/>
    <s v="Misaligned"/>
    <s v="50-64 Boomers"/>
    <s v="High Value Tier"/>
    <s v="Stable"/>
  </r>
  <r>
    <s v="ORD6055"/>
    <s v="CUST2055"/>
    <n v="38"/>
    <s v="PROD1255"/>
    <s v="Pakistan"/>
    <s v="7/20/2023"/>
    <d v="2023-08-10T00:00:00"/>
    <n v="0"/>
    <s v="paused"/>
    <d v="2025-04-02T00:00:00"/>
    <s v=" $292.96 "/>
    <n v="4"/>
    <n v="36"/>
    <s v="Electronics"/>
    <s v="Smartphone"/>
    <s v="Electronics"/>
    <x v="1"/>
    <n v="1171.8399999999999"/>
    <s v="Aligned"/>
    <s v="35-49 Gen X"/>
    <s v="High Value Tier"/>
    <s v="Elevated Risk"/>
  </r>
  <r>
    <s v="ORD6056"/>
    <s v="CUST2056"/>
    <n v="40"/>
    <s v="PROD1256"/>
    <s v="India"/>
    <s v="7/25/2023"/>
    <s v="8/20/2024"/>
    <n v="2"/>
    <s v="active"/>
    <s v="6/16/2024"/>
    <s v=" $1,825.62 "/>
    <n v="1"/>
    <n v="9"/>
    <s v="Sports"/>
    <s v="Jeans"/>
    <s v="Clothing"/>
    <x v="1"/>
    <n v="1825.62"/>
    <s v="Misaligned"/>
    <s v="35-49 Gen X"/>
    <s v="High Value Tier"/>
    <s v="Stable"/>
  </r>
  <r>
    <s v="ORD6057"/>
    <s v="CUST2057"/>
    <n v="50"/>
    <s v="PROD1257"/>
    <s v="UK"/>
    <s v="2/16/2021"/>
    <d v="2025-07-01T00:00:00"/>
    <n v="3"/>
    <s v="active"/>
    <s v="8/15/2024"/>
    <s v=" $152.66 "/>
    <n v="6"/>
    <n v="28"/>
    <s v="Home"/>
    <s v="Skirt"/>
    <s v="Clothing"/>
    <x v="1"/>
    <n v="915.96"/>
    <s v="Misaligned"/>
    <s v="50-64 Boomers"/>
    <s v="High Value Tier"/>
    <s v="Stable"/>
  </r>
  <r>
    <s v="ORD6058"/>
    <s v="CUST2058"/>
    <n v="61"/>
    <s v="PROD1258"/>
    <s v="UK"/>
    <s v="12/21/2021"/>
    <s v="2/24/2023"/>
    <n v="0"/>
    <s v="cancelled"/>
    <d v="2023-12-02T00:00:00"/>
    <s v=" $190.72 "/>
    <n v="2"/>
    <n v="14"/>
    <s v="Clothing"/>
    <s v="Football"/>
    <s v="Sports"/>
    <x v="1"/>
    <n v="381.44"/>
    <s v="Misaligned"/>
    <s v="50-64 Boomers"/>
    <s v="High Value Tier"/>
    <s v="Stable"/>
  </r>
  <r>
    <s v="ORD6059"/>
    <s v="CUST2059"/>
    <n v="22"/>
    <s v="PROD1259"/>
    <s v="UK"/>
    <s v="2/15/2022"/>
    <d v="2024-05-11T00:00:00"/>
    <n v="5"/>
    <s v="cancelled"/>
    <d v="2023-01-12T00:00:00"/>
    <s v=" $632.95 "/>
    <n v="2"/>
    <n v="21"/>
    <s v="Sports"/>
    <s v="Cycling Helmet"/>
    <s v="Sports"/>
    <x v="0"/>
    <n v="1265.9000000000001"/>
    <s v="Aligned"/>
    <s v="18-24 Gen Z"/>
    <s v="High Value Tier"/>
    <s v="Stable"/>
  </r>
  <r>
    <s v="ORD6060"/>
    <s v="CUST2060"/>
    <n v="49"/>
    <s v="PROD1260"/>
    <s v="Canada"/>
    <s v="3/16/2021"/>
    <s v="3/19/2025"/>
    <n v="3"/>
    <s v="active"/>
    <s v="11/26/2024"/>
    <s v=" $181.65 "/>
    <n v="5"/>
    <n v="38"/>
    <s v="Home"/>
    <s v="Dumbbells"/>
    <s v="Sports"/>
    <x v="1"/>
    <n v="908.25"/>
    <s v="Misaligned"/>
    <s v="35-49 Gen X"/>
    <s v="High Value Tier"/>
    <s v="Stable"/>
  </r>
  <r>
    <s v="ORD6061"/>
    <s v="CUST2061"/>
    <n v="47"/>
    <s v="PROD1261"/>
    <s v="Germany"/>
    <d v="2022-08-11T00:00:00"/>
    <d v="2023-11-01T00:00:00"/>
    <n v="3"/>
    <s v="active"/>
    <d v="2024-09-12T00:00:00"/>
    <s v=" $109.38 "/>
    <n v="9"/>
    <n v="34"/>
    <s v="Clothing"/>
    <s v="Vacuum Cleaner"/>
    <s v="Home"/>
    <x v="0"/>
    <n v="984.42"/>
    <s v="Misaligned"/>
    <s v="35-49 Gen X"/>
    <s v="High Value Tier"/>
    <s v="Stable"/>
  </r>
  <r>
    <s v="ORD6062"/>
    <s v="CUST2062"/>
    <n v="67"/>
    <s v="PROD1262"/>
    <s v="Germany"/>
    <s v="7/31/2021"/>
    <d v="2024-12-01T00:00:00"/>
    <n v="4"/>
    <s v="paused"/>
    <d v="2024-08-09T00:00:00"/>
    <s v=" $159.55 "/>
    <n v="6"/>
    <n v="31"/>
    <s v="Home"/>
    <s v="Chair"/>
    <s v="Home"/>
    <x v="1"/>
    <n v="957.3"/>
    <s v="Aligned"/>
    <s v="65+ Seniors"/>
    <s v="High Value Tier"/>
    <s v="Elevated Risk"/>
  </r>
  <r>
    <s v="ORD6063"/>
    <s v="CUST2063"/>
    <n v="20"/>
    <s v="PROD1263"/>
    <s v="Canada"/>
    <s v="1/24/2023"/>
    <s v="10/15/2024"/>
    <n v="5"/>
    <s v="cancelled"/>
    <d v="2024-10-05T00:00:00"/>
    <s v=" $688.60 "/>
    <n v="1"/>
    <n v="21"/>
    <s v="Electronics"/>
    <s v="Face Wash"/>
    <s v="Beauty"/>
    <x v="0"/>
    <n v="688.6"/>
    <s v="Misaligned"/>
    <s v="18-24 Gen Z"/>
    <s v="High Value Tier"/>
    <s v="Stable"/>
  </r>
  <r>
    <s v="ORD6064"/>
    <s v="CUST2064"/>
    <n v="62"/>
    <s v="PROD1264"/>
    <s v="UK"/>
    <s v="11/26/2022"/>
    <s v="12/28/2023"/>
    <n v="3"/>
    <s v="cancelled"/>
    <d v="2025-06-03T00:00:00"/>
    <s v=" $232.71 "/>
    <n v="7"/>
    <n v="37"/>
    <s v="Sports"/>
    <s v="Refrigerator"/>
    <s v="Home"/>
    <x v="0"/>
    <n v="1628.97"/>
    <s v="Misaligned"/>
    <s v="50-64 Boomers"/>
    <s v="High Value Tier"/>
    <s v="Stable"/>
  </r>
  <r>
    <s v="ORD6065"/>
    <s v="CUST2065"/>
    <n v="26"/>
    <s v="PROD1265"/>
    <s v="UK"/>
    <d v="2020-01-12T00:00:00"/>
    <s v="3/20/2024"/>
    <n v="5"/>
    <s v="active"/>
    <s v="9/25/2022"/>
    <s v=" $266.97 "/>
    <n v="3"/>
    <n v="31"/>
    <s v="Electronics"/>
    <s v="Smartphone"/>
    <s v="Electronics"/>
    <x v="1"/>
    <n v="800.91"/>
    <s v="Aligned"/>
    <s v="25-34 Millennials"/>
    <s v="High Value Tier"/>
    <s v="Critical Risk"/>
  </r>
  <r>
    <s v="ORD6066"/>
    <s v="CUST2066"/>
    <n v="40"/>
    <s v="PROD1266"/>
    <s v="UK"/>
    <d v="2022-01-06T00:00:00"/>
    <d v="2022-01-10T00:00:00"/>
    <n v="0"/>
    <s v="active"/>
    <d v="2025-07-04T00:00:00"/>
    <s v=" $21.76 "/>
    <n v="9"/>
    <n v="20"/>
    <s v="Home"/>
    <s v="T-Shirt"/>
    <s v="Clothing"/>
    <x v="1"/>
    <n v="195.84"/>
    <s v="Misaligned"/>
    <s v="35-49 Gen X"/>
    <s v="High Value Tier"/>
    <s v="Stable"/>
  </r>
  <r>
    <s v="ORD6067"/>
    <s v="CUST2067"/>
    <n v="63"/>
    <s v="PROD1267"/>
    <s v="Pakistan"/>
    <s v="3/25/2022"/>
    <d v="2025-07-07T00:00:00"/>
    <n v="5"/>
    <s v="cancelled"/>
    <d v="2022-12-10T00:00:00"/>
    <s v=" $845.10 "/>
    <n v="2"/>
    <n v="3"/>
    <s v="Home"/>
    <s v="Hoodie"/>
    <s v="Clothing"/>
    <x v="0"/>
    <n v="1690.2"/>
    <s v="Misaligned"/>
    <s v="50-64 Boomers"/>
    <s v="High Value Tier"/>
    <s v="Stable"/>
  </r>
  <r>
    <s v="ORD6068"/>
    <s v="CUST2068"/>
    <n v="30"/>
    <s v="PROD1268"/>
    <s v="UK"/>
    <d v="2021-03-09T00:00:00"/>
    <s v="4/13/2025"/>
    <n v="2"/>
    <s v="active"/>
    <s v="4/18/2023"/>
    <s v=" $162.40 "/>
    <n v="7"/>
    <n v="33"/>
    <s v="Clothing"/>
    <s v="Shampoo"/>
    <s v="Beauty"/>
    <x v="0"/>
    <n v="1136.8"/>
    <s v="Misaligned"/>
    <s v="25-34 Millennials"/>
    <s v="High Value Tier"/>
    <s v="Stable"/>
  </r>
  <r>
    <s v="ORD6069"/>
    <s v="CUST2069"/>
    <n v="68"/>
    <s v="PROD1269"/>
    <s v="UK"/>
    <s v="2/23/2022"/>
    <s v="8/15/2024"/>
    <n v="3"/>
    <s v="cancelled"/>
    <s v="7/14/2025"/>
    <s v=" $168.82 "/>
    <n v="9"/>
    <n v="45"/>
    <s v="Home"/>
    <s v="Bluetooth Speaker"/>
    <s v="Electronics"/>
    <x v="1"/>
    <n v="1519.38"/>
    <s v="Misaligned"/>
    <s v="65+ Seniors"/>
    <s v="High Value Tier"/>
    <s v="Stable"/>
  </r>
  <r>
    <s v="ORD6070"/>
    <s v="CUST2070"/>
    <n v="63"/>
    <s v="PROD1270"/>
    <s v="Pakistan"/>
    <d v="2021-01-02T00:00:00"/>
    <s v="11/24/2021"/>
    <n v="3"/>
    <s v="cancelled"/>
    <s v="2/14/2023"/>
    <s v=" $51.61 "/>
    <n v="7"/>
    <n v="24"/>
    <s v="Sports"/>
    <s v="Foundation"/>
    <s v="Beauty"/>
    <x v="1"/>
    <n v="361.27"/>
    <s v="Misaligned"/>
    <s v="50-64 Boomers"/>
    <s v="High Value Tier"/>
    <s v="Stable"/>
  </r>
  <r>
    <s v="ORD6071"/>
    <s v="CUST2071"/>
    <n v="36"/>
    <s v="PROD1271"/>
    <s v="Germany"/>
    <d v="2021-10-09T00:00:00"/>
    <d v="2024-09-07T00:00:00"/>
    <n v="4"/>
    <s v="active"/>
    <s v="10/29/2021"/>
    <s v=" $257.69 "/>
    <n v="6"/>
    <n v="5"/>
    <s v="Clothing"/>
    <s v="Jacket"/>
    <s v="Clothing"/>
    <x v="1"/>
    <n v="1546.14"/>
    <s v="Aligned"/>
    <s v="35-49 Gen X"/>
    <s v="High Value Tier"/>
    <s v="Critical Risk"/>
  </r>
  <r>
    <s v="ORD6072"/>
    <s v="CUST2072"/>
    <n v="53"/>
    <s v="PROD1272"/>
    <s v="UK"/>
    <d v="2020-08-10T00:00:00"/>
    <d v="2021-06-05T00:00:00"/>
    <n v="1"/>
    <s v="cancelled"/>
    <d v="2022-06-09T00:00:00"/>
    <s v=" $90.01 "/>
    <n v="3"/>
    <n v="37"/>
    <s v="Home"/>
    <s v="Skirt"/>
    <s v="Clothing"/>
    <x v="0"/>
    <n v="270.02999999999997"/>
    <s v="Misaligned"/>
    <s v="50-64 Boomers"/>
    <s v="High Value Tier"/>
    <s v="Stable"/>
  </r>
  <r>
    <s v="ORD6073"/>
    <s v="CUST2073"/>
    <n v="51"/>
    <s v="PROD1273"/>
    <s v="USA"/>
    <d v="2021-07-04T00:00:00"/>
    <s v="6/26/2023"/>
    <n v="4"/>
    <s v="paused"/>
    <d v="2021-01-10T00:00:00"/>
    <s v=" $8.45 "/>
    <n v="8"/>
    <n v="42"/>
    <s v="Beauty"/>
    <s v="Lamp"/>
    <s v="Home"/>
    <x v="1"/>
    <n v="67.599999999999994"/>
    <s v="Misaligned"/>
    <s v="50-64 Boomers"/>
    <s v="High Value Tier"/>
    <s v="Elevated Risk"/>
  </r>
  <r>
    <s v="ORD6074"/>
    <s v="CUST2074"/>
    <n v="59"/>
    <s v="PROD1274"/>
    <s v="USA"/>
    <d v="2021-02-12T00:00:00"/>
    <s v="3/19/2024"/>
    <n v="2"/>
    <s v="active"/>
    <d v="2022-03-05T00:00:00"/>
    <s v=" $135.26 "/>
    <n v="8"/>
    <n v="36"/>
    <s v="Clothing"/>
    <s v="Skirt"/>
    <s v="Clothing"/>
    <x v="0"/>
    <n v="1082.08"/>
    <s v="Aligned"/>
    <s v="50-64 Boomers"/>
    <s v="High Value Tier"/>
    <s v="Stable"/>
  </r>
  <r>
    <s v="ORD6075"/>
    <s v="CUST2075"/>
    <n v="45"/>
    <s v="PROD1275"/>
    <s v="India"/>
    <d v="2023-09-06T00:00:00"/>
    <d v="2023-12-08T00:00:00"/>
    <n v="4"/>
    <s v="active"/>
    <s v="10/15/2024"/>
    <s v=" $435.92 "/>
    <n v="3"/>
    <n v="38"/>
    <s v="Clothing"/>
    <s v="Dumbbells"/>
    <s v="Sports"/>
    <x v="1"/>
    <n v="1307.76"/>
    <s v="Misaligned"/>
    <s v="35-49 Gen X"/>
    <s v="High Value Tier"/>
    <s v="Critical Risk"/>
  </r>
  <r>
    <s v="ORD6076"/>
    <s v="CUST2076"/>
    <n v="64"/>
    <s v="PROD1276"/>
    <s v="India"/>
    <s v="12/18/2022"/>
    <s v="4/20/2025"/>
    <n v="3"/>
    <s v="active"/>
    <d v="2024-11-01T00:00:00"/>
    <s v=" $186.66 "/>
    <n v="7"/>
    <n v="14"/>
    <s v="Beauty"/>
    <s v="Dumbbells"/>
    <s v="Sports"/>
    <x v="1"/>
    <n v="1306.6199999999999"/>
    <s v="Misaligned"/>
    <s v="50-64 Boomers"/>
    <s v="High Value Tier"/>
    <s v="Stable"/>
  </r>
  <r>
    <s v="ORD6077"/>
    <s v="CUST2077"/>
    <n v="22"/>
    <s v="PROD1277"/>
    <s v="Germany"/>
    <s v="8/13/2022"/>
    <s v="4/21/2024"/>
    <n v="5"/>
    <s v="cancelled"/>
    <s v="10/30/2023"/>
    <s v=" $60.80 "/>
    <n v="8"/>
    <n v="19"/>
    <s v="Home"/>
    <s v="Cycling Helmet"/>
    <s v="Sports"/>
    <x v="1"/>
    <n v="486.4"/>
    <s v="Misaligned"/>
    <s v="18-24 Gen Z"/>
    <s v="High Value Tier"/>
    <s v="Stable"/>
  </r>
  <r>
    <s v="ORD6078"/>
    <s v="CUST2078"/>
    <n v="41"/>
    <s v="PROD1278"/>
    <s v="Pakistan"/>
    <s v="5/17/2022"/>
    <s v="11/30/2022"/>
    <n v="1"/>
    <s v="active"/>
    <s v="10/19/2024"/>
    <s v=" $52.29 "/>
    <n v="9"/>
    <n v="37"/>
    <s v="Clothing"/>
    <s v="Skirt"/>
    <s v="Clothing"/>
    <x v="0"/>
    <n v="470.61"/>
    <s v="Aligned"/>
    <s v="35-49 Gen X"/>
    <s v="High Value Tier"/>
    <s v="Stable"/>
  </r>
  <r>
    <s v="ORD6079"/>
    <s v="CUST2079"/>
    <n v="19"/>
    <s v="PROD1279"/>
    <s v="Pakistan"/>
    <s v="11/24/2020"/>
    <d v="2024-12-02T00:00:00"/>
    <n v="1"/>
    <s v="active"/>
    <d v="2023-12-06T00:00:00"/>
    <s v=" $325.42 "/>
    <n v="5"/>
    <n v="17"/>
    <s v="Beauty"/>
    <s v="Football"/>
    <s v="Sports"/>
    <x v="1"/>
    <n v="1627.1"/>
    <s v="Misaligned"/>
    <s v="18-24 Gen Z"/>
    <s v="High Value Tier"/>
    <s v="Stable"/>
  </r>
  <r>
    <s v="ORD6080"/>
    <s v="CUST2080"/>
    <n v="50"/>
    <s v="PROD1280"/>
    <s v="Canada"/>
    <s v="5/27/2021"/>
    <d v="2022-05-02T00:00:00"/>
    <n v="2"/>
    <s v="cancelled"/>
    <s v="12/30/2024"/>
    <s v=" $204.08 "/>
    <n v="9"/>
    <n v="20"/>
    <s v="Beauty"/>
    <s v="Nail Polish"/>
    <s v="Beauty"/>
    <x v="0"/>
    <n v="1836.72"/>
    <s v="Aligned"/>
    <s v="50-64 Boomers"/>
    <s v="High Value Tier"/>
    <s v="Stable"/>
  </r>
  <r>
    <s v="ORD6081"/>
    <s v="CUST2081"/>
    <n v="55"/>
    <s v="PROD1281"/>
    <s v="Canada"/>
    <s v="7/29/2021"/>
    <s v="8/18/2024"/>
    <n v="4"/>
    <s v="active"/>
    <s v="5/18/2023"/>
    <s v=" $236.78 "/>
    <n v="6"/>
    <n v="5"/>
    <s v="Beauty"/>
    <s v="Vacuum Cleaner"/>
    <s v="Home"/>
    <x v="1"/>
    <n v="1420.68"/>
    <s v="Misaligned"/>
    <s v="50-64 Boomers"/>
    <s v="High Value Tier"/>
    <s v="Critical Risk"/>
  </r>
  <r>
    <s v="ORD6082"/>
    <s v="CUST2082"/>
    <n v="42"/>
    <s v="PROD1282"/>
    <s v="Canada"/>
    <d v="2022-02-06T00:00:00"/>
    <s v="8/16/2022"/>
    <n v="5"/>
    <s v="paused"/>
    <d v="2022-05-11T00:00:00"/>
    <s v=" $920.25 "/>
    <n v="1"/>
    <n v="6"/>
    <s v="Electronics"/>
    <s v="Chair"/>
    <s v="Home"/>
    <x v="0"/>
    <n v="920.25"/>
    <s v="Misaligned"/>
    <s v="35-49 Gen X"/>
    <s v="High Value Tier"/>
    <s v="Elevated Risk"/>
  </r>
  <r>
    <s v="ORD6083"/>
    <s v="CUST2083"/>
    <n v="54"/>
    <s v="PROD1283"/>
    <s v="India"/>
    <s v="2/21/2023"/>
    <s v="5/13/2025"/>
    <n v="1"/>
    <s v="paused"/>
    <s v="5/23/2023"/>
    <s v=" $248.76 "/>
    <n v="5"/>
    <n v="9"/>
    <s v="Electronics"/>
    <s v="Lamp"/>
    <s v="Home"/>
    <x v="1"/>
    <n v="1243.8"/>
    <s v="Misaligned"/>
    <s v="50-64 Boomers"/>
    <s v="High Value Tier"/>
    <s v="Elevated Risk"/>
  </r>
  <r>
    <s v="ORD6084"/>
    <s v="CUST2084"/>
    <n v="28"/>
    <s v="PROD1284"/>
    <s v="USA"/>
    <s v="2/22/2023"/>
    <s v="4/15/2023"/>
    <n v="0"/>
    <s v="active"/>
    <d v="2023-02-05T00:00:00"/>
    <s v=" $44.12 "/>
    <n v="6"/>
    <n v="11"/>
    <s v="Clothing"/>
    <s v="Cricket Bat"/>
    <s v="Sports"/>
    <x v="1"/>
    <n v="264.72000000000003"/>
    <s v="Misaligned"/>
    <s v="25-34 Millennials"/>
    <s v="High Value Tier"/>
    <s v="Stable"/>
  </r>
  <r>
    <s v="ORD6085"/>
    <s v="CUST2085"/>
    <n v="19"/>
    <s v="PROD1285"/>
    <s v="USA"/>
    <s v="7/21/2023"/>
    <s v="2/26/2025"/>
    <n v="1"/>
    <s v="paused"/>
    <s v="7/26/2024"/>
    <s v=" $1,330.98 "/>
    <n v="1"/>
    <n v="24"/>
    <s v="Electronics"/>
    <s v="Jacket"/>
    <s v="Clothing"/>
    <x v="0"/>
    <n v="1330.98"/>
    <s v="Misaligned"/>
    <s v="18-24 Gen Z"/>
    <s v="High Value Tier"/>
    <s v="Elevated Risk"/>
  </r>
  <r>
    <s v="ORD6086"/>
    <s v="CUST2086"/>
    <n v="49"/>
    <s v="PROD1286"/>
    <s v="USA"/>
    <d v="2021-04-11T00:00:00"/>
    <s v="3/16/2022"/>
    <n v="0"/>
    <s v="active"/>
    <d v="2024-06-06T00:00:00"/>
    <s v=" $65.75 "/>
    <n v="7"/>
    <n v="25"/>
    <s v="Electronics"/>
    <s v="Sneakers"/>
    <s v="Clothing"/>
    <x v="0"/>
    <n v="460.25"/>
    <s v="Misaligned"/>
    <s v="35-49 Gen X"/>
    <s v="High Value Tier"/>
    <s v="Stable"/>
  </r>
  <r>
    <s v="ORD6087"/>
    <s v="CUST2087"/>
    <n v="45"/>
    <s v="PROD1287"/>
    <s v="Germany"/>
    <d v="2021-06-09T00:00:00"/>
    <s v="8/13/2023"/>
    <n v="0"/>
    <s v="active"/>
    <s v="9/27/2023"/>
    <s v=" $573.06 "/>
    <n v="3"/>
    <n v="31"/>
    <s v="Clothing"/>
    <s v="Tablet"/>
    <s v="Electronics"/>
    <x v="0"/>
    <n v="1719.18"/>
    <s v="Misaligned"/>
    <s v="35-49 Gen X"/>
    <s v="High Value Tier"/>
    <s v="Stable"/>
  </r>
  <r>
    <s v="ORD6088"/>
    <s v="CUST2088"/>
    <n v="23"/>
    <s v="PROD1288"/>
    <s v="Pakistan"/>
    <d v="2022-05-10T00:00:00"/>
    <d v="2024-07-11T00:00:00"/>
    <n v="4"/>
    <s v="active"/>
    <s v="10/17/2024"/>
    <s v=" $384.45 "/>
    <n v="5"/>
    <n v="23"/>
    <s v="Electronics"/>
    <s v="Lamp"/>
    <s v="Home"/>
    <x v="1"/>
    <n v="1922.25"/>
    <s v="Misaligned"/>
    <s v="18-24 Gen Z"/>
    <s v="High Value Tier"/>
    <s v="Critical Risk"/>
  </r>
  <r>
    <s v="ORD6089"/>
    <s v="CUST2089"/>
    <n v="29"/>
    <s v="PROD1289"/>
    <s v="Canada"/>
    <d v="2020-01-10T00:00:00"/>
    <d v="2021-06-09T00:00:00"/>
    <n v="0"/>
    <s v="active"/>
    <d v="2021-04-09T00:00:00"/>
    <s v=" $61.45 "/>
    <n v="9"/>
    <n v="42"/>
    <s v="Beauty"/>
    <s v="Face Wash"/>
    <s v="Beauty"/>
    <x v="0"/>
    <n v="553.04999999999995"/>
    <s v="Aligned"/>
    <s v="25-34 Millennials"/>
    <s v="High Value Tier"/>
    <s v="Stable"/>
  </r>
  <r>
    <s v="ORD6090"/>
    <s v="CUST2090"/>
    <n v="53"/>
    <s v="PROD1290"/>
    <s v="USA"/>
    <s v="11/26/2021"/>
    <s v="2/22/2023"/>
    <n v="2"/>
    <s v="active"/>
    <d v="2025-02-05T00:00:00"/>
    <s v=" $476.48 "/>
    <n v="4"/>
    <n v="15"/>
    <s v="Sports"/>
    <s v="Gaming Console"/>
    <s v="Electronics"/>
    <x v="1"/>
    <n v="1905.92"/>
    <s v="Misaligned"/>
    <s v="50-64 Boomers"/>
    <s v="High Value Tier"/>
    <s v="Stable"/>
  </r>
  <r>
    <s v="ORD6091"/>
    <s v="CUST2091"/>
    <n v="22"/>
    <s v="PROD1291"/>
    <s v="Germany"/>
    <s v="8/22/2022"/>
    <s v="2/18/2025"/>
    <n v="0"/>
    <s v="paused"/>
    <d v="2024-11-08T00:00:00"/>
    <s v=" $542.87 "/>
    <n v="2"/>
    <n v="32"/>
    <s v="Beauty"/>
    <s v="Football"/>
    <s v="Sports"/>
    <x v="0"/>
    <n v="1085.74"/>
    <s v="Misaligned"/>
    <s v="18-24 Gen Z"/>
    <s v="High Value Tier"/>
    <s v="Elevated Risk"/>
  </r>
  <r>
    <s v="ORD6092"/>
    <s v="CUST2092"/>
    <n v="26"/>
    <s v="PROD1292"/>
    <s v="Pakistan"/>
    <s v="9/26/2021"/>
    <s v="11/26/2023"/>
    <n v="3"/>
    <s v="active"/>
    <s v="5/14/2022"/>
    <s v=" $491.48 "/>
    <n v="4"/>
    <n v="26"/>
    <s v="Electronics"/>
    <s v="Foundation"/>
    <s v="Beauty"/>
    <x v="0"/>
    <n v="1965.92"/>
    <s v="Misaligned"/>
    <s v="25-34 Millennials"/>
    <s v="High Value Tier"/>
    <s v="Stable"/>
  </r>
  <r>
    <s v="ORD6093"/>
    <s v="CUST2093"/>
    <n v="43"/>
    <s v="PROD1293"/>
    <s v="Germany"/>
    <d v="2023-06-07T00:00:00"/>
    <d v="2024-02-04T00:00:00"/>
    <n v="0"/>
    <s v="active"/>
    <s v="5/16/2024"/>
    <s v=" $309.37 "/>
    <n v="3"/>
    <n v="31"/>
    <s v="Sports"/>
    <s v="Sneakers"/>
    <s v="Clothing"/>
    <x v="0"/>
    <n v="928.11"/>
    <s v="Misaligned"/>
    <s v="35-49 Gen X"/>
    <s v="High Value Tier"/>
    <s v="Stable"/>
  </r>
  <r>
    <s v="ORD6094"/>
    <s v="CUST2094"/>
    <n v="51"/>
    <s v="PROD1294"/>
    <s v="Germany"/>
    <s v="11/22/2020"/>
    <s v="11/26/2022"/>
    <n v="3"/>
    <s v="active"/>
    <s v="12/15/2021"/>
    <s v=" $4.80 "/>
    <n v="7"/>
    <n v="27"/>
    <s v="Clothing"/>
    <s v="Skirt"/>
    <s v="Clothing"/>
    <x v="0"/>
    <n v="33.6"/>
    <s v="Aligned"/>
    <s v="50-64 Boomers"/>
    <s v="Core Tier"/>
    <s v="Stable"/>
  </r>
  <r>
    <s v="ORD6095"/>
    <s v="CUST2095"/>
    <n v="63"/>
    <s v="PROD1295"/>
    <s v="India"/>
    <d v="2022-08-10T00:00:00"/>
    <s v="7/18/2023"/>
    <n v="5"/>
    <s v="active"/>
    <d v="2023-10-04T00:00:00"/>
    <s v=" $247.22 "/>
    <n v="4"/>
    <n v="31"/>
    <s v="Clothing"/>
    <s v="Lipstick"/>
    <s v="Beauty"/>
    <x v="0"/>
    <n v="988.88"/>
    <s v="Misaligned"/>
    <s v="50-64 Boomers"/>
    <s v="High Value Tier"/>
    <s v="Critical Risk"/>
  </r>
  <r>
    <s v="ORD6096"/>
    <s v="CUST2096"/>
    <n v="64"/>
    <s v="PROD1296"/>
    <s v="Germany"/>
    <s v="1/18/2022"/>
    <d v="2024-02-10T00:00:00"/>
    <n v="2"/>
    <s v="active"/>
    <d v="2023-07-11T00:00:00"/>
    <s v=" $121.04 "/>
    <n v="7"/>
    <n v="33"/>
    <s v="Clothing"/>
    <s v="Shampoo"/>
    <s v="Beauty"/>
    <x v="1"/>
    <n v="847.28"/>
    <s v="Misaligned"/>
    <s v="50-64 Boomers"/>
    <s v="High Value Tier"/>
    <s v="Stable"/>
  </r>
  <r>
    <s v="ORD6097"/>
    <s v="CUST2097"/>
    <n v="54"/>
    <s v="PROD1297"/>
    <s v="Pakistan"/>
    <d v="2022-01-03T00:00:00"/>
    <s v="11/21/2023"/>
    <n v="3"/>
    <s v="active"/>
    <s v="6/24/2022"/>
    <s v=" $146.91 "/>
    <n v="7"/>
    <n v="24"/>
    <s v="Clothing"/>
    <s v="Perfume"/>
    <s v="Beauty"/>
    <x v="0"/>
    <n v="1028.3699999999999"/>
    <s v="Misaligned"/>
    <s v="50-64 Boomers"/>
    <s v="High Value Tier"/>
    <s v="Stable"/>
  </r>
  <r>
    <s v="ORD6098"/>
    <s v="CUST2098"/>
    <n v="50"/>
    <s v="PROD1298"/>
    <s v="Canada"/>
    <d v="2022-02-04T00:00:00"/>
    <d v="2023-09-08T00:00:00"/>
    <n v="3"/>
    <s v="paused"/>
    <d v="2023-07-08T00:00:00"/>
    <s v=" $1,319.96 "/>
    <n v="1"/>
    <n v="39"/>
    <s v="Beauty"/>
    <s v="Cycling Helmet"/>
    <s v="Sports"/>
    <x v="0"/>
    <n v="1319.96"/>
    <s v="Misaligned"/>
    <s v="50-64 Boomers"/>
    <s v="High Value Tier"/>
    <s v="Elevated Risk"/>
  </r>
  <r>
    <s v="ORD6099"/>
    <s v="CUST2099"/>
    <n v="63"/>
    <s v="PROD1299"/>
    <s v="Germany"/>
    <d v="2022-05-07T00:00:00"/>
    <d v="2025-10-04T00:00:00"/>
    <n v="1"/>
    <s v="paused"/>
    <s v="6/30/2024"/>
    <s v=" $84.26 "/>
    <n v="4"/>
    <n v="15"/>
    <s v="Sports"/>
    <s v="Running Shoes"/>
    <s v="Sports"/>
    <x v="0"/>
    <n v="337.04"/>
    <s v="Aligned"/>
    <s v="50-64 Boomers"/>
    <s v="High Value Tier"/>
    <s v="Elevated Risk"/>
  </r>
  <r>
    <s v="ORD6100"/>
    <s v="CUST2100"/>
    <n v="33"/>
    <s v="PROD1300"/>
    <s v="USA"/>
    <d v="2022-05-07T00:00:00"/>
    <s v="9/30/2022"/>
    <n v="5"/>
    <s v="active"/>
    <d v="2025-05-02T00:00:00"/>
    <s v=" $313.24 "/>
    <n v="4"/>
    <n v="45"/>
    <s v="Clothing"/>
    <s v="Gaming Console"/>
    <s v="Electronics"/>
    <x v="1"/>
    <n v="1252.96"/>
    <s v="Misaligned"/>
    <s v="25-34 Millennials"/>
    <s v="High Value Tier"/>
    <s v="Critical Risk"/>
  </r>
  <r>
    <s v="ORD6101"/>
    <s v="CUST2101"/>
    <n v="18"/>
    <s v="PROD1301"/>
    <s v="India"/>
    <s v="4/27/2022"/>
    <s v="2/20/2024"/>
    <n v="5"/>
    <s v="cancelled"/>
    <d v="2024-08-06T00:00:00"/>
    <s v=" $261.80 "/>
    <n v="4"/>
    <n v="49"/>
    <s v="Sports"/>
    <s v="Laptop"/>
    <s v="Electronics"/>
    <x v="0"/>
    <n v="1047.2"/>
    <s v="Misaligned"/>
    <s v="18-24 Gen Z"/>
    <s v="High Value Tier"/>
    <s v="Stable"/>
  </r>
  <r>
    <s v="ORD6102"/>
    <s v="CUST2102"/>
    <n v="69"/>
    <s v="PROD1302"/>
    <s v="Canada"/>
    <s v="7/28/2023"/>
    <d v="2023-12-12T00:00:00"/>
    <n v="2"/>
    <s v="active"/>
    <s v="1/22/2024"/>
    <s v=" $366.08 "/>
    <n v="4"/>
    <n v="29"/>
    <s v="Electronics"/>
    <s v="Tennis Racket"/>
    <s v="Sports"/>
    <x v="0"/>
    <n v="1464.32"/>
    <s v="Misaligned"/>
    <s v="65+ Seniors"/>
    <s v="High Value Tier"/>
    <s v="Stable"/>
  </r>
  <r>
    <s v="ORD6103"/>
    <s v="CUST2103"/>
    <n v="67"/>
    <s v="PROD1303"/>
    <s v="Canada"/>
    <s v="3/31/2023"/>
    <s v="6/13/2025"/>
    <n v="4"/>
    <s v="active"/>
    <s v="2/14/2025"/>
    <s v=" $302.55 "/>
    <n v="5"/>
    <n v="30"/>
    <s v="Sports"/>
    <s v="Refrigerator"/>
    <s v="Home"/>
    <x v="1"/>
    <n v="1512.75"/>
    <s v="Misaligned"/>
    <s v="65+ Seniors"/>
    <s v="High Value Tier"/>
    <s v="Critical Risk"/>
  </r>
  <r>
    <s v="ORD6104"/>
    <s v="CUST2104"/>
    <n v="38"/>
    <s v="PROD1304"/>
    <s v="Pakistan"/>
    <s v="1/28/2021"/>
    <d v="2024-10-10T00:00:00"/>
    <n v="5"/>
    <s v="active"/>
    <s v="12/25/2024"/>
    <s v=" $72.50 "/>
    <n v="2"/>
    <n v="27"/>
    <s v="Beauty"/>
    <s v="Lipstick"/>
    <s v="Beauty"/>
    <x v="2"/>
    <n v="145"/>
    <s v="Aligned"/>
    <s v="35-49 Gen X"/>
    <s v="High Value Tier"/>
    <s v="Critical Risk"/>
  </r>
  <r>
    <s v="ORD6105"/>
    <s v="CUST2105"/>
    <n v="44"/>
    <s v="PROD1305"/>
    <s v="India"/>
    <s v="6/14/2021"/>
    <s v="6/21/2024"/>
    <n v="3"/>
    <s v="active"/>
    <s v="12/27/2021"/>
    <s v=" $1,194.42 "/>
    <n v="1"/>
    <n v="29"/>
    <s v="Home"/>
    <s v="Running Shoes"/>
    <s v="Sports"/>
    <x v="1"/>
    <n v="1194.42"/>
    <s v="Misaligned"/>
    <s v="35-49 Gen X"/>
    <s v="High Value Tier"/>
    <s v="Stable"/>
  </r>
  <r>
    <s v="ORD6106"/>
    <s v="CUST2106"/>
    <n v="22"/>
    <s v="PROD1306"/>
    <s v="USA"/>
    <s v="9/13/2020"/>
    <s v="7/30/2023"/>
    <n v="2"/>
    <s v="active"/>
    <s v="10/15/2021"/>
    <s v=" $136.82 "/>
    <n v="8"/>
    <n v="39"/>
    <s v="Sports"/>
    <s v="Moisturizer"/>
    <s v="Beauty"/>
    <x v="0"/>
    <n v="1094.56"/>
    <s v="Misaligned"/>
    <s v="18-24 Gen Z"/>
    <s v="High Value Tier"/>
    <s v="Stable"/>
  </r>
  <r>
    <s v="ORD6107"/>
    <s v="CUST2107"/>
    <n v="53"/>
    <s v="PROD1307"/>
    <s v="Pakistan"/>
    <s v="8/31/2022"/>
    <s v="12/28/2022"/>
    <n v="5"/>
    <s v="active"/>
    <d v="2024-08-11T00:00:00"/>
    <s v=" $1,491.08 "/>
    <n v="1"/>
    <n v="41"/>
    <s v="Electronics"/>
    <s v="Headphones"/>
    <s v="Electronics"/>
    <x v="1"/>
    <n v="1491.08"/>
    <s v="Aligned"/>
    <s v="50-64 Boomers"/>
    <s v="High Value Tier"/>
    <s v="Critical Risk"/>
  </r>
  <r>
    <s v="ORD6108"/>
    <s v="CUST2108"/>
    <n v="69"/>
    <s v="PROD1308"/>
    <s v="USA"/>
    <s v="10/16/2022"/>
    <s v="3/28/2023"/>
    <n v="0"/>
    <s v="cancelled"/>
    <s v="11/18/2024"/>
    <s v=" $175.08 "/>
    <n v="9"/>
    <n v="35"/>
    <s v="Electronics"/>
    <s v="Tennis Racket"/>
    <s v="Sports"/>
    <x v="2"/>
    <n v="1575.72"/>
    <s v="Misaligned"/>
    <s v="65+ Seniors"/>
    <s v="High Value Tier"/>
    <s v="Stable"/>
  </r>
  <r>
    <s v="ORD6109"/>
    <s v="CUST2109"/>
    <n v="22"/>
    <s v="PROD1309"/>
    <s v="UK"/>
    <s v="11/30/2020"/>
    <d v="2024-12-01T00:00:00"/>
    <n v="3"/>
    <s v="active"/>
    <d v="2021-10-03T00:00:00"/>
    <s v=" $446.47 "/>
    <n v="4"/>
    <n v="14"/>
    <s v="Clothing"/>
    <s v="Skirt"/>
    <s v="Clothing"/>
    <x v="1"/>
    <n v="1785.88"/>
    <s v="Aligned"/>
    <s v="18-24 Gen Z"/>
    <s v="High Value Tier"/>
    <s v="Stable"/>
  </r>
  <r>
    <s v="ORD6110"/>
    <s v="CUST2110"/>
    <n v="54"/>
    <s v="PROD1310"/>
    <s v="UK"/>
    <s v="12/23/2021"/>
    <s v="12/25/2022"/>
    <n v="5"/>
    <s v="active"/>
    <s v="3/14/2025"/>
    <s v=" $204.18 "/>
    <n v="4"/>
    <n v="43"/>
    <s v="Beauty"/>
    <s v="Headphones"/>
    <s v="Electronics"/>
    <x v="0"/>
    <n v="816.72"/>
    <s v="Misaligned"/>
    <s v="50-64 Boomers"/>
    <s v="High Value Tier"/>
    <s v="Critical Risk"/>
  </r>
  <r>
    <s v="ORD6111"/>
    <s v="CUST2111"/>
    <n v="36"/>
    <s v="PROD1311"/>
    <s v="USA"/>
    <s v="8/16/2022"/>
    <d v="2023-09-03T00:00:00"/>
    <n v="5"/>
    <s v="active"/>
    <d v="2023-04-06T00:00:00"/>
    <s v=" $964.50 "/>
    <n v="2"/>
    <n v="9"/>
    <s v="Home"/>
    <s v="Chair"/>
    <s v="Home"/>
    <x v="1"/>
    <n v="1929"/>
    <s v="Aligned"/>
    <s v="35-49 Gen X"/>
    <s v="High Value Tier"/>
    <s v="Critical Risk"/>
  </r>
  <r>
    <s v="ORD6112"/>
    <s v="CUST2112"/>
    <n v="24"/>
    <s v="PROD1312"/>
    <s v="UK"/>
    <s v="1/26/2021"/>
    <d v="2024-04-03T00:00:00"/>
    <n v="0"/>
    <s v="active"/>
    <d v="2022-06-06T00:00:00"/>
    <s v=" $134.30 "/>
    <n v="8"/>
    <n v="44"/>
    <s v="Sports"/>
    <s v="Shirt"/>
    <s v="Clothing"/>
    <x v="0"/>
    <n v="1074.4000000000001"/>
    <s v="Misaligned"/>
    <s v="18-24 Gen Z"/>
    <s v="High Value Tier"/>
    <s v="Stable"/>
  </r>
  <r>
    <s v="ORD6113"/>
    <s v="CUST2113"/>
    <n v="64"/>
    <s v="PROD1313"/>
    <s v="UK"/>
    <d v="2021-12-05T00:00:00"/>
    <s v="7/30/2021"/>
    <n v="0"/>
    <s v="active"/>
    <s v="8/13/2021"/>
    <s v=" $228.67 "/>
    <n v="5"/>
    <n v="19"/>
    <s v="Beauty"/>
    <s v="Smartwatch"/>
    <s v="Electronics"/>
    <x v="0"/>
    <n v="1143.3499999999999"/>
    <s v="Misaligned"/>
    <s v="50-64 Boomers"/>
    <s v="High Value Tier"/>
    <s v="Stable"/>
  </r>
  <r>
    <s v="ORD6114"/>
    <s v="CUST2114"/>
    <n v="19"/>
    <s v="PROD1314"/>
    <s v="USA"/>
    <d v="2022-07-11T00:00:00"/>
    <s v="4/16/2023"/>
    <n v="2"/>
    <s v="paused"/>
    <s v="5/18/2024"/>
    <s v=" $360.22 "/>
    <n v="5"/>
    <n v="33"/>
    <s v="Sports"/>
    <s v="Smartphone"/>
    <s v="Electronics"/>
    <x v="1"/>
    <n v="1801.1"/>
    <s v="Misaligned"/>
    <s v="18-24 Gen Z"/>
    <s v="High Value Tier"/>
    <s v="Elevated Risk"/>
  </r>
  <r>
    <s v="ORD6115"/>
    <s v="CUST2115"/>
    <n v="29"/>
    <s v="PROD1315"/>
    <s v="Pakistan"/>
    <s v="12/27/2020"/>
    <s v="8/28/2023"/>
    <n v="3"/>
    <s v="active"/>
    <d v="2023-08-04T00:00:00"/>
    <s v=" $99.05 "/>
    <n v="3"/>
    <n v="28"/>
    <s v="Clothing"/>
    <s v="Vacuum Cleaner"/>
    <s v="Home"/>
    <x v="0"/>
    <n v="297.14999999999998"/>
    <s v="Misaligned"/>
    <s v="25-34 Millennials"/>
    <s v="High Value Tier"/>
    <s v="Stable"/>
  </r>
  <r>
    <s v="ORD6116"/>
    <s v="CUST2116"/>
    <n v="61"/>
    <s v="PROD1316"/>
    <s v="Germany"/>
    <s v="5/24/2021"/>
    <d v="2023-04-09T00:00:00"/>
    <n v="4"/>
    <s v="paused"/>
    <s v="11/28/2022"/>
    <s v=" $212.47 "/>
    <n v="7"/>
    <n v="15"/>
    <s v="Beauty"/>
    <s v="Smartphone"/>
    <s v="Electronics"/>
    <x v="0"/>
    <n v="1487.29"/>
    <s v="Misaligned"/>
    <s v="50-64 Boomers"/>
    <s v="High Value Tier"/>
    <s v="Elevated Risk"/>
  </r>
  <r>
    <s v="ORD6117"/>
    <s v="CUST2117"/>
    <n v="59"/>
    <s v="PROD1317"/>
    <s v="USA"/>
    <d v="2022-10-04T00:00:00"/>
    <s v="5/24/2022"/>
    <n v="1"/>
    <s v="active"/>
    <s v="8/30/2023"/>
    <s v=" $14.12 "/>
    <n v="8"/>
    <n v="19"/>
    <s v="Sports"/>
    <s v="Vacuum Cleaner"/>
    <s v="Home"/>
    <x v="1"/>
    <n v="112.96"/>
    <s v="Misaligned"/>
    <s v="50-64 Boomers"/>
    <s v="Core Tier"/>
    <s v="Stable"/>
  </r>
  <r>
    <s v="ORD6118"/>
    <s v="CUST2118"/>
    <n v="66"/>
    <s v="PROD1318"/>
    <s v="India"/>
    <s v="9/15/2020"/>
    <s v="9/20/2020"/>
    <n v="3"/>
    <s v="cancelled"/>
    <d v="2023-04-08T00:00:00"/>
    <s v=" $258.37 "/>
    <n v="4"/>
    <n v="44"/>
    <s v="Sports"/>
    <s v="Running Shoes"/>
    <s v="Sports"/>
    <x v="1"/>
    <n v="1033.48"/>
    <s v="Aligned"/>
    <s v="65+ Seniors"/>
    <s v="High Value Tier"/>
    <s v="Stable"/>
  </r>
  <r>
    <s v="ORD6119"/>
    <s v="CUST2119"/>
    <n v="23"/>
    <s v="PROD1319"/>
    <s v="USA"/>
    <d v="2022-08-06T00:00:00"/>
    <d v="2024-04-05T00:00:00"/>
    <n v="1"/>
    <s v="active"/>
    <s v="4/14/2024"/>
    <s v=" $141.45 "/>
    <n v="9"/>
    <n v="37"/>
    <s v="Sports"/>
    <s v="Tennis Racket"/>
    <s v="Sports"/>
    <x v="0"/>
    <n v="1273.05"/>
    <s v="Aligned"/>
    <s v="18-24 Gen Z"/>
    <s v="High Value Tier"/>
    <s v="Stable"/>
  </r>
  <r>
    <s v="ORD6120"/>
    <s v="CUST2120"/>
    <n v="41"/>
    <s v="PROD1320"/>
    <s v="Pakistan"/>
    <s v="5/27/2023"/>
    <s v="11/23/2023"/>
    <n v="5"/>
    <s v="cancelled"/>
    <s v="12/13/2023"/>
    <s v=" $52.81 "/>
    <n v="9"/>
    <n v="43"/>
    <s v="Clothing"/>
    <s v="Moisturizer"/>
    <s v="Beauty"/>
    <x v="1"/>
    <n v="475.29"/>
    <s v="Misaligned"/>
    <s v="35-49 Gen X"/>
    <s v="High Value Tier"/>
    <s v="Stable"/>
  </r>
  <r>
    <s v="ORD6121"/>
    <s v="CUST2121"/>
    <n v="58"/>
    <s v="PROD1321"/>
    <s v="USA"/>
    <s v="2/28/2023"/>
    <d v="2024-07-07T00:00:00"/>
    <n v="0"/>
    <s v="cancelled"/>
    <s v="7/25/2023"/>
    <s v=" $169.81 "/>
    <n v="5"/>
    <n v="38"/>
    <s v="Sports"/>
    <s v="Chair"/>
    <s v="Home"/>
    <x v="0"/>
    <n v="849.05"/>
    <s v="Misaligned"/>
    <s v="50-64 Boomers"/>
    <s v="High Value Tier"/>
    <s v="Stable"/>
  </r>
  <r>
    <s v="ORD6122"/>
    <s v="CUST2122"/>
    <n v="37"/>
    <s v="PROD1322"/>
    <s v="UK"/>
    <s v="9/25/2022"/>
    <s v="11/27/2023"/>
    <n v="1"/>
    <s v="active"/>
    <s v="1/24/2023"/>
    <s v=" $111.99 "/>
    <n v="6"/>
    <n v="8"/>
    <s v="Beauty"/>
    <s v="Laptop"/>
    <s v="Electronics"/>
    <x v="1"/>
    <n v="671.94"/>
    <s v="Misaligned"/>
    <s v="35-49 Gen X"/>
    <s v="High Value Tier"/>
    <s v="Stable"/>
  </r>
  <r>
    <s v="ORD6123"/>
    <s v="CUST2123"/>
    <n v="40"/>
    <s v="PROD1323"/>
    <s v="UK"/>
    <s v="12/19/2020"/>
    <s v="3/31/2022"/>
    <n v="0"/>
    <s v="paused"/>
    <d v="2024-08-08T00:00:00"/>
    <s v=" $564.30 "/>
    <n v="3"/>
    <n v="7"/>
    <s v="Home"/>
    <s v="Lipstick"/>
    <s v="Beauty"/>
    <x v="2"/>
    <n v="1692.9"/>
    <s v="Misaligned"/>
    <s v="35-49 Gen X"/>
    <s v="High Value Tier"/>
    <s v="Elevated Risk"/>
  </r>
  <r>
    <s v="ORD6124"/>
    <s v="CUST2124"/>
    <n v="68"/>
    <s v="PROD1324"/>
    <s v="USA"/>
    <s v="12/28/2020"/>
    <d v="2024-08-03T00:00:00"/>
    <n v="0"/>
    <s v="active"/>
    <s v="11/14/2022"/>
    <s v=" $244.71 "/>
    <n v="4"/>
    <n v="23"/>
    <s v="Sports"/>
    <s v="Face Wash"/>
    <s v="Beauty"/>
    <x v="1"/>
    <n v="978.84"/>
    <s v="Misaligned"/>
    <s v="65+ Seniors"/>
    <s v="High Value Tier"/>
    <s v="Stable"/>
  </r>
  <r>
    <s v="ORD6125"/>
    <s v="CUST2125"/>
    <n v="23"/>
    <s v="PROD1325"/>
    <s v="Canada"/>
    <s v="10/21/2020"/>
    <d v="2020-10-11T00:00:00"/>
    <n v="1"/>
    <s v="active"/>
    <s v="1/25/2023"/>
    <s v=" $603.87 "/>
    <n v="1"/>
    <n v="11"/>
    <s v="Sports"/>
    <s v="Dumbbells"/>
    <s v="Sports"/>
    <x v="0"/>
    <n v="603.87"/>
    <s v="Aligned"/>
    <s v="18-24 Gen Z"/>
    <s v="High Value Tier"/>
    <s v="Stable"/>
  </r>
  <r>
    <s v="ORD6126"/>
    <s v="CUST2126"/>
    <n v="25"/>
    <s v="PROD1326"/>
    <s v="Germany"/>
    <d v="2020-12-10T00:00:00"/>
    <s v="9/14/2022"/>
    <n v="1"/>
    <s v="active"/>
    <s v="6/30/2021"/>
    <s v=" $232.11 "/>
    <n v="2"/>
    <n v="25"/>
    <s v="Sports"/>
    <s v="Foundation"/>
    <s v="Beauty"/>
    <x v="1"/>
    <n v="464.22"/>
    <s v="Misaligned"/>
    <s v="25-34 Millennials"/>
    <s v="High Value Tier"/>
    <s v="Stable"/>
  </r>
  <r>
    <s v="ORD6127"/>
    <s v="CUST2127"/>
    <n v="60"/>
    <s v="PROD1327"/>
    <s v="Germany"/>
    <d v="2023-02-03T00:00:00"/>
    <d v="2025-03-08T00:00:00"/>
    <n v="1"/>
    <s v="paused"/>
    <s v="3/27/2024"/>
    <s v=" $50.52 "/>
    <n v="5"/>
    <n v="7"/>
    <s v="Clothing"/>
    <s v="Microwave"/>
    <s v="Home"/>
    <x v="0"/>
    <n v="252.6"/>
    <s v="Misaligned"/>
    <s v="50-64 Boomers"/>
    <s v="Core Tier"/>
    <s v="Elevated Risk"/>
  </r>
  <r>
    <s v="ORD6128"/>
    <s v="CUST2128"/>
    <n v="24"/>
    <s v="PROD1328"/>
    <s v="UK"/>
    <s v="5/17/2023"/>
    <s v="9/25/2024"/>
    <n v="5"/>
    <s v="active"/>
    <s v="7/15/2025"/>
    <s v=" $407.04 "/>
    <n v="2"/>
    <n v="33"/>
    <s v="Home"/>
    <s v="Cycling Helmet"/>
    <s v="Sports"/>
    <x v="1"/>
    <n v="814.08"/>
    <s v="Misaligned"/>
    <s v="18-24 Gen Z"/>
    <s v="High Value Tier"/>
    <s v="Critical Risk"/>
  </r>
  <r>
    <s v="ORD6129"/>
    <s v="CUST2129"/>
    <n v="66"/>
    <s v="PROD1329"/>
    <s v="USA"/>
    <s v="5/28/2021"/>
    <s v="3/14/2022"/>
    <n v="3"/>
    <s v="active"/>
    <d v="2024-04-08T00:00:00"/>
    <s v=" $212.92 "/>
    <n v="9"/>
    <n v="30"/>
    <s v="Sports"/>
    <s v="Moisturizer"/>
    <s v="Beauty"/>
    <x v="1"/>
    <n v="1916.28"/>
    <s v="Misaligned"/>
    <s v="65+ Seniors"/>
    <s v="High Value Tier"/>
    <s v="Stable"/>
  </r>
  <r>
    <s v="ORD6130"/>
    <s v="CUST2130"/>
    <n v="40"/>
    <s v="PROD1330"/>
    <s v="Pakistan"/>
    <d v="2020-03-10T00:00:00"/>
    <s v="1/25/2024"/>
    <n v="5"/>
    <s v="cancelled"/>
    <d v="2021-11-12T00:00:00"/>
    <s v=" $119.35 "/>
    <n v="9"/>
    <n v="9"/>
    <s v="Sports"/>
    <s v="Conditioner"/>
    <s v="Beauty"/>
    <x v="1"/>
    <n v="1074.1500000000001"/>
    <s v="Misaligned"/>
    <s v="35-49 Gen X"/>
    <s v="High Value Tier"/>
    <s v="Stable"/>
  </r>
  <r>
    <s v="ORD6131"/>
    <s v="CUST2131"/>
    <n v="62"/>
    <s v="PROD1331"/>
    <s v="Canada"/>
    <d v="2021-03-09T00:00:00"/>
    <s v="5/14/2025"/>
    <n v="4"/>
    <s v="active"/>
    <s v="7/22/2025"/>
    <s v=" $36.75 "/>
    <n v="5"/>
    <n v="46"/>
    <s v="Sports"/>
    <s v="Smartphone"/>
    <s v="Electronics"/>
    <x v="1"/>
    <n v="183.75"/>
    <s v="Misaligned"/>
    <s v="50-64 Boomers"/>
    <s v="High Value Tier"/>
    <s v="Critical Risk"/>
  </r>
  <r>
    <s v="ORD6132"/>
    <s v="CUST2132"/>
    <n v="61"/>
    <s v="PROD1332"/>
    <s v="India"/>
    <s v="8/21/2022"/>
    <d v="2023-01-05T00:00:00"/>
    <n v="3"/>
    <s v="cancelled"/>
    <d v="2022-06-10T00:00:00"/>
    <s v=" $113.88 "/>
    <n v="6"/>
    <n v="45"/>
    <s v="Sports"/>
    <s v="Basketball"/>
    <s v="Sports"/>
    <x v="1"/>
    <n v="683.28"/>
    <s v="Aligned"/>
    <s v="50-64 Boomers"/>
    <s v="High Value Tier"/>
    <s v="Stable"/>
  </r>
  <r>
    <s v="ORD6133"/>
    <s v="CUST2133"/>
    <n v="64"/>
    <s v="PROD1333"/>
    <s v="USA"/>
    <d v="2022-09-12T00:00:00"/>
    <s v="5/24/2024"/>
    <n v="4"/>
    <s v="active"/>
    <d v="2024-05-04T00:00:00"/>
    <s v=" $168.95 "/>
    <n v="9"/>
    <n v="5"/>
    <s v="Electronics"/>
    <s v="Dumbbells"/>
    <s v="Sports"/>
    <x v="1"/>
    <n v="1520.55"/>
    <s v="Misaligned"/>
    <s v="50-64 Boomers"/>
    <s v="High Value Tier"/>
    <s v="Critical Risk"/>
  </r>
  <r>
    <s v="ORD6134"/>
    <s v="CUST2134"/>
    <n v="40"/>
    <s v="PROD1334"/>
    <s v="UK"/>
    <s v="9/13/2021"/>
    <s v="11/17/2023"/>
    <n v="4"/>
    <s v="paused"/>
    <s v="1/22/2024"/>
    <s v=" $9.90 "/>
    <n v="6"/>
    <n v="36"/>
    <s v="Clothing"/>
    <s v="Hoodie"/>
    <s v="Clothing"/>
    <x v="0"/>
    <n v="59.4"/>
    <s v="Aligned"/>
    <s v="35-49 Gen X"/>
    <s v="Core Tier"/>
    <s v="Elevated Risk"/>
  </r>
  <r>
    <s v="ORD6135"/>
    <s v="CUST2135"/>
    <n v="40"/>
    <s v="PROD1335"/>
    <s v="India"/>
    <s v="8/15/2023"/>
    <d v="2024-12-08T00:00:00"/>
    <n v="0"/>
    <s v="active"/>
    <s v="4/20/2025"/>
    <s v=" $200.24 "/>
    <n v="9"/>
    <n v="29"/>
    <s v="Electronics"/>
    <s v="Dining Table"/>
    <s v="Home"/>
    <x v="0"/>
    <n v="1802.16"/>
    <s v="Misaligned"/>
    <s v="35-49 Gen X"/>
    <s v="High Value Tier"/>
    <s v="Stable"/>
  </r>
  <r>
    <s v="ORD6136"/>
    <s v="CUST2136"/>
    <n v="21"/>
    <s v="PROD1336"/>
    <s v="Germany"/>
    <d v="2022-11-10T00:00:00"/>
    <s v="6/18/2024"/>
    <n v="3"/>
    <s v="active"/>
    <s v="5/28/2024"/>
    <s v=" $45.59 "/>
    <n v="8"/>
    <n v="45"/>
    <s v="Beauty"/>
    <s v="Lipstick"/>
    <s v="Beauty"/>
    <x v="0"/>
    <n v="364.72"/>
    <s v="Aligned"/>
    <s v="18-24 Gen Z"/>
    <s v="High Value Tier"/>
    <s v="Stable"/>
  </r>
  <r>
    <s v="ORD6137"/>
    <s v="CUST2137"/>
    <n v="19"/>
    <s v="PROD1337"/>
    <s v="USA"/>
    <d v="2022-01-09T00:00:00"/>
    <d v="2023-05-03T00:00:00"/>
    <n v="3"/>
    <s v="active"/>
    <s v="5/23/2025"/>
    <s v=" $42.19 "/>
    <n v="4"/>
    <n v="46"/>
    <s v="Beauty"/>
    <s v="Sneakers"/>
    <s v="Clothing"/>
    <x v="0"/>
    <n v="168.76"/>
    <s v="Misaligned"/>
    <s v="18-24 Gen Z"/>
    <s v="High Value Tier"/>
    <s v="Stable"/>
  </r>
  <r>
    <s v="ORD6138"/>
    <s v="CUST2138"/>
    <n v="52"/>
    <s v="PROD1338"/>
    <s v="Pakistan"/>
    <s v="6/14/2021"/>
    <d v="2023-10-01T00:00:00"/>
    <n v="2"/>
    <s v="paused"/>
    <s v="8/30/2023"/>
    <s v=" $198.73 "/>
    <n v="6"/>
    <n v="24"/>
    <s v="Clothing"/>
    <s v="Foundation"/>
    <s v="Beauty"/>
    <x v="1"/>
    <n v="1192.3800000000001"/>
    <s v="Misaligned"/>
    <s v="50-64 Boomers"/>
    <s v="High Value Tier"/>
    <s v="Elevated Risk"/>
  </r>
  <r>
    <s v="ORD6139"/>
    <s v="CUST2139"/>
    <n v="53"/>
    <s v="PROD1339"/>
    <s v="Germany"/>
    <d v="2023-06-03T00:00:00"/>
    <d v="2025-06-04T00:00:00"/>
    <n v="4"/>
    <s v="active"/>
    <s v="2/23/2025"/>
    <s v=" $339.60 "/>
    <n v="1"/>
    <n v="42"/>
    <s v="Home"/>
    <s v="T-Shirt"/>
    <s v="Clothing"/>
    <x v="1"/>
    <n v="339.6"/>
    <s v="Misaligned"/>
    <s v="50-64 Boomers"/>
    <s v="High Value Tier"/>
    <s v="Critical Risk"/>
  </r>
  <r>
    <s v="ORD6140"/>
    <s v="CUST2140"/>
    <n v="61"/>
    <s v="PROD1340"/>
    <s v="Pakistan"/>
    <d v="2022-09-09T00:00:00"/>
    <s v="11/16/2022"/>
    <n v="1"/>
    <s v="active"/>
    <d v="2024-04-11T00:00:00"/>
    <s v=" $72.73 "/>
    <n v="8"/>
    <n v="39"/>
    <s v="Clothing"/>
    <s v="Sneakers"/>
    <s v="Clothing"/>
    <x v="0"/>
    <n v="581.84"/>
    <s v="Aligned"/>
    <s v="50-64 Boomers"/>
    <s v="High Value Tier"/>
    <s v="Stable"/>
  </r>
  <r>
    <s v="ORD6141"/>
    <s v="CUST2141"/>
    <n v="32"/>
    <s v="PROD1341"/>
    <s v="UK"/>
    <d v="2021-04-02T00:00:00"/>
    <d v="2022-09-09T00:00:00"/>
    <n v="5"/>
    <s v="cancelled"/>
    <d v="2021-12-08T00:00:00"/>
    <s v=" $215.41 "/>
    <n v="4"/>
    <n v="45"/>
    <s v="Sports"/>
    <s v="Microwave"/>
    <s v="Home"/>
    <x v="0"/>
    <n v="861.64"/>
    <s v="Misaligned"/>
    <s v="25-34 Millennials"/>
    <s v="High Value Tier"/>
    <s v="Stable"/>
  </r>
  <r>
    <s v="ORD6142"/>
    <s v="CUST2142"/>
    <n v="53"/>
    <s v="PROD1342"/>
    <s v="India"/>
    <d v="2022-03-08T00:00:00"/>
    <s v="12/22/2022"/>
    <n v="5"/>
    <s v="cancelled"/>
    <s v="7/25/2023"/>
    <s v=" $91.74 "/>
    <n v="8"/>
    <n v="47"/>
    <s v="Sports"/>
    <s v="Smartwatch"/>
    <s v="Electronics"/>
    <x v="0"/>
    <n v="733.92"/>
    <s v="Misaligned"/>
    <s v="50-64 Boomers"/>
    <s v="High Value Tier"/>
    <s v="Stable"/>
  </r>
  <r>
    <s v="ORD6143"/>
    <s v="CUST2143"/>
    <n v="24"/>
    <s v="PROD1343"/>
    <s v="Canada"/>
    <d v="2023-05-08T00:00:00"/>
    <d v="2023-11-12T00:00:00"/>
    <n v="1"/>
    <s v="active"/>
    <d v="2025-06-01T00:00:00"/>
    <s v=" $57.28 "/>
    <n v="9"/>
    <n v="49"/>
    <s v="Electronics"/>
    <s v="Bluetooth Speaker"/>
    <s v="Electronics"/>
    <x v="2"/>
    <n v="515.52"/>
    <s v="Aligned"/>
    <s v="18-24 Gen Z"/>
    <s v="High Value Tier"/>
    <s v="Stable"/>
  </r>
  <r>
    <s v="ORD6144"/>
    <s v="CUST2144"/>
    <n v="47"/>
    <s v="PROD1344"/>
    <s v="USA"/>
    <d v="2023-03-07T00:00:00"/>
    <s v="5/24/2025"/>
    <n v="4"/>
    <s v="active"/>
    <s v="1/30/2024"/>
    <s v=" $155.31 "/>
    <n v="5"/>
    <n v="29"/>
    <s v="Beauty"/>
    <s v="Tablet"/>
    <s v="Electronics"/>
    <x v="0"/>
    <n v="776.55"/>
    <s v="Misaligned"/>
    <s v="35-49 Gen X"/>
    <s v="High Value Tier"/>
    <s v="Critical Risk"/>
  </r>
  <r>
    <s v="ORD6145"/>
    <s v="CUST2145"/>
    <n v="62"/>
    <s v="PROD1345"/>
    <s v="UK"/>
    <s v="10/18/2020"/>
    <s v="4/29/2021"/>
    <n v="3"/>
    <s v="active"/>
    <s v="9/27/2021"/>
    <s v=" $776.04 "/>
    <n v="1"/>
    <n v="18"/>
    <s v="Electronics"/>
    <s v="Dress"/>
    <s v="Clothing"/>
    <x v="0"/>
    <n v="776.04"/>
    <s v="Misaligned"/>
    <s v="50-64 Boomers"/>
    <s v="High Value Tier"/>
    <s v="Stable"/>
  </r>
  <r>
    <s v="ORD6146"/>
    <s v="CUST2146"/>
    <n v="49"/>
    <s v="PROD1346"/>
    <s v="India"/>
    <d v="2021-12-03T00:00:00"/>
    <d v="2024-11-10T00:00:00"/>
    <n v="0"/>
    <s v="cancelled"/>
    <d v="2022-10-06T00:00:00"/>
    <s v=" $269.90 "/>
    <n v="3"/>
    <n v="37"/>
    <s v="Sports"/>
    <s v="Blender"/>
    <s v="Home"/>
    <x v="0"/>
    <n v="809.7"/>
    <s v="Misaligned"/>
    <s v="35-49 Gen X"/>
    <s v="High Value Tier"/>
    <s v="Stable"/>
  </r>
  <r>
    <s v="ORD6147"/>
    <s v="CUST2147"/>
    <n v="60"/>
    <s v="PROD1347"/>
    <s v="Germany"/>
    <s v="6/19/2022"/>
    <s v="7/15/2025"/>
    <n v="5"/>
    <s v="cancelled"/>
    <s v="5/18/2023"/>
    <s v=" $224.54 "/>
    <n v="2"/>
    <n v="14"/>
    <s v="Sports"/>
    <s v="Moisturizer"/>
    <s v="Beauty"/>
    <x v="0"/>
    <n v="449.08"/>
    <s v="Misaligned"/>
    <s v="50-64 Boomers"/>
    <s v="High Value Tier"/>
    <s v="Stable"/>
  </r>
  <r>
    <s v="ORD6148"/>
    <s v="CUST2148"/>
    <n v="48"/>
    <s v="PROD1348"/>
    <s v="Pakistan"/>
    <d v="2021-11-04T00:00:00"/>
    <d v="2022-07-02T00:00:00"/>
    <n v="4"/>
    <s v="cancelled"/>
    <d v="2025-06-01T00:00:00"/>
    <s v=" $211.38 "/>
    <n v="5"/>
    <n v="16"/>
    <s v="Clothing"/>
    <s v="Tennis Racket"/>
    <s v="Sports"/>
    <x v="0"/>
    <n v="1056.9000000000001"/>
    <s v="Misaligned"/>
    <s v="35-49 Gen X"/>
    <s v="High Value Tier"/>
    <s v="Stable"/>
  </r>
  <r>
    <s v="ORD6149"/>
    <s v="CUST2149"/>
    <n v="36"/>
    <s v="PROD1349"/>
    <s v="UK"/>
    <d v="2022-10-10T00:00:00"/>
    <s v="4/22/2025"/>
    <n v="3"/>
    <s v="active"/>
    <s v="1/15/2025"/>
    <s v=" $64.80 "/>
    <n v="9"/>
    <n v="16"/>
    <s v="Beauty"/>
    <s v="Lamp"/>
    <s v="Home"/>
    <x v="0"/>
    <n v="583.20000000000005"/>
    <s v="Misaligned"/>
    <s v="35-49 Gen X"/>
    <s v="High Value Tier"/>
    <s v="Stable"/>
  </r>
  <r>
    <s v="ORD6150"/>
    <s v="CUST2150"/>
    <n v="30"/>
    <s v="PROD1350"/>
    <s v="UK"/>
    <d v="2023-03-03T00:00:00"/>
    <s v="3/21/2024"/>
    <n v="5"/>
    <s v="active"/>
    <d v="2024-04-04T00:00:00"/>
    <s v=" $189.04 "/>
    <n v="7"/>
    <n v="46"/>
    <s v="Sports"/>
    <s v="Hoodie"/>
    <s v="Clothing"/>
    <x v="0"/>
    <n v="1323.28"/>
    <s v="Misaligned"/>
    <s v="25-34 Millennials"/>
    <s v="High Value Tier"/>
    <s v="Critical Risk"/>
  </r>
  <r>
    <s v="ORD6151"/>
    <s v="CUST2151"/>
    <n v="57"/>
    <s v="PROD1351"/>
    <s v="Germany"/>
    <s v="12/24/2021"/>
    <s v="12/16/2024"/>
    <n v="4"/>
    <s v="active"/>
    <d v="2022-01-04T00:00:00"/>
    <s v=" $309.54 "/>
    <n v="5"/>
    <n v="17"/>
    <s v="Clothing"/>
    <s v="Smartwatch"/>
    <s v="Electronics"/>
    <x v="1"/>
    <n v="1547.7"/>
    <s v="Misaligned"/>
    <s v="50-64 Boomers"/>
    <s v="High Value Tier"/>
    <s v="Critical Risk"/>
  </r>
  <r>
    <s v="ORD6152"/>
    <s v="CUST2152"/>
    <n v="21"/>
    <s v="PROD1352"/>
    <s v="Pakistan"/>
    <s v="12/20/2020"/>
    <s v="7/24/2025"/>
    <n v="3"/>
    <s v="active"/>
    <s v="2/23/2022"/>
    <s v=" $221.26 "/>
    <n v="9"/>
    <n v="2"/>
    <s v="Electronics"/>
    <s v="Running Shoes"/>
    <s v="Sports"/>
    <x v="1"/>
    <n v="1991.34"/>
    <s v="Misaligned"/>
    <s v="18-24 Gen Z"/>
    <s v="High Value Tier"/>
    <s v="Stable"/>
  </r>
  <r>
    <s v="ORD6153"/>
    <s v="CUST2153"/>
    <n v="20"/>
    <s v="PROD1353"/>
    <s v="USA"/>
    <s v="1/31/2023"/>
    <d v="2025-08-02T00:00:00"/>
    <n v="0"/>
    <s v="paused"/>
    <s v="1/19/2025"/>
    <s v=" $235.28 "/>
    <n v="8"/>
    <n v="27"/>
    <s v="Sports"/>
    <s v="Conditioner"/>
    <s v="Beauty"/>
    <x v="1"/>
    <n v="1882.24"/>
    <s v="Misaligned"/>
    <s v="18-24 Gen Z"/>
    <s v="High Value Tier"/>
    <s v="Elevated Risk"/>
  </r>
  <r>
    <s v="ORD6154"/>
    <s v="CUST2154"/>
    <n v="48"/>
    <s v="PROD1354"/>
    <s v="Pakistan"/>
    <s v="5/31/2023"/>
    <d v="2025-12-03T00:00:00"/>
    <n v="4"/>
    <s v="active"/>
    <s v="8/21/2023"/>
    <s v=" $1,010.74 "/>
    <n v="1"/>
    <n v="39"/>
    <s v="Beauty"/>
    <s v="Sneakers"/>
    <s v="Clothing"/>
    <x v="0"/>
    <n v="1010.74"/>
    <s v="Misaligned"/>
    <s v="35-49 Gen X"/>
    <s v="High Value Tier"/>
    <s v="Critical Risk"/>
  </r>
  <r>
    <s v="ORD6155"/>
    <s v="CUST2155"/>
    <n v="61"/>
    <s v="PROD1355"/>
    <s v="Germany"/>
    <s v="5/18/2023"/>
    <s v="6/23/2023"/>
    <n v="2"/>
    <s v="active"/>
    <s v="10/22/2024"/>
    <s v=" $38.46 "/>
    <n v="1"/>
    <n v="32"/>
    <s v="Sports"/>
    <s v="Yoga Mat"/>
    <s v="Sports"/>
    <x v="2"/>
    <n v="38.46"/>
    <s v="Aligned"/>
    <s v="50-64 Boomers"/>
    <s v="Core Tier"/>
    <s v="Stable"/>
  </r>
  <r>
    <s v="ORD6156"/>
    <s v="CUST2156"/>
    <n v="53"/>
    <s v="PROD1356"/>
    <s v="UK"/>
    <s v="11/14/2022"/>
    <s v="10/26/2024"/>
    <n v="5"/>
    <s v="paused"/>
    <s v="8/22/2024"/>
    <s v=" $38.54 "/>
    <n v="6"/>
    <n v="6"/>
    <s v="Sports"/>
    <s v="Dress"/>
    <s v="Clothing"/>
    <x v="1"/>
    <n v="231.24"/>
    <s v="Misaligned"/>
    <s v="50-64 Boomers"/>
    <s v="Core Tier"/>
    <s v="Elevated Risk"/>
  </r>
  <r>
    <s v="ORD6157"/>
    <s v="CUST2157"/>
    <n v="49"/>
    <s v="PROD1357"/>
    <s v="USA"/>
    <s v="1/24/2021"/>
    <s v="10/25/2023"/>
    <n v="0"/>
    <s v="paused"/>
    <s v="12/25/2021"/>
    <s v=" $373.10 "/>
    <n v="4"/>
    <n v="45"/>
    <s v="Beauty"/>
    <s v="Laptop"/>
    <s v="Electronics"/>
    <x v="0"/>
    <n v="1492.4"/>
    <s v="Misaligned"/>
    <s v="35-49 Gen X"/>
    <s v="High Value Tier"/>
    <s v="Elevated Risk"/>
  </r>
  <r>
    <s v="ORD6158"/>
    <s v="CUST2158"/>
    <n v="39"/>
    <s v="PROD1358"/>
    <s v="USA"/>
    <d v="2023-12-08T00:00:00"/>
    <s v="6/29/2025"/>
    <n v="3"/>
    <s v="active"/>
    <s v="7/27/2024"/>
    <s v=" $150.26 "/>
    <n v="7"/>
    <n v="18"/>
    <s v="Sports"/>
    <s v="Tablet"/>
    <s v="Electronics"/>
    <x v="1"/>
    <n v="1051.82"/>
    <s v="Misaligned"/>
    <s v="35-49 Gen X"/>
    <s v="High Value Tier"/>
    <s v="Stable"/>
  </r>
  <r>
    <s v="ORD6159"/>
    <s v="CUST2159"/>
    <n v="37"/>
    <s v="PROD1359"/>
    <s v="Pakistan"/>
    <d v="2023-08-08T00:00:00"/>
    <s v="7/26/2025"/>
    <n v="3"/>
    <s v="active"/>
    <d v="2025-09-03T00:00:00"/>
    <s v=" $183.51 "/>
    <n v="8"/>
    <n v="25"/>
    <s v="Electronics"/>
    <s v="Nail Polish"/>
    <s v="Beauty"/>
    <x v="1"/>
    <n v="1468.08"/>
    <s v="Misaligned"/>
    <s v="35-49 Gen X"/>
    <s v="High Value Tier"/>
    <s v="Stable"/>
  </r>
  <r>
    <s v="ORD6160"/>
    <s v="CUST2160"/>
    <n v="42"/>
    <s v="PROD1360"/>
    <s v="UK"/>
    <s v="3/17/2021"/>
    <s v="11/24/2023"/>
    <n v="3"/>
    <s v="active"/>
    <d v="2024-04-11T00:00:00"/>
    <s v=" $348.89 "/>
    <n v="3"/>
    <n v="49"/>
    <s v="Electronics"/>
    <s v="Jeans"/>
    <s v="Clothing"/>
    <x v="0"/>
    <n v="1046.67"/>
    <s v="Misaligned"/>
    <s v="35-49 Gen X"/>
    <s v="High Value Tier"/>
    <s v="Stable"/>
  </r>
  <r>
    <s v="ORD6161"/>
    <s v="CUST2161"/>
    <n v="27"/>
    <s v="PROD1361"/>
    <s v="UK"/>
    <s v="2/27/2022"/>
    <d v="2022-03-06T00:00:00"/>
    <n v="4"/>
    <s v="paused"/>
    <d v="2024-10-04T00:00:00"/>
    <s v=" $113.81 "/>
    <n v="9"/>
    <n v="5"/>
    <s v="Clothing"/>
    <s v="Football"/>
    <s v="Sports"/>
    <x v="0"/>
    <n v="1024.29"/>
    <s v="Misaligned"/>
    <s v="25-34 Millennials"/>
    <s v="High Value Tier"/>
    <s v="Elevated Risk"/>
  </r>
  <r>
    <s v="ORD6162"/>
    <s v="CUST2162"/>
    <n v="25"/>
    <s v="PROD1362"/>
    <s v="Germany"/>
    <s v="2/19/2021"/>
    <s v="4/15/2021"/>
    <n v="1"/>
    <s v="active"/>
    <s v="7/23/2021"/>
    <s v=" $25.64 "/>
    <n v="6"/>
    <n v="32"/>
    <s v="Electronics"/>
    <s v="Sneakers"/>
    <s v="Clothing"/>
    <x v="1"/>
    <n v="153.84"/>
    <s v="Misaligned"/>
    <s v="25-34 Millennials"/>
    <s v="High Value Tier"/>
    <s v="Stable"/>
  </r>
  <r>
    <s v="ORD6163"/>
    <s v="CUST2163"/>
    <n v="20"/>
    <s v="PROD1363"/>
    <s v="USA"/>
    <d v="2021-09-05T00:00:00"/>
    <s v="8/14/2024"/>
    <n v="3"/>
    <s v="active"/>
    <s v="11/26/2023"/>
    <s v=" $66.08 "/>
    <n v="4"/>
    <n v="29"/>
    <s v="Beauty"/>
    <s v="Perfume"/>
    <s v="Beauty"/>
    <x v="1"/>
    <n v="264.32"/>
    <s v="Aligned"/>
    <s v="18-24 Gen Z"/>
    <s v="High Value Tier"/>
    <s v="Stable"/>
  </r>
  <r>
    <s v="ORD6164"/>
    <s v="CUST2164"/>
    <n v="20"/>
    <s v="PROD1364"/>
    <s v="Germany"/>
    <d v="2021-10-05T00:00:00"/>
    <s v="10/26/2023"/>
    <n v="2"/>
    <s v="paused"/>
    <s v="3/30/2025"/>
    <s v=" $177.60 "/>
    <n v="6"/>
    <n v="7"/>
    <s v="Electronics"/>
    <s v="Blender"/>
    <s v="Home"/>
    <x v="1"/>
    <n v="1065.5999999999999"/>
    <s v="Misaligned"/>
    <s v="18-24 Gen Z"/>
    <s v="High Value Tier"/>
    <s v="Elevated Risk"/>
  </r>
  <r>
    <s v="ORD6165"/>
    <s v="CUST2165"/>
    <n v="55"/>
    <s v="PROD1365"/>
    <s v="UK"/>
    <d v="2020-02-09T00:00:00"/>
    <s v="4/21/2022"/>
    <n v="5"/>
    <s v="active"/>
    <s v="11/28/2024"/>
    <s v=" $408.87 "/>
    <n v="4"/>
    <n v="31"/>
    <s v="Home"/>
    <s v="Moisturizer"/>
    <s v="Beauty"/>
    <x v="1"/>
    <n v="1635.48"/>
    <s v="Misaligned"/>
    <s v="50-64 Boomers"/>
    <s v="High Value Tier"/>
    <s v="Critical Risk"/>
  </r>
  <r>
    <s v="ORD6166"/>
    <s v="CUST2166"/>
    <n v="20"/>
    <s v="PROD1366"/>
    <s v="Canada"/>
    <d v="2021-06-02T00:00:00"/>
    <s v="3/25/2023"/>
    <n v="4"/>
    <s v="paused"/>
    <s v="6/29/2022"/>
    <s v=" $86.47 "/>
    <n v="8"/>
    <n v="13"/>
    <s v="Clothing"/>
    <s v="Cricket Bat"/>
    <s v="Sports"/>
    <x v="1"/>
    <n v="691.76"/>
    <s v="Misaligned"/>
    <s v="18-24 Gen Z"/>
    <s v="High Value Tier"/>
    <s v="Elevated Risk"/>
  </r>
  <r>
    <s v="ORD6167"/>
    <s v="CUST2167"/>
    <n v="60"/>
    <s v="PROD1367"/>
    <s v="UK"/>
    <d v="2022-09-12T00:00:00"/>
    <s v="8/18/2025"/>
    <n v="0"/>
    <s v="active"/>
    <d v="2024-02-04T00:00:00"/>
    <s v=" $615.92 "/>
    <n v="2"/>
    <n v="27"/>
    <s v="Home"/>
    <s v="Yoga Mat"/>
    <s v="Sports"/>
    <x v="0"/>
    <n v="1231.8399999999999"/>
    <s v="Misaligned"/>
    <s v="50-64 Boomers"/>
    <s v="High Value Tier"/>
    <s v="Stable"/>
  </r>
  <r>
    <s v="ORD6168"/>
    <s v="CUST2168"/>
    <n v="46"/>
    <s v="PROD1368"/>
    <s v="UK"/>
    <d v="2020-02-09T00:00:00"/>
    <d v="2022-12-01T00:00:00"/>
    <n v="3"/>
    <s v="active"/>
    <s v="10/24/2022"/>
    <s v=" $662.46 "/>
    <n v="2"/>
    <n v="8"/>
    <s v="Electronics"/>
    <s v="Conditioner"/>
    <s v="Beauty"/>
    <x v="0"/>
    <n v="1324.92"/>
    <s v="Misaligned"/>
    <s v="35-49 Gen X"/>
    <s v="High Value Tier"/>
    <s v="Stable"/>
  </r>
  <r>
    <s v="ORD6169"/>
    <s v="CUST2169"/>
    <n v="63"/>
    <s v="PROD1369"/>
    <s v="Canada"/>
    <s v="11/19/2020"/>
    <d v="2023-12-05T00:00:00"/>
    <n v="3"/>
    <s v="active"/>
    <s v="12/15/2023"/>
    <s v=" $490.33 "/>
    <n v="3"/>
    <n v="15"/>
    <s v="Beauty"/>
    <s v="Blender"/>
    <s v="Home"/>
    <x v="0"/>
    <n v="1470.99"/>
    <s v="Misaligned"/>
    <s v="50-64 Boomers"/>
    <s v="High Value Tier"/>
    <s v="Stable"/>
  </r>
  <r>
    <s v="ORD6170"/>
    <s v="CUST2170"/>
    <n v="67"/>
    <s v="PROD1370"/>
    <s v="UK"/>
    <s v="12/26/2022"/>
    <d v="2024-08-05T00:00:00"/>
    <n v="3"/>
    <s v="paused"/>
    <d v="2025-03-02T00:00:00"/>
    <s v=" $379.99 "/>
    <n v="5"/>
    <n v="4"/>
    <s v="Electronics"/>
    <s v="Blender"/>
    <s v="Home"/>
    <x v="0"/>
    <n v="1899.95"/>
    <s v="Misaligned"/>
    <s v="65+ Seniors"/>
    <s v="High Value Tier"/>
    <s v="Elevated Risk"/>
  </r>
  <r>
    <s v="ORD6171"/>
    <s v="CUST2171"/>
    <n v="60"/>
    <s v="PROD1371"/>
    <s v="USA"/>
    <s v="1/23/2023"/>
    <d v="2025-11-02T00:00:00"/>
    <n v="3"/>
    <s v="cancelled"/>
    <s v="3/26/2023"/>
    <s v=" $260.34 "/>
    <n v="6"/>
    <n v="45"/>
    <s v="Home"/>
    <s v="Football"/>
    <s v="Sports"/>
    <x v="1"/>
    <n v="1562.04"/>
    <s v="Misaligned"/>
    <s v="50-64 Boomers"/>
    <s v="High Value Tier"/>
    <s v="Stable"/>
  </r>
  <r>
    <s v="ORD6172"/>
    <s v="CUST2172"/>
    <n v="64"/>
    <s v="PROD1372"/>
    <s v="UK"/>
    <d v="2020-03-10T00:00:00"/>
    <s v="9/18/2022"/>
    <n v="2"/>
    <s v="active"/>
    <s v="7/24/2024"/>
    <s v=" $223.82 "/>
    <n v="5"/>
    <n v="35"/>
    <s v="Clothing"/>
    <s v="Sofa"/>
    <s v="Home"/>
    <x v="1"/>
    <n v="1119.0999999999999"/>
    <s v="Misaligned"/>
    <s v="50-64 Boomers"/>
    <s v="High Value Tier"/>
    <s v="Stable"/>
  </r>
  <r>
    <s v="ORD6173"/>
    <s v="CUST2173"/>
    <n v="69"/>
    <s v="PROD1373"/>
    <s v="Pakistan"/>
    <d v="2020-01-09T00:00:00"/>
    <s v="2/25/2021"/>
    <n v="5"/>
    <s v="active"/>
    <s v="12/29/2020"/>
    <s v=" $268.72 "/>
    <n v="7"/>
    <n v="21"/>
    <s v="Clothing"/>
    <s v="Chair"/>
    <s v="Home"/>
    <x v="0"/>
    <n v="1881.04"/>
    <s v="Misaligned"/>
    <s v="65+ Seniors"/>
    <s v="High Value Tier"/>
    <s v="Critical Risk"/>
  </r>
  <r>
    <s v="ORD6174"/>
    <s v="CUST2174"/>
    <n v="26"/>
    <s v="PROD1374"/>
    <s v="Pakistan"/>
    <s v="10/20/2022"/>
    <s v="11/28/2023"/>
    <n v="5"/>
    <s v="active"/>
    <d v="2023-08-01T00:00:00"/>
    <s v=" $142.76 "/>
    <n v="8"/>
    <n v="31"/>
    <s v="Clothing"/>
    <s v="Running Shoes"/>
    <s v="Sports"/>
    <x v="1"/>
    <n v="1142.08"/>
    <s v="Misaligned"/>
    <s v="25-34 Millennials"/>
    <s v="High Value Tier"/>
    <s v="Critical Risk"/>
  </r>
  <r>
    <s v="ORD6175"/>
    <s v="CUST2175"/>
    <n v="19"/>
    <s v="PROD1375"/>
    <s v="USA"/>
    <s v="9/14/2021"/>
    <d v="2022-01-08T00:00:00"/>
    <n v="0"/>
    <s v="active"/>
    <d v="2025-05-03T00:00:00"/>
    <s v=" $118.26 "/>
    <n v="9"/>
    <n v="35"/>
    <s v="Home"/>
    <s v="Shampoo"/>
    <s v="Beauty"/>
    <x v="1"/>
    <n v="1064.3399999999999"/>
    <s v="Misaligned"/>
    <s v="18-24 Gen Z"/>
    <s v="High Value Tier"/>
    <s v="Stable"/>
  </r>
  <r>
    <s v="ORD6176"/>
    <s v="CUST2176"/>
    <n v="54"/>
    <s v="PROD1376"/>
    <s v="India"/>
    <d v="2022-11-09T00:00:00"/>
    <d v="2023-02-01T00:00:00"/>
    <n v="1"/>
    <s v="cancelled"/>
    <s v="8/17/2024"/>
    <s v=" $166.92 "/>
    <n v="8"/>
    <n v="40"/>
    <s v="Sports"/>
    <s v="Jeans"/>
    <s v="Clothing"/>
    <x v="1"/>
    <n v="1335.36"/>
    <s v="Misaligned"/>
    <s v="50-64 Boomers"/>
    <s v="High Value Tier"/>
    <s v="Stable"/>
  </r>
  <r>
    <s v="ORD6177"/>
    <s v="CUST2177"/>
    <n v="61"/>
    <s v="PROD1377"/>
    <s v="USA"/>
    <s v="10/28/2022"/>
    <d v="2025-12-03T00:00:00"/>
    <n v="5"/>
    <s v="active"/>
    <s v="4/26/2024"/>
    <s v=" $1,356.12 "/>
    <n v="1"/>
    <n v="49"/>
    <s v="Clothing"/>
    <s v="Jacket"/>
    <s v="Clothing"/>
    <x v="1"/>
    <n v="1356.12"/>
    <s v="Aligned"/>
    <s v="50-64 Boomers"/>
    <s v="High Value Tier"/>
    <s v="Critical Risk"/>
  </r>
  <r>
    <s v="ORD6178"/>
    <s v="CUST2178"/>
    <n v="67"/>
    <s v="PROD1378"/>
    <s v="India"/>
    <s v="5/18/2022"/>
    <s v="8/19/2025"/>
    <n v="1"/>
    <s v="cancelled"/>
    <d v="2023-11-11T00:00:00"/>
    <s v=" $328.73 "/>
    <n v="6"/>
    <n v="46"/>
    <s v="Clothing"/>
    <s v="Skirt"/>
    <s v="Clothing"/>
    <x v="1"/>
    <n v="1972.38"/>
    <s v="Aligned"/>
    <s v="65+ Seniors"/>
    <s v="High Value Tier"/>
    <s v="Stable"/>
  </r>
  <r>
    <s v="ORD6179"/>
    <s v="CUST2179"/>
    <n v="46"/>
    <s v="PROD1379"/>
    <s v="Canada"/>
    <s v="9/19/2022"/>
    <s v="7/21/2023"/>
    <n v="1"/>
    <s v="active"/>
    <s v="9/20/2024"/>
    <s v=" $38.73 "/>
    <n v="9"/>
    <n v="16"/>
    <s v="Beauty"/>
    <s v="Foundation"/>
    <s v="Beauty"/>
    <x v="1"/>
    <n v="348.57"/>
    <s v="Aligned"/>
    <s v="35-49 Gen X"/>
    <s v="High Value Tier"/>
    <s v="Stable"/>
  </r>
  <r>
    <s v="ORD6180"/>
    <s v="CUST2180"/>
    <n v="68"/>
    <s v="PROD1380"/>
    <s v="Germany"/>
    <s v="11/15/2020"/>
    <s v="8/17/2021"/>
    <n v="3"/>
    <s v="paused"/>
    <s v="10/23/2024"/>
    <s v=" $201.67 "/>
    <n v="8"/>
    <n v="17"/>
    <s v="Electronics"/>
    <s v="T-Shirt"/>
    <s v="Clothing"/>
    <x v="1"/>
    <n v="1613.36"/>
    <s v="Misaligned"/>
    <s v="65+ Seniors"/>
    <s v="High Value Tier"/>
    <s v="Elevated Risk"/>
  </r>
  <r>
    <s v="ORD6181"/>
    <s v="CUST2181"/>
    <n v="30"/>
    <s v="PROD1381"/>
    <s v="Pakistan"/>
    <s v="9/29/2021"/>
    <s v="11/27/2023"/>
    <n v="3"/>
    <s v="cancelled"/>
    <d v="2023-05-01T00:00:00"/>
    <s v=" $8.30 "/>
    <n v="4"/>
    <n v="6"/>
    <s v="Sports"/>
    <s v="Football"/>
    <s v="Sports"/>
    <x v="1"/>
    <n v="33.200000000000003"/>
    <s v="Aligned"/>
    <s v="25-34 Millennials"/>
    <s v="Value Tier"/>
    <s v="Stable"/>
  </r>
  <r>
    <s v="ORD6182"/>
    <s v="CUST2182"/>
    <n v="28"/>
    <s v="PROD1382"/>
    <s v="Germany"/>
    <s v="2/23/2022"/>
    <s v="3/17/2024"/>
    <n v="3"/>
    <s v="active"/>
    <s v="12/25/2022"/>
    <s v=" $130.65 "/>
    <n v="9"/>
    <n v="33"/>
    <s v="Electronics"/>
    <s v="Football"/>
    <s v="Sports"/>
    <x v="0"/>
    <n v="1175.8499999999999"/>
    <s v="Misaligned"/>
    <s v="25-34 Millennials"/>
    <s v="High Value Tier"/>
    <s v="Stable"/>
  </r>
  <r>
    <s v="ORD6183"/>
    <s v="CUST2183"/>
    <n v="59"/>
    <s v="PROD1383"/>
    <s v="UK"/>
    <s v="7/14/2022"/>
    <s v="10/22/2023"/>
    <n v="2"/>
    <s v="active"/>
    <d v="2022-03-10T00:00:00"/>
    <s v=" $299.80 "/>
    <n v="3"/>
    <n v="18"/>
    <s v="Clothing"/>
    <s v="Tennis Racket"/>
    <s v="Sports"/>
    <x v="1"/>
    <n v="899.4"/>
    <s v="Misaligned"/>
    <s v="50-64 Boomers"/>
    <s v="High Value Tier"/>
    <s v="Stable"/>
  </r>
  <r>
    <s v="ORD6184"/>
    <s v="CUST2184"/>
    <n v="45"/>
    <s v="PROD1384"/>
    <s v="Pakistan"/>
    <s v="5/30/2022"/>
    <d v="2022-04-11T00:00:00"/>
    <n v="0"/>
    <s v="cancelled"/>
    <d v="2024-01-04T00:00:00"/>
    <s v=" $321.99 "/>
    <n v="2"/>
    <n v="26"/>
    <s v="Home"/>
    <s v="Smartwatch"/>
    <s v="Electronics"/>
    <x v="1"/>
    <n v="643.98"/>
    <s v="Misaligned"/>
    <s v="35-49 Gen X"/>
    <s v="High Value Tier"/>
    <s v="Stable"/>
  </r>
  <r>
    <s v="ORD6185"/>
    <s v="CUST2185"/>
    <n v="60"/>
    <s v="PROD1385"/>
    <s v="Canada"/>
    <s v="8/29/2022"/>
    <d v="2023-01-02T00:00:00"/>
    <n v="3"/>
    <s v="paused"/>
    <s v="6/29/2024"/>
    <s v=" $409.80 "/>
    <n v="2"/>
    <n v="4"/>
    <s v="Clothing"/>
    <s v="Dumbbells"/>
    <s v="Sports"/>
    <x v="0"/>
    <n v="819.6"/>
    <s v="Misaligned"/>
    <s v="50-64 Boomers"/>
    <s v="High Value Tier"/>
    <s v="Elevated Risk"/>
  </r>
  <r>
    <s v="ORD6186"/>
    <s v="CUST2186"/>
    <n v="67"/>
    <s v="PROD1386"/>
    <s v="Pakistan"/>
    <d v="2022-04-10T00:00:00"/>
    <d v="2023-07-07T00:00:00"/>
    <n v="2"/>
    <s v="paused"/>
    <s v="1/21/2023"/>
    <s v=" $119.69 "/>
    <n v="9"/>
    <n v="30"/>
    <s v="Sports"/>
    <s v="Dress"/>
    <s v="Clothing"/>
    <x v="1"/>
    <n v="1077.21"/>
    <s v="Misaligned"/>
    <s v="65+ Seniors"/>
    <s v="High Value Tier"/>
    <s v="Elevated Risk"/>
  </r>
  <r>
    <s v="ORD6187"/>
    <s v="CUST2187"/>
    <n v="35"/>
    <s v="PROD1387"/>
    <s v="Pakistan"/>
    <d v="2022-05-07T00:00:00"/>
    <s v="11/29/2023"/>
    <n v="2"/>
    <s v="cancelled"/>
    <s v="9/14/2024"/>
    <s v=" $632.36 "/>
    <n v="2"/>
    <n v="39"/>
    <s v="Electronics"/>
    <s v="Perfume"/>
    <s v="Beauty"/>
    <x v="1"/>
    <n v="1264.72"/>
    <s v="Misaligned"/>
    <s v="35-49 Gen X"/>
    <s v="High Value Tier"/>
    <s v="Stable"/>
  </r>
  <r>
    <s v="ORD6188"/>
    <s v="CUST2188"/>
    <n v="62"/>
    <s v="PROD1388"/>
    <s v="Germany"/>
    <s v="6/21/2021"/>
    <s v="9/18/2023"/>
    <n v="0"/>
    <s v="cancelled"/>
    <d v="2024-04-09T00:00:00"/>
    <s v=" $332.94 "/>
    <n v="2"/>
    <n v="15"/>
    <s v="Clothing"/>
    <s v="Moisturizer"/>
    <s v="Beauty"/>
    <x v="1"/>
    <n v="665.88"/>
    <s v="Misaligned"/>
    <s v="50-64 Boomers"/>
    <s v="High Value Tier"/>
    <s v="Stable"/>
  </r>
  <r>
    <s v="ORD6189"/>
    <s v="CUST2189"/>
    <n v="22"/>
    <s v="PROD1389"/>
    <s v="Canada"/>
    <s v="5/30/2022"/>
    <d v="2024-03-11T00:00:00"/>
    <n v="3"/>
    <s v="active"/>
    <s v="10/25/2023"/>
    <s v=" $378.98 "/>
    <n v="5"/>
    <n v="9"/>
    <s v="Beauty"/>
    <s v="Microwave"/>
    <s v="Home"/>
    <x v="1"/>
    <n v="1894.9"/>
    <s v="Misaligned"/>
    <s v="18-24 Gen Z"/>
    <s v="High Value Tier"/>
    <s v="Stable"/>
  </r>
  <r>
    <s v="ORD6190"/>
    <s v="CUST2190"/>
    <n v="31"/>
    <s v="PROD1390"/>
    <s v="Pakistan"/>
    <d v="2022-04-05T00:00:00"/>
    <d v="2023-06-02T00:00:00"/>
    <n v="3"/>
    <s v="active"/>
    <s v="7/28/2022"/>
    <s v=" $601.94 "/>
    <n v="3"/>
    <n v="44"/>
    <s v="Sports"/>
    <s v="Dining Table"/>
    <s v="Home"/>
    <x v="1"/>
    <n v="1805.82"/>
    <s v="Misaligned"/>
    <s v="25-34 Millennials"/>
    <s v="High Value Tier"/>
    <s v="Stable"/>
  </r>
  <r>
    <s v="ORD6191"/>
    <s v="CUST2191"/>
    <n v="33"/>
    <s v="PROD1391"/>
    <s v="Canada"/>
    <d v="2022-09-11T00:00:00"/>
    <s v="1/25/2024"/>
    <n v="1"/>
    <s v="active"/>
    <d v="2023-01-05T00:00:00"/>
    <s v=" $76.39 "/>
    <n v="8"/>
    <n v="49"/>
    <s v="Clothing"/>
    <s v="Tablet"/>
    <s v="Electronics"/>
    <x v="1"/>
    <n v="611.12"/>
    <s v="Misaligned"/>
    <s v="25-34 Millennials"/>
    <s v="High Value Tier"/>
    <s v="Stable"/>
  </r>
  <r>
    <s v="ORD6192"/>
    <s v="CUST2192"/>
    <n v="32"/>
    <s v="PROD1392"/>
    <s v="India"/>
    <s v="6/26/2021"/>
    <d v="2021-10-07T00:00:00"/>
    <n v="2"/>
    <s v="cancelled"/>
    <s v="6/30/2025"/>
    <s v=" $247.03 "/>
    <n v="6"/>
    <n v="27"/>
    <s v="Beauty"/>
    <s v="Lamp"/>
    <s v="Home"/>
    <x v="0"/>
    <n v="1482.18"/>
    <s v="Misaligned"/>
    <s v="25-34 Millennials"/>
    <s v="High Value Tier"/>
    <s v="Stable"/>
  </r>
  <r>
    <s v="ORD6193"/>
    <s v="CUST2193"/>
    <n v="50"/>
    <s v="PROD1393"/>
    <s v="UK"/>
    <d v="2021-10-10T00:00:00"/>
    <d v="2024-08-01T00:00:00"/>
    <n v="5"/>
    <s v="cancelled"/>
    <s v="2/15/2025"/>
    <s v=" $215.70 "/>
    <n v="4"/>
    <n v="13"/>
    <s v="Beauty"/>
    <s v="Sneakers"/>
    <s v="Clothing"/>
    <x v="0"/>
    <n v="862.8"/>
    <s v="Misaligned"/>
    <s v="50-64 Boomers"/>
    <s v="High Value Tier"/>
    <s v="Stable"/>
  </r>
  <r>
    <s v="ORD6194"/>
    <s v="CUST2194"/>
    <n v="35"/>
    <s v="PROD1394"/>
    <s v="UK"/>
    <s v="2/18/2022"/>
    <d v="2025-10-08T00:00:00"/>
    <n v="3"/>
    <s v="active"/>
    <s v="9/18/2022"/>
    <s v=" $474.15 "/>
    <n v="4"/>
    <n v="40"/>
    <s v="Home"/>
    <s v="Laptop"/>
    <s v="Electronics"/>
    <x v="0"/>
    <n v="1896.6"/>
    <s v="Misaligned"/>
    <s v="35-49 Gen X"/>
    <s v="High Value Tier"/>
    <s v="Stable"/>
  </r>
  <r>
    <s v="ORD6195"/>
    <s v="CUST2195"/>
    <n v="57"/>
    <s v="PROD1395"/>
    <s v="UK"/>
    <s v="2/15/2021"/>
    <d v="2023-02-07T00:00:00"/>
    <n v="2"/>
    <s v="active"/>
    <s v="9/23/2021"/>
    <s v=" $6.64 "/>
    <n v="5"/>
    <n v="4"/>
    <s v="Home"/>
    <s v="Yoga Mat"/>
    <s v="Sports"/>
    <x v="1"/>
    <n v="33.200000000000003"/>
    <s v="Misaligned"/>
    <s v="50-64 Boomers"/>
    <s v="Value Tier"/>
    <s v="Stable"/>
  </r>
  <r>
    <s v="ORD6196"/>
    <s v="CUST2196"/>
    <n v="58"/>
    <s v="PROD1396"/>
    <s v="UK"/>
    <s v="9/18/2021"/>
    <s v="4/19/2024"/>
    <n v="1"/>
    <s v="paused"/>
    <d v="2024-10-09T00:00:00"/>
    <s v=" $757.47 "/>
    <n v="2"/>
    <n v="21"/>
    <s v="Clothing"/>
    <s v="Face Wash"/>
    <s v="Beauty"/>
    <x v="1"/>
    <n v="1514.94"/>
    <s v="Misaligned"/>
    <s v="50-64 Boomers"/>
    <s v="High Value Tier"/>
    <s v="Elevated Risk"/>
  </r>
  <r>
    <s v="ORD6197"/>
    <s v="CUST2197"/>
    <n v="31"/>
    <s v="PROD1397"/>
    <s v="USA"/>
    <s v="12/31/2022"/>
    <d v="2023-06-07T00:00:00"/>
    <n v="2"/>
    <s v="active"/>
    <d v="2023-10-12T00:00:00"/>
    <s v=" $384.35 "/>
    <n v="5"/>
    <n v="41"/>
    <s v="Sports"/>
    <s v="Cycling Helmet"/>
    <s v="Sports"/>
    <x v="2"/>
    <n v="1921.75"/>
    <s v="Aligned"/>
    <s v="25-34 Millennials"/>
    <s v="High Value Tier"/>
    <s v="Stable"/>
  </r>
  <r>
    <s v="ORD6198"/>
    <s v="CUST2198"/>
    <n v="35"/>
    <s v="PROD1398"/>
    <s v="UK"/>
    <d v="2021-09-02T00:00:00"/>
    <s v="4/19/2023"/>
    <n v="5"/>
    <s v="active"/>
    <s v="12/22/2022"/>
    <s v=" $252.19 "/>
    <n v="4"/>
    <n v="7"/>
    <s v="Sports"/>
    <s v="Blender"/>
    <s v="Home"/>
    <x v="1"/>
    <n v="1008.76"/>
    <s v="Misaligned"/>
    <s v="35-49 Gen X"/>
    <s v="High Value Tier"/>
    <s v="Critical Risk"/>
  </r>
  <r>
    <s v="ORD6199"/>
    <s v="CUST2199"/>
    <n v="30"/>
    <s v="PROD1399"/>
    <s v="USA"/>
    <d v="2023-03-08T00:00:00"/>
    <s v="10/31/2023"/>
    <n v="4"/>
    <s v="active"/>
    <s v="4/30/2025"/>
    <s v=" $561.99 "/>
    <n v="3"/>
    <n v="39"/>
    <s v="Sports"/>
    <s v="Cricket Bat"/>
    <s v="Sports"/>
    <x v="1"/>
    <n v="1685.97"/>
    <s v="Aligned"/>
    <s v="25-34 Millennials"/>
    <s v="High Value Tier"/>
    <s v="Critical Risk"/>
  </r>
  <r>
    <s v="ORD6200"/>
    <s v="CUST2200"/>
    <n v="69"/>
    <s v="PROD1400"/>
    <s v="UK"/>
    <s v="1/19/2022"/>
    <d v="2023-04-11T00:00:00"/>
    <n v="5"/>
    <s v="active"/>
    <s v="2/23/2022"/>
    <s v=" $156.84 "/>
    <n v="3"/>
    <n v="20"/>
    <s v="Beauty"/>
    <s v="Cricket Bat"/>
    <s v="Sports"/>
    <x v="1"/>
    <n v="470.52"/>
    <s v="Misaligned"/>
    <s v="65+ Seniors"/>
    <s v="High Value Tier"/>
    <s v="Critical Risk"/>
  </r>
  <r>
    <s v="ORD6201"/>
    <s v="CUST2201"/>
    <n v="55"/>
    <s v="PROD1401"/>
    <s v="UK"/>
    <d v="2023-11-03T00:00:00"/>
    <d v="2023-12-09T00:00:00"/>
    <n v="2"/>
    <s v="active"/>
    <s v="10/16/2023"/>
    <s v=" $948.96 "/>
    <n v="1"/>
    <n v="25"/>
    <s v="Sports"/>
    <s v="Conditioner"/>
    <s v="Beauty"/>
    <x v="0"/>
    <n v="948.96"/>
    <s v="Misaligned"/>
    <s v="50-64 Boomers"/>
    <s v="High Value Tier"/>
    <s v="Stable"/>
  </r>
  <r>
    <s v="ORD6202"/>
    <s v="CUST2202"/>
    <n v="56"/>
    <s v="PROD1402"/>
    <s v="UK"/>
    <d v="2021-12-01T00:00:00"/>
    <s v="12/16/2021"/>
    <n v="4"/>
    <s v="active"/>
    <s v="11/15/2023"/>
    <s v=" $217.24 "/>
    <n v="9"/>
    <n v="36"/>
    <s v="Electronics"/>
    <s v="Football"/>
    <s v="Sports"/>
    <x v="0"/>
    <n v="1955.16"/>
    <s v="Misaligned"/>
    <s v="50-64 Boomers"/>
    <s v="High Value Tier"/>
    <s v="Critical Risk"/>
  </r>
  <r>
    <s v="ORD6203"/>
    <s v="CUST2203"/>
    <n v="43"/>
    <s v="PROD1403"/>
    <s v="Canada"/>
    <s v="4/24/2021"/>
    <d v="2023-08-10T00:00:00"/>
    <n v="2"/>
    <s v="active"/>
    <s v="11/29/2024"/>
    <s v=" $197.39 "/>
    <n v="6"/>
    <n v="6"/>
    <s v="Electronics"/>
    <s v="Conditioner"/>
    <s v="Beauty"/>
    <x v="1"/>
    <n v="1184.3399999999999"/>
    <s v="Misaligned"/>
    <s v="35-49 Gen X"/>
    <s v="High Value Tier"/>
    <s v="Stable"/>
  </r>
  <r>
    <s v="ORD6204"/>
    <s v="CUST2204"/>
    <n v="54"/>
    <s v="PROD1404"/>
    <s v="USA"/>
    <d v="2021-07-11T00:00:00"/>
    <d v="2024-01-03T00:00:00"/>
    <n v="1"/>
    <s v="active"/>
    <s v="2/22/2024"/>
    <s v=" $99.21 "/>
    <n v="7"/>
    <n v="47"/>
    <s v="Clothing"/>
    <s v="Moisturizer"/>
    <s v="Beauty"/>
    <x v="0"/>
    <n v="694.47"/>
    <s v="Misaligned"/>
    <s v="50-64 Boomers"/>
    <s v="High Value Tier"/>
    <s v="Stable"/>
  </r>
  <r>
    <s v="ORD6205"/>
    <s v="CUST2205"/>
    <n v="30"/>
    <s v="PROD1405"/>
    <s v="USA"/>
    <d v="2022-06-07T00:00:00"/>
    <d v="2024-02-03T00:00:00"/>
    <n v="4"/>
    <s v="active"/>
    <s v="3/27/2023"/>
    <s v=" $176.86 "/>
    <n v="9"/>
    <n v="12"/>
    <s v="Beauty"/>
    <s v="Dumbbells"/>
    <s v="Sports"/>
    <x v="1"/>
    <n v="1591.74"/>
    <s v="Misaligned"/>
    <s v="25-34 Millennials"/>
    <s v="High Value Tier"/>
    <s v="Critical Risk"/>
  </r>
  <r>
    <s v="ORD6206"/>
    <s v="CUST2206"/>
    <n v="42"/>
    <s v="PROD1406"/>
    <s v="UK"/>
    <s v="1/21/2021"/>
    <d v="2024-01-12T00:00:00"/>
    <n v="4"/>
    <s v="paused"/>
    <s v="9/28/2024"/>
    <s v=" $259.64 "/>
    <n v="5"/>
    <n v="20"/>
    <s v="Clothing"/>
    <s v="Microwave"/>
    <s v="Home"/>
    <x v="0"/>
    <n v="1298.2"/>
    <s v="Misaligned"/>
    <s v="35-49 Gen X"/>
    <s v="High Value Tier"/>
    <s v="Elevated Risk"/>
  </r>
  <r>
    <s v="ORD6207"/>
    <s v="CUST2207"/>
    <n v="38"/>
    <s v="PROD1407"/>
    <s v="India"/>
    <d v="2023-10-05T00:00:00"/>
    <s v="12/27/2023"/>
    <n v="4"/>
    <s v="active"/>
    <d v="2024-03-08T00:00:00"/>
    <s v=" $581.93 "/>
    <n v="3"/>
    <n v="23"/>
    <s v="Sports"/>
    <s v="Hoodie"/>
    <s v="Clothing"/>
    <x v="1"/>
    <n v="1745.79"/>
    <s v="Misaligned"/>
    <s v="35-49 Gen X"/>
    <s v="High Value Tier"/>
    <s v="Critical Risk"/>
  </r>
  <r>
    <s v="ORD6208"/>
    <s v="CUST2208"/>
    <n v="48"/>
    <s v="PROD1408"/>
    <s v="Pakistan"/>
    <s v="12/22/2021"/>
    <s v="11/28/2022"/>
    <n v="0"/>
    <s v="active"/>
    <s v="6/15/2024"/>
    <s v=" $297.19 "/>
    <n v="1"/>
    <n v="27"/>
    <s v="Clothing"/>
    <s v="Dining Table"/>
    <s v="Home"/>
    <x v="0"/>
    <n v="297.19"/>
    <s v="Misaligned"/>
    <s v="35-49 Gen X"/>
    <s v="High Value Tier"/>
    <s v="Stable"/>
  </r>
  <r>
    <s v="ORD6209"/>
    <s v="CUST2209"/>
    <n v="67"/>
    <s v="PROD1409"/>
    <s v="Canada"/>
    <s v="5/21/2022"/>
    <d v="2025-09-05T00:00:00"/>
    <n v="1"/>
    <s v="cancelled"/>
    <d v="2025-01-08T00:00:00"/>
    <s v=" $349.74 "/>
    <n v="2"/>
    <n v="5"/>
    <s v="Electronics"/>
    <s v="Microwave"/>
    <s v="Home"/>
    <x v="1"/>
    <n v="699.48"/>
    <s v="Misaligned"/>
    <s v="65+ Seniors"/>
    <s v="High Value Tier"/>
    <s v="Stable"/>
  </r>
  <r>
    <s v="ORD6210"/>
    <s v="CUST2210"/>
    <n v="29"/>
    <s v="PROD1410"/>
    <s v="India"/>
    <s v="10/31/2020"/>
    <s v="3/22/2025"/>
    <n v="3"/>
    <s v="cancelled"/>
    <d v="2020-01-12T00:00:00"/>
    <s v=" $603.40 "/>
    <n v="1"/>
    <n v="19"/>
    <s v="Clothing"/>
    <s v="Jacket"/>
    <s v="Clothing"/>
    <x v="1"/>
    <n v="603.4"/>
    <s v="Aligned"/>
    <s v="25-34 Millennials"/>
    <s v="High Value Tier"/>
    <s v="Stable"/>
  </r>
  <r>
    <s v="ORD6211"/>
    <s v="CUST2211"/>
    <n v="18"/>
    <s v="PROD1411"/>
    <s v="Germany"/>
    <s v="6/19/2021"/>
    <s v="10/22/2022"/>
    <n v="3"/>
    <s v="active"/>
    <s v="11/16/2024"/>
    <s v=" $88.50 "/>
    <n v="4"/>
    <n v="28"/>
    <s v="Electronics"/>
    <s v="Football"/>
    <s v="Sports"/>
    <x v="1"/>
    <n v="354"/>
    <s v="Misaligned"/>
    <s v="18-24 Gen Z"/>
    <s v="High Value Tier"/>
    <s v="Stable"/>
  </r>
  <r>
    <s v="ORD6212"/>
    <s v="CUST2212"/>
    <n v="28"/>
    <s v="PROD1412"/>
    <s v="UK"/>
    <d v="2022-12-09T00:00:00"/>
    <d v="2024-11-05T00:00:00"/>
    <n v="0"/>
    <s v="active"/>
    <s v="6/13/2025"/>
    <s v=" $144.34 "/>
    <n v="8"/>
    <n v="36"/>
    <s v="Sports"/>
    <s v="Laptop"/>
    <s v="Electronics"/>
    <x v="0"/>
    <n v="1154.72"/>
    <s v="Misaligned"/>
    <s v="25-34 Millennials"/>
    <s v="High Value Tier"/>
    <s v="Stable"/>
  </r>
  <r>
    <s v="ORD6213"/>
    <s v="CUST2213"/>
    <n v="57"/>
    <s v="PROD1413"/>
    <s v="India"/>
    <d v="2022-04-03T00:00:00"/>
    <s v="1/20/2024"/>
    <n v="4"/>
    <s v="active"/>
    <s v="11/29/2024"/>
    <s v=" $927.70 "/>
    <n v="2"/>
    <n v="23"/>
    <s v="Sports"/>
    <s v="Bluetooth Speaker"/>
    <s v="Electronics"/>
    <x v="1"/>
    <n v="1855.4"/>
    <s v="Misaligned"/>
    <s v="50-64 Boomers"/>
    <s v="High Value Tier"/>
    <s v="Critical Risk"/>
  </r>
  <r>
    <s v="ORD6214"/>
    <s v="CUST2214"/>
    <n v="40"/>
    <s v="PROD1414"/>
    <s v="UK"/>
    <d v="2022-09-04T00:00:00"/>
    <s v="5/20/2023"/>
    <n v="4"/>
    <s v="paused"/>
    <s v="10/30/2024"/>
    <s v=" $3.64 "/>
    <n v="8"/>
    <n v="44"/>
    <s v="Sports"/>
    <s v="Laptop"/>
    <s v="Electronics"/>
    <x v="1"/>
    <n v="29.12"/>
    <s v="Misaligned"/>
    <s v="35-49 Gen X"/>
    <s v="Core Tier"/>
    <s v="Elevated Risk"/>
  </r>
  <r>
    <s v="ORD6215"/>
    <s v="CUST2215"/>
    <n v="62"/>
    <s v="PROD1415"/>
    <s v="USA"/>
    <d v="2021-01-05T00:00:00"/>
    <d v="2023-05-12T00:00:00"/>
    <n v="0"/>
    <s v="cancelled"/>
    <s v="6/27/2024"/>
    <s v=" $98.84 "/>
    <n v="4"/>
    <n v="20"/>
    <s v="Electronics"/>
    <s v="Camera"/>
    <s v="Electronics"/>
    <x v="1"/>
    <n v="395.36"/>
    <s v="Aligned"/>
    <s v="50-64 Boomers"/>
    <s v="High Value Tier"/>
    <s v="Stable"/>
  </r>
  <r>
    <s v="ORD6216"/>
    <s v="CUST2216"/>
    <n v="29"/>
    <s v="PROD1416"/>
    <s v="USA"/>
    <d v="2021-12-01T00:00:00"/>
    <d v="2023-07-02T00:00:00"/>
    <n v="0"/>
    <s v="active"/>
    <s v="10/26/2024"/>
    <s v=" $121.81 "/>
    <n v="9"/>
    <n v="42"/>
    <s v="Clothing"/>
    <s v="Sneakers"/>
    <s v="Clothing"/>
    <x v="1"/>
    <n v="1096.29"/>
    <s v="Aligned"/>
    <s v="25-34 Millennials"/>
    <s v="High Value Tier"/>
    <s v="Stable"/>
  </r>
  <r>
    <s v="ORD6217"/>
    <s v="CUST2217"/>
    <n v="50"/>
    <s v="PROD1417"/>
    <s v="UK"/>
    <d v="2021-08-02T00:00:00"/>
    <s v="11/15/2024"/>
    <n v="0"/>
    <s v="active"/>
    <d v="2023-03-08T00:00:00"/>
    <s v=" $204.64 "/>
    <n v="3"/>
    <n v="5"/>
    <s v="Electronics"/>
    <s v="Nail Polish"/>
    <s v="Beauty"/>
    <x v="1"/>
    <n v="613.91999999999996"/>
    <s v="Misaligned"/>
    <s v="50-64 Boomers"/>
    <s v="High Value Tier"/>
    <s v="Stable"/>
  </r>
  <r>
    <s v="ORD6218"/>
    <s v="CUST2218"/>
    <n v="41"/>
    <s v="PROD1418"/>
    <s v="USA"/>
    <d v="2023-01-06T00:00:00"/>
    <s v="11/20/2024"/>
    <n v="0"/>
    <s v="active"/>
    <d v="2024-08-10T00:00:00"/>
    <s v=" $168.35 "/>
    <n v="9"/>
    <n v="29"/>
    <s v="Clothing"/>
    <s v="Perfume"/>
    <s v="Beauty"/>
    <x v="0"/>
    <n v="1515.15"/>
    <s v="Misaligned"/>
    <s v="35-49 Gen X"/>
    <s v="High Value Tier"/>
    <s v="Stable"/>
  </r>
  <r>
    <s v="ORD6219"/>
    <s v="CUST2219"/>
    <n v="64"/>
    <s v="PROD1419"/>
    <s v="USA"/>
    <d v="2021-11-07T00:00:00"/>
    <d v="2022-04-05T00:00:00"/>
    <n v="4"/>
    <s v="paused"/>
    <s v="4/18/2023"/>
    <s v=" $240.51 "/>
    <n v="5"/>
    <n v="44"/>
    <s v="Clothing"/>
    <s v="Perfume"/>
    <s v="Beauty"/>
    <x v="0"/>
    <n v="1202.55"/>
    <s v="Misaligned"/>
    <s v="50-64 Boomers"/>
    <s v="High Value Tier"/>
    <s v="Elevated Risk"/>
  </r>
  <r>
    <s v="ORD6220"/>
    <s v="CUST2220"/>
    <n v="39"/>
    <s v="PROD1420"/>
    <s v="Germany"/>
    <d v="2021-02-04T00:00:00"/>
    <d v="2025-02-01T00:00:00"/>
    <n v="1"/>
    <s v="active"/>
    <d v="2024-12-09T00:00:00"/>
    <s v=" $13.55 "/>
    <n v="6"/>
    <n v="6"/>
    <s v="Home"/>
    <s v="Jeans"/>
    <s v="Clothing"/>
    <x v="0"/>
    <n v="81.3"/>
    <s v="Misaligned"/>
    <s v="35-49 Gen X"/>
    <s v="Value Tier"/>
    <s v="Stable"/>
  </r>
  <r>
    <s v="ORD6221"/>
    <s v="CUST2221"/>
    <n v="53"/>
    <s v="PROD1421"/>
    <s v="Pakistan"/>
    <d v="2022-07-11T00:00:00"/>
    <s v="4/28/2023"/>
    <n v="1"/>
    <s v="active"/>
    <d v="2024-10-02T00:00:00"/>
    <s v=" $352.52 "/>
    <n v="3"/>
    <n v="15"/>
    <s v="Beauty"/>
    <s v="Smartwatch"/>
    <s v="Electronics"/>
    <x v="1"/>
    <n v="1057.56"/>
    <s v="Misaligned"/>
    <s v="50-64 Boomers"/>
    <s v="High Value Tier"/>
    <s v="Stable"/>
  </r>
  <r>
    <s v="ORD6222"/>
    <s v="CUST2222"/>
    <n v="45"/>
    <s v="PROD1422"/>
    <s v="Canada"/>
    <d v="2021-10-04T00:00:00"/>
    <s v="8/29/2022"/>
    <n v="1"/>
    <s v="cancelled"/>
    <s v="7/27/2021"/>
    <s v=" $640.56 "/>
    <n v="3"/>
    <n v="38"/>
    <s v="Electronics"/>
    <s v="Headphones"/>
    <s v="Electronics"/>
    <x v="1"/>
    <n v="1921.68"/>
    <s v="Aligned"/>
    <s v="35-49 Gen X"/>
    <s v="High Value Tier"/>
    <s v="Stable"/>
  </r>
  <r>
    <s v="ORD6223"/>
    <s v="CUST2223"/>
    <n v="60"/>
    <s v="PROD1423"/>
    <s v="Pakistan"/>
    <d v="2021-04-12T00:00:00"/>
    <s v="3/23/2024"/>
    <n v="0"/>
    <s v="active"/>
    <s v="12/18/2022"/>
    <s v=" $212.95 "/>
    <n v="3"/>
    <n v="22"/>
    <s v="Clothing"/>
    <s v="Jeans"/>
    <s v="Clothing"/>
    <x v="2"/>
    <n v="638.85"/>
    <s v="Aligned"/>
    <s v="50-64 Boomers"/>
    <s v="High Value Tier"/>
    <s v="Stable"/>
  </r>
  <r>
    <s v="ORD6224"/>
    <s v="CUST2224"/>
    <n v="29"/>
    <s v="PROD1424"/>
    <s v="Germany"/>
    <s v="9/20/2020"/>
    <d v="2023-07-10T00:00:00"/>
    <n v="3"/>
    <s v="active"/>
    <d v="2025-08-02T00:00:00"/>
    <s v=" $161.64 "/>
    <n v="7"/>
    <n v="12"/>
    <s v="Electronics"/>
    <s v="T-Shirt"/>
    <s v="Clothing"/>
    <x v="0"/>
    <n v="1131.48"/>
    <s v="Misaligned"/>
    <s v="25-34 Millennials"/>
    <s v="High Value Tier"/>
    <s v="Stable"/>
  </r>
  <r>
    <s v="ORD6225"/>
    <s v="CUST2225"/>
    <n v="36"/>
    <s v="PROD1425"/>
    <s v="Pakistan"/>
    <d v="2023-08-07T00:00:00"/>
    <s v="11/26/2024"/>
    <n v="0"/>
    <s v="active"/>
    <s v="4/16/2024"/>
    <s v=" $144.78 "/>
    <n v="9"/>
    <n v="13"/>
    <s v="Clothing"/>
    <s v="Dress"/>
    <s v="Clothing"/>
    <x v="0"/>
    <n v="1303.02"/>
    <s v="Aligned"/>
    <s v="35-49 Gen X"/>
    <s v="High Value Tier"/>
    <s v="Stable"/>
  </r>
  <r>
    <s v="ORD6226"/>
    <s v="CUST2226"/>
    <n v="25"/>
    <s v="PROD1426"/>
    <s v="Germany"/>
    <s v="3/24/2023"/>
    <d v="2024-12-01T00:00:00"/>
    <n v="5"/>
    <s v="active"/>
    <s v="9/23/2023"/>
    <s v=" $222.44 "/>
    <n v="8"/>
    <n v="31"/>
    <s v="Home"/>
    <s v="Tennis Racket"/>
    <s v="Sports"/>
    <x v="0"/>
    <n v="1779.52"/>
    <s v="Misaligned"/>
    <s v="25-34 Millennials"/>
    <s v="High Value Tier"/>
    <s v="Critical Risk"/>
  </r>
  <r>
    <s v="ORD6227"/>
    <s v="CUST2227"/>
    <n v="52"/>
    <s v="PROD1427"/>
    <s v="India"/>
    <s v="5/18/2022"/>
    <s v="12/30/2022"/>
    <n v="3"/>
    <s v="active"/>
    <s v="9/27/2024"/>
    <s v=" $29.69 "/>
    <n v="7"/>
    <n v="48"/>
    <s v="Home"/>
    <s v="Gaming Console"/>
    <s v="Electronics"/>
    <x v="1"/>
    <n v="207.83"/>
    <s v="Misaligned"/>
    <s v="50-64 Boomers"/>
    <s v="High Value Tier"/>
    <s v="Stable"/>
  </r>
  <r>
    <s v="ORD6228"/>
    <s v="CUST2228"/>
    <n v="60"/>
    <s v="PROD1428"/>
    <s v="Germany"/>
    <d v="2023-07-04T00:00:00"/>
    <s v="3/14/2025"/>
    <n v="0"/>
    <s v="active"/>
    <s v="12/29/2023"/>
    <s v=" $101.16 "/>
    <n v="8"/>
    <n v="35"/>
    <s v="Home"/>
    <s v="Microwave"/>
    <s v="Home"/>
    <x v="2"/>
    <n v="809.28"/>
    <s v="Aligned"/>
    <s v="50-64 Boomers"/>
    <s v="High Value Tier"/>
    <s v="Stable"/>
  </r>
  <r>
    <s v="ORD6229"/>
    <s v="CUST2229"/>
    <n v="53"/>
    <s v="PROD1429"/>
    <s v="UK"/>
    <d v="2022-10-08T00:00:00"/>
    <s v="2/23/2024"/>
    <n v="5"/>
    <s v="active"/>
    <d v="2022-12-12T00:00:00"/>
    <s v=" $167.51 "/>
    <n v="6"/>
    <n v="32"/>
    <s v="Home"/>
    <s v="Bluetooth Speaker"/>
    <s v="Electronics"/>
    <x v="0"/>
    <n v="1005.06"/>
    <s v="Misaligned"/>
    <s v="50-64 Boomers"/>
    <s v="High Value Tier"/>
    <s v="Critical Risk"/>
  </r>
  <r>
    <s v="ORD6230"/>
    <s v="CUST2230"/>
    <n v="46"/>
    <s v="PROD1430"/>
    <s v="India"/>
    <s v="5/20/2021"/>
    <s v="11/25/2023"/>
    <n v="5"/>
    <s v="cancelled"/>
    <s v="9/21/2023"/>
    <s v=" $108.05 "/>
    <n v="3"/>
    <n v="48"/>
    <s v="Home"/>
    <s v="Perfume"/>
    <s v="Beauty"/>
    <x v="0"/>
    <n v="324.14999999999998"/>
    <s v="Misaligned"/>
    <s v="35-49 Gen X"/>
    <s v="High Value Tier"/>
    <s v="Stable"/>
  </r>
  <r>
    <s v="ORD6231"/>
    <s v="CUST2231"/>
    <n v="40"/>
    <s v="PROD1431"/>
    <s v="Pakistan"/>
    <d v="2021-06-02T00:00:00"/>
    <s v="7/23/2025"/>
    <n v="0"/>
    <s v="paused"/>
    <s v="5/18/2025"/>
    <s v=" $332.43 "/>
    <n v="6"/>
    <n v="38"/>
    <s v="Electronics"/>
    <s v="Face Wash"/>
    <s v="Beauty"/>
    <x v="0"/>
    <n v="1994.58"/>
    <s v="Misaligned"/>
    <s v="35-49 Gen X"/>
    <s v="High Value Tier"/>
    <s v="Elevated Risk"/>
  </r>
  <r>
    <s v="ORD6232"/>
    <s v="CUST2232"/>
    <n v="50"/>
    <s v="PROD1432"/>
    <s v="India"/>
    <d v="2020-12-12T00:00:00"/>
    <s v="12/22/2020"/>
    <n v="0"/>
    <s v="active"/>
    <s v="2/13/2021"/>
    <s v=" $680.64 "/>
    <n v="2"/>
    <n v="5"/>
    <s v="Clothing"/>
    <s v="Yoga Mat"/>
    <s v="Sports"/>
    <x v="0"/>
    <n v="1361.28"/>
    <s v="Misaligned"/>
    <s v="50-64 Boomers"/>
    <s v="High Value Tier"/>
    <s v="Stable"/>
  </r>
  <r>
    <s v="ORD6233"/>
    <s v="CUST2233"/>
    <n v="67"/>
    <s v="PROD1433"/>
    <s v="Canada"/>
    <s v="10/19/2020"/>
    <s v="11/28/2023"/>
    <n v="3"/>
    <s v="active"/>
    <s v="1/29/2025"/>
    <s v=" $255.08 "/>
    <n v="7"/>
    <n v="36"/>
    <s v="Sports"/>
    <s v="Cricket Bat"/>
    <s v="Sports"/>
    <x v="0"/>
    <n v="1785.56"/>
    <s v="Aligned"/>
    <s v="65+ Seniors"/>
    <s v="High Value Tier"/>
    <s v="Stable"/>
  </r>
  <r>
    <s v="ORD6234"/>
    <s v="CUST2234"/>
    <n v="34"/>
    <s v="PROD1434"/>
    <s v="Germany"/>
    <s v="8/20/2020"/>
    <s v="7/20/2021"/>
    <n v="5"/>
    <s v="active"/>
    <d v="2024-03-10T00:00:00"/>
    <s v=" $114.89 "/>
    <n v="7"/>
    <n v="27"/>
    <s v="Clothing"/>
    <s v="Microwave"/>
    <s v="Home"/>
    <x v="0"/>
    <n v="804.23"/>
    <s v="Misaligned"/>
    <s v="25-34 Millennials"/>
    <s v="High Value Tier"/>
    <s v="Critical Risk"/>
  </r>
  <r>
    <s v="ORD6235"/>
    <s v="CUST2235"/>
    <n v="44"/>
    <s v="PROD1435"/>
    <s v="Germany"/>
    <d v="2022-09-09T00:00:00"/>
    <s v="3/25/2024"/>
    <n v="1"/>
    <s v="active"/>
    <s v="12/25/2023"/>
    <s v=" $192.60 "/>
    <n v="6"/>
    <n v="17"/>
    <s v="Sports"/>
    <s v="Sneakers"/>
    <s v="Clothing"/>
    <x v="0"/>
    <n v="1155.5999999999999"/>
    <s v="Misaligned"/>
    <s v="35-49 Gen X"/>
    <s v="High Value Tier"/>
    <s v="Stable"/>
  </r>
  <r>
    <s v="ORD6236"/>
    <s v="CUST2236"/>
    <n v="63"/>
    <s v="PROD1436"/>
    <s v="India"/>
    <s v="7/19/2021"/>
    <d v="2024-05-05T00:00:00"/>
    <n v="1"/>
    <s v="cancelled"/>
    <d v="2022-12-08T00:00:00"/>
    <s v=" $138.94 "/>
    <n v="3"/>
    <n v="27"/>
    <s v="Beauty"/>
    <s v="Smartwatch"/>
    <s v="Electronics"/>
    <x v="0"/>
    <n v="416.82"/>
    <s v="Misaligned"/>
    <s v="50-64 Boomers"/>
    <s v="High Value Tier"/>
    <s v="Stable"/>
  </r>
  <r>
    <s v="ORD6237"/>
    <s v="CUST2237"/>
    <n v="49"/>
    <s v="PROD1437"/>
    <s v="Germany"/>
    <d v="2021-09-03T00:00:00"/>
    <s v="1/31/2025"/>
    <n v="4"/>
    <s v="active"/>
    <d v="2025-03-08T00:00:00"/>
    <s v=" $1,427.64 "/>
    <n v="1"/>
    <n v="7"/>
    <s v="Sports"/>
    <s v="Football"/>
    <s v="Sports"/>
    <x v="0"/>
    <n v="1427.64"/>
    <s v="Aligned"/>
    <s v="35-49 Gen X"/>
    <s v="High Value Tier"/>
    <s v="Critical Risk"/>
  </r>
  <r>
    <s v="ORD6238"/>
    <s v="CUST2238"/>
    <n v="51"/>
    <s v="PROD1438"/>
    <s v="Pakistan"/>
    <s v="12/22/2022"/>
    <s v="5/19/2024"/>
    <n v="4"/>
    <s v="paused"/>
    <d v="2024-10-08T00:00:00"/>
    <s v=" $24.99 "/>
    <n v="7"/>
    <n v="18"/>
    <s v="Sports"/>
    <s v="T-Shirt"/>
    <s v="Clothing"/>
    <x v="0"/>
    <n v="174.93"/>
    <s v="Misaligned"/>
    <s v="50-64 Boomers"/>
    <s v="High Value Tier"/>
    <s v="Elevated Risk"/>
  </r>
  <r>
    <s v="ORD6239"/>
    <s v="CUST2239"/>
    <n v="29"/>
    <s v="PROD1439"/>
    <s v="India"/>
    <s v="7/18/2023"/>
    <s v="11/25/2023"/>
    <n v="5"/>
    <s v="active"/>
    <s v="12/14/2023"/>
    <s v=" $61.64 "/>
    <n v="3"/>
    <n v="28"/>
    <s v="Sports"/>
    <s v="Headphones"/>
    <s v="Electronics"/>
    <x v="1"/>
    <n v="184.92"/>
    <s v="Misaligned"/>
    <s v="25-34 Millennials"/>
    <s v="High Value Tier"/>
    <s v="Critical Risk"/>
  </r>
  <r>
    <s v="ORD6240"/>
    <s v="CUST2240"/>
    <n v="44"/>
    <s v="PROD1440"/>
    <s v="Germany"/>
    <d v="2022-02-08T00:00:00"/>
    <d v="2024-06-06T00:00:00"/>
    <n v="1"/>
    <s v="active"/>
    <d v="2024-12-09T00:00:00"/>
    <s v=" $537.06 "/>
    <n v="2"/>
    <n v="39"/>
    <s v="Sports"/>
    <s v="Football"/>
    <s v="Sports"/>
    <x v="1"/>
    <n v="1074.1199999999999"/>
    <s v="Aligned"/>
    <s v="35-49 Gen X"/>
    <s v="High Value Tier"/>
    <s v="Stable"/>
  </r>
  <r>
    <s v="ORD6241"/>
    <s v="CUST2241"/>
    <n v="55"/>
    <s v="PROD1441"/>
    <s v="Germany"/>
    <d v="2021-03-03T00:00:00"/>
    <d v="2022-01-10T00:00:00"/>
    <n v="0"/>
    <s v="active"/>
    <s v="4/19/2023"/>
    <s v=" $212.08 "/>
    <n v="4"/>
    <n v="16"/>
    <s v="Electronics"/>
    <s v="Face Wash"/>
    <s v="Beauty"/>
    <x v="0"/>
    <n v="848.32"/>
    <s v="Misaligned"/>
    <s v="50-64 Boomers"/>
    <s v="High Value Tier"/>
    <s v="Stable"/>
  </r>
  <r>
    <s v="ORD6242"/>
    <s v="CUST2242"/>
    <n v="41"/>
    <s v="PROD1442"/>
    <s v="Pakistan"/>
    <s v="2/18/2023"/>
    <d v="2025-07-03T00:00:00"/>
    <n v="4"/>
    <s v="active"/>
    <s v="8/19/2024"/>
    <s v=" $243.58 "/>
    <n v="4"/>
    <n v="14"/>
    <s v="Sports"/>
    <s v="Jeans"/>
    <s v="Clothing"/>
    <x v="0"/>
    <n v="974.32"/>
    <s v="Misaligned"/>
    <s v="35-49 Gen X"/>
    <s v="High Value Tier"/>
    <s v="Critical Risk"/>
  </r>
  <r>
    <s v="ORD6243"/>
    <s v="CUST2243"/>
    <n v="26"/>
    <s v="PROD1443"/>
    <s v="UK"/>
    <d v="2022-11-10T00:00:00"/>
    <d v="2024-01-05T00:00:00"/>
    <n v="3"/>
    <s v="active"/>
    <d v="2023-03-03T00:00:00"/>
    <s v=" $992.40 "/>
    <n v="2"/>
    <n v="10"/>
    <s v="Electronics"/>
    <s v="Bluetooth Speaker"/>
    <s v="Electronics"/>
    <x v="0"/>
    <n v="1984.8"/>
    <s v="Aligned"/>
    <s v="25-34 Millennials"/>
    <s v="High Value Tier"/>
    <s v="Stable"/>
  </r>
  <r>
    <s v="ORD6244"/>
    <s v="CUST2244"/>
    <n v="18"/>
    <s v="PROD1444"/>
    <s v="Germany"/>
    <s v="6/16/2021"/>
    <d v="2024-01-10T00:00:00"/>
    <n v="5"/>
    <s v="active"/>
    <s v="2/13/2022"/>
    <s v=" $610.13 "/>
    <n v="1"/>
    <n v="20"/>
    <s v="Electronics"/>
    <s v="Sneakers"/>
    <s v="Clothing"/>
    <x v="1"/>
    <n v="610.13"/>
    <s v="Misaligned"/>
    <s v="18-24 Gen Z"/>
    <s v="High Value Tier"/>
    <s v="Critical Risk"/>
  </r>
  <r>
    <s v="ORD6245"/>
    <s v="CUST2245"/>
    <n v="55"/>
    <s v="PROD1445"/>
    <s v="Canada"/>
    <s v="11/13/2020"/>
    <s v="9/16/2023"/>
    <n v="3"/>
    <s v="active"/>
    <d v="2023-07-09T00:00:00"/>
    <s v=" $61.51 "/>
    <n v="9"/>
    <n v="7"/>
    <s v="Electronics"/>
    <s v="Nail Polish"/>
    <s v="Beauty"/>
    <x v="0"/>
    <n v="553.59"/>
    <s v="Misaligned"/>
    <s v="50-64 Boomers"/>
    <s v="High Value Tier"/>
    <s v="Stable"/>
  </r>
  <r>
    <s v="ORD6246"/>
    <s v="CUST2246"/>
    <n v="36"/>
    <s v="PROD1446"/>
    <s v="Germany"/>
    <s v="9/29/2022"/>
    <s v="8/14/2024"/>
    <n v="3"/>
    <s v="cancelled"/>
    <s v="2/27/2023"/>
    <s v=" $699.76 "/>
    <n v="2"/>
    <n v="28"/>
    <s v="Electronics"/>
    <s v="Dining Table"/>
    <s v="Home"/>
    <x v="0"/>
    <n v="1399.52"/>
    <s v="Misaligned"/>
    <s v="35-49 Gen X"/>
    <s v="High Value Tier"/>
    <s v="Stable"/>
  </r>
  <r>
    <s v="ORD6247"/>
    <s v="CUST2247"/>
    <n v="60"/>
    <s v="PROD1447"/>
    <s v="India"/>
    <s v="1/18/2021"/>
    <d v="2025-07-05T00:00:00"/>
    <n v="0"/>
    <s v="active"/>
    <s v="10/31/2021"/>
    <s v=" $1,111.66 "/>
    <n v="1"/>
    <n v="8"/>
    <s v="Beauty"/>
    <s v="Camera"/>
    <s v="Electronics"/>
    <x v="1"/>
    <n v="1111.6600000000001"/>
    <s v="Misaligned"/>
    <s v="50-64 Boomers"/>
    <s v="High Value Tier"/>
    <s v="Stable"/>
  </r>
  <r>
    <s v="ORD6248"/>
    <s v="CUST2248"/>
    <n v="46"/>
    <s v="PROD1448"/>
    <s v="India"/>
    <s v="4/13/2023"/>
    <s v="3/16/2025"/>
    <n v="3"/>
    <s v="active"/>
    <d v="2023-02-10T00:00:00"/>
    <s v=" $43.79 "/>
    <n v="9"/>
    <n v="5"/>
    <s v="Home"/>
    <s v="Running Shoes"/>
    <s v="Sports"/>
    <x v="1"/>
    <n v="394.11"/>
    <s v="Misaligned"/>
    <s v="35-49 Gen X"/>
    <s v="Core Tier"/>
    <s v="Stable"/>
  </r>
  <r>
    <s v="ORD6249"/>
    <s v="CUST2249"/>
    <n v="49"/>
    <s v="PROD1449"/>
    <s v="Germany"/>
    <d v="2022-08-02T00:00:00"/>
    <d v="2023-02-08T00:00:00"/>
    <n v="4"/>
    <s v="cancelled"/>
    <s v="8/30/2024"/>
    <s v=" $27.02 "/>
    <n v="6"/>
    <n v="35"/>
    <s v="Home"/>
    <s v="Smartwatch"/>
    <s v="Electronics"/>
    <x v="1"/>
    <n v="162.12"/>
    <s v="Misaligned"/>
    <s v="35-49 Gen X"/>
    <s v="High Value Tier"/>
    <s v="Stable"/>
  </r>
  <r>
    <s v="ORD6250"/>
    <s v="CUST2250"/>
    <n v="48"/>
    <s v="PROD1450"/>
    <s v="UK"/>
    <d v="2021-12-11T00:00:00"/>
    <d v="2023-05-07T00:00:00"/>
    <n v="1"/>
    <s v="active"/>
    <d v="2022-08-07T00:00:00"/>
    <s v=" $124.78 "/>
    <n v="4"/>
    <n v="10"/>
    <s v="Electronics"/>
    <s v="Cricket Bat"/>
    <s v="Sports"/>
    <x v="1"/>
    <n v="499.12"/>
    <s v="Misaligned"/>
    <s v="35-49 Gen X"/>
    <s v="High Value Tier"/>
    <s v="Stable"/>
  </r>
  <r>
    <s v="ORD6251"/>
    <s v="CUST2251"/>
    <n v="58"/>
    <s v="PROD1451"/>
    <s v="USA"/>
    <d v="2020-06-09T00:00:00"/>
    <s v="7/19/2021"/>
    <n v="4"/>
    <s v="cancelled"/>
    <d v="2025-02-06T00:00:00"/>
    <s v=" $169.03 "/>
    <n v="6"/>
    <n v="44"/>
    <s v="Beauty"/>
    <s v="Cricket Bat"/>
    <s v="Sports"/>
    <x v="0"/>
    <n v="1014.18"/>
    <s v="Misaligned"/>
    <s v="50-64 Boomers"/>
    <s v="High Value Tier"/>
    <s v="Stable"/>
  </r>
  <r>
    <s v="ORD6252"/>
    <s v="CUST2252"/>
    <n v="26"/>
    <s v="PROD1452"/>
    <s v="Canada"/>
    <d v="2021-05-07T00:00:00"/>
    <s v="2/22/2024"/>
    <n v="1"/>
    <s v="active"/>
    <d v="2024-05-12T00:00:00"/>
    <s v=" $133.46 "/>
    <n v="2"/>
    <n v="39"/>
    <s v="Sports"/>
    <s v="T-Shirt"/>
    <s v="Clothing"/>
    <x v="1"/>
    <n v="266.92"/>
    <s v="Misaligned"/>
    <s v="25-34 Millennials"/>
    <s v="High Value Tier"/>
    <s v="Stable"/>
  </r>
  <r>
    <s v="ORD6253"/>
    <s v="CUST2253"/>
    <n v="42"/>
    <s v="PROD1453"/>
    <s v="Pakistan"/>
    <d v="2021-10-08T00:00:00"/>
    <d v="2023-09-07T00:00:00"/>
    <n v="2"/>
    <s v="active"/>
    <d v="2024-03-12T00:00:00"/>
    <s v=" $4.87 "/>
    <n v="8"/>
    <n v="19"/>
    <s v="Home"/>
    <s v="Football"/>
    <s v="Sports"/>
    <x v="0"/>
    <n v="38.96"/>
    <s v="Misaligned"/>
    <s v="35-49 Gen X"/>
    <s v="Value Tier"/>
    <s v="Stable"/>
  </r>
  <r>
    <s v="ORD6254"/>
    <s v="CUST2254"/>
    <n v="54"/>
    <s v="PROD1454"/>
    <s v="Canada"/>
    <s v="10/14/2021"/>
    <s v="10/16/2021"/>
    <n v="4"/>
    <s v="paused"/>
    <s v="10/20/2024"/>
    <s v=" $526.33 "/>
    <n v="1"/>
    <n v="33"/>
    <s v="Home"/>
    <s v="Conditioner"/>
    <s v="Beauty"/>
    <x v="0"/>
    <n v="526.33000000000004"/>
    <s v="Misaligned"/>
    <s v="50-64 Boomers"/>
    <s v="High Value Tier"/>
    <s v="Elevated Risk"/>
  </r>
  <r>
    <s v="ORD6255"/>
    <s v="CUST2255"/>
    <n v="51"/>
    <s v="PROD1455"/>
    <s v="India"/>
    <d v="2021-10-05T00:00:00"/>
    <d v="2022-11-09T00:00:00"/>
    <n v="2"/>
    <s v="cancelled"/>
    <d v="2022-01-11T00:00:00"/>
    <s v=" $654.83 "/>
    <n v="3"/>
    <n v="19"/>
    <s v="Sports"/>
    <s v="Dumbbells"/>
    <s v="Sports"/>
    <x v="0"/>
    <n v="1964.49"/>
    <s v="Aligned"/>
    <s v="50-64 Boomers"/>
    <s v="High Value Tier"/>
    <s v="Stable"/>
  </r>
  <r>
    <s v="ORD6256"/>
    <s v="CUST2256"/>
    <n v="28"/>
    <s v="PROD1456"/>
    <s v="Germany"/>
    <s v="9/23/2021"/>
    <d v="2022-03-12T00:00:00"/>
    <n v="0"/>
    <s v="active"/>
    <d v="2025-07-02T00:00:00"/>
    <s v=" $328.15 "/>
    <n v="3"/>
    <n v="39"/>
    <s v="Clothing"/>
    <s v="Perfume"/>
    <s v="Beauty"/>
    <x v="0"/>
    <n v="984.45"/>
    <s v="Misaligned"/>
    <s v="25-34 Millennials"/>
    <s v="High Value Tier"/>
    <s v="Stable"/>
  </r>
  <r>
    <s v="ORD6257"/>
    <s v="CUST2257"/>
    <n v="56"/>
    <s v="PROD1457"/>
    <s v="Canada"/>
    <d v="2020-12-09T00:00:00"/>
    <s v="12/17/2023"/>
    <n v="2"/>
    <s v="cancelled"/>
    <s v="4/21/2021"/>
    <s v=" $106.11 "/>
    <n v="4"/>
    <n v="6"/>
    <s v="Home"/>
    <s v="Sneakers"/>
    <s v="Clothing"/>
    <x v="1"/>
    <n v="424.44"/>
    <s v="Misaligned"/>
    <s v="50-64 Boomers"/>
    <s v="High Value Tier"/>
    <s v="Stable"/>
  </r>
  <r>
    <s v="ORD6258"/>
    <s v="CUST2258"/>
    <n v="46"/>
    <s v="PROD1458"/>
    <s v="Canada"/>
    <s v="9/20/2021"/>
    <s v="9/24/2024"/>
    <n v="3"/>
    <s v="active"/>
    <s v="4/21/2024"/>
    <s v=" $102.14 "/>
    <n v="3"/>
    <n v="17"/>
    <s v="Beauty"/>
    <s v="Dining Table"/>
    <s v="Home"/>
    <x v="1"/>
    <n v="306.42"/>
    <s v="Misaligned"/>
    <s v="35-49 Gen X"/>
    <s v="High Value Tier"/>
    <s v="Stable"/>
  </r>
  <r>
    <s v="ORD6259"/>
    <s v="CUST2259"/>
    <n v="39"/>
    <s v="PROD1459"/>
    <s v="Germany"/>
    <s v="10/20/2020"/>
    <s v="3/27/2021"/>
    <n v="0"/>
    <s v="active"/>
    <d v="2023-08-01T00:00:00"/>
    <s v=" $194.13 "/>
    <n v="7"/>
    <n v="39"/>
    <s v="Clothing"/>
    <s v="Basketball"/>
    <s v="Sports"/>
    <x v="1"/>
    <n v="1358.91"/>
    <s v="Misaligned"/>
    <s v="35-49 Gen X"/>
    <s v="High Value Tier"/>
    <s v="Stable"/>
  </r>
  <r>
    <s v="ORD6260"/>
    <s v="CUST2260"/>
    <n v="50"/>
    <s v="PROD1460"/>
    <s v="Germany"/>
    <s v="2/28/2022"/>
    <d v="2023-11-09T00:00:00"/>
    <n v="5"/>
    <s v="active"/>
    <d v="2024-02-01T00:00:00"/>
    <s v=" $193.65 "/>
    <n v="6"/>
    <n v="4"/>
    <s v="Beauty"/>
    <s v="Dumbbells"/>
    <s v="Sports"/>
    <x v="1"/>
    <n v="1161.9000000000001"/>
    <s v="Misaligned"/>
    <s v="50-64 Boomers"/>
    <s v="High Value Tier"/>
    <s v="Critical Risk"/>
  </r>
  <r>
    <s v="ORD6261"/>
    <s v="CUST2261"/>
    <n v="50"/>
    <s v="PROD1461"/>
    <s v="UK"/>
    <d v="2023-11-02T00:00:00"/>
    <s v="2/26/2025"/>
    <n v="2"/>
    <s v="active"/>
    <s v="3/14/2023"/>
    <s v=" $35.03 "/>
    <n v="6"/>
    <n v="47"/>
    <s v="Clothing"/>
    <s v="Perfume"/>
    <s v="Beauty"/>
    <x v="0"/>
    <n v="210.18"/>
    <s v="Misaligned"/>
    <s v="50-64 Boomers"/>
    <s v="High Value Tier"/>
    <s v="Stable"/>
  </r>
  <r>
    <s v="ORD6262"/>
    <s v="CUST2262"/>
    <n v="58"/>
    <s v="PROD1462"/>
    <s v="USA"/>
    <s v="12/15/2022"/>
    <d v="2023-01-10T00:00:00"/>
    <n v="0"/>
    <s v="paused"/>
    <d v="2023-12-04T00:00:00"/>
    <s v=" $30.41 "/>
    <n v="3"/>
    <n v="29"/>
    <s v="Clothing"/>
    <s v="Refrigerator"/>
    <s v="Home"/>
    <x v="1"/>
    <n v="91.23"/>
    <s v="Misaligned"/>
    <s v="50-64 Boomers"/>
    <s v="High Value Tier"/>
    <s v="Elevated Risk"/>
  </r>
  <r>
    <s v="ORD6263"/>
    <s v="CUST2263"/>
    <n v="19"/>
    <s v="PROD1463"/>
    <s v="UK"/>
    <d v="2023-11-03T00:00:00"/>
    <d v="2025-06-04T00:00:00"/>
    <n v="3"/>
    <s v="paused"/>
    <d v="2024-04-02T00:00:00"/>
    <s v=" $375.98 "/>
    <n v="3"/>
    <n v="38"/>
    <s v="Electronics"/>
    <s v="Cricket Bat"/>
    <s v="Sports"/>
    <x v="0"/>
    <n v="1127.94"/>
    <s v="Misaligned"/>
    <s v="18-24 Gen Z"/>
    <s v="High Value Tier"/>
    <s v="Elevated Risk"/>
  </r>
  <r>
    <s v="ORD6264"/>
    <s v="CUST2264"/>
    <n v="25"/>
    <s v="PROD1464"/>
    <s v="Pakistan"/>
    <s v="7/23/2023"/>
    <s v="5/30/2024"/>
    <n v="1"/>
    <s v="active"/>
    <s v="7/31/2025"/>
    <s v=" $289.06 "/>
    <n v="2"/>
    <n v="38"/>
    <s v="Clothing"/>
    <s v="Cricket Bat"/>
    <s v="Sports"/>
    <x v="1"/>
    <n v="578.12"/>
    <s v="Misaligned"/>
    <s v="25-34 Millennials"/>
    <s v="High Value Tier"/>
    <s v="Stable"/>
  </r>
  <r>
    <s v="ORD6265"/>
    <s v="CUST2265"/>
    <n v="48"/>
    <s v="PROD1465"/>
    <s v="Canada"/>
    <d v="2021-05-11T00:00:00"/>
    <d v="2022-10-08T00:00:00"/>
    <n v="3"/>
    <s v="active"/>
    <s v="5/25/2023"/>
    <s v=" $124.07 "/>
    <n v="3"/>
    <n v="27"/>
    <s v="Electronics"/>
    <s v="Conditioner"/>
    <s v="Beauty"/>
    <x v="0"/>
    <n v="372.21"/>
    <s v="Misaligned"/>
    <s v="35-49 Gen X"/>
    <s v="High Value Tier"/>
    <s v="Stable"/>
  </r>
  <r>
    <s v="ORD6266"/>
    <s v="CUST2266"/>
    <n v="28"/>
    <s v="PROD1466"/>
    <s v="Canada"/>
    <d v="2020-04-09T00:00:00"/>
    <d v="2023-06-03T00:00:00"/>
    <n v="5"/>
    <s v="active"/>
    <s v="9/22/2024"/>
    <s v=" $563.90 "/>
    <n v="2"/>
    <n v="49"/>
    <s v="Beauty"/>
    <s v="Bluetooth Speaker"/>
    <s v="Electronics"/>
    <x v="0"/>
    <n v="1127.8"/>
    <s v="Misaligned"/>
    <s v="25-34 Millennials"/>
    <s v="High Value Tier"/>
    <s v="Critical Risk"/>
  </r>
  <r>
    <s v="ORD6267"/>
    <s v="CUST2267"/>
    <n v="65"/>
    <s v="PROD1467"/>
    <s v="UK"/>
    <s v="6/27/2021"/>
    <s v="4/17/2024"/>
    <n v="1"/>
    <s v="cancelled"/>
    <s v="4/28/2022"/>
    <s v=" $198.64 "/>
    <n v="6"/>
    <n v="11"/>
    <s v="Home"/>
    <s v="Sofa"/>
    <s v="Home"/>
    <x v="1"/>
    <n v="1191.8399999999999"/>
    <s v="Aligned"/>
    <s v="65+ Seniors"/>
    <s v="High Value Tier"/>
    <s v="Stable"/>
  </r>
  <r>
    <s v="ORD6268"/>
    <s v="CUST2268"/>
    <n v="68"/>
    <s v="PROD1468"/>
    <s v="USA"/>
    <s v="8/21/2021"/>
    <d v="2021-11-09T00:00:00"/>
    <n v="3"/>
    <s v="cancelled"/>
    <s v="6/29/2023"/>
    <s v=" $248.56 "/>
    <n v="8"/>
    <n v="4"/>
    <s v="Home"/>
    <s v="Conditioner"/>
    <s v="Beauty"/>
    <x v="0"/>
    <n v="1988.48"/>
    <s v="Misaligned"/>
    <s v="65+ Seniors"/>
    <s v="High Value Tier"/>
    <s v="Stable"/>
  </r>
  <r>
    <s v="ORD6269"/>
    <s v="CUST2269"/>
    <n v="43"/>
    <s v="PROD1469"/>
    <s v="Pakistan"/>
    <s v="2/16/2021"/>
    <s v="1/17/2024"/>
    <n v="4"/>
    <s v="active"/>
    <s v="2/21/2024"/>
    <s v=" $218.97 "/>
    <n v="7"/>
    <n v="23"/>
    <s v="Sports"/>
    <s v="Perfume"/>
    <s v="Beauty"/>
    <x v="0"/>
    <n v="1532.79"/>
    <s v="Misaligned"/>
    <s v="35-49 Gen X"/>
    <s v="High Value Tier"/>
    <s v="Critical Risk"/>
  </r>
  <r>
    <s v="ORD6270"/>
    <s v="CUST2270"/>
    <n v="24"/>
    <s v="PROD1470"/>
    <s v="UK"/>
    <s v="6/21/2022"/>
    <d v="2023-08-10T00:00:00"/>
    <n v="0"/>
    <s v="active"/>
    <s v="8/26/2023"/>
    <s v=" $915.31 "/>
    <n v="1"/>
    <n v="42"/>
    <s v="Home"/>
    <s v="Running Shoes"/>
    <s v="Sports"/>
    <x v="1"/>
    <n v="915.31"/>
    <s v="Misaligned"/>
    <s v="18-24 Gen Z"/>
    <s v="High Value Tier"/>
    <s v="Stable"/>
  </r>
  <r>
    <s v="ORD6271"/>
    <s v="CUST2271"/>
    <n v="55"/>
    <s v="PROD1471"/>
    <s v="Canada"/>
    <d v="2022-10-04T00:00:00"/>
    <s v="10/17/2022"/>
    <n v="3"/>
    <s v="active"/>
    <s v="1/15/2024"/>
    <s v=" $323.13 "/>
    <n v="3"/>
    <n v="43"/>
    <s v="Beauty"/>
    <s v="Skirt"/>
    <s v="Clothing"/>
    <x v="1"/>
    <n v="969.39"/>
    <s v="Misaligned"/>
    <s v="50-64 Boomers"/>
    <s v="High Value Tier"/>
    <s v="Stable"/>
  </r>
  <r>
    <s v="ORD6272"/>
    <s v="CUST2272"/>
    <n v="47"/>
    <s v="PROD1472"/>
    <s v="USA"/>
    <d v="2023-04-02T00:00:00"/>
    <s v="4/16/2025"/>
    <n v="2"/>
    <s v="paused"/>
    <d v="2023-10-09T00:00:00"/>
    <s v=" $50.14 "/>
    <n v="8"/>
    <n v="17"/>
    <s v="Beauty"/>
    <s v="Vacuum Cleaner"/>
    <s v="Home"/>
    <x v="1"/>
    <n v="401.12"/>
    <s v="Misaligned"/>
    <s v="35-49 Gen X"/>
    <s v="High Value Tier"/>
    <s v="Elevated Risk"/>
  </r>
  <r>
    <s v="ORD6273"/>
    <s v="CUST2273"/>
    <n v="25"/>
    <s v="PROD1473"/>
    <s v="Pakistan"/>
    <s v="3/31/2021"/>
    <s v="7/29/2021"/>
    <n v="5"/>
    <s v="active"/>
    <s v="4/21/2021"/>
    <s v=" $1,991.63 "/>
    <n v="1"/>
    <n v="31"/>
    <s v="Beauty"/>
    <s v="Dress"/>
    <s v="Clothing"/>
    <x v="0"/>
    <n v="1991.63"/>
    <s v="Misaligned"/>
    <s v="25-34 Millennials"/>
    <s v="High Value Tier"/>
    <s v="Critical Risk"/>
  </r>
  <r>
    <s v="ORD6274"/>
    <s v="CUST2274"/>
    <n v="60"/>
    <s v="PROD1474"/>
    <s v="Canada"/>
    <s v="3/30/2021"/>
    <d v="2024-10-11T00:00:00"/>
    <n v="0"/>
    <s v="active"/>
    <s v="1/27/2025"/>
    <s v=" $382.55 "/>
    <n v="3"/>
    <n v="1"/>
    <s v="Sports"/>
    <s v="Dumbbells"/>
    <s v="Sports"/>
    <x v="0"/>
    <n v="1147.6500000000001"/>
    <s v="Aligned"/>
    <s v="50-64 Boomers"/>
    <s v="Core Tier"/>
    <s v="Stable"/>
  </r>
  <r>
    <s v="ORD6275"/>
    <s v="CUST2275"/>
    <n v="58"/>
    <s v="PROD1475"/>
    <s v="India"/>
    <s v="8/17/2022"/>
    <d v="2025-03-08T00:00:00"/>
    <n v="4"/>
    <s v="active"/>
    <d v="2025-11-07T00:00:00"/>
    <s v=" $29.84 "/>
    <n v="5"/>
    <n v="12"/>
    <s v="Electronics"/>
    <s v="Chair"/>
    <s v="Home"/>
    <x v="1"/>
    <n v="149.19999999999999"/>
    <s v="Misaligned"/>
    <s v="50-64 Boomers"/>
    <s v="Core Tier"/>
    <s v="Critical Risk"/>
  </r>
  <r>
    <s v="ORD6276"/>
    <s v="CUST2276"/>
    <n v="18"/>
    <s v="PROD1476"/>
    <s v="India"/>
    <s v="9/13/2022"/>
    <d v="2022-06-12T00:00:00"/>
    <n v="5"/>
    <s v="paused"/>
    <s v="5/24/2023"/>
    <s v=" $140.01 "/>
    <n v="6"/>
    <n v="19"/>
    <s v="Sports"/>
    <s v="Bluetooth Speaker"/>
    <s v="Electronics"/>
    <x v="0"/>
    <n v="840.06"/>
    <s v="Misaligned"/>
    <s v="18-24 Gen Z"/>
    <s v="High Value Tier"/>
    <s v="Elevated Risk"/>
  </r>
  <r>
    <s v="ORD6277"/>
    <s v="CUST2277"/>
    <n v="53"/>
    <s v="PROD1477"/>
    <s v="USA"/>
    <d v="2021-01-03T00:00:00"/>
    <s v="2/26/2024"/>
    <n v="2"/>
    <s v="active"/>
    <d v="2024-02-01T00:00:00"/>
    <s v=" $32.62 "/>
    <n v="5"/>
    <n v="18"/>
    <s v="Home"/>
    <s v="Camera"/>
    <s v="Electronics"/>
    <x v="1"/>
    <n v="163.1"/>
    <s v="Misaligned"/>
    <s v="50-64 Boomers"/>
    <s v="High Value Tier"/>
    <s v="Stable"/>
  </r>
  <r>
    <s v="ORD6278"/>
    <s v="CUST2278"/>
    <n v="34"/>
    <s v="PROD1478"/>
    <s v="UK"/>
    <s v="2/26/2023"/>
    <s v="1/26/2024"/>
    <n v="0"/>
    <s v="cancelled"/>
    <d v="2023-11-08T00:00:00"/>
    <s v=" $529.10 "/>
    <n v="3"/>
    <n v="32"/>
    <s v="Sports"/>
    <s v="Foundation"/>
    <s v="Beauty"/>
    <x v="0"/>
    <n v="1587.3"/>
    <s v="Misaligned"/>
    <s v="25-34 Millennials"/>
    <s v="High Value Tier"/>
    <s v="Stable"/>
  </r>
  <r>
    <s v="ORD6279"/>
    <s v="CUST2279"/>
    <n v="53"/>
    <s v="PROD1479"/>
    <s v="Canada"/>
    <s v="3/13/2023"/>
    <d v="2025-05-08T00:00:00"/>
    <n v="1"/>
    <s v="active"/>
    <s v="10/30/2024"/>
    <s v=" $10.29 "/>
    <n v="6"/>
    <n v="4"/>
    <s v="Home"/>
    <s v="Cycling Helmet"/>
    <s v="Sports"/>
    <x v="0"/>
    <n v="61.74"/>
    <s v="Misaligned"/>
    <s v="50-64 Boomers"/>
    <s v="Value Tier"/>
    <s v="Stable"/>
  </r>
  <r>
    <s v="ORD6280"/>
    <s v="CUST2280"/>
    <n v="41"/>
    <s v="PROD1480"/>
    <s v="Germany"/>
    <d v="2023-09-02T00:00:00"/>
    <d v="2024-09-10T00:00:00"/>
    <n v="1"/>
    <s v="active"/>
    <s v="6/29/2024"/>
    <s v=" $142.15 "/>
    <n v="8"/>
    <n v="21"/>
    <s v="Clothing"/>
    <s v="Hoodie"/>
    <s v="Clothing"/>
    <x v="1"/>
    <n v="1137.2"/>
    <s v="Aligned"/>
    <s v="35-49 Gen X"/>
    <s v="High Value Tier"/>
    <s v="Stable"/>
  </r>
  <r>
    <s v="ORD6281"/>
    <s v="CUST2281"/>
    <n v="27"/>
    <s v="PROD1481"/>
    <s v="Germany"/>
    <d v="2023-05-01T00:00:00"/>
    <s v="8/19/2025"/>
    <n v="2"/>
    <s v="active"/>
    <s v="11/18/2024"/>
    <s v=" $145.91 "/>
    <n v="9"/>
    <n v="4"/>
    <s v="Electronics"/>
    <s v="Smartwatch"/>
    <s v="Electronics"/>
    <x v="1"/>
    <n v="1313.19"/>
    <s v="Aligned"/>
    <s v="25-34 Millennials"/>
    <s v="High Value Tier"/>
    <s v="Stable"/>
  </r>
  <r>
    <s v="ORD6282"/>
    <s v="CUST2282"/>
    <n v="27"/>
    <s v="PROD1482"/>
    <s v="UK"/>
    <s v="7/24/2021"/>
    <d v="2024-08-08T00:00:00"/>
    <n v="0"/>
    <s v="active"/>
    <s v="8/21/2023"/>
    <s v=" $105.25 "/>
    <n v="5"/>
    <n v="36"/>
    <s v="Home"/>
    <s v="Hoodie"/>
    <s v="Clothing"/>
    <x v="0"/>
    <n v="526.25"/>
    <s v="Misaligned"/>
    <s v="25-34 Millennials"/>
    <s v="High Value Tier"/>
    <s v="Stable"/>
  </r>
  <r>
    <s v="ORD6283"/>
    <s v="CUST2283"/>
    <n v="52"/>
    <s v="PROD1483"/>
    <s v="Germany"/>
    <s v="1/13/2022"/>
    <s v="8/13/2023"/>
    <n v="1"/>
    <s v="active"/>
    <s v="8/17/2024"/>
    <s v=" $97.62 "/>
    <n v="6"/>
    <n v="33"/>
    <s v="Electronics"/>
    <s v="Blender"/>
    <s v="Home"/>
    <x v="1"/>
    <n v="585.72"/>
    <s v="Misaligned"/>
    <s v="50-64 Boomers"/>
    <s v="High Value Tier"/>
    <s v="Stable"/>
  </r>
  <r>
    <s v="ORD6284"/>
    <s v="CUST2284"/>
    <n v="46"/>
    <s v="PROD1484"/>
    <s v="India"/>
    <s v="9/30/2021"/>
    <s v="11/20/2024"/>
    <n v="2"/>
    <s v="active"/>
    <s v="2/21/2022"/>
    <s v=" $214.28 "/>
    <n v="9"/>
    <n v="28"/>
    <s v="Clothing"/>
    <s v="Gaming Console"/>
    <s v="Electronics"/>
    <x v="1"/>
    <n v="1928.52"/>
    <s v="Misaligned"/>
    <s v="35-49 Gen X"/>
    <s v="High Value Tier"/>
    <s v="Stable"/>
  </r>
  <r>
    <s v="ORD6285"/>
    <s v="CUST2285"/>
    <n v="26"/>
    <s v="PROD1485"/>
    <s v="UK"/>
    <s v="5/23/2022"/>
    <d v="2025-09-05T00:00:00"/>
    <n v="4"/>
    <s v="active"/>
    <s v="11/27/2023"/>
    <s v=" $203.87 "/>
    <n v="5"/>
    <n v="35"/>
    <s v="Home"/>
    <s v="Headphones"/>
    <s v="Electronics"/>
    <x v="1"/>
    <n v="1019.35"/>
    <s v="Misaligned"/>
    <s v="25-34 Millennials"/>
    <s v="High Value Tier"/>
    <s v="Critical Risk"/>
  </r>
  <r>
    <s v="ORD6286"/>
    <s v="CUST2286"/>
    <n v="56"/>
    <s v="PROD1486"/>
    <s v="UK"/>
    <d v="2021-10-06T00:00:00"/>
    <s v="10/24/2022"/>
    <n v="2"/>
    <s v="active"/>
    <d v="2024-03-01T00:00:00"/>
    <s v=" $104.25 "/>
    <n v="7"/>
    <n v="34"/>
    <s v="Beauty"/>
    <s v="Sneakers"/>
    <s v="Clothing"/>
    <x v="0"/>
    <n v="729.75"/>
    <s v="Misaligned"/>
    <s v="50-64 Boomers"/>
    <s v="High Value Tier"/>
    <s v="Stable"/>
  </r>
  <r>
    <s v="ORD6287"/>
    <s v="CUST2287"/>
    <n v="32"/>
    <s v="PROD1487"/>
    <s v="Canada"/>
    <d v="2021-01-05T00:00:00"/>
    <d v="2024-11-05T00:00:00"/>
    <n v="0"/>
    <s v="active"/>
    <d v="2024-10-01T00:00:00"/>
    <s v=" $42.20 "/>
    <n v="8"/>
    <n v="36"/>
    <s v="Beauty"/>
    <s v="Face Wash"/>
    <s v="Beauty"/>
    <x v="0"/>
    <n v="337.6"/>
    <s v="Aligned"/>
    <s v="25-34 Millennials"/>
    <s v="High Value Tier"/>
    <s v="Stable"/>
  </r>
  <r>
    <s v="ORD6288"/>
    <s v="CUST2288"/>
    <n v="69"/>
    <s v="PROD1488"/>
    <s v="India"/>
    <d v="2022-07-07T00:00:00"/>
    <s v="5/28/2023"/>
    <n v="2"/>
    <s v="cancelled"/>
    <s v="9/22/2024"/>
    <s v=" $417.98 "/>
    <n v="4"/>
    <n v="35"/>
    <s v="Sports"/>
    <s v="Perfume"/>
    <s v="Beauty"/>
    <x v="0"/>
    <n v="1671.92"/>
    <s v="Misaligned"/>
    <s v="65+ Seniors"/>
    <s v="High Value Tier"/>
    <s v="Stable"/>
  </r>
  <r>
    <s v="ORD6289"/>
    <s v="CUST2289"/>
    <n v="64"/>
    <s v="PROD1489"/>
    <s v="Pakistan"/>
    <d v="2023-04-03T00:00:00"/>
    <s v="9/26/2024"/>
    <n v="5"/>
    <s v="cancelled"/>
    <s v="10/21/2023"/>
    <s v=" $115.36 "/>
    <n v="6"/>
    <n v="5"/>
    <s v="Electronics"/>
    <s v="Camera"/>
    <s v="Electronics"/>
    <x v="0"/>
    <n v="692.16"/>
    <s v="Aligned"/>
    <s v="50-64 Boomers"/>
    <s v="High Value Tier"/>
    <s v="Stable"/>
  </r>
  <r>
    <s v="ORD6290"/>
    <s v="CUST2290"/>
    <n v="24"/>
    <s v="PROD1490"/>
    <s v="Pakistan"/>
    <s v="6/18/2022"/>
    <s v="5/29/2024"/>
    <n v="3"/>
    <s v="paused"/>
    <d v="2023-01-03T00:00:00"/>
    <s v=" $51.56 "/>
    <n v="6"/>
    <n v="27"/>
    <s v="Home"/>
    <s v="Dining Table"/>
    <s v="Home"/>
    <x v="0"/>
    <n v="309.36"/>
    <s v="Aligned"/>
    <s v="18-24 Gen Z"/>
    <s v="High Value Tier"/>
    <s v="Elevated Risk"/>
  </r>
  <r>
    <s v="ORD6291"/>
    <s v="CUST2291"/>
    <n v="18"/>
    <s v="PROD1491"/>
    <s v="Germany"/>
    <d v="2022-10-08T00:00:00"/>
    <d v="2023-05-07T00:00:00"/>
    <n v="5"/>
    <s v="cancelled"/>
    <s v="6/16/2024"/>
    <s v=" $201.74 "/>
    <n v="4"/>
    <n v="19"/>
    <s v="Sports"/>
    <s v="T-Shirt"/>
    <s v="Clothing"/>
    <x v="1"/>
    <n v="806.96"/>
    <s v="Misaligned"/>
    <s v="18-24 Gen Z"/>
    <s v="High Value Tier"/>
    <s v="Stable"/>
  </r>
  <r>
    <s v="ORD6292"/>
    <s v="CUST2292"/>
    <n v="19"/>
    <s v="PROD1492"/>
    <s v="Canada"/>
    <s v="11/17/2021"/>
    <s v="2/17/2023"/>
    <n v="1"/>
    <s v="active"/>
    <d v="2023-12-06T00:00:00"/>
    <s v=" $5.47 "/>
    <n v="5"/>
    <n v="39"/>
    <s v="Home"/>
    <s v="Shirt"/>
    <s v="Clothing"/>
    <x v="0"/>
    <n v="27.35"/>
    <s v="Misaligned"/>
    <s v="18-24 Gen Z"/>
    <s v="Core Tier"/>
    <s v="Stable"/>
  </r>
  <r>
    <s v="ORD6293"/>
    <s v="CUST2293"/>
    <n v="59"/>
    <s v="PROD1493"/>
    <s v="USA"/>
    <s v="11/22/2020"/>
    <d v="2022-06-12T00:00:00"/>
    <n v="2"/>
    <s v="cancelled"/>
    <d v="2021-07-07T00:00:00"/>
    <s v=" $90.05 "/>
    <n v="9"/>
    <n v="26"/>
    <s v="Sports"/>
    <s v="Microwave"/>
    <s v="Home"/>
    <x v="0"/>
    <n v="810.45"/>
    <s v="Misaligned"/>
    <s v="50-64 Boomers"/>
    <s v="High Value Tier"/>
    <s v="Stable"/>
  </r>
  <r>
    <s v="ORD6294"/>
    <s v="CUST2294"/>
    <n v="19"/>
    <s v="PROD1494"/>
    <s v="UK"/>
    <s v="3/29/2023"/>
    <d v="2025-06-01T00:00:00"/>
    <n v="2"/>
    <s v="active"/>
    <d v="2025-02-06T00:00:00"/>
    <s v=" $96.80 "/>
    <n v="6"/>
    <n v="32"/>
    <s v="Clothing"/>
    <s v="Jeans"/>
    <s v="Clothing"/>
    <x v="0"/>
    <n v="580.79999999999995"/>
    <s v="Aligned"/>
    <s v="18-24 Gen Z"/>
    <s v="High Value Tier"/>
    <s v="Stable"/>
  </r>
  <r>
    <s v="ORD6295"/>
    <s v="CUST2295"/>
    <n v="31"/>
    <s v="PROD1495"/>
    <s v="Pakistan"/>
    <s v="5/25/2021"/>
    <s v="5/20/2024"/>
    <n v="4"/>
    <s v="active"/>
    <s v="12/30/2022"/>
    <s v=" $242.91 "/>
    <n v="6"/>
    <n v="40"/>
    <s v="Beauty"/>
    <s v="Sneakers"/>
    <s v="Clothing"/>
    <x v="1"/>
    <n v="1457.46"/>
    <s v="Misaligned"/>
    <s v="25-34 Millennials"/>
    <s v="High Value Tier"/>
    <s v="Critical Risk"/>
  </r>
  <r>
    <s v="ORD6296"/>
    <s v="CUST2296"/>
    <n v="66"/>
    <s v="PROD1496"/>
    <s v="India"/>
    <d v="2022-02-04T00:00:00"/>
    <s v="5/26/2024"/>
    <n v="3"/>
    <s v="active"/>
    <s v="7/25/2022"/>
    <s v=" $346.43 "/>
    <n v="4"/>
    <n v="10"/>
    <s v="Sports"/>
    <s v="Smartwatch"/>
    <s v="Electronics"/>
    <x v="1"/>
    <n v="1385.72"/>
    <s v="Misaligned"/>
    <s v="65+ Seniors"/>
    <s v="High Value Tier"/>
    <s v="Stable"/>
  </r>
  <r>
    <s v="ORD6297"/>
    <s v="CUST2297"/>
    <n v="63"/>
    <s v="PROD1497"/>
    <s v="Germany"/>
    <d v="2022-05-12T00:00:00"/>
    <d v="2025-05-03T00:00:00"/>
    <n v="1"/>
    <s v="active"/>
    <s v="9/13/2024"/>
    <s v=" $272.76 "/>
    <n v="5"/>
    <n v="30"/>
    <s v="Home"/>
    <s v="Dress"/>
    <s v="Clothing"/>
    <x v="0"/>
    <n v="1363.8"/>
    <s v="Misaligned"/>
    <s v="50-64 Boomers"/>
    <s v="High Value Tier"/>
    <s v="Stable"/>
  </r>
  <r>
    <s v="ORD6298"/>
    <s v="CUST2298"/>
    <n v="56"/>
    <s v="PROD1498"/>
    <s v="Canada"/>
    <d v="2021-09-10T00:00:00"/>
    <s v="3/17/2024"/>
    <n v="0"/>
    <s v="paused"/>
    <s v="1/21/2025"/>
    <s v=" $125.70 "/>
    <n v="2"/>
    <n v="16"/>
    <s v="Electronics"/>
    <s v="Yoga Mat"/>
    <s v="Sports"/>
    <x v="0"/>
    <n v="251.4"/>
    <s v="Misaligned"/>
    <s v="50-64 Boomers"/>
    <s v="High Value Tier"/>
    <s v="Elevated Risk"/>
  </r>
  <r>
    <s v="ORD6299"/>
    <s v="CUST2299"/>
    <n v="33"/>
    <s v="PROD1499"/>
    <s v="USA"/>
    <s v="2/15/2022"/>
    <s v="1/14/2023"/>
    <n v="2"/>
    <s v="active"/>
    <d v="2024-06-04T00:00:00"/>
    <s v=" $71.60 "/>
    <n v="8"/>
    <n v="13"/>
    <s v="Electronics"/>
    <s v="Foundation"/>
    <s v="Beauty"/>
    <x v="0"/>
    <n v="572.79999999999995"/>
    <s v="Misaligned"/>
    <s v="25-34 Millennials"/>
    <s v="High Value Tier"/>
    <s v="Stable"/>
  </r>
  <r>
    <s v="ORD6300"/>
    <s v="CUST2300"/>
    <n v="22"/>
    <s v="PROD1500"/>
    <s v="Pakistan"/>
    <d v="2022-05-11T00:00:00"/>
    <d v="2023-04-06T00:00:00"/>
    <n v="1"/>
    <s v="cancelled"/>
    <d v="2024-01-08T00:00:00"/>
    <s v=" $182.98 "/>
    <n v="4"/>
    <n v="36"/>
    <s v="Home"/>
    <s v="Running Shoes"/>
    <s v="Sports"/>
    <x v="0"/>
    <n v="731.92"/>
    <s v="Misaligned"/>
    <s v="18-24 Gen Z"/>
    <s v="High Value Tier"/>
    <s v="Stable"/>
  </r>
  <r>
    <s v="ORD6301"/>
    <s v="CUST2301"/>
    <n v="44"/>
    <s v="PROD1501"/>
    <s v="USA"/>
    <s v="10/17/2022"/>
    <s v="12/17/2023"/>
    <n v="2"/>
    <s v="cancelled"/>
    <d v="2024-12-02T00:00:00"/>
    <s v=" $45.81 "/>
    <n v="1"/>
    <n v="18"/>
    <s v="Electronics"/>
    <s v="Face Wash"/>
    <s v="Beauty"/>
    <x v="1"/>
    <n v="45.81"/>
    <s v="Misaligned"/>
    <s v="35-49 Gen X"/>
    <s v="Core Tier"/>
    <s v="Stable"/>
  </r>
  <r>
    <s v="ORD6302"/>
    <s v="CUST2302"/>
    <n v="49"/>
    <s v="PROD1502"/>
    <s v="India"/>
    <d v="2020-08-10T00:00:00"/>
    <s v="11/19/2022"/>
    <n v="3"/>
    <s v="active"/>
    <d v="2024-03-07T00:00:00"/>
    <s v=" $221.45 "/>
    <n v="6"/>
    <n v="29"/>
    <s v="Home"/>
    <s v="Bluetooth Speaker"/>
    <s v="Electronics"/>
    <x v="1"/>
    <n v="1328.7"/>
    <s v="Misaligned"/>
    <s v="35-49 Gen X"/>
    <s v="High Value Tier"/>
    <s v="Stable"/>
  </r>
  <r>
    <s v="ORD6303"/>
    <s v="CUST2303"/>
    <n v="24"/>
    <s v="PROD1503"/>
    <s v="Canada"/>
    <s v="3/24/2022"/>
    <s v="1/13/2024"/>
    <n v="1"/>
    <s v="cancelled"/>
    <s v="3/24/2022"/>
    <s v=" $185.94 "/>
    <n v="8"/>
    <n v="4"/>
    <s v="Home"/>
    <s v="Lipstick"/>
    <s v="Beauty"/>
    <x v="0"/>
    <n v="1487.52"/>
    <s v="Misaligned"/>
    <s v="18-24 Gen Z"/>
    <s v="High Value Tier"/>
    <s v="Stable"/>
  </r>
  <r>
    <s v="ORD6304"/>
    <s v="CUST2304"/>
    <n v="57"/>
    <s v="PROD1504"/>
    <s v="USA"/>
    <d v="2020-03-09T00:00:00"/>
    <s v="2/22/2022"/>
    <n v="4"/>
    <s v="active"/>
    <d v="2021-02-11T00:00:00"/>
    <s v=" $842.30 "/>
    <n v="2"/>
    <n v="11"/>
    <s v="Home"/>
    <s v="Jacket"/>
    <s v="Clothing"/>
    <x v="0"/>
    <n v="1684.6"/>
    <s v="Misaligned"/>
    <s v="50-64 Boomers"/>
    <s v="High Value Tier"/>
    <s v="Critical Risk"/>
  </r>
  <r>
    <s v="ORD6305"/>
    <s v="CUST2305"/>
    <n v="19"/>
    <s v="PROD1505"/>
    <s v="Canada"/>
    <d v="2021-03-04T00:00:00"/>
    <d v="2022-08-05T00:00:00"/>
    <n v="5"/>
    <s v="active"/>
    <s v="3/16/2023"/>
    <s v=" $1,871.19 "/>
    <n v="1"/>
    <n v="13"/>
    <s v="Electronics"/>
    <s v="Skirt"/>
    <s v="Clothing"/>
    <x v="1"/>
    <n v="1871.19"/>
    <s v="Misaligned"/>
    <s v="18-24 Gen Z"/>
    <s v="High Value Tier"/>
    <s v="Critical Risk"/>
  </r>
  <r>
    <s v="ORD6306"/>
    <s v="CUST2306"/>
    <n v="37"/>
    <s v="PROD1506"/>
    <s v="USA"/>
    <d v="2023-11-07T00:00:00"/>
    <s v="12/18/2024"/>
    <n v="5"/>
    <s v="active"/>
    <s v="9/19/2023"/>
    <s v=" $618.69 "/>
    <n v="2"/>
    <n v="2"/>
    <s v="Clothing"/>
    <s v="Camera"/>
    <s v="Electronics"/>
    <x v="1"/>
    <n v="1237.3800000000001"/>
    <s v="Misaligned"/>
    <s v="35-49 Gen X"/>
    <s v="Core Tier"/>
    <s v="Critical Risk"/>
  </r>
  <r>
    <s v="ORD6307"/>
    <s v="CUST2307"/>
    <n v="58"/>
    <s v="PROD1507"/>
    <s v="Canada"/>
    <d v="2021-07-01T00:00:00"/>
    <s v="11/28/2021"/>
    <n v="4"/>
    <s v="cancelled"/>
    <d v="2021-08-04T00:00:00"/>
    <s v=" $165.97 "/>
    <n v="7"/>
    <n v="22"/>
    <s v="Home"/>
    <s v="Cricket Bat"/>
    <s v="Sports"/>
    <x v="0"/>
    <n v="1161.79"/>
    <s v="Misaligned"/>
    <s v="50-64 Boomers"/>
    <s v="High Value Tier"/>
    <s v="Stable"/>
  </r>
  <r>
    <s v="ORD6308"/>
    <s v="CUST2308"/>
    <n v="27"/>
    <s v="PROD1508"/>
    <s v="USA"/>
    <s v="7/25/2022"/>
    <s v="11/20/2023"/>
    <n v="1"/>
    <s v="cancelled"/>
    <s v="3/15/2024"/>
    <s v=" $241.95 "/>
    <n v="7"/>
    <n v="20"/>
    <s v="Clothing"/>
    <s v="Smartphone"/>
    <s v="Electronics"/>
    <x v="0"/>
    <n v="1693.65"/>
    <s v="Misaligned"/>
    <s v="25-34 Millennials"/>
    <s v="High Value Tier"/>
    <s v="Stable"/>
  </r>
  <r>
    <s v="ORD6309"/>
    <s v="CUST2309"/>
    <n v="67"/>
    <s v="PROD1509"/>
    <s v="UK"/>
    <s v="7/31/2022"/>
    <d v="2024-09-07T00:00:00"/>
    <n v="3"/>
    <s v="active"/>
    <s v="8/25/2023"/>
    <s v=" $207.24 "/>
    <n v="8"/>
    <n v="6"/>
    <s v="Sports"/>
    <s v="Basketball"/>
    <s v="Sports"/>
    <x v="1"/>
    <n v="1657.92"/>
    <s v="Aligned"/>
    <s v="65+ Seniors"/>
    <s v="High Value Tier"/>
    <s v="Stable"/>
  </r>
  <r>
    <s v="ORD6310"/>
    <s v="CUST2310"/>
    <n v="27"/>
    <s v="PROD1510"/>
    <s v="Canada"/>
    <s v="4/16/2023"/>
    <d v="2024-07-03T00:00:00"/>
    <n v="3"/>
    <s v="active"/>
    <s v="12/20/2023"/>
    <s v=" $428.21 "/>
    <n v="3"/>
    <n v="47"/>
    <s v="Home"/>
    <s v="Gaming Console"/>
    <s v="Electronics"/>
    <x v="1"/>
    <n v="1284.6300000000001"/>
    <s v="Misaligned"/>
    <s v="25-34 Millennials"/>
    <s v="High Value Tier"/>
    <s v="Stable"/>
  </r>
  <r>
    <s v="ORD6311"/>
    <s v="CUST2311"/>
    <n v="27"/>
    <s v="PROD1511"/>
    <s v="USA"/>
    <s v="11/22/2021"/>
    <d v="2024-10-08T00:00:00"/>
    <n v="5"/>
    <s v="paused"/>
    <d v="2022-01-03T00:00:00"/>
    <s v=" $224.13 "/>
    <n v="7"/>
    <n v="34"/>
    <s v="Beauty"/>
    <s v="Refrigerator"/>
    <s v="Home"/>
    <x v="1"/>
    <n v="1568.91"/>
    <s v="Misaligned"/>
    <s v="25-34 Millennials"/>
    <s v="High Value Tier"/>
    <s v="Elevated Risk"/>
  </r>
  <r>
    <s v="ORD6312"/>
    <s v="CUST2312"/>
    <n v="61"/>
    <s v="PROD1512"/>
    <s v="Pakistan"/>
    <d v="2023-12-07T00:00:00"/>
    <s v="4/16/2025"/>
    <n v="5"/>
    <s v="active"/>
    <s v="3/17/2025"/>
    <s v=" $77.19 "/>
    <n v="8"/>
    <n v="19"/>
    <s v="Sports"/>
    <s v="Moisturizer"/>
    <s v="Beauty"/>
    <x v="0"/>
    <n v="617.52"/>
    <s v="Misaligned"/>
    <s v="50-64 Boomers"/>
    <s v="High Value Tier"/>
    <s v="Critical Risk"/>
  </r>
  <r>
    <s v="ORD6313"/>
    <s v="CUST2313"/>
    <n v="19"/>
    <s v="PROD1513"/>
    <s v="USA"/>
    <d v="2021-09-10T00:00:00"/>
    <d v="2024-05-09T00:00:00"/>
    <n v="3"/>
    <s v="cancelled"/>
    <s v="3/13/2024"/>
    <s v=" $64.16 "/>
    <n v="2"/>
    <n v="25"/>
    <s v="Clothing"/>
    <s v="Tennis Racket"/>
    <s v="Sports"/>
    <x v="0"/>
    <n v="128.32"/>
    <s v="Misaligned"/>
    <s v="18-24 Gen Z"/>
    <s v="High Value Tier"/>
    <s v="Stable"/>
  </r>
  <r>
    <s v="ORD6314"/>
    <s v="CUST2314"/>
    <n v="25"/>
    <s v="PROD1514"/>
    <s v="Pakistan"/>
    <s v="6/27/2022"/>
    <d v="2025-12-07T00:00:00"/>
    <n v="4"/>
    <s v="cancelled"/>
    <s v="5/16/2024"/>
    <s v=" $618.94 "/>
    <n v="3"/>
    <n v="18"/>
    <s v="Home"/>
    <s v="Dining Table"/>
    <s v="Home"/>
    <x v="1"/>
    <n v="1856.82"/>
    <s v="Aligned"/>
    <s v="25-34 Millennials"/>
    <s v="High Value Tier"/>
    <s v="Stable"/>
  </r>
  <r>
    <s v="ORD6315"/>
    <s v="CUST2315"/>
    <n v="29"/>
    <s v="PROD1515"/>
    <s v="USA"/>
    <d v="2022-03-09T00:00:00"/>
    <s v="8/18/2025"/>
    <n v="1"/>
    <s v="cancelled"/>
    <s v="10/26/2023"/>
    <s v=" $86.78 "/>
    <n v="5"/>
    <n v="6"/>
    <s v="Home"/>
    <s v="Dumbbells"/>
    <s v="Sports"/>
    <x v="1"/>
    <n v="433.9"/>
    <s v="Misaligned"/>
    <s v="25-34 Millennials"/>
    <s v="High Value Tier"/>
    <s v="Stable"/>
  </r>
  <r>
    <s v="ORD6316"/>
    <s v="CUST2316"/>
    <n v="52"/>
    <s v="PROD1516"/>
    <s v="India"/>
    <d v="2021-07-10T00:00:00"/>
    <s v="7/18/2022"/>
    <n v="3"/>
    <s v="active"/>
    <d v="2024-09-05T00:00:00"/>
    <s v=" $266.00 "/>
    <n v="6"/>
    <n v="8"/>
    <s v="Beauty"/>
    <s v="Sofa"/>
    <s v="Home"/>
    <x v="1"/>
    <n v="1596"/>
    <s v="Misaligned"/>
    <s v="50-64 Boomers"/>
    <s v="High Value Tier"/>
    <s v="Stable"/>
  </r>
  <r>
    <s v="ORD6317"/>
    <s v="CUST2317"/>
    <n v="64"/>
    <s v="PROD1517"/>
    <s v="Germany"/>
    <d v="2021-04-04T00:00:00"/>
    <d v="2022-02-03T00:00:00"/>
    <n v="0"/>
    <s v="paused"/>
    <s v="1/26/2024"/>
    <s v=" $195.92 "/>
    <n v="6"/>
    <n v="29"/>
    <s v="Clothing"/>
    <s v="Laptop"/>
    <s v="Electronics"/>
    <x v="0"/>
    <n v="1175.52"/>
    <s v="Misaligned"/>
    <s v="50-64 Boomers"/>
    <s v="High Value Tier"/>
    <s v="Elevated Risk"/>
  </r>
  <r>
    <s v="ORD6318"/>
    <s v="CUST2318"/>
    <n v="50"/>
    <s v="PROD1518"/>
    <s v="USA"/>
    <d v="2021-08-03T00:00:00"/>
    <s v="6/21/2023"/>
    <n v="2"/>
    <s v="cancelled"/>
    <s v="10/15/2023"/>
    <s v=" $136.75 "/>
    <n v="9"/>
    <n v="25"/>
    <s v="Clothing"/>
    <s v="Shirt"/>
    <s v="Clothing"/>
    <x v="0"/>
    <n v="1230.75"/>
    <s v="Aligned"/>
    <s v="50-64 Boomers"/>
    <s v="High Value Tier"/>
    <s v="Stable"/>
  </r>
  <r>
    <s v="ORD6319"/>
    <s v="CUST2319"/>
    <n v="26"/>
    <s v="PROD1519"/>
    <s v="UK"/>
    <d v="2021-01-11T00:00:00"/>
    <s v="8/28/2022"/>
    <n v="4"/>
    <s v="active"/>
    <s v="5/20/2025"/>
    <s v=" $7.43 "/>
    <n v="3"/>
    <n v="23"/>
    <s v="Home"/>
    <s v="Smartwatch"/>
    <s v="Electronics"/>
    <x v="2"/>
    <n v="22.29"/>
    <s v="Misaligned"/>
    <s v="25-34 Millennials"/>
    <s v="Value Tier"/>
    <s v="Critical Risk"/>
  </r>
  <r>
    <s v="ORD6320"/>
    <s v="CUST2320"/>
    <n v="53"/>
    <s v="PROD1520"/>
    <s v="Germany"/>
    <s v="4/30/2023"/>
    <s v="3/15/2025"/>
    <n v="0"/>
    <s v="active"/>
    <s v="1/19/2025"/>
    <s v=" $691.59 "/>
    <n v="2"/>
    <n v="43"/>
    <s v="Beauty"/>
    <s v="Microwave"/>
    <s v="Home"/>
    <x v="1"/>
    <n v="1383.18"/>
    <s v="Misaligned"/>
    <s v="50-64 Boomers"/>
    <s v="High Value Tier"/>
    <s v="Stable"/>
  </r>
  <r>
    <s v="ORD6321"/>
    <s v="CUST2321"/>
    <n v="20"/>
    <s v="PROD1521"/>
    <s v="Pakistan"/>
    <s v="8/29/2021"/>
    <s v="3/29/2022"/>
    <n v="0"/>
    <s v="active"/>
    <d v="2022-02-10T00:00:00"/>
    <s v=" $500.26 "/>
    <n v="2"/>
    <n v="12"/>
    <s v="Home"/>
    <s v="Sofa"/>
    <s v="Home"/>
    <x v="1"/>
    <n v="1000.52"/>
    <s v="Aligned"/>
    <s v="18-24 Gen Z"/>
    <s v="High Value Tier"/>
    <s v="Stable"/>
  </r>
  <r>
    <s v="ORD6322"/>
    <s v="CUST2322"/>
    <n v="23"/>
    <s v="PROD1522"/>
    <s v="Canada"/>
    <d v="2022-09-07T00:00:00"/>
    <d v="2023-05-05T00:00:00"/>
    <n v="4"/>
    <s v="cancelled"/>
    <s v="10/13/2024"/>
    <s v=" $221.95 "/>
    <n v="8"/>
    <n v="7"/>
    <s v="Sports"/>
    <s v="Sofa"/>
    <s v="Home"/>
    <x v="1"/>
    <n v="1775.6"/>
    <s v="Misaligned"/>
    <s v="18-24 Gen Z"/>
    <s v="High Value Tier"/>
    <s v="Stable"/>
  </r>
  <r>
    <s v="ORD6323"/>
    <s v="CUST2323"/>
    <n v="31"/>
    <s v="PROD1523"/>
    <s v="India"/>
    <d v="2023-07-05T00:00:00"/>
    <s v="8/15/2024"/>
    <n v="2"/>
    <s v="active"/>
    <s v="11/25/2023"/>
    <s v=" $381.19 "/>
    <n v="3"/>
    <n v="20"/>
    <s v="Beauty"/>
    <s v="Running Shoes"/>
    <s v="Sports"/>
    <x v="1"/>
    <n v="1143.57"/>
    <s v="Misaligned"/>
    <s v="25-34 Millennials"/>
    <s v="High Value Tier"/>
    <s v="Stable"/>
  </r>
  <r>
    <s v="ORD6324"/>
    <s v="CUST2324"/>
    <n v="26"/>
    <s v="PROD1524"/>
    <s v="Germany"/>
    <s v="5/23/2021"/>
    <s v="8/20/2023"/>
    <n v="5"/>
    <s v="active"/>
    <d v="2024-04-06T00:00:00"/>
    <s v=" $255.16 "/>
    <n v="1"/>
    <n v="15"/>
    <s v="Clothing"/>
    <s v="Smartwatch"/>
    <s v="Electronics"/>
    <x v="1"/>
    <n v="255.16"/>
    <s v="Misaligned"/>
    <s v="25-34 Millennials"/>
    <s v="High Value Tier"/>
    <s v="Critical Risk"/>
  </r>
  <r>
    <s v="ORD6325"/>
    <s v="CUST2325"/>
    <n v="21"/>
    <s v="PROD1525"/>
    <s v="UK"/>
    <d v="2021-08-09T00:00:00"/>
    <s v="12/20/2021"/>
    <n v="5"/>
    <s v="cancelled"/>
    <s v="10/18/2023"/>
    <s v=" $197.79 "/>
    <n v="7"/>
    <n v="48"/>
    <s v="Clothing"/>
    <s v="Lipstick"/>
    <s v="Beauty"/>
    <x v="1"/>
    <n v="1384.53"/>
    <s v="Misaligned"/>
    <s v="18-24 Gen Z"/>
    <s v="High Value Tier"/>
    <s v="Stable"/>
  </r>
  <r>
    <s v="ORD6326"/>
    <s v="CUST2326"/>
    <n v="49"/>
    <s v="PROD1526"/>
    <s v="Germany"/>
    <s v="3/13/2021"/>
    <d v="2024-10-04T00:00:00"/>
    <n v="0"/>
    <s v="paused"/>
    <s v="1/29/2023"/>
    <s v=" $147.52 "/>
    <n v="7"/>
    <n v="10"/>
    <s v="Beauty"/>
    <s v="Face Wash"/>
    <s v="Beauty"/>
    <x v="0"/>
    <n v="1032.6400000000001"/>
    <s v="Aligned"/>
    <s v="35-49 Gen X"/>
    <s v="High Value Tier"/>
    <s v="Elevated Risk"/>
  </r>
  <r>
    <s v="ORD6327"/>
    <s v="CUST2327"/>
    <n v="58"/>
    <s v="PROD1527"/>
    <s v="Pakistan"/>
    <d v="2021-11-08T00:00:00"/>
    <s v="5/16/2023"/>
    <n v="3"/>
    <s v="active"/>
    <s v="7/24/2022"/>
    <s v=" $65.92 "/>
    <n v="4"/>
    <n v="29"/>
    <s v="Clothing"/>
    <s v="Perfume"/>
    <s v="Beauty"/>
    <x v="0"/>
    <n v="263.68"/>
    <s v="Misaligned"/>
    <s v="50-64 Boomers"/>
    <s v="High Value Tier"/>
    <s v="Stable"/>
  </r>
  <r>
    <s v="ORD6328"/>
    <s v="CUST2328"/>
    <n v="18"/>
    <s v="PROD1528"/>
    <s v="USA"/>
    <d v="2022-06-09T00:00:00"/>
    <d v="2025-04-06T00:00:00"/>
    <n v="5"/>
    <s v="active"/>
    <s v="11/28/2023"/>
    <s v=" $949.40 "/>
    <n v="2"/>
    <n v="13"/>
    <s v="Home"/>
    <s v="Refrigerator"/>
    <s v="Home"/>
    <x v="0"/>
    <n v="1898.8"/>
    <s v="Aligned"/>
    <s v="18-24 Gen Z"/>
    <s v="High Value Tier"/>
    <s v="Critical Risk"/>
  </r>
  <r>
    <s v="ORD6329"/>
    <s v="CUST2329"/>
    <n v="30"/>
    <s v="PROD1529"/>
    <s v="USA"/>
    <d v="2022-12-10T00:00:00"/>
    <d v="2023-02-05T00:00:00"/>
    <n v="4"/>
    <s v="active"/>
    <s v="9/24/2023"/>
    <s v=" $1,629.13 "/>
    <n v="1"/>
    <n v="35"/>
    <s v="Clothing"/>
    <s v="Camera"/>
    <s v="Electronics"/>
    <x v="0"/>
    <n v="1629.13"/>
    <s v="Misaligned"/>
    <s v="25-34 Millennials"/>
    <s v="High Value Tier"/>
    <s v="Critical Risk"/>
  </r>
  <r>
    <s v="ORD6330"/>
    <s v="CUST2330"/>
    <n v="23"/>
    <s v="PROD1530"/>
    <s v="Pakistan"/>
    <d v="2020-06-12T00:00:00"/>
    <d v="2025-10-02T00:00:00"/>
    <n v="4"/>
    <s v="active"/>
    <d v="2024-11-05T00:00:00"/>
    <s v=" $110.64 "/>
    <n v="5"/>
    <n v="44"/>
    <s v="Home"/>
    <s v="Shirt"/>
    <s v="Clothing"/>
    <x v="1"/>
    <n v="553.20000000000005"/>
    <s v="Misaligned"/>
    <s v="18-24 Gen Z"/>
    <s v="High Value Tier"/>
    <s v="Critical Risk"/>
  </r>
  <r>
    <s v="ORD6331"/>
    <s v="CUST2331"/>
    <n v="52"/>
    <s v="PROD1531"/>
    <s v="Canada"/>
    <s v="2/22/2023"/>
    <s v="5/25/2025"/>
    <n v="2"/>
    <s v="paused"/>
    <d v="2024-07-07T00:00:00"/>
    <s v=" $119.46 "/>
    <n v="7"/>
    <n v="30"/>
    <s v="Beauty"/>
    <s v="Running Shoes"/>
    <s v="Sports"/>
    <x v="1"/>
    <n v="836.22"/>
    <s v="Misaligned"/>
    <s v="50-64 Boomers"/>
    <s v="High Value Tier"/>
    <s v="Elevated Risk"/>
  </r>
  <r>
    <s v="ORD6332"/>
    <s v="CUST2332"/>
    <n v="49"/>
    <s v="PROD1532"/>
    <s v="Pakistan"/>
    <s v="12/13/2020"/>
    <s v="1/23/2022"/>
    <n v="4"/>
    <s v="cancelled"/>
    <s v="2/18/2025"/>
    <s v=" $258.65 "/>
    <n v="2"/>
    <n v="36"/>
    <s v="Clothing"/>
    <s v="Vacuum Cleaner"/>
    <s v="Home"/>
    <x v="0"/>
    <n v="517.29999999999995"/>
    <s v="Misaligned"/>
    <s v="35-49 Gen X"/>
    <s v="High Value Tier"/>
    <s v="Stable"/>
  </r>
  <r>
    <s v="ORD6333"/>
    <s v="CUST2333"/>
    <n v="55"/>
    <s v="PROD1533"/>
    <s v="UK"/>
    <d v="2020-10-09T00:00:00"/>
    <d v="2022-12-12T00:00:00"/>
    <n v="1"/>
    <s v="active"/>
    <s v="6/20/2021"/>
    <s v=" $690.54 "/>
    <n v="2"/>
    <n v="34"/>
    <s v="Sports"/>
    <s v="Jeans"/>
    <s v="Clothing"/>
    <x v="1"/>
    <n v="1381.08"/>
    <s v="Misaligned"/>
    <s v="50-64 Boomers"/>
    <s v="High Value Tier"/>
    <s v="Stable"/>
  </r>
  <r>
    <s v="ORD6334"/>
    <s v="CUST2334"/>
    <n v="36"/>
    <s v="PROD1534"/>
    <s v="India"/>
    <s v="2/24/2022"/>
    <d v="2024-09-09T00:00:00"/>
    <n v="3"/>
    <s v="active"/>
    <s v="1/25/2024"/>
    <s v=" $68.17 "/>
    <n v="8"/>
    <n v="43"/>
    <s v="Clothing"/>
    <s v="Sneakers"/>
    <s v="Clothing"/>
    <x v="2"/>
    <n v="545.36"/>
    <s v="Aligned"/>
    <s v="35-49 Gen X"/>
    <s v="High Value Tier"/>
    <s v="Stable"/>
  </r>
  <r>
    <s v="ORD6335"/>
    <s v="CUST2335"/>
    <n v="65"/>
    <s v="PROD1535"/>
    <s v="USA"/>
    <d v="2022-09-08T00:00:00"/>
    <d v="2023-05-06T00:00:00"/>
    <n v="4"/>
    <s v="active"/>
    <d v="2025-08-01T00:00:00"/>
    <s v=" $172.68 "/>
    <n v="2"/>
    <n v="2"/>
    <s v="Home"/>
    <s v="Yoga Mat"/>
    <s v="Sports"/>
    <x v="1"/>
    <n v="345.36"/>
    <s v="Misaligned"/>
    <s v="65+ Seniors"/>
    <s v="Value Tier"/>
    <s v="Critical Risk"/>
  </r>
  <r>
    <s v="ORD6336"/>
    <s v="CUST2336"/>
    <n v="54"/>
    <s v="PROD1536"/>
    <s v="Pakistan"/>
    <s v="9/15/2020"/>
    <d v="2024-09-03T00:00:00"/>
    <n v="3"/>
    <s v="cancelled"/>
    <d v="2023-03-03T00:00:00"/>
    <s v=" $330.61 "/>
    <n v="6"/>
    <n v="6"/>
    <s v="Electronics"/>
    <s v="Sofa"/>
    <s v="Home"/>
    <x v="0"/>
    <n v="1983.66"/>
    <s v="Misaligned"/>
    <s v="50-64 Boomers"/>
    <s v="High Value Tier"/>
    <s v="Stable"/>
  </r>
  <r>
    <s v="ORD6337"/>
    <s v="CUST2337"/>
    <n v="57"/>
    <s v="PROD1537"/>
    <s v="Pakistan"/>
    <d v="2021-01-04T00:00:00"/>
    <s v="7/16/2025"/>
    <n v="2"/>
    <s v="cancelled"/>
    <s v="9/27/2022"/>
    <s v=" $71.44 "/>
    <n v="9"/>
    <n v="21"/>
    <s v="Beauty"/>
    <s v="Sofa"/>
    <s v="Home"/>
    <x v="0"/>
    <n v="642.96"/>
    <s v="Misaligned"/>
    <s v="50-64 Boomers"/>
    <s v="High Value Tier"/>
    <s v="Stable"/>
  </r>
  <r>
    <s v="ORD6338"/>
    <s v="CUST2338"/>
    <n v="19"/>
    <s v="PROD1538"/>
    <s v="UK"/>
    <s v="7/31/2021"/>
    <d v="2023-02-05T00:00:00"/>
    <n v="2"/>
    <s v="paused"/>
    <s v="9/30/2023"/>
    <s v=" $253.84 "/>
    <n v="7"/>
    <n v="14"/>
    <s v="Electronics"/>
    <s v="Hoodie"/>
    <s v="Clothing"/>
    <x v="1"/>
    <n v="1776.88"/>
    <s v="Misaligned"/>
    <s v="18-24 Gen Z"/>
    <s v="High Value Tier"/>
    <s v="Elevated Risk"/>
  </r>
  <r>
    <s v="ORD6339"/>
    <s v="CUST2339"/>
    <n v="56"/>
    <s v="PROD1539"/>
    <s v="India"/>
    <s v="9/16/2021"/>
    <s v="5/22/2025"/>
    <n v="5"/>
    <s v="active"/>
    <d v="2024-02-05T00:00:00"/>
    <s v=" $309.98 "/>
    <n v="6"/>
    <n v="46"/>
    <s v="Beauty"/>
    <s v="Tennis Racket"/>
    <s v="Sports"/>
    <x v="1"/>
    <n v="1859.88"/>
    <s v="Misaligned"/>
    <s v="50-64 Boomers"/>
    <s v="High Value Tier"/>
    <s v="Critical Risk"/>
  </r>
  <r>
    <s v="ORD6340"/>
    <s v="CUST2340"/>
    <n v="39"/>
    <s v="PROD1540"/>
    <s v="Canada"/>
    <s v="6/19/2021"/>
    <d v="2022-07-02T00:00:00"/>
    <n v="3"/>
    <s v="cancelled"/>
    <s v="2/16/2025"/>
    <s v=" $879.80 "/>
    <n v="2"/>
    <n v="6"/>
    <s v="Home"/>
    <s v="Refrigerator"/>
    <s v="Home"/>
    <x v="0"/>
    <n v="1759.6"/>
    <s v="Aligned"/>
    <s v="35-49 Gen X"/>
    <s v="High Value Tier"/>
    <s v="Stable"/>
  </r>
  <r>
    <s v="ORD6341"/>
    <s v="CUST2341"/>
    <n v="49"/>
    <s v="PROD1541"/>
    <s v="Pakistan"/>
    <d v="2023-11-03T00:00:00"/>
    <d v="2023-11-04T00:00:00"/>
    <n v="2"/>
    <s v="paused"/>
    <s v="3/17/2025"/>
    <s v=" $50.77 "/>
    <n v="8"/>
    <n v="38"/>
    <s v="Home"/>
    <s v="Running Shoes"/>
    <s v="Sports"/>
    <x v="0"/>
    <n v="406.16"/>
    <s v="Misaligned"/>
    <s v="35-49 Gen X"/>
    <s v="High Value Tier"/>
    <s v="Elevated Risk"/>
  </r>
  <r>
    <s v="ORD6342"/>
    <s v="CUST2342"/>
    <n v="49"/>
    <s v="PROD1542"/>
    <s v="India"/>
    <d v="2022-01-11T00:00:00"/>
    <s v="11/26/2022"/>
    <n v="0"/>
    <s v="active"/>
    <s v="1/25/2023"/>
    <s v=" $542.24 "/>
    <n v="3"/>
    <n v="22"/>
    <s v="Beauty"/>
    <s v="Sofa"/>
    <s v="Home"/>
    <x v="0"/>
    <n v="1626.72"/>
    <s v="Misaligned"/>
    <s v="35-49 Gen X"/>
    <s v="High Value Tier"/>
    <s v="Stable"/>
  </r>
  <r>
    <s v="ORD6343"/>
    <s v="CUST2343"/>
    <n v="24"/>
    <s v="PROD1543"/>
    <s v="India"/>
    <s v="5/27/2021"/>
    <s v="2/17/2025"/>
    <n v="4"/>
    <s v="active"/>
    <s v="7/29/2022"/>
    <s v=" $54.93 "/>
    <n v="6"/>
    <n v="17"/>
    <s v="Beauty"/>
    <s v="Conditioner"/>
    <s v="Beauty"/>
    <x v="0"/>
    <n v="329.58"/>
    <s v="Aligned"/>
    <s v="18-24 Gen Z"/>
    <s v="High Value Tier"/>
    <s v="Critical Risk"/>
  </r>
  <r>
    <s v="ORD6344"/>
    <s v="CUST2344"/>
    <n v="56"/>
    <s v="PROD1544"/>
    <s v="India"/>
    <s v="12/24/2022"/>
    <d v="2023-01-03T00:00:00"/>
    <n v="1"/>
    <s v="cancelled"/>
    <d v="2023-09-07T00:00:00"/>
    <s v=" $184.96 "/>
    <n v="5"/>
    <n v="22"/>
    <s v="Home"/>
    <s v="Jeans"/>
    <s v="Clothing"/>
    <x v="1"/>
    <n v="924.8"/>
    <s v="Misaligned"/>
    <s v="50-64 Boomers"/>
    <s v="High Value Tier"/>
    <s v="Stable"/>
  </r>
  <r>
    <s v="ORD6345"/>
    <s v="CUST2345"/>
    <n v="20"/>
    <s v="PROD1545"/>
    <s v="Pakistan"/>
    <s v="3/22/2021"/>
    <d v="2023-12-07T00:00:00"/>
    <n v="1"/>
    <s v="cancelled"/>
    <d v="2022-08-12T00:00:00"/>
    <s v=" $144.70 "/>
    <n v="9"/>
    <n v="6"/>
    <s v="Electronics"/>
    <s v="Shirt"/>
    <s v="Clothing"/>
    <x v="2"/>
    <n v="1302.3"/>
    <s v="Misaligned"/>
    <s v="18-24 Gen Z"/>
    <s v="High Value Tier"/>
    <s v="Stable"/>
  </r>
  <r>
    <s v="ORD6346"/>
    <s v="CUST2346"/>
    <n v="21"/>
    <s v="PROD1546"/>
    <s v="India"/>
    <s v="6/28/2021"/>
    <s v="7/20/2022"/>
    <n v="2"/>
    <s v="active"/>
    <d v="2024-07-09T00:00:00"/>
    <s v=" $622.99 "/>
    <n v="3"/>
    <n v="13"/>
    <s v="Sports"/>
    <s v="Lipstick"/>
    <s v="Beauty"/>
    <x v="0"/>
    <n v="1868.97"/>
    <s v="Misaligned"/>
    <s v="18-24 Gen Z"/>
    <s v="High Value Tier"/>
    <s v="Stable"/>
  </r>
  <r>
    <s v="ORD6347"/>
    <s v="CUST2347"/>
    <n v="45"/>
    <s v="PROD1547"/>
    <s v="Canada"/>
    <d v="2023-12-04T00:00:00"/>
    <s v="6/30/2024"/>
    <n v="1"/>
    <s v="paused"/>
    <s v="7/22/2024"/>
    <s v=" $175.45 "/>
    <n v="7"/>
    <n v="43"/>
    <s v="Clothing"/>
    <s v="Shampoo"/>
    <s v="Beauty"/>
    <x v="1"/>
    <n v="1228.1500000000001"/>
    <s v="Misaligned"/>
    <s v="35-49 Gen X"/>
    <s v="High Value Tier"/>
    <s v="Elevated Risk"/>
  </r>
  <r>
    <s v="ORD6348"/>
    <s v="CUST2348"/>
    <n v="47"/>
    <s v="PROD1548"/>
    <s v="India"/>
    <s v="5/20/2021"/>
    <s v="1/22/2025"/>
    <n v="0"/>
    <s v="cancelled"/>
    <s v="6/27/2022"/>
    <s v=" $212.73 "/>
    <n v="9"/>
    <n v="49"/>
    <s v="Home"/>
    <s v="Running Shoes"/>
    <s v="Sports"/>
    <x v="0"/>
    <n v="1914.57"/>
    <s v="Misaligned"/>
    <s v="35-49 Gen X"/>
    <s v="High Value Tier"/>
    <s v="Stable"/>
  </r>
  <r>
    <s v="ORD6349"/>
    <s v="CUST2349"/>
    <n v="53"/>
    <s v="PROD1549"/>
    <s v="Germany"/>
    <s v="8/20/2021"/>
    <s v="8/22/2021"/>
    <n v="3"/>
    <s v="cancelled"/>
    <s v="2/28/2023"/>
    <s v=" $119.35 "/>
    <n v="9"/>
    <n v="11"/>
    <s v="Electronics"/>
    <s v="Yoga Mat"/>
    <s v="Sports"/>
    <x v="1"/>
    <n v="1074.1500000000001"/>
    <s v="Misaligned"/>
    <s v="50-64 Boomers"/>
    <s v="High Value Tier"/>
    <s v="Stable"/>
  </r>
  <r>
    <s v="ORD6350"/>
    <s v="CUST2350"/>
    <n v="52"/>
    <s v="PROD1550"/>
    <s v="Pakistan"/>
    <d v="2022-11-11T00:00:00"/>
    <d v="2024-08-03T00:00:00"/>
    <n v="5"/>
    <s v="active"/>
    <d v="2024-05-03T00:00:00"/>
    <s v=" $151.31 "/>
    <n v="6"/>
    <n v="1"/>
    <s v="Electronics"/>
    <s v="Shirt"/>
    <s v="Clothing"/>
    <x v="0"/>
    <n v="907.86"/>
    <s v="Misaligned"/>
    <s v="50-64 Boomers"/>
    <s v="Core Tier"/>
    <s v="Critical Risk"/>
  </r>
  <r>
    <s v="ORD6351"/>
    <s v="CUST2351"/>
    <n v="45"/>
    <s v="PROD1551"/>
    <s v="Germany"/>
    <s v="10/17/2020"/>
    <d v="2024-08-05T00:00:00"/>
    <n v="4"/>
    <s v="paused"/>
    <s v="8/14/2025"/>
    <s v=" $445.52 "/>
    <n v="3"/>
    <n v="16"/>
    <s v="Electronics"/>
    <s v="Foundation"/>
    <s v="Beauty"/>
    <x v="1"/>
    <n v="1336.56"/>
    <s v="Misaligned"/>
    <s v="35-49 Gen X"/>
    <s v="High Value Tier"/>
    <s v="Elevated Risk"/>
  </r>
  <r>
    <s v="ORD6352"/>
    <s v="CUST2352"/>
    <n v="62"/>
    <s v="PROD1552"/>
    <s v="Canada"/>
    <s v="12/15/2021"/>
    <d v="2025-06-05T00:00:00"/>
    <n v="0"/>
    <s v="active"/>
    <s v="2/15/2022"/>
    <s v=" $1,700.00 "/>
    <n v="1"/>
    <n v="20"/>
    <s v="Electronics"/>
    <s v="Smartphone"/>
    <s v="Electronics"/>
    <x v="1"/>
    <n v="1700"/>
    <s v="Aligned"/>
    <s v="50-64 Boomers"/>
    <s v="High Value Tier"/>
    <s v="Stable"/>
  </r>
  <r>
    <s v="ORD6353"/>
    <s v="CUST2353"/>
    <n v="45"/>
    <s v="PROD1553"/>
    <s v="India"/>
    <s v="12/15/2020"/>
    <d v="2023-11-04T00:00:00"/>
    <n v="4"/>
    <s v="cancelled"/>
    <d v="2022-09-09T00:00:00"/>
    <s v=" $22.68 "/>
    <n v="7"/>
    <n v="7"/>
    <s v="Clothing"/>
    <s v="Hoodie"/>
    <s v="Clothing"/>
    <x v="0"/>
    <n v="158.76"/>
    <s v="Aligned"/>
    <s v="35-49 Gen X"/>
    <s v="Core Tier"/>
    <s v="Stable"/>
  </r>
  <r>
    <s v="ORD6354"/>
    <s v="CUST2354"/>
    <n v="20"/>
    <s v="PROD1554"/>
    <s v="Pakistan"/>
    <d v="2023-09-04T00:00:00"/>
    <s v="3/25/2025"/>
    <n v="1"/>
    <s v="paused"/>
    <s v="7/17/2024"/>
    <s v=" $20.48 "/>
    <n v="4"/>
    <n v="10"/>
    <s v="Sports"/>
    <s v="Tennis Racket"/>
    <s v="Sports"/>
    <x v="0"/>
    <n v="81.92"/>
    <s v="Aligned"/>
    <s v="18-24 Gen Z"/>
    <s v="Core Tier"/>
    <s v="Elevated Risk"/>
  </r>
  <r>
    <s v="ORD6355"/>
    <s v="CUST2355"/>
    <n v="33"/>
    <s v="PROD1555"/>
    <s v="USA"/>
    <s v="10/26/2022"/>
    <d v="2025-02-02T00:00:00"/>
    <n v="0"/>
    <s v="active"/>
    <d v="2024-06-12T00:00:00"/>
    <s v=" $169.20 "/>
    <n v="8"/>
    <n v="24"/>
    <s v="Electronics"/>
    <s v="Hoodie"/>
    <s v="Clothing"/>
    <x v="0"/>
    <n v="1353.6"/>
    <s v="Misaligned"/>
    <s v="25-34 Millennials"/>
    <s v="High Value Tier"/>
    <s v="Stable"/>
  </r>
  <r>
    <s v="ORD6356"/>
    <s v="CUST2356"/>
    <n v="58"/>
    <s v="PROD1556"/>
    <s v="India"/>
    <d v="2023-04-07T00:00:00"/>
    <d v="2025-09-06T00:00:00"/>
    <n v="0"/>
    <s v="active"/>
    <d v="2025-07-03T00:00:00"/>
    <s v=" $167.54 "/>
    <n v="2"/>
    <n v="12"/>
    <s v="Clothing"/>
    <s v="Moisturizer"/>
    <s v="Beauty"/>
    <x v="0"/>
    <n v="335.08"/>
    <s v="Misaligned"/>
    <s v="50-64 Boomers"/>
    <s v="High Value Tier"/>
    <s v="Stable"/>
  </r>
  <r>
    <s v="ORD6357"/>
    <s v="CUST2357"/>
    <n v="49"/>
    <s v="PROD1557"/>
    <s v="UK"/>
    <s v="11/13/2021"/>
    <s v="9/16/2023"/>
    <n v="3"/>
    <s v="cancelled"/>
    <d v="2023-04-02T00:00:00"/>
    <s v=" $111.39 "/>
    <n v="9"/>
    <n v="29"/>
    <s v="Electronics"/>
    <s v="Camera"/>
    <s v="Electronics"/>
    <x v="0"/>
    <n v="1002.51"/>
    <s v="Aligned"/>
    <s v="35-49 Gen X"/>
    <s v="High Value Tier"/>
    <s v="Stable"/>
  </r>
  <r>
    <s v="ORD6358"/>
    <s v="CUST2358"/>
    <n v="58"/>
    <s v="PROD1558"/>
    <s v="Germany"/>
    <d v="2021-06-10T00:00:00"/>
    <s v="8/16/2025"/>
    <n v="4"/>
    <s v="cancelled"/>
    <d v="2023-06-12T00:00:00"/>
    <s v=" $188.90 "/>
    <n v="9"/>
    <n v="47"/>
    <s v="Electronics"/>
    <s v="Moisturizer"/>
    <s v="Beauty"/>
    <x v="0"/>
    <n v="1700.1"/>
    <s v="Misaligned"/>
    <s v="50-64 Boomers"/>
    <s v="High Value Tier"/>
    <s v="Stable"/>
  </r>
  <r>
    <s v="ORD6359"/>
    <s v="CUST2359"/>
    <n v="57"/>
    <s v="PROD1559"/>
    <s v="USA"/>
    <s v="8/15/2023"/>
    <s v="10/25/2024"/>
    <n v="0"/>
    <s v="active"/>
    <d v="2024-02-03T00:00:00"/>
    <s v=" $324.54 "/>
    <n v="3"/>
    <n v="26"/>
    <s v="Clothing"/>
    <s v="Smartwatch"/>
    <s v="Electronics"/>
    <x v="0"/>
    <n v="973.62"/>
    <s v="Misaligned"/>
    <s v="50-64 Boomers"/>
    <s v="High Value Tier"/>
    <s v="Stable"/>
  </r>
  <r>
    <s v="ORD6360"/>
    <s v="CUST2360"/>
    <n v="65"/>
    <s v="PROD1560"/>
    <s v="UK"/>
    <s v="1/31/2021"/>
    <d v="2025-09-02T00:00:00"/>
    <n v="3"/>
    <s v="active"/>
    <s v="4/16/2025"/>
    <s v=" $62.99 "/>
    <n v="9"/>
    <n v="3"/>
    <s v="Home"/>
    <s v="Cycling Helmet"/>
    <s v="Sports"/>
    <x v="0"/>
    <n v="566.91"/>
    <s v="Misaligned"/>
    <s v="65+ Seniors"/>
    <s v="Core Tier"/>
    <s v="Stable"/>
  </r>
  <r>
    <s v="ORD6361"/>
    <s v="CUST2361"/>
    <n v="58"/>
    <s v="PROD1561"/>
    <s v="USA"/>
    <s v="8/17/2021"/>
    <s v="7/24/2023"/>
    <n v="2"/>
    <s v="active"/>
    <s v="11/27/2024"/>
    <s v=" $471.05 "/>
    <n v="4"/>
    <n v="49"/>
    <s v="Home"/>
    <s v="Jeans"/>
    <s v="Clothing"/>
    <x v="1"/>
    <n v="1884.2"/>
    <s v="Misaligned"/>
    <s v="50-64 Boomers"/>
    <s v="High Value Tier"/>
    <s v="Stable"/>
  </r>
  <r>
    <s v="ORD6362"/>
    <s v="CUST2362"/>
    <n v="67"/>
    <s v="PROD1562"/>
    <s v="Canada"/>
    <d v="2022-03-07T00:00:00"/>
    <s v="7/24/2025"/>
    <n v="1"/>
    <s v="paused"/>
    <s v="3/25/2025"/>
    <s v=" $23.01 "/>
    <n v="8"/>
    <n v="3"/>
    <s v="Sports"/>
    <s v="Camera"/>
    <s v="Electronics"/>
    <x v="0"/>
    <n v="184.08"/>
    <s v="Misaligned"/>
    <s v="65+ Seniors"/>
    <s v="Value Tier"/>
    <s v="Elevated Risk"/>
  </r>
  <r>
    <s v="ORD6363"/>
    <s v="CUST2363"/>
    <n v="41"/>
    <s v="PROD1563"/>
    <s v="Pakistan"/>
    <d v="2023-04-05T00:00:00"/>
    <d v="2025-12-04T00:00:00"/>
    <n v="2"/>
    <s v="paused"/>
    <s v="11/26/2023"/>
    <s v=" $115.09 "/>
    <n v="6"/>
    <n v="36"/>
    <s v="Electronics"/>
    <s v="Headphones"/>
    <s v="Electronics"/>
    <x v="0"/>
    <n v="690.54"/>
    <s v="Aligned"/>
    <s v="35-49 Gen X"/>
    <s v="High Value Tier"/>
    <s v="Elevated Risk"/>
  </r>
  <r>
    <s v="ORD6364"/>
    <s v="CUST2364"/>
    <n v="23"/>
    <s v="PROD1564"/>
    <s v="Canada"/>
    <s v="12/28/2020"/>
    <s v="1/15/2022"/>
    <n v="3"/>
    <s v="cancelled"/>
    <d v="2025-06-03T00:00:00"/>
    <s v=" $1,588.58 "/>
    <n v="1"/>
    <n v="40"/>
    <s v="Sports"/>
    <s v="Blender"/>
    <s v="Home"/>
    <x v="1"/>
    <n v="1588.58"/>
    <s v="Misaligned"/>
    <s v="18-24 Gen Z"/>
    <s v="High Value Tier"/>
    <s v="Stable"/>
  </r>
  <r>
    <s v="ORD6365"/>
    <s v="CUST2365"/>
    <n v="45"/>
    <s v="PROD1565"/>
    <s v="UK"/>
    <d v="2022-09-09T00:00:00"/>
    <s v="5/14/2023"/>
    <n v="3"/>
    <s v="paused"/>
    <s v="10/17/2022"/>
    <s v=" $130.33 "/>
    <n v="7"/>
    <n v="48"/>
    <s v="Electronics"/>
    <s v="Moisturizer"/>
    <s v="Beauty"/>
    <x v="0"/>
    <n v="912.31"/>
    <s v="Misaligned"/>
    <s v="35-49 Gen X"/>
    <s v="High Value Tier"/>
    <s v="Elevated Risk"/>
  </r>
  <r>
    <s v="ORD6366"/>
    <s v="CUST2366"/>
    <n v="57"/>
    <s v="PROD1566"/>
    <s v="India"/>
    <d v="2022-12-06T00:00:00"/>
    <s v="9/27/2022"/>
    <n v="4"/>
    <s v="active"/>
    <s v="12/21/2023"/>
    <s v=" $12.04 "/>
    <n v="7"/>
    <n v="9"/>
    <s v="Sports"/>
    <s v="Lamp"/>
    <s v="Home"/>
    <x v="0"/>
    <n v="84.28"/>
    <s v="Misaligned"/>
    <s v="50-64 Boomers"/>
    <s v="Core Tier"/>
    <s v="Critical Risk"/>
  </r>
  <r>
    <s v="ORD6367"/>
    <s v="CUST2367"/>
    <n v="41"/>
    <s v="PROD1567"/>
    <s v="Canada"/>
    <s v="3/15/2021"/>
    <d v="2025-03-08T00:00:00"/>
    <n v="4"/>
    <s v="active"/>
    <s v="2/25/2022"/>
    <s v=" $246.03 "/>
    <n v="1"/>
    <n v="17"/>
    <s v="Clothing"/>
    <s v="Refrigerator"/>
    <s v="Home"/>
    <x v="0"/>
    <n v="246.03"/>
    <s v="Misaligned"/>
    <s v="35-49 Gen X"/>
    <s v="High Value Tier"/>
    <s v="Critical Risk"/>
  </r>
  <r>
    <s v="ORD6368"/>
    <s v="CUST2368"/>
    <n v="54"/>
    <s v="PROD1568"/>
    <s v="Germany"/>
    <s v="1/27/2021"/>
    <s v="7/26/2023"/>
    <n v="4"/>
    <s v="cancelled"/>
    <s v="8/28/2021"/>
    <s v=" $908.20 "/>
    <n v="1"/>
    <n v="18"/>
    <s v="Beauty"/>
    <s v="T-Shirt"/>
    <s v="Clothing"/>
    <x v="1"/>
    <n v="908.2"/>
    <s v="Misaligned"/>
    <s v="50-64 Boomers"/>
    <s v="High Value Tier"/>
    <s v="Stable"/>
  </r>
  <r>
    <s v="ORD6369"/>
    <s v="CUST2369"/>
    <n v="57"/>
    <s v="PROD1569"/>
    <s v="India"/>
    <s v="2/24/2021"/>
    <s v="12/30/2021"/>
    <n v="2"/>
    <s v="cancelled"/>
    <d v="2024-12-04T00:00:00"/>
    <s v=" $150.00 "/>
    <n v="9"/>
    <n v="35"/>
    <s v="Beauty"/>
    <s v="Moisturizer"/>
    <s v="Beauty"/>
    <x v="2"/>
    <n v="1350"/>
    <s v="Aligned"/>
    <s v="50-64 Boomers"/>
    <s v="High Value Tier"/>
    <s v="Stable"/>
  </r>
  <r>
    <s v="ORD6370"/>
    <s v="CUST2370"/>
    <n v="61"/>
    <s v="PROD1570"/>
    <s v="India"/>
    <s v="10/28/2021"/>
    <d v="2024-04-05T00:00:00"/>
    <n v="3"/>
    <s v="active"/>
    <s v="9/13/2023"/>
    <s v=" $142.08 "/>
    <n v="5"/>
    <n v="22"/>
    <s v="Electronics"/>
    <s v="Shirt"/>
    <s v="Clothing"/>
    <x v="1"/>
    <n v="710.4"/>
    <s v="Misaligned"/>
    <s v="50-64 Boomers"/>
    <s v="High Value Tier"/>
    <s v="Stable"/>
  </r>
  <r>
    <s v="ORD6371"/>
    <s v="CUST2371"/>
    <n v="19"/>
    <s v="PROD1571"/>
    <s v="Canada"/>
    <s v="4/27/2021"/>
    <d v="2021-08-06T00:00:00"/>
    <n v="2"/>
    <s v="active"/>
    <d v="2023-10-10T00:00:00"/>
    <s v=" $379.56 "/>
    <n v="5"/>
    <n v="9"/>
    <s v="Electronics"/>
    <s v="Microwave"/>
    <s v="Home"/>
    <x v="1"/>
    <n v="1897.8"/>
    <s v="Misaligned"/>
    <s v="18-24 Gen Z"/>
    <s v="High Value Tier"/>
    <s v="Stable"/>
  </r>
  <r>
    <s v="ORD6372"/>
    <s v="CUST2372"/>
    <n v="23"/>
    <s v="PROD1572"/>
    <s v="Canada"/>
    <d v="2023-08-04T00:00:00"/>
    <d v="2024-11-07T00:00:00"/>
    <n v="2"/>
    <s v="active"/>
    <s v="4/22/2023"/>
    <s v=" $102.98 "/>
    <n v="5"/>
    <n v="37"/>
    <s v="Home"/>
    <s v="Nail Polish"/>
    <s v="Beauty"/>
    <x v="0"/>
    <n v="514.9"/>
    <s v="Misaligned"/>
    <s v="18-24 Gen Z"/>
    <s v="High Value Tier"/>
    <s v="Stable"/>
  </r>
  <r>
    <s v="ORD6373"/>
    <s v="CUST2373"/>
    <n v="64"/>
    <s v="PROD1573"/>
    <s v="Canada"/>
    <d v="2021-07-06T00:00:00"/>
    <s v="9/15/2024"/>
    <n v="3"/>
    <s v="paused"/>
    <d v="2022-06-03T00:00:00"/>
    <s v=" $253.18 "/>
    <n v="7"/>
    <n v="36"/>
    <s v="Clothing"/>
    <s v="Headphones"/>
    <s v="Electronics"/>
    <x v="0"/>
    <n v="1772.26"/>
    <s v="Misaligned"/>
    <s v="50-64 Boomers"/>
    <s v="High Value Tier"/>
    <s v="Elevated Risk"/>
  </r>
  <r>
    <s v="ORD6374"/>
    <s v="CUST2374"/>
    <n v="64"/>
    <s v="PROD1574"/>
    <s v="Canada"/>
    <s v="5/21/2022"/>
    <s v="6/18/2023"/>
    <n v="3"/>
    <s v="cancelled"/>
    <s v="12/18/2024"/>
    <s v=" $194.77 "/>
    <n v="3"/>
    <n v="39"/>
    <s v="Sports"/>
    <s v="T-Shirt"/>
    <s v="Clothing"/>
    <x v="1"/>
    <n v="584.30999999999995"/>
    <s v="Misaligned"/>
    <s v="50-64 Boomers"/>
    <s v="High Value Tier"/>
    <s v="Stable"/>
  </r>
  <r>
    <s v="ORD6375"/>
    <s v="CUST2375"/>
    <n v="50"/>
    <s v="PROD1575"/>
    <s v="UK"/>
    <s v="7/31/2023"/>
    <s v="1/21/2025"/>
    <n v="4"/>
    <s v="active"/>
    <d v="2024-04-03T00:00:00"/>
    <s v=" $684.85 "/>
    <n v="1"/>
    <n v="13"/>
    <s v="Beauty"/>
    <s v="Yoga Mat"/>
    <s v="Sports"/>
    <x v="1"/>
    <n v="684.85"/>
    <s v="Misaligned"/>
    <s v="50-64 Boomers"/>
    <s v="High Value Tier"/>
    <s v="Critical Risk"/>
  </r>
  <r>
    <s v="ORD6376"/>
    <s v="CUST2376"/>
    <n v="63"/>
    <s v="PROD1576"/>
    <s v="Pakistan"/>
    <d v="2023-07-07T00:00:00"/>
    <s v="5/19/2025"/>
    <n v="0"/>
    <s v="active"/>
    <s v="9/16/2024"/>
    <s v=" $79.84 "/>
    <n v="5"/>
    <n v="3"/>
    <s v="Sports"/>
    <s v="Sofa"/>
    <s v="Home"/>
    <x v="0"/>
    <n v="399.2"/>
    <s v="Misaligned"/>
    <s v="50-64 Boomers"/>
    <s v="Core Tier"/>
    <s v="Stable"/>
  </r>
  <r>
    <s v="ORD6377"/>
    <s v="CUST2377"/>
    <n v="38"/>
    <s v="PROD1577"/>
    <s v="Canada"/>
    <s v="11/20/2020"/>
    <s v="7/13/2024"/>
    <n v="4"/>
    <s v="cancelled"/>
    <d v="2021-06-03T00:00:00"/>
    <s v=" $59.01 "/>
    <n v="9"/>
    <n v="47"/>
    <s v="Beauty"/>
    <s v="Dumbbells"/>
    <s v="Sports"/>
    <x v="0"/>
    <n v="531.09"/>
    <s v="Misaligned"/>
    <s v="35-49 Gen X"/>
    <s v="High Value Tier"/>
    <s v="Stable"/>
  </r>
  <r>
    <s v="ORD6378"/>
    <s v="CUST2378"/>
    <n v="33"/>
    <s v="PROD1578"/>
    <s v="Germany"/>
    <d v="2023-06-05T00:00:00"/>
    <d v="2025-07-07T00:00:00"/>
    <n v="4"/>
    <s v="cancelled"/>
    <d v="2024-03-07T00:00:00"/>
    <s v=" $291.00 "/>
    <n v="2"/>
    <n v="47"/>
    <s v="Sports"/>
    <s v="Nail Polish"/>
    <s v="Beauty"/>
    <x v="0"/>
    <n v="582"/>
    <s v="Misaligned"/>
    <s v="25-34 Millennials"/>
    <s v="High Value Tier"/>
    <s v="Stable"/>
  </r>
  <r>
    <s v="ORD6379"/>
    <s v="CUST2379"/>
    <n v="22"/>
    <s v="PROD1579"/>
    <s v="USA"/>
    <s v="9/29/2020"/>
    <s v="8/29/2022"/>
    <n v="1"/>
    <s v="paused"/>
    <d v="2021-12-09T00:00:00"/>
    <s v=" $159.40 "/>
    <n v="7"/>
    <n v="37"/>
    <s v="Clothing"/>
    <s v="Cricket Bat"/>
    <s v="Sports"/>
    <x v="0"/>
    <n v="1115.8"/>
    <s v="Misaligned"/>
    <s v="18-24 Gen Z"/>
    <s v="High Value Tier"/>
    <s v="Elevated Risk"/>
  </r>
  <r>
    <s v="ORD6380"/>
    <s v="CUST2380"/>
    <n v="67"/>
    <s v="PROD1580"/>
    <s v="USA"/>
    <d v="2021-01-08T00:00:00"/>
    <s v="10/22/2024"/>
    <n v="3"/>
    <s v="cancelled"/>
    <d v="2023-02-02T00:00:00"/>
    <s v=" $755.57 "/>
    <n v="1"/>
    <n v="20"/>
    <s v="Clothing"/>
    <s v="Sneakers"/>
    <s v="Clothing"/>
    <x v="0"/>
    <n v="755.57"/>
    <s v="Aligned"/>
    <s v="65+ Seniors"/>
    <s v="High Value Tier"/>
    <s v="Stable"/>
  </r>
  <r>
    <s v="ORD6381"/>
    <s v="CUST2381"/>
    <n v="63"/>
    <s v="PROD1581"/>
    <s v="USA"/>
    <d v="2021-12-08T00:00:00"/>
    <s v="10/27/2024"/>
    <n v="1"/>
    <s v="active"/>
    <s v="4/20/2022"/>
    <s v=" $191.24 "/>
    <n v="9"/>
    <n v="5"/>
    <s v="Electronics"/>
    <s v="Foundation"/>
    <s v="Beauty"/>
    <x v="1"/>
    <n v="1721.16"/>
    <s v="Misaligned"/>
    <s v="50-64 Boomers"/>
    <s v="High Value Tier"/>
    <s v="Stable"/>
  </r>
  <r>
    <s v="ORD6382"/>
    <s v="CUST2382"/>
    <n v="64"/>
    <s v="PROD1582"/>
    <s v="USA"/>
    <s v="9/30/2021"/>
    <s v="10/21/2023"/>
    <n v="3"/>
    <s v="paused"/>
    <d v="2023-02-10T00:00:00"/>
    <s v=" $161.58 "/>
    <n v="1"/>
    <n v="10"/>
    <s v="Clothing"/>
    <s v="Skirt"/>
    <s v="Clothing"/>
    <x v="2"/>
    <n v="161.58000000000001"/>
    <s v="Aligned"/>
    <s v="50-64 Boomers"/>
    <s v="Core Tier"/>
    <s v="Elevated Risk"/>
  </r>
  <r>
    <s v="ORD6383"/>
    <s v="CUST2383"/>
    <n v="67"/>
    <s v="PROD1583"/>
    <s v="Germany"/>
    <s v="4/26/2022"/>
    <d v="2025-07-01T00:00:00"/>
    <n v="3"/>
    <s v="paused"/>
    <d v="2024-04-03T00:00:00"/>
    <s v=" $15.82 "/>
    <n v="8"/>
    <n v="34"/>
    <s v="Electronics"/>
    <s v="Jeans"/>
    <s v="Clothing"/>
    <x v="0"/>
    <n v="126.56"/>
    <s v="Misaligned"/>
    <s v="65+ Seniors"/>
    <s v="High Value Tier"/>
    <s v="Elevated Risk"/>
  </r>
  <r>
    <s v="ORD6384"/>
    <s v="CUST2384"/>
    <n v="53"/>
    <s v="PROD1584"/>
    <s v="Pakistan"/>
    <d v="2023-05-06T00:00:00"/>
    <d v="2024-01-09T00:00:00"/>
    <n v="3"/>
    <s v="active"/>
    <d v="2025-07-01T00:00:00"/>
    <s v=" $796.22 "/>
    <n v="2"/>
    <n v="2"/>
    <s v="Clothing"/>
    <s v="Microwave"/>
    <s v="Home"/>
    <x v="1"/>
    <n v="1592.44"/>
    <s v="Misaligned"/>
    <s v="50-64 Boomers"/>
    <s v="High Value Tier"/>
    <s v="Stable"/>
  </r>
  <r>
    <s v="ORD6385"/>
    <s v="CUST2385"/>
    <n v="44"/>
    <s v="PROD1585"/>
    <s v="Pakistan"/>
    <d v="2023-12-06T00:00:00"/>
    <s v="7/14/2024"/>
    <n v="2"/>
    <s v="cancelled"/>
    <s v="11/16/2023"/>
    <s v=" $205.61 "/>
    <n v="4"/>
    <n v="39"/>
    <s v="Electronics"/>
    <s v="Jeans"/>
    <s v="Clothing"/>
    <x v="1"/>
    <n v="822.44"/>
    <s v="Misaligned"/>
    <s v="35-49 Gen X"/>
    <s v="High Value Tier"/>
    <s v="Stable"/>
  </r>
  <r>
    <s v="ORD6386"/>
    <s v="CUST2386"/>
    <n v="26"/>
    <s v="PROD1586"/>
    <s v="India"/>
    <s v="12/17/2022"/>
    <d v="2025-05-01T00:00:00"/>
    <n v="2"/>
    <s v="active"/>
    <s v="1/18/2025"/>
    <s v=" $271.70 "/>
    <n v="3"/>
    <n v="18"/>
    <s v="Clothing"/>
    <s v="Microwave"/>
    <s v="Home"/>
    <x v="1"/>
    <n v="815.1"/>
    <s v="Misaligned"/>
    <s v="25-34 Millennials"/>
    <s v="High Value Tier"/>
    <s v="Stable"/>
  </r>
  <r>
    <s v="ORD6387"/>
    <s v="CUST2387"/>
    <n v="25"/>
    <s v="PROD1587"/>
    <s v="Pakistan"/>
    <d v="2023-04-04T00:00:00"/>
    <s v="11/25/2023"/>
    <n v="1"/>
    <s v="active"/>
    <d v="2025-10-08T00:00:00"/>
    <s v=" $46.96 "/>
    <n v="6"/>
    <n v="15"/>
    <s v="Clothing"/>
    <s v="Smartphone"/>
    <s v="Electronics"/>
    <x v="0"/>
    <n v="281.76"/>
    <s v="Misaligned"/>
    <s v="25-34 Millennials"/>
    <s v="High Value Tier"/>
    <s v="Stable"/>
  </r>
  <r>
    <s v="ORD6388"/>
    <s v="CUST2388"/>
    <n v="64"/>
    <s v="PROD1588"/>
    <s v="Germany"/>
    <d v="2022-04-12T00:00:00"/>
    <s v="9/25/2024"/>
    <n v="2"/>
    <s v="active"/>
    <s v="11/26/2023"/>
    <s v=" $1,221.69 "/>
    <n v="1"/>
    <n v="8"/>
    <s v="Beauty"/>
    <s v="Sofa"/>
    <s v="Home"/>
    <x v="0"/>
    <n v="1221.69"/>
    <s v="Misaligned"/>
    <s v="50-64 Boomers"/>
    <s v="High Value Tier"/>
    <s v="Stable"/>
  </r>
  <r>
    <s v="ORD6389"/>
    <s v="CUST2389"/>
    <n v="39"/>
    <s v="PROD1589"/>
    <s v="Germany"/>
    <s v="5/22/2021"/>
    <d v="2024-03-01T00:00:00"/>
    <n v="3"/>
    <s v="cancelled"/>
    <s v="2/17/2023"/>
    <s v=" $423.54 "/>
    <n v="3"/>
    <n v="12"/>
    <s v="Beauty"/>
    <s v="Conditioner"/>
    <s v="Beauty"/>
    <x v="1"/>
    <n v="1270.6199999999999"/>
    <s v="Aligned"/>
    <s v="35-49 Gen X"/>
    <s v="High Value Tier"/>
    <s v="Stable"/>
  </r>
  <r>
    <s v="ORD6390"/>
    <s v="CUST2390"/>
    <n v="26"/>
    <s v="PROD1590"/>
    <s v="India"/>
    <s v="1/27/2022"/>
    <s v="6/30/2024"/>
    <n v="3"/>
    <s v="cancelled"/>
    <s v="4/14/2023"/>
    <s v=" $179.20 "/>
    <n v="9"/>
    <n v="40"/>
    <s v="Home"/>
    <s v="Foundation"/>
    <s v="Beauty"/>
    <x v="0"/>
    <n v="1612.8"/>
    <s v="Misaligned"/>
    <s v="25-34 Millennials"/>
    <s v="High Value Tier"/>
    <s v="Stable"/>
  </r>
  <r>
    <s v="ORD6391"/>
    <s v="CUST2391"/>
    <n v="54"/>
    <s v="PROD1591"/>
    <s v="USA"/>
    <s v="10/17/2020"/>
    <s v="5/25/2021"/>
    <n v="0"/>
    <s v="active"/>
    <s v="7/19/2021"/>
    <s v=" $37.03 "/>
    <n v="4"/>
    <n v="31"/>
    <s v="Home"/>
    <s v="Smartwatch"/>
    <s v="Electronics"/>
    <x v="1"/>
    <n v="148.12"/>
    <s v="Misaligned"/>
    <s v="50-64 Boomers"/>
    <s v="High Value Tier"/>
    <s v="Stable"/>
  </r>
  <r>
    <s v="ORD6392"/>
    <s v="CUST2392"/>
    <n v="63"/>
    <s v="PROD1592"/>
    <s v="India"/>
    <d v="2020-10-10T00:00:00"/>
    <d v="2021-03-07T00:00:00"/>
    <n v="0"/>
    <s v="active"/>
    <s v="6/27/2024"/>
    <s v=" $118.63 "/>
    <n v="8"/>
    <n v="47"/>
    <s v="Electronics"/>
    <s v="Bluetooth Speaker"/>
    <s v="Electronics"/>
    <x v="1"/>
    <n v="949.04"/>
    <s v="Aligned"/>
    <s v="50-64 Boomers"/>
    <s v="High Value Tier"/>
    <s v="Stable"/>
  </r>
  <r>
    <s v="ORD6393"/>
    <s v="CUST2393"/>
    <n v="33"/>
    <s v="PROD1593"/>
    <s v="UK"/>
    <d v="2023-10-04T00:00:00"/>
    <d v="2024-08-09T00:00:00"/>
    <n v="1"/>
    <s v="paused"/>
    <s v="2/26/2025"/>
    <s v=" $259.76 "/>
    <n v="5"/>
    <n v="15"/>
    <s v="Sports"/>
    <s v="Cricket Bat"/>
    <s v="Sports"/>
    <x v="1"/>
    <n v="1298.8"/>
    <s v="Aligned"/>
    <s v="25-34 Millennials"/>
    <s v="High Value Tier"/>
    <s v="Elevated Risk"/>
  </r>
  <r>
    <s v="ORD6394"/>
    <s v="CUST2394"/>
    <n v="51"/>
    <s v="PROD1594"/>
    <s v="UK"/>
    <s v="10/28/2021"/>
    <s v="6/16/2024"/>
    <n v="2"/>
    <s v="paused"/>
    <s v="3/29/2023"/>
    <s v=" $169.48 "/>
    <n v="5"/>
    <n v="39"/>
    <s v="Clothing"/>
    <s v="T-Shirt"/>
    <s v="Clothing"/>
    <x v="1"/>
    <n v="847.4"/>
    <s v="Aligned"/>
    <s v="50-64 Boomers"/>
    <s v="High Value Tier"/>
    <s v="Elevated Risk"/>
  </r>
  <r>
    <s v="ORD6395"/>
    <s v="CUST2395"/>
    <n v="59"/>
    <s v="PROD1595"/>
    <s v="UK"/>
    <d v="2021-10-10T00:00:00"/>
    <d v="2024-04-02T00:00:00"/>
    <n v="4"/>
    <s v="cancelled"/>
    <d v="2024-01-10T00:00:00"/>
    <s v=" $99.51 "/>
    <n v="9"/>
    <n v="31"/>
    <s v="Home"/>
    <s v="Smartphone"/>
    <s v="Electronics"/>
    <x v="1"/>
    <n v="895.59"/>
    <s v="Misaligned"/>
    <s v="50-64 Boomers"/>
    <s v="High Value Tier"/>
    <s v="Stable"/>
  </r>
  <r>
    <s v="ORD6396"/>
    <s v="CUST2396"/>
    <n v="62"/>
    <s v="PROD1596"/>
    <s v="UK"/>
    <s v="8/28/2021"/>
    <s v="1/18/2025"/>
    <n v="3"/>
    <s v="active"/>
    <d v="2023-05-07T00:00:00"/>
    <s v=" $1,615.80 "/>
    <n v="1"/>
    <n v="9"/>
    <s v="Home"/>
    <s v="Dining Table"/>
    <s v="Home"/>
    <x v="0"/>
    <n v="1615.8"/>
    <s v="Aligned"/>
    <s v="50-64 Boomers"/>
    <s v="High Value Tier"/>
    <s v="Stable"/>
  </r>
  <r>
    <s v="ORD6397"/>
    <s v="CUST2397"/>
    <n v="67"/>
    <s v="PROD1597"/>
    <s v="Pakistan"/>
    <s v="8/21/2021"/>
    <s v="2/25/2025"/>
    <n v="2"/>
    <s v="active"/>
    <s v="2/26/2024"/>
    <s v=" $1,785.74 "/>
    <n v="1"/>
    <n v="41"/>
    <s v="Sports"/>
    <s v="Refrigerator"/>
    <s v="Home"/>
    <x v="0"/>
    <n v="1785.74"/>
    <s v="Misaligned"/>
    <s v="65+ Seniors"/>
    <s v="High Value Tier"/>
    <s v="Stable"/>
  </r>
  <r>
    <s v="ORD6398"/>
    <s v="CUST2398"/>
    <n v="69"/>
    <s v="PROD1598"/>
    <s v="Canada"/>
    <s v="1/30/2021"/>
    <d v="2022-05-11T00:00:00"/>
    <n v="4"/>
    <s v="active"/>
    <s v="2/22/2023"/>
    <s v=" $83.28 "/>
    <n v="7"/>
    <n v="33"/>
    <s v="Sports"/>
    <s v="Tennis Racket"/>
    <s v="Sports"/>
    <x v="1"/>
    <n v="582.96"/>
    <s v="Aligned"/>
    <s v="65+ Seniors"/>
    <s v="High Value Tier"/>
    <s v="Critical Risk"/>
  </r>
  <r>
    <s v="ORD6399"/>
    <s v="CUST2399"/>
    <n v="31"/>
    <s v="PROD1599"/>
    <s v="USA"/>
    <s v="8/22/2021"/>
    <d v="2023-04-05T00:00:00"/>
    <n v="1"/>
    <s v="active"/>
    <s v="12/31/2023"/>
    <s v=" $43.76 "/>
    <n v="9"/>
    <n v="49"/>
    <s v="Sports"/>
    <s v="Lipstick"/>
    <s v="Beauty"/>
    <x v="1"/>
    <n v="393.84"/>
    <s v="Misaligned"/>
    <s v="25-34 Millennials"/>
    <s v="High Value Tier"/>
    <s v="Stable"/>
  </r>
  <r>
    <s v="ORD6400"/>
    <s v="CUST2400"/>
    <n v="18"/>
    <s v="PROD1600"/>
    <s v="Canada"/>
    <d v="2021-10-11T00:00:00"/>
    <d v="2024-09-11T00:00:00"/>
    <n v="4"/>
    <s v="active"/>
    <s v="6/29/2023"/>
    <s v=" $415.22 "/>
    <n v="4"/>
    <n v="35"/>
    <s v="Electronics"/>
    <s v="Vacuum Cleaner"/>
    <s v="Home"/>
    <x v="1"/>
    <n v="1660.88"/>
    <s v="Misaligned"/>
    <s v="18-24 Gen Z"/>
    <s v="High Value Tier"/>
    <s v="Critical Risk"/>
  </r>
  <r>
    <s v="ORD6401"/>
    <s v="CUST2401"/>
    <n v="56"/>
    <s v="PROD1601"/>
    <s v="India"/>
    <s v="12/29/2020"/>
    <s v="9/15/2024"/>
    <n v="2"/>
    <s v="cancelled"/>
    <d v="2022-01-04T00:00:00"/>
    <s v=" $261.32 "/>
    <n v="6"/>
    <n v="32"/>
    <s v="Electronics"/>
    <s v="Cycling Helmet"/>
    <s v="Sports"/>
    <x v="1"/>
    <n v="1567.92"/>
    <s v="Misaligned"/>
    <s v="50-64 Boomers"/>
    <s v="High Value Tier"/>
    <s v="Stable"/>
  </r>
  <r>
    <s v="ORD6402"/>
    <s v="CUST2402"/>
    <n v="57"/>
    <s v="PROD1602"/>
    <s v="USA"/>
    <d v="2022-01-06T00:00:00"/>
    <s v="10/28/2023"/>
    <n v="3"/>
    <s v="active"/>
    <d v="2023-01-05T00:00:00"/>
    <s v=" $266.39 "/>
    <n v="3"/>
    <n v="32"/>
    <s v="Sports"/>
    <s v="Bluetooth Speaker"/>
    <s v="Electronics"/>
    <x v="0"/>
    <n v="799.17"/>
    <s v="Misaligned"/>
    <s v="50-64 Boomers"/>
    <s v="High Value Tier"/>
    <s v="Stable"/>
  </r>
  <r>
    <s v="ORD6403"/>
    <s v="CUST2403"/>
    <n v="35"/>
    <s v="PROD1603"/>
    <s v="USA"/>
    <s v="5/17/2021"/>
    <d v="2021-10-11T00:00:00"/>
    <n v="2"/>
    <s v="paused"/>
    <s v="3/21/2024"/>
    <s v=" $132.31 "/>
    <n v="8"/>
    <n v="11"/>
    <s v="Sports"/>
    <s v="Shampoo"/>
    <s v="Beauty"/>
    <x v="2"/>
    <n v="1058.48"/>
    <s v="Misaligned"/>
    <s v="35-49 Gen X"/>
    <s v="High Value Tier"/>
    <s v="Elevated Risk"/>
  </r>
  <r>
    <s v="ORD6404"/>
    <s v="CUST2404"/>
    <n v="56"/>
    <s v="PROD1604"/>
    <s v="UK"/>
    <d v="2023-04-05T00:00:00"/>
    <s v="5/27/2023"/>
    <n v="3"/>
    <s v="active"/>
    <s v="7/20/2024"/>
    <s v=" $384.68 "/>
    <n v="5"/>
    <n v="18"/>
    <s v="Electronics"/>
    <s v="Laptop"/>
    <s v="Electronics"/>
    <x v="1"/>
    <n v="1923.4"/>
    <s v="Aligned"/>
    <s v="50-64 Boomers"/>
    <s v="High Value Tier"/>
    <s v="Stable"/>
  </r>
  <r>
    <s v="ORD6405"/>
    <s v="CUST2405"/>
    <n v="20"/>
    <s v="PROD1605"/>
    <s v="Canada"/>
    <s v="3/19/2022"/>
    <s v="2/18/2023"/>
    <n v="5"/>
    <s v="active"/>
    <s v="2/26/2025"/>
    <s v=" $1,914.38 "/>
    <n v="1"/>
    <n v="10"/>
    <s v="Home"/>
    <s v="Dumbbells"/>
    <s v="Sports"/>
    <x v="1"/>
    <n v="1914.38"/>
    <s v="Misaligned"/>
    <s v="18-24 Gen Z"/>
    <s v="High Value Tier"/>
    <s v="Critical Risk"/>
  </r>
  <r>
    <s v="ORD6406"/>
    <s v="CUST2406"/>
    <n v="49"/>
    <s v="PROD1606"/>
    <s v="Pakistan"/>
    <d v="2023-05-06T00:00:00"/>
    <s v="7/15/2023"/>
    <n v="0"/>
    <s v="active"/>
    <s v="7/21/2024"/>
    <s v=" $679.41 "/>
    <n v="2"/>
    <n v="41"/>
    <s v="Clothing"/>
    <s v="Skirt"/>
    <s v="Clothing"/>
    <x v="1"/>
    <n v="1358.82"/>
    <s v="Aligned"/>
    <s v="35-49 Gen X"/>
    <s v="High Value Tier"/>
    <s v="Stable"/>
  </r>
  <r>
    <s v="ORD6407"/>
    <s v="CUST2407"/>
    <n v="63"/>
    <s v="PROD1607"/>
    <s v="Pakistan"/>
    <s v="8/17/2021"/>
    <d v="2021-11-11T00:00:00"/>
    <n v="2"/>
    <s v="cancelled"/>
    <d v="2021-04-11T00:00:00"/>
    <s v=" $145.38 "/>
    <n v="3"/>
    <n v="30"/>
    <s v="Electronics"/>
    <s v="Conditioner"/>
    <s v="Beauty"/>
    <x v="1"/>
    <n v="436.14"/>
    <s v="Misaligned"/>
    <s v="50-64 Boomers"/>
    <s v="High Value Tier"/>
    <s v="Stable"/>
  </r>
  <r>
    <s v="ORD6408"/>
    <s v="CUST2408"/>
    <n v="33"/>
    <s v="PROD1608"/>
    <s v="Germany"/>
    <s v="1/22/2021"/>
    <s v="4/18/2021"/>
    <n v="3"/>
    <s v="active"/>
    <s v="8/20/2025"/>
    <s v=" $219.08 "/>
    <n v="7"/>
    <n v="16"/>
    <s v="Clothing"/>
    <s v="Chair"/>
    <s v="Home"/>
    <x v="0"/>
    <n v="1533.56"/>
    <s v="Misaligned"/>
    <s v="25-34 Millennials"/>
    <s v="High Value Tier"/>
    <s v="Stable"/>
  </r>
  <r>
    <s v="ORD6409"/>
    <s v="CUST2409"/>
    <n v="43"/>
    <s v="PROD1609"/>
    <s v="India"/>
    <s v="4/24/2021"/>
    <s v="9/15/2021"/>
    <n v="2"/>
    <s v="active"/>
    <s v="5/19/2022"/>
    <s v=" $90.87 "/>
    <n v="7"/>
    <n v="25"/>
    <s v="Sports"/>
    <s v="Dumbbells"/>
    <s v="Sports"/>
    <x v="1"/>
    <n v="636.09"/>
    <s v="Aligned"/>
    <s v="35-49 Gen X"/>
    <s v="High Value Tier"/>
    <s v="Stable"/>
  </r>
  <r>
    <s v="ORD6410"/>
    <s v="CUST2410"/>
    <n v="21"/>
    <s v="PROD1610"/>
    <s v="Germany"/>
    <s v="4/28/2023"/>
    <s v="6/14/2024"/>
    <n v="4"/>
    <s v="paused"/>
    <s v="6/18/2024"/>
    <s v=" $36.01 "/>
    <n v="2"/>
    <n v="9"/>
    <s v="Sports"/>
    <s v="Smartphone"/>
    <s v="Electronics"/>
    <x v="1"/>
    <n v="72.02"/>
    <s v="Misaligned"/>
    <s v="18-24 Gen Z"/>
    <s v="Value Tier"/>
    <s v="Elevated Risk"/>
  </r>
  <r>
    <s v="ORD6411"/>
    <s v="CUST2411"/>
    <n v="65"/>
    <s v="PROD1611"/>
    <s v="USA"/>
    <s v="12/26/2022"/>
    <s v="8/13/2024"/>
    <n v="2"/>
    <s v="paused"/>
    <s v="12/17/2024"/>
    <s v=" $388.06 "/>
    <n v="5"/>
    <n v="45"/>
    <s v="Beauty"/>
    <s v="Bluetooth Speaker"/>
    <s v="Electronics"/>
    <x v="1"/>
    <n v="1940.3"/>
    <s v="Misaligned"/>
    <s v="65+ Seniors"/>
    <s v="High Value Tier"/>
    <s v="Elevated Risk"/>
  </r>
  <r>
    <s v="ORD6412"/>
    <s v="CUST2412"/>
    <n v="48"/>
    <s v="PROD1612"/>
    <s v="Canada"/>
    <d v="2021-05-08T00:00:00"/>
    <s v="3/23/2025"/>
    <n v="5"/>
    <s v="active"/>
    <s v="4/26/2022"/>
    <s v=" $81.82 "/>
    <n v="4"/>
    <n v="33"/>
    <s v="Electronics"/>
    <s v="Laptop"/>
    <s v="Electronics"/>
    <x v="0"/>
    <n v="327.27999999999997"/>
    <s v="Aligned"/>
    <s v="35-49 Gen X"/>
    <s v="High Value Tier"/>
    <s v="Critical Risk"/>
  </r>
  <r>
    <s v="ORD6413"/>
    <s v="CUST2413"/>
    <n v="42"/>
    <s v="PROD1613"/>
    <s v="Germany"/>
    <s v="11/29/2021"/>
    <d v="2025-08-05T00:00:00"/>
    <n v="0"/>
    <s v="active"/>
    <d v="2023-08-07T00:00:00"/>
    <s v=" $107.40 "/>
    <n v="8"/>
    <n v="5"/>
    <s v="Sports"/>
    <s v="Moisturizer"/>
    <s v="Beauty"/>
    <x v="0"/>
    <n v="859.2"/>
    <s v="Misaligned"/>
    <s v="35-49 Gen X"/>
    <s v="High Value Tier"/>
    <s v="Stable"/>
  </r>
  <r>
    <s v="ORD6414"/>
    <s v="CUST2414"/>
    <n v="38"/>
    <s v="PROD1614"/>
    <s v="USA"/>
    <s v="10/28/2022"/>
    <d v="2024-01-05T00:00:00"/>
    <n v="3"/>
    <s v="active"/>
    <d v="2024-09-10T00:00:00"/>
    <s v=" $656.65 "/>
    <n v="3"/>
    <n v="13"/>
    <s v="Home"/>
    <s v="Conditioner"/>
    <s v="Beauty"/>
    <x v="1"/>
    <n v="1969.95"/>
    <s v="Misaligned"/>
    <s v="35-49 Gen X"/>
    <s v="High Value Tier"/>
    <s v="Stable"/>
  </r>
  <r>
    <s v="ORD6415"/>
    <s v="CUST2415"/>
    <n v="69"/>
    <s v="PROD1615"/>
    <s v="UK"/>
    <s v="1/21/2023"/>
    <s v="12/17/2024"/>
    <n v="1"/>
    <s v="active"/>
    <d v="2024-07-07T00:00:00"/>
    <s v=" $213.07 "/>
    <n v="8"/>
    <n v="47"/>
    <s v="Home"/>
    <s v="Dumbbells"/>
    <s v="Sports"/>
    <x v="1"/>
    <n v="1704.56"/>
    <s v="Misaligned"/>
    <s v="65+ Seniors"/>
    <s v="High Value Tier"/>
    <s v="Stable"/>
  </r>
  <r>
    <s v="ORD6416"/>
    <s v="CUST2416"/>
    <n v="63"/>
    <s v="PROD1616"/>
    <s v="Canada"/>
    <d v="2023-04-05T00:00:00"/>
    <d v="2024-08-10T00:00:00"/>
    <n v="4"/>
    <s v="cancelled"/>
    <d v="2024-07-03T00:00:00"/>
    <s v=" $259.90 "/>
    <n v="6"/>
    <n v="34"/>
    <s v="Clothing"/>
    <s v="Sneakers"/>
    <s v="Clothing"/>
    <x v="0"/>
    <n v="1559.4"/>
    <s v="Aligned"/>
    <s v="50-64 Boomers"/>
    <s v="High Value Tier"/>
    <s v="Stable"/>
  </r>
  <r>
    <s v="ORD6417"/>
    <s v="CUST2417"/>
    <n v="59"/>
    <s v="PROD1617"/>
    <s v="UK"/>
    <s v="4/19/2023"/>
    <s v="12/19/2024"/>
    <n v="1"/>
    <s v="active"/>
    <s v="10/15/2024"/>
    <s v=" $1,499.25 "/>
    <n v="1"/>
    <n v="4"/>
    <s v="Home"/>
    <s v="Moisturizer"/>
    <s v="Beauty"/>
    <x v="0"/>
    <n v="1499.25"/>
    <s v="Misaligned"/>
    <s v="50-64 Boomers"/>
    <s v="High Value Tier"/>
    <s v="Stable"/>
  </r>
  <r>
    <s v="ORD6418"/>
    <s v="CUST2418"/>
    <n v="57"/>
    <s v="PROD1618"/>
    <s v="UK"/>
    <d v="2021-02-09T00:00:00"/>
    <s v="6/21/2024"/>
    <n v="2"/>
    <s v="active"/>
    <d v="2023-04-09T00:00:00"/>
    <s v=" $161.93 "/>
    <n v="9"/>
    <n v="39"/>
    <s v="Sports"/>
    <s v="Laptop"/>
    <s v="Electronics"/>
    <x v="0"/>
    <n v="1457.37"/>
    <s v="Misaligned"/>
    <s v="50-64 Boomers"/>
    <s v="High Value Tier"/>
    <s v="Stable"/>
  </r>
  <r>
    <s v="ORD6419"/>
    <s v="CUST2419"/>
    <n v="33"/>
    <s v="PROD1619"/>
    <s v="Pakistan"/>
    <s v="5/22/2021"/>
    <s v="8/17/2025"/>
    <n v="3"/>
    <s v="active"/>
    <s v="12/25/2024"/>
    <s v=" $229.55 "/>
    <n v="8"/>
    <n v="21"/>
    <s v="Electronics"/>
    <s v="Jacket"/>
    <s v="Clothing"/>
    <x v="1"/>
    <n v="1836.4"/>
    <s v="Misaligned"/>
    <s v="25-34 Millennials"/>
    <s v="High Value Tier"/>
    <s v="Stable"/>
  </r>
  <r>
    <s v="ORD6420"/>
    <s v="CUST2420"/>
    <n v="66"/>
    <s v="PROD1620"/>
    <s v="USA"/>
    <s v="4/24/2023"/>
    <s v="4/25/2024"/>
    <n v="1"/>
    <s v="cancelled"/>
    <s v="9/18/2024"/>
    <s v=" $298.18 "/>
    <n v="1"/>
    <n v="13"/>
    <s v="Home"/>
    <s v="Jeans"/>
    <s v="Clothing"/>
    <x v="0"/>
    <n v="298.18"/>
    <s v="Misaligned"/>
    <s v="65+ Seniors"/>
    <s v="High Value Tier"/>
    <s v="Stable"/>
  </r>
  <r>
    <s v="ORD6421"/>
    <s v="CUST2421"/>
    <n v="56"/>
    <s v="PROD1621"/>
    <s v="India"/>
    <s v="1/16/2022"/>
    <d v="2024-12-11T00:00:00"/>
    <n v="1"/>
    <s v="cancelled"/>
    <d v="2022-07-03T00:00:00"/>
    <s v=" $1,299.21 "/>
    <n v="1"/>
    <n v="8"/>
    <s v="Beauty"/>
    <s v="Foundation"/>
    <s v="Beauty"/>
    <x v="0"/>
    <n v="1299.21"/>
    <s v="Aligned"/>
    <s v="50-64 Boomers"/>
    <s v="High Value Tier"/>
    <s v="Stable"/>
  </r>
  <r>
    <s v="ORD6422"/>
    <s v="CUST2422"/>
    <n v="28"/>
    <s v="PROD1622"/>
    <s v="India"/>
    <s v="2/25/2021"/>
    <d v="2022-05-07T00:00:00"/>
    <n v="0"/>
    <s v="active"/>
    <s v="5/14/2021"/>
    <s v=" $172.69 "/>
    <n v="7"/>
    <n v="19"/>
    <s v="Home"/>
    <s v="Hoodie"/>
    <s v="Clothing"/>
    <x v="0"/>
    <n v="1208.83"/>
    <s v="Misaligned"/>
    <s v="25-34 Millennials"/>
    <s v="High Value Tier"/>
    <s v="Stable"/>
  </r>
  <r>
    <s v="ORD6423"/>
    <s v="CUST2423"/>
    <n v="56"/>
    <s v="PROD1623"/>
    <s v="UK"/>
    <s v="2/16/2023"/>
    <d v="2024-03-02T00:00:00"/>
    <n v="3"/>
    <s v="active"/>
    <d v="2024-01-09T00:00:00"/>
    <s v=" $479.12 "/>
    <n v="3"/>
    <n v="35"/>
    <s v="Electronics"/>
    <s v="Cycling Helmet"/>
    <s v="Sports"/>
    <x v="0"/>
    <n v="1437.36"/>
    <s v="Misaligned"/>
    <s v="50-64 Boomers"/>
    <s v="High Value Tier"/>
    <s v="Stable"/>
  </r>
  <r>
    <s v="ORD6424"/>
    <s v="CUST2424"/>
    <n v="53"/>
    <s v="PROD1624"/>
    <s v="UK"/>
    <s v="6/29/2022"/>
    <s v="10/21/2023"/>
    <n v="2"/>
    <s v="active"/>
    <s v="11/16/2024"/>
    <s v=" $140.61 "/>
    <n v="8"/>
    <n v="2"/>
    <s v="Sports"/>
    <s v="Smartwatch"/>
    <s v="Electronics"/>
    <x v="0"/>
    <n v="1124.8800000000001"/>
    <s v="Misaligned"/>
    <s v="50-64 Boomers"/>
    <s v="Core Tier"/>
    <s v="Stable"/>
  </r>
  <r>
    <s v="ORD6425"/>
    <s v="CUST2425"/>
    <n v="49"/>
    <s v="PROD1625"/>
    <s v="UK"/>
    <d v="2021-03-05T00:00:00"/>
    <s v="5/21/2022"/>
    <n v="0"/>
    <s v="paused"/>
    <s v="12/25/2024"/>
    <s v=" $208.33 "/>
    <n v="7"/>
    <n v="30"/>
    <s v="Home"/>
    <s v="Lipstick"/>
    <s v="Beauty"/>
    <x v="1"/>
    <n v="1458.31"/>
    <s v="Misaligned"/>
    <s v="35-49 Gen X"/>
    <s v="High Value Tier"/>
    <s v="Elevated Risk"/>
  </r>
  <r>
    <s v="ORD6426"/>
    <s v="CUST2426"/>
    <n v="23"/>
    <s v="PROD1626"/>
    <s v="Germany"/>
    <s v="6/21/2021"/>
    <s v="5/26/2024"/>
    <n v="1"/>
    <s v="active"/>
    <d v="2021-11-07T00:00:00"/>
    <s v=" $100.62 "/>
    <n v="9"/>
    <n v="13"/>
    <s v="Beauty"/>
    <s v="Cricket Bat"/>
    <s v="Sports"/>
    <x v="0"/>
    <n v="905.58"/>
    <s v="Misaligned"/>
    <s v="18-24 Gen Z"/>
    <s v="High Value Tier"/>
    <s v="Stable"/>
  </r>
  <r>
    <s v="ORD6427"/>
    <s v="CUST2427"/>
    <n v="21"/>
    <s v="PROD1627"/>
    <s v="Germany"/>
    <d v="2022-02-03T00:00:00"/>
    <s v="4/13/2023"/>
    <n v="0"/>
    <s v="cancelled"/>
    <s v="12/21/2022"/>
    <s v=" $6.64 "/>
    <n v="8"/>
    <n v="15"/>
    <s v="Beauty"/>
    <s v="Football"/>
    <s v="Sports"/>
    <x v="1"/>
    <n v="53.12"/>
    <s v="Misaligned"/>
    <s v="18-24 Gen Z"/>
    <s v="Core Tier"/>
    <s v="Stable"/>
  </r>
  <r>
    <s v="ORD6428"/>
    <s v="CUST2428"/>
    <n v="48"/>
    <s v="PROD1628"/>
    <s v="Germany"/>
    <d v="2023-08-05T00:00:00"/>
    <d v="2024-08-01T00:00:00"/>
    <n v="4"/>
    <s v="paused"/>
    <d v="2023-11-07T00:00:00"/>
    <s v=" $131.34 "/>
    <n v="8"/>
    <n v="31"/>
    <s v="Home"/>
    <s v="Camera"/>
    <s v="Electronics"/>
    <x v="0"/>
    <n v="1050.72"/>
    <s v="Misaligned"/>
    <s v="35-49 Gen X"/>
    <s v="High Value Tier"/>
    <s v="Elevated Risk"/>
  </r>
  <r>
    <s v="ORD6429"/>
    <s v="CUST2429"/>
    <n v="36"/>
    <s v="PROD1629"/>
    <s v="Germany"/>
    <s v="1/20/2023"/>
    <d v="2024-04-09T00:00:00"/>
    <n v="5"/>
    <s v="active"/>
    <s v="9/28/2023"/>
    <s v=" $1,092.39 "/>
    <n v="1"/>
    <n v="45"/>
    <s v="Electronics"/>
    <s v="Camera"/>
    <s v="Electronics"/>
    <x v="1"/>
    <n v="1092.3900000000001"/>
    <s v="Aligned"/>
    <s v="35-49 Gen X"/>
    <s v="High Value Tier"/>
    <s v="Critical Risk"/>
  </r>
  <r>
    <s v="ORD6430"/>
    <s v="CUST2430"/>
    <n v="50"/>
    <s v="PROD1630"/>
    <s v="UK"/>
    <s v="12/19/2021"/>
    <d v="2023-05-11T00:00:00"/>
    <n v="2"/>
    <s v="cancelled"/>
    <s v="4/20/2023"/>
    <s v=" $409.65 "/>
    <n v="4"/>
    <n v="41"/>
    <s v="Home"/>
    <s v="Dumbbells"/>
    <s v="Sports"/>
    <x v="0"/>
    <n v="1638.6"/>
    <s v="Misaligned"/>
    <s v="50-64 Boomers"/>
    <s v="High Value Tier"/>
    <s v="Stable"/>
  </r>
  <r>
    <s v="ORD6431"/>
    <s v="CUST2431"/>
    <n v="25"/>
    <s v="PROD1631"/>
    <s v="USA"/>
    <s v="5/26/2022"/>
    <s v="11/17/2023"/>
    <n v="4"/>
    <s v="cancelled"/>
    <s v="10/27/2024"/>
    <s v=" $155.73 "/>
    <n v="4"/>
    <n v="4"/>
    <s v="Clothing"/>
    <s v="Lamp"/>
    <s v="Home"/>
    <x v="1"/>
    <n v="622.91999999999996"/>
    <s v="Misaligned"/>
    <s v="25-34 Millennials"/>
    <s v="Core Tier"/>
    <s v="Stable"/>
  </r>
  <r>
    <s v="ORD6432"/>
    <s v="CUST2432"/>
    <n v="47"/>
    <s v="PROD1632"/>
    <s v="UK"/>
    <s v="10/14/2020"/>
    <s v="11/23/2024"/>
    <n v="3"/>
    <s v="paused"/>
    <s v="1/13/2022"/>
    <s v=" $226.08 "/>
    <n v="8"/>
    <n v="5"/>
    <s v="Beauty"/>
    <s v="Cricket Bat"/>
    <s v="Sports"/>
    <x v="0"/>
    <n v="1808.64"/>
    <s v="Misaligned"/>
    <s v="35-49 Gen X"/>
    <s v="High Value Tier"/>
    <s v="Elevated Risk"/>
  </r>
  <r>
    <s v="ORD6433"/>
    <s v="CUST2433"/>
    <n v="31"/>
    <s v="PROD1633"/>
    <s v="Germany"/>
    <s v="12/22/2021"/>
    <d v="2024-05-05T00:00:00"/>
    <n v="0"/>
    <s v="active"/>
    <s v="9/23/2023"/>
    <s v=" $1,695.00 "/>
    <n v="1"/>
    <n v="32"/>
    <s v="Home"/>
    <s v="Laptop"/>
    <s v="Electronics"/>
    <x v="0"/>
    <n v="1695"/>
    <s v="Misaligned"/>
    <s v="25-34 Millennials"/>
    <s v="High Value Tier"/>
    <s v="Stable"/>
  </r>
  <r>
    <s v="ORD6434"/>
    <s v="CUST2434"/>
    <n v="54"/>
    <s v="PROD1634"/>
    <s v="Germany"/>
    <s v="5/20/2022"/>
    <s v="9/17/2023"/>
    <n v="0"/>
    <s v="active"/>
    <s v="6/18/2024"/>
    <s v=" $100.53 "/>
    <n v="7"/>
    <n v="10"/>
    <s v="Sports"/>
    <s v="Dress"/>
    <s v="Clothing"/>
    <x v="1"/>
    <n v="703.71"/>
    <s v="Misaligned"/>
    <s v="50-64 Boomers"/>
    <s v="High Value Tier"/>
    <s v="Stable"/>
  </r>
  <r>
    <s v="ORD6435"/>
    <s v="CUST2435"/>
    <n v="68"/>
    <s v="PROD1635"/>
    <s v="Canada"/>
    <d v="2022-12-09T00:00:00"/>
    <d v="2024-06-11T00:00:00"/>
    <n v="2"/>
    <s v="cancelled"/>
    <s v="4/16/2025"/>
    <s v=" $751.06 "/>
    <n v="2"/>
    <n v="37"/>
    <s v="Clothing"/>
    <s v="Microwave"/>
    <s v="Home"/>
    <x v="0"/>
    <n v="1502.12"/>
    <s v="Misaligned"/>
    <s v="65+ Seniors"/>
    <s v="High Value Tier"/>
    <s v="Stable"/>
  </r>
  <r>
    <s v="ORD6436"/>
    <s v="CUST2436"/>
    <n v="36"/>
    <s v="PROD1636"/>
    <s v="Canada"/>
    <s v="6/18/2021"/>
    <s v="2/20/2024"/>
    <n v="1"/>
    <s v="paused"/>
    <d v="2024-01-02T00:00:00"/>
    <s v=" $454.17 "/>
    <n v="2"/>
    <n v="34"/>
    <s v="Clothing"/>
    <s v="Vacuum Cleaner"/>
    <s v="Home"/>
    <x v="0"/>
    <n v="908.34"/>
    <s v="Misaligned"/>
    <s v="35-49 Gen X"/>
    <s v="High Value Tier"/>
    <s v="Elevated Risk"/>
  </r>
  <r>
    <s v="ORD6437"/>
    <s v="CUST2437"/>
    <n v="51"/>
    <s v="PROD1637"/>
    <s v="Germany"/>
    <s v="2/13/2023"/>
    <s v="9/16/2023"/>
    <n v="0"/>
    <s v="active"/>
    <d v="2025-04-05T00:00:00"/>
    <s v=" $299.30 "/>
    <n v="4"/>
    <n v="15"/>
    <s v="Beauty"/>
    <s v="Headphones"/>
    <s v="Electronics"/>
    <x v="1"/>
    <n v="1197.2"/>
    <s v="Misaligned"/>
    <s v="50-64 Boomers"/>
    <s v="High Value Tier"/>
    <s v="Stable"/>
  </r>
  <r>
    <s v="ORD6438"/>
    <s v="CUST2438"/>
    <n v="64"/>
    <s v="PROD1638"/>
    <s v="USA"/>
    <d v="2021-06-10T00:00:00"/>
    <s v="7/26/2024"/>
    <n v="1"/>
    <s v="active"/>
    <d v="2022-10-04T00:00:00"/>
    <s v=" $234.74 "/>
    <n v="1"/>
    <n v="36"/>
    <s v="Home"/>
    <s v="Perfume"/>
    <s v="Beauty"/>
    <x v="0"/>
    <n v="234.74"/>
    <s v="Misaligned"/>
    <s v="50-64 Boomers"/>
    <s v="High Value Tier"/>
    <s v="Stable"/>
  </r>
  <r>
    <s v="ORD6439"/>
    <s v="CUST2439"/>
    <n v="63"/>
    <s v="PROD1639"/>
    <s v="USA"/>
    <s v="6/25/2021"/>
    <d v="2023-02-03T00:00:00"/>
    <n v="2"/>
    <s v="cancelled"/>
    <s v="5/14/2024"/>
    <s v=" $221.69 "/>
    <n v="6"/>
    <n v="11"/>
    <s v="Clothing"/>
    <s v="Sofa"/>
    <s v="Home"/>
    <x v="0"/>
    <n v="1330.14"/>
    <s v="Misaligned"/>
    <s v="50-64 Boomers"/>
    <s v="High Value Tier"/>
    <s v="Stable"/>
  </r>
  <r>
    <s v="ORD6440"/>
    <s v="CUST2440"/>
    <n v="66"/>
    <s v="PROD1640"/>
    <s v="UK"/>
    <s v="12/13/2021"/>
    <d v="2022-11-03T00:00:00"/>
    <n v="4"/>
    <s v="paused"/>
    <d v="2022-02-02T00:00:00"/>
    <s v=" $744.56 "/>
    <n v="2"/>
    <n v="37"/>
    <s v="Electronics"/>
    <s v="Sofa"/>
    <s v="Home"/>
    <x v="1"/>
    <n v="1489.12"/>
    <s v="Misaligned"/>
    <s v="65+ Seniors"/>
    <s v="High Value Tier"/>
    <s v="Elevated Risk"/>
  </r>
  <r>
    <s v="ORD6441"/>
    <s v="CUST2441"/>
    <n v="26"/>
    <s v="PROD1641"/>
    <s v="UK"/>
    <s v="9/30/2021"/>
    <d v="2021-04-12T00:00:00"/>
    <n v="3"/>
    <s v="active"/>
    <d v="2021-05-12T00:00:00"/>
    <s v=" $400.07 "/>
    <n v="3"/>
    <n v="24"/>
    <s v="Beauty"/>
    <s v="T-Shirt"/>
    <s v="Clothing"/>
    <x v="1"/>
    <n v="1200.21"/>
    <s v="Misaligned"/>
    <s v="25-34 Millennials"/>
    <s v="High Value Tier"/>
    <s v="Stable"/>
  </r>
  <r>
    <s v="ORD6442"/>
    <s v="CUST2442"/>
    <n v="21"/>
    <s v="PROD1642"/>
    <s v="USA"/>
    <s v="12/26/2021"/>
    <d v="2024-03-12T00:00:00"/>
    <n v="5"/>
    <s v="cancelled"/>
    <d v="2022-04-06T00:00:00"/>
    <s v=" $390.99 "/>
    <n v="3"/>
    <n v="34"/>
    <s v="Sports"/>
    <s v="Tablet"/>
    <s v="Electronics"/>
    <x v="1"/>
    <n v="1172.97"/>
    <s v="Misaligned"/>
    <s v="18-24 Gen Z"/>
    <s v="High Value Tier"/>
    <s v="Stable"/>
  </r>
  <r>
    <s v="ORD6443"/>
    <s v="CUST2443"/>
    <n v="64"/>
    <s v="PROD1643"/>
    <s v="India"/>
    <d v="2021-07-07T00:00:00"/>
    <d v="2022-02-02T00:00:00"/>
    <n v="2"/>
    <s v="cancelled"/>
    <s v="8/25/2024"/>
    <s v=" $111.28 "/>
    <n v="4"/>
    <n v="8"/>
    <s v="Sports"/>
    <s v="Lipstick"/>
    <s v="Beauty"/>
    <x v="1"/>
    <n v="445.12"/>
    <s v="Misaligned"/>
    <s v="50-64 Boomers"/>
    <s v="High Value Tier"/>
    <s v="Stable"/>
  </r>
  <r>
    <s v="ORD6444"/>
    <s v="CUST2444"/>
    <n v="45"/>
    <s v="PROD1644"/>
    <s v="India"/>
    <s v="10/21/2022"/>
    <s v="2/25/2024"/>
    <n v="3"/>
    <s v="active"/>
    <d v="2025-04-07T00:00:00"/>
    <s v=" $260.36 "/>
    <n v="7"/>
    <n v="49"/>
    <s v="Beauty"/>
    <s v="Hoodie"/>
    <s v="Clothing"/>
    <x v="0"/>
    <n v="1822.52"/>
    <s v="Misaligned"/>
    <s v="35-49 Gen X"/>
    <s v="High Value Tier"/>
    <s v="Stable"/>
  </r>
  <r>
    <s v="ORD6445"/>
    <s v="CUST2445"/>
    <n v="26"/>
    <s v="PROD1645"/>
    <s v="India"/>
    <s v="4/24/2022"/>
    <s v="6/19/2024"/>
    <n v="5"/>
    <s v="paused"/>
    <s v="6/23/2024"/>
    <s v=" $228.34 "/>
    <n v="6"/>
    <n v="15"/>
    <s v="Home"/>
    <s v="Face Wash"/>
    <s v="Beauty"/>
    <x v="0"/>
    <n v="1370.04"/>
    <s v="Misaligned"/>
    <s v="25-34 Millennials"/>
    <s v="High Value Tier"/>
    <s v="Elevated Risk"/>
  </r>
  <r>
    <s v="ORD6446"/>
    <s v="CUST2446"/>
    <n v="31"/>
    <s v="PROD1646"/>
    <s v="UK"/>
    <s v="2/14/2021"/>
    <s v="3/22/2024"/>
    <n v="2"/>
    <s v="active"/>
    <d v="2022-05-01T00:00:00"/>
    <s v=" $149.01 "/>
    <n v="8"/>
    <n v="45"/>
    <s v="Beauty"/>
    <s v="Sofa"/>
    <s v="Home"/>
    <x v="0"/>
    <n v="1192.08"/>
    <s v="Misaligned"/>
    <s v="25-34 Millennials"/>
    <s v="High Value Tier"/>
    <s v="Stable"/>
  </r>
  <r>
    <s v="ORD6447"/>
    <s v="CUST2447"/>
    <n v="67"/>
    <s v="PROD1647"/>
    <s v="UK"/>
    <s v="6/24/2022"/>
    <d v="2022-12-12T00:00:00"/>
    <n v="1"/>
    <s v="active"/>
    <s v="12/23/2024"/>
    <s v=" $602.62 "/>
    <n v="2"/>
    <n v="6"/>
    <s v="Home"/>
    <s v="Shampoo"/>
    <s v="Beauty"/>
    <x v="0"/>
    <n v="1205.24"/>
    <s v="Misaligned"/>
    <s v="65+ Seniors"/>
    <s v="High Value Tier"/>
    <s v="Stable"/>
  </r>
  <r>
    <s v="ORD6448"/>
    <s v="CUST2448"/>
    <n v="52"/>
    <s v="PROD1648"/>
    <s v="USA"/>
    <s v="3/27/2023"/>
    <d v="2025-05-05T00:00:00"/>
    <n v="5"/>
    <s v="active"/>
    <s v="7/14/2023"/>
    <s v=" $323.71 "/>
    <n v="5"/>
    <n v="22"/>
    <s v="Clothing"/>
    <s v="Foundation"/>
    <s v="Beauty"/>
    <x v="1"/>
    <n v="1618.55"/>
    <s v="Misaligned"/>
    <s v="50-64 Boomers"/>
    <s v="High Value Tier"/>
    <s v="Critical Risk"/>
  </r>
  <r>
    <s v="ORD6449"/>
    <s v="CUST2449"/>
    <n v="58"/>
    <s v="PROD1649"/>
    <s v="India"/>
    <s v="2/28/2022"/>
    <s v="1/20/2025"/>
    <n v="1"/>
    <s v="active"/>
    <s v="9/21/2023"/>
    <s v=" $204.33 "/>
    <n v="9"/>
    <n v="44"/>
    <s v="Beauty"/>
    <s v="Sneakers"/>
    <s v="Clothing"/>
    <x v="1"/>
    <n v="1838.97"/>
    <s v="Misaligned"/>
    <s v="50-64 Boomers"/>
    <s v="High Value Tier"/>
    <s v="Stable"/>
  </r>
  <r>
    <s v="ORD6450"/>
    <s v="CUST2450"/>
    <n v="42"/>
    <s v="PROD1650"/>
    <s v="Pakistan"/>
    <d v="2023-11-07T00:00:00"/>
    <d v="2025-04-07T00:00:00"/>
    <n v="1"/>
    <s v="active"/>
    <d v="2024-01-11T00:00:00"/>
    <s v=" $271.08 "/>
    <n v="6"/>
    <n v="14"/>
    <s v="Clothing"/>
    <s v="Laptop"/>
    <s v="Electronics"/>
    <x v="1"/>
    <n v="1626.48"/>
    <s v="Misaligned"/>
    <s v="35-49 Gen X"/>
    <s v="High Value Tier"/>
    <s v="Stable"/>
  </r>
  <r>
    <s v="ORD6451"/>
    <s v="CUST2451"/>
    <n v="52"/>
    <s v="PROD1651"/>
    <s v="Canada"/>
    <s v="12/15/2022"/>
    <d v="2024-05-10T00:00:00"/>
    <n v="5"/>
    <s v="active"/>
    <d v="2024-10-09T00:00:00"/>
    <s v=" $153.01 "/>
    <n v="8"/>
    <n v="48"/>
    <s v="Beauty"/>
    <s v="Football"/>
    <s v="Sports"/>
    <x v="0"/>
    <n v="1224.08"/>
    <s v="Misaligned"/>
    <s v="50-64 Boomers"/>
    <s v="High Value Tier"/>
    <s v="Critical Risk"/>
  </r>
  <r>
    <s v="ORD6452"/>
    <s v="CUST2452"/>
    <n v="65"/>
    <s v="PROD1652"/>
    <s v="Pakistan"/>
    <s v="9/29/2020"/>
    <s v="4/28/2021"/>
    <n v="1"/>
    <s v="cancelled"/>
    <s v="4/22/2025"/>
    <s v=" $230.35 "/>
    <n v="8"/>
    <n v="32"/>
    <s v="Beauty"/>
    <s v="Dumbbells"/>
    <s v="Sports"/>
    <x v="0"/>
    <n v="1842.8"/>
    <s v="Misaligned"/>
    <s v="65+ Seniors"/>
    <s v="High Value Tier"/>
    <s v="Stable"/>
  </r>
  <r>
    <s v="ORD6453"/>
    <s v="CUST2453"/>
    <n v="60"/>
    <s v="PROD1653"/>
    <s v="UK"/>
    <d v="2023-05-03T00:00:00"/>
    <s v="1/24/2024"/>
    <n v="1"/>
    <s v="cancelled"/>
    <s v="3/17/2024"/>
    <s v=" $67.11 "/>
    <n v="9"/>
    <n v="17"/>
    <s v="Electronics"/>
    <s v="Tennis Racket"/>
    <s v="Sports"/>
    <x v="0"/>
    <n v="603.99"/>
    <s v="Misaligned"/>
    <s v="50-64 Boomers"/>
    <s v="High Value Tier"/>
    <s v="Stable"/>
  </r>
  <r>
    <s v="ORD6454"/>
    <s v="CUST2454"/>
    <n v="23"/>
    <s v="PROD1654"/>
    <s v="UK"/>
    <s v="8/22/2020"/>
    <s v="4/23/2021"/>
    <n v="1"/>
    <s v="paused"/>
    <s v="4/15/2021"/>
    <s v=" $17.40 "/>
    <n v="6"/>
    <n v="27"/>
    <s v="Home"/>
    <s v="Laptop"/>
    <s v="Electronics"/>
    <x v="0"/>
    <n v="104.4"/>
    <s v="Misaligned"/>
    <s v="18-24 Gen Z"/>
    <s v="High Value Tier"/>
    <s v="Elevated Risk"/>
  </r>
  <r>
    <s v="ORD6455"/>
    <s v="CUST2455"/>
    <n v="48"/>
    <s v="PROD1655"/>
    <s v="UK"/>
    <s v="2/20/2021"/>
    <s v="9/23/2024"/>
    <n v="1"/>
    <s v="active"/>
    <d v="2024-06-12T00:00:00"/>
    <s v=" $697.20 "/>
    <n v="2"/>
    <n v="16"/>
    <s v="Home"/>
    <s v="Smartwatch"/>
    <s v="Electronics"/>
    <x v="1"/>
    <n v="1394.4"/>
    <s v="Misaligned"/>
    <s v="35-49 Gen X"/>
    <s v="High Value Tier"/>
    <s v="Stable"/>
  </r>
  <r>
    <s v="ORD6456"/>
    <s v="CUST2456"/>
    <n v="44"/>
    <s v="PROD1656"/>
    <s v="Germany"/>
    <d v="2021-11-03T00:00:00"/>
    <d v="2022-01-11T00:00:00"/>
    <n v="5"/>
    <s v="active"/>
    <s v="5/13/2025"/>
    <s v=" $976.01 "/>
    <n v="2"/>
    <n v="45"/>
    <s v="Clothing"/>
    <s v="Yoga Mat"/>
    <s v="Sports"/>
    <x v="1"/>
    <n v="1952.02"/>
    <s v="Misaligned"/>
    <s v="35-49 Gen X"/>
    <s v="High Value Tier"/>
    <s v="Critical Risk"/>
  </r>
  <r>
    <s v="ORD6457"/>
    <s v="CUST2457"/>
    <n v="35"/>
    <s v="PROD1657"/>
    <s v="UK"/>
    <d v="2023-08-06T00:00:00"/>
    <s v="4/21/2024"/>
    <n v="1"/>
    <s v="active"/>
    <s v="6/20/2023"/>
    <s v=" $240.13 "/>
    <n v="7"/>
    <n v="15"/>
    <s v="Beauty"/>
    <s v="Lipstick"/>
    <s v="Beauty"/>
    <x v="1"/>
    <n v="1680.91"/>
    <s v="Aligned"/>
    <s v="35-49 Gen X"/>
    <s v="High Value Tier"/>
    <s v="Stable"/>
  </r>
  <r>
    <s v="ORD6458"/>
    <s v="CUST2458"/>
    <n v="43"/>
    <s v="PROD1658"/>
    <s v="USA"/>
    <d v="2022-09-12T00:00:00"/>
    <d v="2023-11-04T00:00:00"/>
    <n v="5"/>
    <s v="cancelled"/>
    <s v="9/27/2024"/>
    <s v=" $81.84 "/>
    <n v="7"/>
    <n v="19"/>
    <s v="Electronics"/>
    <s v="Dress"/>
    <s v="Clothing"/>
    <x v="1"/>
    <n v="572.88"/>
    <s v="Misaligned"/>
    <s v="35-49 Gen X"/>
    <s v="High Value Tier"/>
    <s v="Stable"/>
  </r>
  <r>
    <s v="ORD6459"/>
    <s v="CUST2459"/>
    <n v="66"/>
    <s v="PROD1659"/>
    <s v="India"/>
    <d v="2020-12-10T00:00:00"/>
    <s v="4/27/2021"/>
    <n v="2"/>
    <s v="active"/>
    <s v="7/27/2025"/>
    <s v=" $126.39 "/>
    <n v="7"/>
    <n v="22"/>
    <s v="Home"/>
    <s v="Running Shoes"/>
    <s v="Sports"/>
    <x v="0"/>
    <n v="884.73"/>
    <s v="Misaligned"/>
    <s v="65+ Seniors"/>
    <s v="High Value Tier"/>
    <s v="Stable"/>
  </r>
  <r>
    <s v="ORD6460"/>
    <s v="CUST2460"/>
    <n v="42"/>
    <s v="PROD1660"/>
    <s v="Germany"/>
    <s v="2/13/2021"/>
    <d v="2023-06-06T00:00:00"/>
    <n v="3"/>
    <s v="paused"/>
    <s v="10/26/2021"/>
    <s v=" $50.66 "/>
    <n v="4"/>
    <n v="27"/>
    <s v="Clothing"/>
    <s v="Shirt"/>
    <s v="Clothing"/>
    <x v="1"/>
    <n v="202.64"/>
    <s v="Aligned"/>
    <s v="35-49 Gen X"/>
    <s v="High Value Tier"/>
    <s v="Elevated Risk"/>
  </r>
  <r>
    <s v="ORD6461"/>
    <s v="CUST2461"/>
    <n v="20"/>
    <s v="PROD1661"/>
    <s v="Pakistan"/>
    <s v="8/20/2020"/>
    <s v="4/20/2023"/>
    <n v="4"/>
    <s v="active"/>
    <s v="6/20/2025"/>
    <s v=" $1,034.24 "/>
    <n v="1"/>
    <n v="18"/>
    <s v="Electronics"/>
    <s v="Laptop"/>
    <s v="Electronics"/>
    <x v="0"/>
    <n v="1034.24"/>
    <s v="Aligned"/>
    <s v="18-24 Gen Z"/>
    <s v="High Value Tier"/>
    <s v="Critical Risk"/>
  </r>
  <r>
    <s v="ORD6462"/>
    <s v="CUST2462"/>
    <n v="47"/>
    <s v="PROD1662"/>
    <s v="Canada"/>
    <d v="2021-05-08T00:00:00"/>
    <d v="2025-02-03T00:00:00"/>
    <n v="4"/>
    <s v="paused"/>
    <s v="8/21/2024"/>
    <s v=" $43.76 "/>
    <n v="9"/>
    <n v="24"/>
    <s v="Electronics"/>
    <s v="Dining Table"/>
    <s v="Home"/>
    <x v="0"/>
    <n v="393.84"/>
    <s v="Misaligned"/>
    <s v="35-49 Gen X"/>
    <s v="High Value Tier"/>
    <s v="Elevated Risk"/>
  </r>
  <r>
    <s v="ORD6463"/>
    <s v="CUST2463"/>
    <n v="68"/>
    <s v="PROD1663"/>
    <s v="USA"/>
    <s v="7/29/2023"/>
    <d v="2024-07-12T00:00:00"/>
    <n v="2"/>
    <s v="active"/>
    <s v="7/18/2024"/>
    <s v=" $85.89 "/>
    <n v="9"/>
    <n v="27"/>
    <s v="Electronics"/>
    <s v="Lipstick"/>
    <s v="Beauty"/>
    <x v="0"/>
    <n v="773.01"/>
    <s v="Misaligned"/>
    <s v="65+ Seniors"/>
    <s v="High Value Tier"/>
    <s v="Stable"/>
  </r>
  <r>
    <s v="ORD6464"/>
    <s v="CUST2464"/>
    <n v="46"/>
    <s v="PROD1664"/>
    <s v="Pakistan"/>
    <s v="12/30/2021"/>
    <d v="2024-12-04T00:00:00"/>
    <n v="0"/>
    <s v="paused"/>
    <d v="2023-02-06T00:00:00"/>
    <s v=" $271.63 "/>
    <n v="5"/>
    <n v="21"/>
    <s v="Clothing"/>
    <s v="Lipstick"/>
    <s v="Beauty"/>
    <x v="1"/>
    <n v="1358.15"/>
    <s v="Misaligned"/>
    <s v="35-49 Gen X"/>
    <s v="High Value Tier"/>
    <s v="Elevated Risk"/>
  </r>
  <r>
    <s v="ORD6465"/>
    <s v="CUST2465"/>
    <n v="43"/>
    <s v="PROD1665"/>
    <s v="Pakistan"/>
    <s v="10/23/2022"/>
    <s v="7/19/2023"/>
    <n v="5"/>
    <s v="active"/>
    <s v="1/21/2023"/>
    <s v=" $8.14 "/>
    <n v="5"/>
    <n v="30"/>
    <s v="Sports"/>
    <s v="Nail Polish"/>
    <s v="Beauty"/>
    <x v="1"/>
    <n v="40.700000000000003"/>
    <s v="Misaligned"/>
    <s v="35-49 Gen X"/>
    <s v="Core Tier"/>
    <s v="Critical Risk"/>
  </r>
  <r>
    <s v="ORD6466"/>
    <s v="CUST2466"/>
    <n v="33"/>
    <s v="PROD1666"/>
    <s v="India"/>
    <d v="2020-12-12T00:00:00"/>
    <d v="2021-02-10T00:00:00"/>
    <n v="1"/>
    <s v="active"/>
    <d v="2021-04-08T00:00:00"/>
    <s v=" $594.86 "/>
    <n v="2"/>
    <n v="9"/>
    <s v="Sports"/>
    <s v="Hoodie"/>
    <s v="Clothing"/>
    <x v="0"/>
    <n v="1189.72"/>
    <s v="Misaligned"/>
    <s v="25-34 Millennials"/>
    <s v="High Value Tier"/>
    <s v="Stable"/>
  </r>
  <r>
    <s v="ORD6467"/>
    <s v="CUST2467"/>
    <n v="36"/>
    <s v="PROD1667"/>
    <s v="Canada"/>
    <s v="8/23/2020"/>
    <s v="11/16/2023"/>
    <n v="2"/>
    <s v="paused"/>
    <s v="3/18/2024"/>
    <s v=" $170.65 "/>
    <n v="4"/>
    <n v="36"/>
    <s v="Beauty"/>
    <s v="Jeans"/>
    <s v="Clothing"/>
    <x v="1"/>
    <n v="682.6"/>
    <s v="Misaligned"/>
    <s v="35-49 Gen X"/>
    <s v="High Value Tier"/>
    <s v="Elevated Risk"/>
  </r>
  <r>
    <s v="ORD6468"/>
    <s v="CUST2468"/>
    <n v="23"/>
    <s v="PROD1668"/>
    <s v="Pakistan"/>
    <s v="12/13/2022"/>
    <s v="9/22/2023"/>
    <n v="2"/>
    <s v="active"/>
    <s v="8/22/2023"/>
    <s v=" $358.17 "/>
    <n v="5"/>
    <n v="8"/>
    <s v="Sports"/>
    <s v="Camera"/>
    <s v="Electronics"/>
    <x v="0"/>
    <n v="1790.85"/>
    <s v="Misaligned"/>
    <s v="18-24 Gen Z"/>
    <s v="High Value Tier"/>
    <s v="Stable"/>
  </r>
  <r>
    <s v="ORD6469"/>
    <s v="CUST2469"/>
    <n v="36"/>
    <s v="PROD1669"/>
    <s v="UK"/>
    <s v="9/25/2020"/>
    <s v="5/29/2023"/>
    <n v="4"/>
    <s v="active"/>
    <d v="2024-08-01T00:00:00"/>
    <s v=" $623.62 "/>
    <n v="1"/>
    <n v="4"/>
    <s v="Electronics"/>
    <s v="Shampoo"/>
    <s v="Beauty"/>
    <x v="0"/>
    <n v="623.62"/>
    <s v="Misaligned"/>
    <s v="35-49 Gen X"/>
    <s v="Core Tier"/>
    <s v="Critical Risk"/>
  </r>
  <r>
    <s v="ORD6470"/>
    <s v="CUST2470"/>
    <n v="52"/>
    <s v="PROD1670"/>
    <s v="Germany"/>
    <d v="2023-07-04T00:00:00"/>
    <s v="2/16/2024"/>
    <n v="0"/>
    <s v="active"/>
    <s v="8/15/2024"/>
    <s v=" $666.92 "/>
    <n v="1"/>
    <n v="34"/>
    <s v="Home"/>
    <s v="Sofa"/>
    <s v="Home"/>
    <x v="1"/>
    <n v="666.92"/>
    <s v="Aligned"/>
    <s v="50-64 Boomers"/>
    <s v="High Value Tier"/>
    <s v="Stable"/>
  </r>
  <r>
    <s v="ORD6471"/>
    <s v="CUST2471"/>
    <n v="54"/>
    <s v="PROD1671"/>
    <s v="India"/>
    <s v="5/14/2023"/>
    <d v="2025-04-08T00:00:00"/>
    <n v="2"/>
    <s v="active"/>
    <d v="2025-07-05T00:00:00"/>
    <s v=" $240.82 "/>
    <n v="1"/>
    <n v="17"/>
    <s v="Beauty"/>
    <s v="Chair"/>
    <s v="Home"/>
    <x v="0"/>
    <n v="240.82"/>
    <s v="Misaligned"/>
    <s v="50-64 Boomers"/>
    <s v="High Value Tier"/>
    <s v="Stable"/>
  </r>
  <r>
    <s v="ORD6472"/>
    <s v="CUST2472"/>
    <n v="21"/>
    <s v="PROD1672"/>
    <s v="India"/>
    <s v="1/18/2022"/>
    <s v="4/30/2023"/>
    <n v="5"/>
    <s v="cancelled"/>
    <s v="9/25/2022"/>
    <s v=" $72.58 "/>
    <n v="7"/>
    <n v="31"/>
    <s v="Clothing"/>
    <s v="Face Wash"/>
    <s v="Beauty"/>
    <x v="1"/>
    <n v="508.06"/>
    <s v="Misaligned"/>
    <s v="18-24 Gen Z"/>
    <s v="High Value Tier"/>
    <s v="Stable"/>
  </r>
  <r>
    <s v="ORD6473"/>
    <s v="CUST2473"/>
    <n v="67"/>
    <s v="PROD1673"/>
    <s v="USA"/>
    <d v="2021-10-12T00:00:00"/>
    <s v="2/18/2025"/>
    <n v="1"/>
    <s v="cancelled"/>
    <s v="10/19/2023"/>
    <s v=" $86.11 "/>
    <n v="5"/>
    <n v="23"/>
    <s v="Home"/>
    <s v="Nail Polish"/>
    <s v="Beauty"/>
    <x v="2"/>
    <n v="430.55"/>
    <s v="Misaligned"/>
    <s v="65+ Seniors"/>
    <s v="High Value Tier"/>
    <s v="Stable"/>
  </r>
  <r>
    <s v="ORD6474"/>
    <s v="CUST2474"/>
    <n v="64"/>
    <s v="PROD1674"/>
    <s v="Germany"/>
    <s v="7/16/2022"/>
    <d v="2022-07-10T00:00:00"/>
    <n v="2"/>
    <s v="active"/>
    <d v="2024-07-11T00:00:00"/>
    <s v=" $28.47 "/>
    <n v="4"/>
    <n v="9"/>
    <s v="Clothing"/>
    <s v="Perfume"/>
    <s v="Beauty"/>
    <x v="1"/>
    <n v="113.88"/>
    <s v="Misaligned"/>
    <s v="50-64 Boomers"/>
    <s v="Core Tier"/>
    <s v="Stable"/>
  </r>
  <r>
    <s v="ORD6475"/>
    <s v="CUST2475"/>
    <n v="50"/>
    <s v="PROD1675"/>
    <s v="UK"/>
    <s v="12/25/2020"/>
    <s v="11/30/2022"/>
    <n v="2"/>
    <s v="active"/>
    <d v="2024-06-04T00:00:00"/>
    <s v=" $501.52 "/>
    <n v="2"/>
    <n v="24"/>
    <s v="Sports"/>
    <s v="Football"/>
    <s v="Sports"/>
    <x v="0"/>
    <n v="1003.04"/>
    <s v="Aligned"/>
    <s v="50-64 Boomers"/>
    <s v="High Value Tier"/>
    <s v="Stable"/>
  </r>
  <r>
    <s v="ORD6476"/>
    <s v="CUST2476"/>
    <n v="42"/>
    <s v="PROD1676"/>
    <s v="Canada"/>
    <d v="2020-11-11T00:00:00"/>
    <d v="2024-07-05T00:00:00"/>
    <n v="2"/>
    <s v="active"/>
    <s v="7/26/2025"/>
    <s v=" $916.46 "/>
    <n v="2"/>
    <n v="8"/>
    <s v="Clothing"/>
    <s v="Laptop"/>
    <s v="Electronics"/>
    <x v="1"/>
    <n v="1832.92"/>
    <s v="Misaligned"/>
    <s v="35-49 Gen X"/>
    <s v="High Value Tier"/>
    <s v="Stable"/>
  </r>
  <r>
    <s v="ORD6477"/>
    <s v="CUST2477"/>
    <n v="36"/>
    <s v="PROD1677"/>
    <s v="UK"/>
    <s v="11/18/2021"/>
    <d v="2023-12-07T00:00:00"/>
    <n v="1"/>
    <s v="paused"/>
    <s v="12/18/2021"/>
    <s v=" $339.31 "/>
    <n v="5"/>
    <n v="43"/>
    <s v="Home"/>
    <s v="Skirt"/>
    <s v="Clothing"/>
    <x v="1"/>
    <n v="1696.55"/>
    <s v="Misaligned"/>
    <s v="35-49 Gen X"/>
    <s v="High Value Tier"/>
    <s v="Elevated Risk"/>
  </r>
  <r>
    <s v="ORD6478"/>
    <s v="CUST2478"/>
    <n v="52"/>
    <s v="PROD1678"/>
    <s v="Germany"/>
    <s v="5/24/2023"/>
    <d v="2024-07-06T00:00:00"/>
    <n v="2"/>
    <s v="active"/>
    <d v="2025-02-01T00:00:00"/>
    <s v=" $589.66 "/>
    <n v="1"/>
    <n v="25"/>
    <s v="Clothing"/>
    <s v="Microwave"/>
    <s v="Home"/>
    <x v="1"/>
    <n v="589.66"/>
    <s v="Misaligned"/>
    <s v="50-64 Boomers"/>
    <s v="High Value Tier"/>
    <s v="Stable"/>
  </r>
  <r>
    <s v="ORD6479"/>
    <s v="CUST2479"/>
    <n v="46"/>
    <s v="PROD1679"/>
    <s v="USA"/>
    <s v="11/29/2020"/>
    <s v="3/19/2021"/>
    <n v="0"/>
    <s v="active"/>
    <s v="4/27/2024"/>
    <s v=" $214.73 "/>
    <n v="7"/>
    <n v="47"/>
    <s v="Sports"/>
    <s v="Moisturizer"/>
    <s v="Beauty"/>
    <x v="0"/>
    <n v="1503.11"/>
    <s v="Misaligned"/>
    <s v="35-49 Gen X"/>
    <s v="High Value Tier"/>
    <s v="Stable"/>
  </r>
  <r>
    <s v="ORD6480"/>
    <s v="CUST2480"/>
    <n v="64"/>
    <s v="PROD1680"/>
    <s v="India"/>
    <s v="12/30/2020"/>
    <s v="8/21/2024"/>
    <n v="3"/>
    <s v="cancelled"/>
    <s v="5/15/2023"/>
    <s v=" $913.56 "/>
    <n v="1"/>
    <n v="46"/>
    <s v="Beauty"/>
    <s v="Cycling Helmet"/>
    <s v="Sports"/>
    <x v="0"/>
    <n v="913.56"/>
    <s v="Misaligned"/>
    <s v="50-64 Boomers"/>
    <s v="High Value Tier"/>
    <s v="Stable"/>
  </r>
  <r>
    <s v="ORD6481"/>
    <s v="CUST2481"/>
    <n v="41"/>
    <s v="PROD1681"/>
    <s v="India"/>
    <d v="2021-07-10T00:00:00"/>
    <s v="12/31/2024"/>
    <n v="0"/>
    <s v="active"/>
    <s v="7/31/2022"/>
    <s v=" $515.65 "/>
    <n v="2"/>
    <n v="44"/>
    <s v="Sports"/>
    <s v="Foundation"/>
    <s v="Beauty"/>
    <x v="1"/>
    <n v="1031.3"/>
    <s v="Misaligned"/>
    <s v="35-49 Gen X"/>
    <s v="High Value Tier"/>
    <s v="Stable"/>
  </r>
  <r>
    <s v="ORD6482"/>
    <s v="CUST2482"/>
    <n v="46"/>
    <s v="PROD1682"/>
    <s v="Pakistan"/>
    <d v="2023-09-06T00:00:00"/>
    <s v="11/19/2023"/>
    <n v="3"/>
    <s v="paused"/>
    <s v="7/25/2024"/>
    <s v=" $67.77 "/>
    <n v="3"/>
    <n v="8"/>
    <s v="Clothing"/>
    <s v="Football"/>
    <s v="Sports"/>
    <x v="0"/>
    <n v="203.31"/>
    <s v="Misaligned"/>
    <s v="35-49 Gen X"/>
    <s v="Core Tier"/>
    <s v="Elevated Risk"/>
  </r>
  <r>
    <s v="ORD6483"/>
    <s v="CUST2483"/>
    <n v="37"/>
    <s v="PROD1683"/>
    <s v="UK"/>
    <s v="9/28/2022"/>
    <s v="7/15/2025"/>
    <n v="3"/>
    <s v="cancelled"/>
    <d v="2023-07-04T00:00:00"/>
    <s v=" $485.61 "/>
    <n v="4"/>
    <n v="11"/>
    <s v="Sports"/>
    <s v="Lipstick"/>
    <s v="Beauty"/>
    <x v="0"/>
    <n v="1942.44"/>
    <s v="Misaligned"/>
    <s v="35-49 Gen X"/>
    <s v="High Value Tier"/>
    <s v="Stable"/>
  </r>
  <r>
    <s v="ORD6484"/>
    <s v="CUST2484"/>
    <n v="33"/>
    <s v="PROD1684"/>
    <s v="UK"/>
    <d v="2023-06-02T00:00:00"/>
    <s v="11/21/2024"/>
    <n v="0"/>
    <s v="cancelled"/>
    <s v="5/22/2025"/>
    <s v=" $176.45 "/>
    <n v="2"/>
    <n v="19"/>
    <s v="Clothing"/>
    <s v="Perfume"/>
    <s v="Beauty"/>
    <x v="0"/>
    <n v="352.9"/>
    <s v="Misaligned"/>
    <s v="25-34 Millennials"/>
    <s v="High Value Tier"/>
    <s v="Stable"/>
  </r>
  <r>
    <s v="ORD6485"/>
    <s v="CUST2485"/>
    <n v="56"/>
    <s v="PROD1685"/>
    <s v="Germany"/>
    <d v="2021-03-12T00:00:00"/>
    <d v="2023-04-07T00:00:00"/>
    <n v="0"/>
    <s v="active"/>
    <s v="5/30/2023"/>
    <s v=" $8.27 "/>
    <n v="6"/>
    <n v="39"/>
    <s v="Clothing"/>
    <s v="Blender"/>
    <s v="Home"/>
    <x v="1"/>
    <n v="49.62"/>
    <s v="Misaligned"/>
    <s v="50-64 Boomers"/>
    <s v="Core Tier"/>
    <s v="Stable"/>
  </r>
  <r>
    <s v="ORD6486"/>
    <s v="CUST2486"/>
    <n v="59"/>
    <s v="PROD1686"/>
    <s v="Canada"/>
    <d v="2023-05-01T00:00:00"/>
    <d v="2025-10-02T00:00:00"/>
    <n v="4"/>
    <s v="active"/>
    <s v="12/16/2023"/>
    <s v=" $407.74 "/>
    <n v="4"/>
    <n v="49"/>
    <s v="Clothing"/>
    <s v="Conditioner"/>
    <s v="Beauty"/>
    <x v="0"/>
    <n v="1630.96"/>
    <s v="Misaligned"/>
    <s v="50-64 Boomers"/>
    <s v="High Value Tier"/>
    <s v="Critical Risk"/>
  </r>
  <r>
    <s v="ORD6487"/>
    <s v="CUST2487"/>
    <n v="56"/>
    <s v="PROD1687"/>
    <s v="Canada"/>
    <d v="2020-08-09T00:00:00"/>
    <s v="5/21/2023"/>
    <n v="3"/>
    <s v="active"/>
    <s v="3/30/2022"/>
    <s v=" $348.65 "/>
    <n v="5"/>
    <n v="24"/>
    <s v="Electronics"/>
    <s v="Foundation"/>
    <s v="Beauty"/>
    <x v="1"/>
    <n v="1743.25"/>
    <s v="Misaligned"/>
    <s v="50-64 Boomers"/>
    <s v="High Value Tier"/>
    <s v="Stable"/>
  </r>
  <r>
    <s v="ORD6488"/>
    <s v="CUST2488"/>
    <n v="63"/>
    <s v="PROD1688"/>
    <s v="India"/>
    <s v="4/27/2022"/>
    <s v="12/14/2022"/>
    <n v="5"/>
    <s v="cancelled"/>
    <d v="2025-09-04T00:00:00"/>
    <s v=" $123.75 "/>
    <n v="7"/>
    <n v="11"/>
    <s v="Clothing"/>
    <s v="Foundation"/>
    <s v="Beauty"/>
    <x v="0"/>
    <n v="866.25"/>
    <s v="Misaligned"/>
    <s v="50-64 Boomers"/>
    <s v="High Value Tier"/>
    <s v="Stable"/>
  </r>
  <r>
    <s v="ORD6489"/>
    <s v="CUST2489"/>
    <n v="29"/>
    <s v="PROD1689"/>
    <s v="USA"/>
    <d v="2021-07-11T00:00:00"/>
    <d v="2022-02-04T00:00:00"/>
    <n v="5"/>
    <s v="active"/>
    <s v="12/22/2023"/>
    <s v=" $187.84 "/>
    <n v="4"/>
    <n v="45"/>
    <s v="Home"/>
    <s v="Cycling Helmet"/>
    <s v="Sports"/>
    <x v="0"/>
    <n v="751.36"/>
    <s v="Misaligned"/>
    <s v="25-34 Millennials"/>
    <s v="High Value Tier"/>
    <s v="Critical Risk"/>
  </r>
  <r>
    <s v="ORD6490"/>
    <s v="CUST2490"/>
    <n v="47"/>
    <s v="PROD1690"/>
    <s v="USA"/>
    <d v="2021-08-04T00:00:00"/>
    <s v="4/14/2024"/>
    <n v="2"/>
    <s v="cancelled"/>
    <s v="3/15/2025"/>
    <s v=" $204.11 "/>
    <n v="4"/>
    <n v="34"/>
    <s v="Clothing"/>
    <s v="Jacket"/>
    <s v="Clothing"/>
    <x v="1"/>
    <n v="816.44"/>
    <s v="Aligned"/>
    <s v="35-49 Gen X"/>
    <s v="High Value Tier"/>
    <s v="Stable"/>
  </r>
  <r>
    <s v="ORD6491"/>
    <s v="CUST2491"/>
    <n v="55"/>
    <s v="PROD1691"/>
    <s v="USA"/>
    <s v="6/24/2021"/>
    <s v="8/17/2024"/>
    <n v="2"/>
    <s v="cancelled"/>
    <d v="2022-10-06T00:00:00"/>
    <s v=" $130.04 "/>
    <n v="8"/>
    <n v="40"/>
    <s v="Home"/>
    <s v="Blender"/>
    <s v="Home"/>
    <x v="1"/>
    <n v="1040.32"/>
    <s v="Aligned"/>
    <s v="50-64 Boomers"/>
    <s v="High Value Tier"/>
    <s v="Stable"/>
  </r>
  <r>
    <s v="ORD6492"/>
    <s v="CUST2492"/>
    <n v="68"/>
    <s v="PROD1692"/>
    <s v="India"/>
    <s v="11/29/2022"/>
    <d v="2023-05-04T00:00:00"/>
    <n v="3"/>
    <s v="active"/>
    <s v="11/28/2023"/>
    <s v=" $328.35 "/>
    <n v="4"/>
    <n v="40"/>
    <s v="Electronics"/>
    <s v="Face Wash"/>
    <s v="Beauty"/>
    <x v="1"/>
    <n v="1313.4"/>
    <s v="Misaligned"/>
    <s v="65+ Seniors"/>
    <s v="High Value Tier"/>
    <s v="Stable"/>
  </r>
  <r>
    <s v="ORD6493"/>
    <s v="CUST2493"/>
    <n v="39"/>
    <s v="PROD1693"/>
    <s v="Canada"/>
    <d v="2023-04-03T00:00:00"/>
    <d v="2024-10-09T00:00:00"/>
    <n v="4"/>
    <s v="paused"/>
    <d v="2025-05-06T00:00:00"/>
    <s v=" $181.01 "/>
    <n v="6"/>
    <n v="46"/>
    <s v="Electronics"/>
    <s v="Yoga Mat"/>
    <s v="Sports"/>
    <x v="1"/>
    <n v="1086.06"/>
    <s v="Misaligned"/>
    <s v="35-49 Gen X"/>
    <s v="High Value Tier"/>
    <s v="Elevated Risk"/>
  </r>
  <r>
    <s v="ORD6494"/>
    <s v="CUST2494"/>
    <n v="43"/>
    <s v="PROD1694"/>
    <s v="UK"/>
    <s v="6/22/2021"/>
    <s v="9/15/2022"/>
    <n v="2"/>
    <s v="active"/>
    <s v="10/18/2024"/>
    <s v=" $20.16 "/>
    <n v="8"/>
    <n v="2"/>
    <s v="Sports"/>
    <s v="T-Shirt"/>
    <s v="Clothing"/>
    <x v="1"/>
    <n v="161.28"/>
    <s v="Misaligned"/>
    <s v="35-49 Gen X"/>
    <s v="Value Tier"/>
    <s v="Stable"/>
  </r>
  <r>
    <s v="ORD6495"/>
    <s v="CUST2495"/>
    <n v="18"/>
    <s v="PROD1695"/>
    <s v="UK"/>
    <s v="12/26/2021"/>
    <s v="12/31/2024"/>
    <n v="4"/>
    <s v="cancelled"/>
    <s v="10/18/2024"/>
    <s v=" $198.39 "/>
    <n v="7"/>
    <n v="46"/>
    <s v="Beauty"/>
    <s v="Camera"/>
    <s v="Electronics"/>
    <x v="1"/>
    <n v="1388.73"/>
    <s v="Misaligned"/>
    <s v="18-24 Gen Z"/>
    <s v="High Value Tier"/>
    <s v="Stable"/>
  </r>
  <r>
    <s v="ORD6496"/>
    <s v="CUST2496"/>
    <n v="39"/>
    <s v="PROD1696"/>
    <s v="Germany"/>
    <s v="3/18/2022"/>
    <d v="2023-02-03T00:00:00"/>
    <n v="0"/>
    <s v="cancelled"/>
    <d v="2025-04-04T00:00:00"/>
    <s v=" $193.90 "/>
    <n v="5"/>
    <n v="6"/>
    <s v="Home"/>
    <s v="Football"/>
    <s v="Sports"/>
    <x v="1"/>
    <n v="969.5"/>
    <s v="Misaligned"/>
    <s v="35-49 Gen X"/>
    <s v="High Value Tier"/>
    <s v="Stable"/>
  </r>
  <r>
    <s v="ORD6497"/>
    <s v="CUST2497"/>
    <n v="52"/>
    <s v="PROD1697"/>
    <s v="India"/>
    <d v="2021-02-06T00:00:00"/>
    <s v="7/19/2023"/>
    <n v="3"/>
    <s v="cancelled"/>
    <s v="3/29/2022"/>
    <s v=" $413.80 "/>
    <n v="2"/>
    <n v="18"/>
    <s v="Clothing"/>
    <s v="Skirt"/>
    <s v="Clothing"/>
    <x v="0"/>
    <n v="827.6"/>
    <s v="Aligned"/>
    <s v="50-64 Boomers"/>
    <s v="High Value Tier"/>
    <s v="Stable"/>
  </r>
  <r>
    <s v="ORD6498"/>
    <s v="CUST2498"/>
    <n v="42"/>
    <s v="PROD1698"/>
    <s v="Germany"/>
    <s v="1/24/2022"/>
    <s v="7/26/2024"/>
    <n v="0"/>
    <s v="active"/>
    <d v="2024-10-03T00:00:00"/>
    <s v=" $341.64 "/>
    <n v="2"/>
    <n v="12"/>
    <s v="Sports"/>
    <s v="Dress"/>
    <s v="Clothing"/>
    <x v="0"/>
    <n v="683.28"/>
    <s v="Misaligned"/>
    <s v="35-49 Gen X"/>
    <s v="High Value Tier"/>
    <s v="Stable"/>
  </r>
  <r>
    <s v="ORD6499"/>
    <s v="CUST2499"/>
    <n v="38"/>
    <s v="PROD1699"/>
    <s v="India"/>
    <s v="4/24/2023"/>
    <d v="2023-02-06T00:00:00"/>
    <n v="4"/>
    <s v="active"/>
    <s v="12/15/2024"/>
    <s v=" $388.60 "/>
    <n v="3"/>
    <n v="26"/>
    <s v="Home"/>
    <s v="Foundation"/>
    <s v="Beauty"/>
    <x v="1"/>
    <n v="1165.8"/>
    <s v="Misaligned"/>
    <s v="35-49 Gen X"/>
    <s v="High Value Tier"/>
    <s v="Critical Risk"/>
  </r>
  <r>
    <s v="ORD6500"/>
    <s v="CUST2500"/>
    <n v="35"/>
    <s v="PROD1700"/>
    <s v="India"/>
    <d v="2021-05-07T00:00:00"/>
    <d v="2023-07-03T00:00:00"/>
    <n v="2"/>
    <s v="active"/>
    <s v="3/28/2025"/>
    <s v=" $187.87 "/>
    <n v="5"/>
    <n v="42"/>
    <s v="Home"/>
    <s v="Laptop"/>
    <s v="Electronics"/>
    <x v="1"/>
    <n v="939.35"/>
    <s v="Misaligned"/>
    <s v="35-49 Gen X"/>
    <s v="High Value Tier"/>
    <s v="Stable"/>
  </r>
  <r>
    <s v="ORD6501"/>
    <s v="CUST2501"/>
    <n v="66"/>
    <s v="PROD1701"/>
    <s v="India"/>
    <d v="2021-12-04T00:00:00"/>
    <s v="3/23/2023"/>
    <n v="2"/>
    <s v="cancelled"/>
    <s v="9/30/2021"/>
    <s v=" $618.99 "/>
    <n v="3"/>
    <n v="3"/>
    <s v="Home"/>
    <s v="Microwave"/>
    <s v="Home"/>
    <x v="1"/>
    <n v="1856.97"/>
    <s v="Aligned"/>
    <s v="65+ Seniors"/>
    <s v="High Value Tier"/>
    <s v="Stable"/>
  </r>
  <r>
    <s v="ORD6502"/>
    <s v="CUST2502"/>
    <n v="28"/>
    <s v="PROD1702"/>
    <s v="Germany"/>
    <s v="2/28/2021"/>
    <d v="2022-12-03T00:00:00"/>
    <n v="4"/>
    <s v="active"/>
    <d v="2025-01-05T00:00:00"/>
    <s v=" $1,155.20 "/>
    <n v="1"/>
    <n v="29"/>
    <s v="Home"/>
    <s v="Face Wash"/>
    <s v="Beauty"/>
    <x v="0"/>
    <n v="1155.2"/>
    <s v="Misaligned"/>
    <s v="25-34 Millennials"/>
    <s v="High Value Tier"/>
    <s v="Critical Risk"/>
  </r>
  <r>
    <s v="ORD6503"/>
    <s v="CUST2503"/>
    <n v="40"/>
    <s v="PROD1703"/>
    <s v="Germany"/>
    <s v="1/16/2022"/>
    <s v="11/30/2024"/>
    <n v="4"/>
    <s v="active"/>
    <s v="5/17/2022"/>
    <s v=" $82.63 "/>
    <n v="9"/>
    <n v="48"/>
    <s v="Clothing"/>
    <s v="Lamp"/>
    <s v="Home"/>
    <x v="1"/>
    <n v="743.67"/>
    <s v="Misaligned"/>
    <s v="35-49 Gen X"/>
    <s v="High Value Tier"/>
    <s v="Critical Risk"/>
  </r>
  <r>
    <s v="ORD6504"/>
    <s v="CUST2504"/>
    <n v="49"/>
    <s v="PROD1704"/>
    <s v="USA"/>
    <d v="2023-05-07T00:00:00"/>
    <d v="2024-07-02T00:00:00"/>
    <n v="5"/>
    <s v="paused"/>
    <d v="2023-05-11T00:00:00"/>
    <s v=" $262.10 "/>
    <n v="4"/>
    <n v="37"/>
    <s v="Sports"/>
    <s v="Sofa"/>
    <s v="Home"/>
    <x v="1"/>
    <n v="1048.4000000000001"/>
    <s v="Misaligned"/>
    <s v="35-49 Gen X"/>
    <s v="High Value Tier"/>
    <s v="Elevated Risk"/>
  </r>
  <r>
    <s v="ORD6505"/>
    <s v="CUST2505"/>
    <n v="55"/>
    <s v="PROD1705"/>
    <s v="Pakistan"/>
    <s v="2/16/2021"/>
    <d v="2022-02-10T00:00:00"/>
    <n v="3"/>
    <s v="active"/>
    <d v="2025-04-03T00:00:00"/>
    <s v=" $738.66 "/>
    <n v="2"/>
    <n v="37"/>
    <s v="Sports"/>
    <s v="Tablet"/>
    <s v="Electronics"/>
    <x v="1"/>
    <n v="1477.32"/>
    <s v="Misaligned"/>
    <s v="50-64 Boomers"/>
    <s v="High Value Tier"/>
    <s v="Stable"/>
  </r>
  <r>
    <s v="ORD6506"/>
    <s v="CUST2506"/>
    <n v="25"/>
    <s v="PROD1706"/>
    <s v="USA"/>
    <s v="10/14/2022"/>
    <d v="2024-05-03T00:00:00"/>
    <n v="1"/>
    <s v="active"/>
    <s v="5/28/2023"/>
    <s v=" $2.91 "/>
    <n v="8"/>
    <n v="48"/>
    <s v="Beauty"/>
    <s v="Sofa"/>
    <s v="Home"/>
    <x v="0"/>
    <n v="23.28"/>
    <s v="Misaligned"/>
    <s v="25-34 Millennials"/>
    <s v="Core Tier"/>
    <s v="Stable"/>
  </r>
  <r>
    <s v="ORD6507"/>
    <s v="CUST2507"/>
    <n v="26"/>
    <s v="PROD1707"/>
    <s v="Canada"/>
    <d v="2023-06-01T00:00:00"/>
    <s v="11/30/2023"/>
    <n v="3"/>
    <s v="active"/>
    <s v="7/14/2025"/>
    <s v=" $486.08 "/>
    <n v="4"/>
    <n v="26"/>
    <s v="Beauty"/>
    <s v="Basketball"/>
    <s v="Sports"/>
    <x v="1"/>
    <n v="1944.32"/>
    <s v="Misaligned"/>
    <s v="25-34 Millennials"/>
    <s v="High Value Tier"/>
    <s v="Stable"/>
  </r>
  <r>
    <s v="ORD6508"/>
    <s v="CUST2508"/>
    <n v="64"/>
    <s v="PROD1708"/>
    <s v="Pakistan"/>
    <d v="2022-08-02T00:00:00"/>
    <s v="4/22/2025"/>
    <n v="0"/>
    <s v="cancelled"/>
    <s v="8/25/2023"/>
    <s v=" $62.60 "/>
    <n v="6"/>
    <n v="3"/>
    <s v="Beauty"/>
    <s v="Dining Table"/>
    <s v="Home"/>
    <x v="1"/>
    <n v="375.6"/>
    <s v="Misaligned"/>
    <s v="50-64 Boomers"/>
    <s v="Core Tier"/>
    <s v="Stable"/>
  </r>
  <r>
    <s v="ORD6509"/>
    <s v="CUST2509"/>
    <n v="34"/>
    <s v="PROD1709"/>
    <s v="India"/>
    <s v="1/24/2022"/>
    <s v="10/30/2022"/>
    <n v="3"/>
    <s v="paused"/>
    <d v="2022-05-03T00:00:00"/>
    <s v=" $522.52 "/>
    <n v="1"/>
    <n v="11"/>
    <s v="Sports"/>
    <s v="Tablet"/>
    <s v="Electronics"/>
    <x v="1"/>
    <n v="522.52"/>
    <s v="Misaligned"/>
    <s v="25-34 Millennials"/>
    <s v="High Value Tier"/>
    <s v="Elevated Risk"/>
  </r>
  <r>
    <s v="ORD6510"/>
    <s v="CUST2510"/>
    <n v="46"/>
    <s v="PROD1710"/>
    <s v="UK"/>
    <s v="5/18/2022"/>
    <d v="2023-06-08T00:00:00"/>
    <n v="5"/>
    <s v="active"/>
    <d v="2022-09-11T00:00:00"/>
    <s v=" $30.67 "/>
    <n v="5"/>
    <n v="38"/>
    <s v="Clothing"/>
    <s v="Basketball"/>
    <s v="Sports"/>
    <x v="1"/>
    <n v="153.35"/>
    <s v="Misaligned"/>
    <s v="35-49 Gen X"/>
    <s v="High Value Tier"/>
    <s v="Critical Risk"/>
  </r>
  <r>
    <s v="ORD6511"/>
    <s v="CUST2511"/>
    <n v="32"/>
    <s v="PROD1711"/>
    <s v="Canada"/>
    <d v="2021-12-08T00:00:00"/>
    <s v="4/26/2022"/>
    <n v="5"/>
    <s v="cancelled"/>
    <s v="7/25/2024"/>
    <s v=" $224.96 "/>
    <n v="8"/>
    <n v="15"/>
    <s v="Home"/>
    <s v="Jacket"/>
    <s v="Clothing"/>
    <x v="0"/>
    <n v="1799.68"/>
    <s v="Misaligned"/>
    <s v="25-34 Millennials"/>
    <s v="High Value Tier"/>
    <s v="Stable"/>
  </r>
  <r>
    <s v="ORD6512"/>
    <s v="CUST2512"/>
    <n v="20"/>
    <s v="PROD1712"/>
    <s v="UK"/>
    <d v="2022-10-06T00:00:00"/>
    <s v="2/15/2023"/>
    <n v="2"/>
    <s v="cancelled"/>
    <s v="8/18/2025"/>
    <s v=" $2.85 "/>
    <n v="9"/>
    <n v="34"/>
    <s v="Clothing"/>
    <s v="Cycling Helmet"/>
    <s v="Sports"/>
    <x v="1"/>
    <n v="25.65"/>
    <s v="Misaligned"/>
    <s v="18-24 Gen Z"/>
    <s v="Core Tier"/>
    <s v="Stable"/>
  </r>
  <r>
    <s v="ORD6513"/>
    <s v="CUST2513"/>
    <n v="29"/>
    <s v="PROD1713"/>
    <s v="UK"/>
    <d v="2021-12-01T00:00:00"/>
    <d v="2023-04-11T00:00:00"/>
    <n v="4"/>
    <s v="active"/>
    <d v="2023-09-02T00:00:00"/>
    <s v=" $571.46 "/>
    <n v="2"/>
    <n v="14"/>
    <s v="Electronics"/>
    <s v="Headphones"/>
    <s v="Electronics"/>
    <x v="0"/>
    <n v="1142.92"/>
    <s v="Aligned"/>
    <s v="25-34 Millennials"/>
    <s v="High Value Tier"/>
    <s v="Critical Risk"/>
  </r>
  <r>
    <s v="ORD6514"/>
    <s v="CUST2514"/>
    <n v="35"/>
    <s v="PROD1714"/>
    <s v="India"/>
    <s v="3/24/2021"/>
    <s v="12/26/2024"/>
    <n v="3"/>
    <s v="active"/>
    <s v="9/24/2021"/>
    <s v=" $558.66 "/>
    <n v="2"/>
    <n v="35"/>
    <s v="Sports"/>
    <s v="Tablet"/>
    <s v="Electronics"/>
    <x v="0"/>
    <n v="1117.32"/>
    <s v="Misaligned"/>
    <s v="35-49 Gen X"/>
    <s v="High Value Tier"/>
    <s v="Stable"/>
  </r>
  <r>
    <s v="ORD6515"/>
    <s v="CUST2515"/>
    <n v="20"/>
    <s v="PROD1715"/>
    <s v="Pakistan"/>
    <s v="3/30/2023"/>
    <d v="2025-09-04T00:00:00"/>
    <n v="1"/>
    <s v="cancelled"/>
    <d v="2023-03-12T00:00:00"/>
    <s v=" $34.92 "/>
    <n v="5"/>
    <n v="7"/>
    <s v="Electronics"/>
    <s v="Blender"/>
    <s v="Home"/>
    <x v="1"/>
    <n v="174.6"/>
    <s v="Misaligned"/>
    <s v="18-24 Gen Z"/>
    <s v="Core Tier"/>
    <s v="Stable"/>
  </r>
  <r>
    <s v="ORD6516"/>
    <s v="CUST2516"/>
    <n v="30"/>
    <s v="PROD1716"/>
    <s v="Pakistan"/>
    <d v="2021-08-10T00:00:00"/>
    <s v="4/29/2022"/>
    <n v="1"/>
    <s v="active"/>
    <d v="2022-08-07T00:00:00"/>
    <s v=" $316.57 "/>
    <n v="6"/>
    <n v="18"/>
    <s v="Home"/>
    <s v="Vacuum Cleaner"/>
    <s v="Home"/>
    <x v="1"/>
    <n v="1899.42"/>
    <s v="Aligned"/>
    <s v="25-34 Millennials"/>
    <s v="High Value Tier"/>
    <s v="Stable"/>
  </r>
  <r>
    <s v="ORD6517"/>
    <s v="CUST2517"/>
    <n v="28"/>
    <s v="PROD1717"/>
    <s v="USA"/>
    <s v="1/29/2022"/>
    <s v="6/18/2025"/>
    <n v="2"/>
    <s v="active"/>
    <s v="10/18/2024"/>
    <s v=" $243.66 "/>
    <n v="5"/>
    <n v="37"/>
    <s v="Clothing"/>
    <s v="Lamp"/>
    <s v="Home"/>
    <x v="0"/>
    <n v="1218.3"/>
    <s v="Misaligned"/>
    <s v="25-34 Millennials"/>
    <s v="High Value Tier"/>
    <s v="Stable"/>
  </r>
  <r>
    <s v="ORD6518"/>
    <s v="CUST2518"/>
    <n v="55"/>
    <s v="PROD1718"/>
    <s v="Canada"/>
    <d v="2021-09-10T00:00:00"/>
    <s v="7/29/2022"/>
    <n v="5"/>
    <s v="active"/>
    <d v="2025-10-04T00:00:00"/>
    <s v=" $158.84 "/>
    <n v="9"/>
    <n v="9"/>
    <s v="Clothing"/>
    <s v="Sneakers"/>
    <s v="Clothing"/>
    <x v="0"/>
    <n v="1429.56"/>
    <s v="Aligned"/>
    <s v="50-64 Boomers"/>
    <s v="High Value Tier"/>
    <s v="Critical Risk"/>
  </r>
  <r>
    <s v="ORD6519"/>
    <s v="CUST2519"/>
    <n v="64"/>
    <s v="PROD1719"/>
    <s v="Germany"/>
    <d v="2020-11-10T00:00:00"/>
    <d v="2025-03-04T00:00:00"/>
    <n v="0"/>
    <s v="cancelled"/>
    <s v="2/25/2022"/>
    <s v=" $30.74 "/>
    <n v="7"/>
    <n v="27"/>
    <s v="Beauty"/>
    <s v="Shirt"/>
    <s v="Clothing"/>
    <x v="1"/>
    <n v="215.18"/>
    <s v="Misaligned"/>
    <s v="50-64 Boomers"/>
    <s v="High Value Tier"/>
    <s v="Stable"/>
  </r>
  <r>
    <s v="ORD6520"/>
    <s v="CUST2520"/>
    <n v="57"/>
    <s v="PROD1720"/>
    <s v="UK"/>
    <s v="10/17/2022"/>
    <s v="3/23/2024"/>
    <n v="3"/>
    <s v="cancelled"/>
    <s v="9/22/2023"/>
    <s v=" $793.80 "/>
    <n v="2"/>
    <n v="37"/>
    <s v="Clothing"/>
    <s v="Bluetooth Speaker"/>
    <s v="Electronics"/>
    <x v="0"/>
    <n v="1587.6"/>
    <s v="Misaligned"/>
    <s v="50-64 Boomers"/>
    <s v="High Value Tier"/>
    <s v="Stable"/>
  </r>
  <r>
    <s v="ORD6521"/>
    <s v="CUST2521"/>
    <n v="20"/>
    <s v="PROD1721"/>
    <s v="Germany"/>
    <s v="11/28/2022"/>
    <s v="10/14/2023"/>
    <n v="1"/>
    <s v="active"/>
    <s v="9/13/2023"/>
    <s v=" $292.99 "/>
    <n v="6"/>
    <n v="8"/>
    <s v="Sports"/>
    <s v="Conditioner"/>
    <s v="Beauty"/>
    <x v="1"/>
    <n v="1757.94"/>
    <s v="Misaligned"/>
    <s v="18-24 Gen Z"/>
    <s v="High Value Tier"/>
    <s v="Stable"/>
  </r>
  <r>
    <s v="ORD6522"/>
    <s v="CUST2522"/>
    <n v="62"/>
    <s v="PROD1722"/>
    <s v="India"/>
    <s v="3/28/2021"/>
    <s v="11/29/2022"/>
    <n v="4"/>
    <s v="cancelled"/>
    <s v="8/30/2021"/>
    <s v=" $341.04 "/>
    <n v="2"/>
    <n v="5"/>
    <s v="Beauty"/>
    <s v="Moisturizer"/>
    <s v="Beauty"/>
    <x v="0"/>
    <n v="682.08"/>
    <s v="Aligned"/>
    <s v="50-64 Boomers"/>
    <s v="High Value Tier"/>
    <s v="Stable"/>
  </r>
  <r>
    <s v="ORD6523"/>
    <s v="CUST2523"/>
    <n v="58"/>
    <s v="PROD1723"/>
    <s v="Germany"/>
    <s v="12/17/2020"/>
    <s v="3/21/2024"/>
    <n v="0"/>
    <s v="paused"/>
    <d v="2023-05-03T00:00:00"/>
    <s v=" $205.75 "/>
    <n v="7"/>
    <n v="5"/>
    <s v="Clothing"/>
    <s v="Gaming Console"/>
    <s v="Electronics"/>
    <x v="1"/>
    <n v="1440.25"/>
    <s v="Misaligned"/>
    <s v="50-64 Boomers"/>
    <s v="High Value Tier"/>
    <s v="Elevated Risk"/>
  </r>
  <r>
    <s v="ORD6524"/>
    <s v="CUST2524"/>
    <n v="19"/>
    <s v="PROD1724"/>
    <s v="UK"/>
    <s v="7/31/2021"/>
    <s v="4/29/2024"/>
    <n v="5"/>
    <s v="active"/>
    <s v="7/21/2023"/>
    <s v=" $126.42 "/>
    <n v="7"/>
    <n v="45"/>
    <s v="Clothing"/>
    <s v="Gaming Console"/>
    <s v="Electronics"/>
    <x v="0"/>
    <n v="884.94"/>
    <s v="Misaligned"/>
    <s v="18-24 Gen Z"/>
    <s v="High Value Tier"/>
    <s v="Critical Risk"/>
  </r>
  <r>
    <s v="ORD6525"/>
    <s v="CUST2525"/>
    <n v="18"/>
    <s v="PROD1725"/>
    <s v="Canada"/>
    <d v="2023-03-06T00:00:00"/>
    <s v="3/22/2025"/>
    <n v="5"/>
    <s v="active"/>
    <s v="9/14/2023"/>
    <s v=" $205.06 "/>
    <n v="6"/>
    <n v="40"/>
    <s v="Sports"/>
    <s v="Nail Polish"/>
    <s v="Beauty"/>
    <x v="0"/>
    <n v="1230.3599999999999"/>
    <s v="Misaligned"/>
    <s v="18-24 Gen Z"/>
    <s v="High Value Tier"/>
    <s v="Critical Risk"/>
  </r>
  <r>
    <s v="ORD6526"/>
    <s v="CUST2526"/>
    <n v="18"/>
    <s v="PROD1726"/>
    <s v="Canada"/>
    <d v="2020-04-10T00:00:00"/>
    <d v="2025-05-05T00:00:00"/>
    <n v="4"/>
    <s v="active"/>
    <d v="2025-05-01T00:00:00"/>
    <s v=" $87.18 "/>
    <n v="2"/>
    <n v="14"/>
    <s v="Home"/>
    <s v="Microwave"/>
    <s v="Home"/>
    <x v="1"/>
    <n v="174.36"/>
    <s v="Aligned"/>
    <s v="18-24 Gen Z"/>
    <s v="Core Tier"/>
    <s v="Critical Risk"/>
  </r>
  <r>
    <s v="ORD6527"/>
    <s v="CUST2527"/>
    <n v="37"/>
    <s v="PROD1727"/>
    <s v="USA"/>
    <d v="2022-03-10T00:00:00"/>
    <s v="5/21/2024"/>
    <n v="5"/>
    <s v="active"/>
    <s v="11/24/2024"/>
    <s v=" $40.23 "/>
    <n v="7"/>
    <n v="40"/>
    <s v="Home"/>
    <s v="Bluetooth Speaker"/>
    <s v="Electronics"/>
    <x v="1"/>
    <n v="281.61"/>
    <s v="Misaligned"/>
    <s v="35-49 Gen X"/>
    <s v="High Value Tier"/>
    <s v="Critical Risk"/>
  </r>
  <r>
    <s v="ORD6528"/>
    <s v="CUST2528"/>
    <n v="21"/>
    <s v="PROD1728"/>
    <s v="USA"/>
    <s v="2/23/2023"/>
    <d v="2023-01-12T00:00:00"/>
    <n v="4"/>
    <s v="cancelled"/>
    <d v="2024-01-05T00:00:00"/>
    <s v=" $375.80 "/>
    <n v="5"/>
    <n v="12"/>
    <s v="Clothing"/>
    <s v="Sneakers"/>
    <s v="Clothing"/>
    <x v="1"/>
    <n v="1879"/>
    <s v="Aligned"/>
    <s v="18-24 Gen Z"/>
    <s v="High Value Tier"/>
    <s v="Stable"/>
  </r>
  <r>
    <s v="ORD6529"/>
    <s v="CUST2529"/>
    <n v="20"/>
    <s v="PROD1729"/>
    <s v="USA"/>
    <s v="6/28/2022"/>
    <d v="2024-10-03T00:00:00"/>
    <n v="2"/>
    <s v="cancelled"/>
    <d v="2023-03-02T00:00:00"/>
    <s v=" $277.50 "/>
    <n v="5"/>
    <n v="42"/>
    <s v="Clothing"/>
    <s v="Nail Polish"/>
    <s v="Beauty"/>
    <x v="1"/>
    <n v="1387.5"/>
    <s v="Misaligned"/>
    <s v="18-24 Gen Z"/>
    <s v="High Value Tier"/>
    <s v="Stable"/>
  </r>
  <r>
    <s v="ORD6530"/>
    <s v="CUST2530"/>
    <n v="65"/>
    <s v="PROD1730"/>
    <s v="India"/>
    <s v="9/15/2022"/>
    <s v="10/24/2023"/>
    <n v="5"/>
    <s v="active"/>
    <d v="2022-11-11T00:00:00"/>
    <s v=" $122.48 "/>
    <n v="8"/>
    <n v="39"/>
    <s v="Sports"/>
    <s v="Sofa"/>
    <s v="Home"/>
    <x v="2"/>
    <n v="979.84"/>
    <s v="Misaligned"/>
    <s v="65+ Seniors"/>
    <s v="High Value Tier"/>
    <s v="Critical Risk"/>
  </r>
  <r>
    <s v="ORD6531"/>
    <s v="CUST2531"/>
    <n v="47"/>
    <s v="PROD1731"/>
    <s v="Canada"/>
    <d v="2021-11-11T00:00:00"/>
    <s v="9/27/2023"/>
    <n v="3"/>
    <s v="active"/>
    <s v="6/20/2023"/>
    <s v=" $114.92 "/>
    <n v="4"/>
    <n v="4"/>
    <s v="Beauty"/>
    <s v="Jeans"/>
    <s v="Clothing"/>
    <x v="1"/>
    <n v="459.68"/>
    <s v="Misaligned"/>
    <s v="35-49 Gen X"/>
    <s v="Core Tier"/>
    <s v="Stable"/>
  </r>
  <r>
    <s v="ORD6532"/>
    <s v="CUST2532"/>
    <n v="53"/>
    <s v="PROD1732"/>
    <s v="USA"/>
    <s v="6/20/2022"/>
    <d v="2024-10-07T00:00:00"/>
    <n v="5"/>
    <s v="active"/>
    <s v="5/17/2025"/>
    <s v=" $292.53 "/>
    <n v="1"/>
    <n v="4"/>
    <s v="Sports"/>
    <s v="Vacuum Cleaner"/>
    <s v="Home"/>
    <x v="1"/>
    <n v="292.52999999999997"/>
    <s v="Misaligned"/>
    <s v="50-64 Boomers"/>
    <s v="Core Tier"/>
    <s v="Critical Risk"/>
  </r>
  <r>
    <s v="ORD6533"/>
    <s v="CUST2533"/>
    <n v="66"/>
    <s v="PROD1733"/>
    <s v="Pakistan"/>
    <d v="2023-04-03T00:00:00"/>
    <d v="2025-02-05T00:00:00"/>
    <n v="1"/>
    <s v="active"/>
    <d v="2024-08-08T00:00:00"/>
    <s v=" $239.23 "/>
    <n v="3"/>
    <n v="11"/>
    <s v="Beauty"/>
    <s v="Smartwatch"/>
    <s v="Electronics"/>
    <x v="1"/>
    <n v="717.69"/>
    <s v="Misaligned"/>
    <s v="65+ Seniors"/>
    <s v="High Value Tier"/>
    <s v="Stable"/>
  </r>
  <r>
    <s v="ORD6534"/>
    <s v="CUST2534"/>
    <n v="35"/>
    <s v="PROD1734"/>
    <s v="UK"/>
    <d v="2021-04-02T00:00:00"/>
    <s v="12/28/2022"/>
    <n v="3"/>
    <s v="cancelled"/>
    <d v="2022-11-03T00:00:00"/>
    <s v=" $120.66 "/>
    <n v="3"/>
    <n v="10"/>
    <s v="Electronics"/>
    <s v="Foundation"/>
    <s v="Beauty"/>
    <x v="1"/>
    <n v="361.98"/>
    <s v="Misaligned"/>
    <s v="35-49 Gen X"/>
    <s v="High Value Tier"/>
    <s v="Stable"/>
  </r>
  <r>
    <s v="ORD6535"/>
    <s v="CUST2535"/>
    <n v="41"/>
    <s v="PROD1735"/>
    <s v="Pakistan"/>
    <s v="2/25/2023"/>
    <s v="8/17/2024"/>
    <n v="2"/>
    <s v="cancelled"/>
    <s v="8/17/2024"/>
    <s v=" $129.00 "/>
    <n v="9"/>
    <n v="30"/>
    <s v="Sports"/>
    <s v="Yoga Mat"/>
    <s v="Sports"/>
    <x v="0"/>
    <n v="1161"/>
    <s v="Aligned"/>
    <s v="35-49 Gen X"/>
    <s v="High Value Tier"/>
    <s v="Stable"/>
  </r>
  <r>
    <s v="ORD6536"/>
    <s v="CUST2536"/>
    <n v="41"/>
    <s v="PROD1736"/>
    <s v="Germany"/>
    <s v="3/28/2023"/>
    <d v="2024-02-09T00:00:00"/>
    <n v="2"/>
    <s v="active"/>
    <d v="2025-07-07T00:00:00"/>
    <s v=" $184.41 "/>
    <n v="9"/>
    <n v="41"/>
    <s v="Sports"/>
    <s v="Tennis Racket"/>
    <s v="Sports"/>
    <x v="1"/>
    <n v="1659.69"/>
    <s v="Aligned"/>
    <s v="35-49 Gen X"/>
    <s v="High Value Tier"/>
    <s v="Stable"/>
  </r>
  <r>
    <s v="ORD6537"/>
    <s v="CUST2537"/>
    <n v="43"/>
    <s v="PROD1737"/>
    <s v="Canada"/>
    <s v="4/15/2023"/>
    <s v="12/31/2023"/>
    <n v="2"/>
    <s v="active"/>
    <d v="2025-12-04T00:00:00"/>
    <s v=" $90.24 "/>
    <n v="6"/>
    <n v="16"/>
    <s v="Home"/>
    <s v="Skirt"/>
    <s v="Clothing"/>
    <x v="0"/>
    <n v="541.44000000000005"/>
    <s v="Misaligned"/>
    <s v="35-49 Gen X"/>
    <s v="High Value Tier"/>
    <s v="Stable"/>
  </r>
  <r>
    <s v="ORD6538"/>
    <s v="CUST2538"/>
    <n v="58"/>
    <s v="PROD1738"/>
    <s v="Pakistan"/>
    <s v="10/29/2022"/>
    <d v="2023-03-04T00:00:00"/>
    <n v="2"/>
    <s v="cancelled"/>
    <s v="9/15/2023"/>
    <s v=" $135.02 "/>
    <n v="4"/>
    <n v="38"/>
    <s v="Beauty"/>
    <s v="Jacket"/>
    <s v="Clothing"/>
    <x v="1"/>
    <n v="540.08000000000004"/>
    <s v="Misaligned"/>
    <s v="50-64 Boomers"/>
    <s v="High Value Tier"/>
    <s v="Stable"/>
  </r>
  <r>
    <s v="ORD6539"/>
    <s v="CUST2539"/>
    <n v="59"/>
    <s v="PROD1739"/>
    <s v="Canada"/>
    <s v="3/28/2022"/>
    <s v="9/14/2023"/>
    <n v="4"/>
    <s v="active"/>
    <s v="9/21/2024"/>
    <s v=" $73.10 "/>
    <n v="6"/>
    <n v="32"/>
    <s v="Sports"/>
    <s v="Tablet"/>
    <s v="Electronics"/>
    <x v="0"/>
    <n v="438.6"/>
    <s v="Misaligned"/>
    <s v="50-64 Boomers"/>
    <s v="High Value Tier"/>
    <s v="Critical Risk"/>
  </r>
  <r>
    <s v="ORD6540"/>
    <s v="CUST2540"/>
    <n v="30"/>
    <s v="PROD1740"/>
    <s v="Canada"/>
    <s v="9/27/2020"/>
    <s v="1/24/2021"/>
    <n v="3"/>
    <s v="paused"/>
    <s v="10/16/2023"/>
    <s v=" $314.70 "/>
    <n v="2"/>
    <n v="4"/>
    <s v="Beauty"/>
    <s v="Bluetooth Speaker"/>
    <s v="Electronics"/>
    <x v="1"/>
    <n v="629.4"/>
    <s v="Misaligned"/>
    <s v="25-34 Millennials"/>
    <s v="High Value Tier"/>
    <s v="Elevated Risk"/>
  </r>
  <r>
    <s v="ORD6541"/>
    <s v="CUST2541"/>
    <n v="54"/>
    <s v="PROD1741"/>
    <s v="Canada"/>
    <s v="4/15/2023"/>
    <d v="2024-02-01T00:00:00"/>
    <n v="4"/>
    <s v="active"/>
    <s v="3/27/2025"/>
    <s v=" $195.83 "/>
    <n v="3"/>
    <n v="17"/>
    <s v="Beauty"/>
    <s v="Moisturizer"/>
    <s v="Beauty"/>
    <x v="0"/>
    <n v="587.49"/>
    <s v="Aligned"/>
    <s v="50-64 Boomers"/>
    <s v="High Value Tier"/>
    <s v="Critical Risk"/>
  </r>
  <r>
    <s v="ORD6542"/>
    <s v="CUST2542"/>
    <n v="40"/>
    <s v="PROD1742"/>
    <s v="Canada"/>
    <s v="12/30/2021"/>
    <s v="10/22/2024"/>
    <n v="4"/>
    <s v="cancelled"/>
    <d v="2025-07-01T00:00:00"/>
    <s v=" $226.27 "/>
    <n v="8"/>
    <n v="15"/>
    <s v="Home"/>
    <s v="Skirt"/>
    <s v="Clothing"/>
    <x v="1"/>
    <n v="1810.16"/>
    <s v="Misaligned"/>
    <s v="35-49 Gen X"/>
    <s v="High Value Tier"/>
    <s v="Stable"/>
  </r>
  <r>
    <s v="ORD6543"/>
    <s v="CUST2543"/>
    <n v="49"/>
    <s v="PROD1743"/>
    <s v="Germany"/>
    <d v="2020-04-11T00:00:00"/>
    <s v="7/30/2021"/>
    <n v="4"/>
    <s v="active"/>
    <s v="6/25/2023"/>
    <s v=" $486.70 "/>
    <n v="3"/>
    <n v="5"/>
    <s v="Clothing"/>
    <s v="Sneakers"/>
    <s v="Clothing"/>
    <x v="0"/>
    <n v="1460.1"/>
    <s v="Aligned"/>
    <s v="35-49 Gen X"/>
    <s v="High Value Tier"/>
    <s v="Critical Risk"/>
  </r>
  <r>
    <s v="ORD6544"/>
    <s v="CUST2544"/>
    <n v="36"/>
    <s v="PROD1744"/>
    <s v="USA"/>
    <d v="2023-12-05T00:00:00"/>
    <s v="5/16/2024"/>
    <n v="1"/>
    <s v="cancelled"/>
    <s v="6/19/2025"/>
    <s v=" $588.03 "/>
    <n v="3"/>
    <n v="3"/>
    <s v="Home"/>
    <s v="Lipstick"/>
    <s v="Beauty"/>
    <x v="0"/>
    <n v="1764.09"/>
    <s v="Misaligned"/>
    <s v="35-49 Gen X"/>
    <s v="High Value Tier"/>
    <s v="Stable"/>
  </r>
  <r>
    <s v="ORD6545"/>
    <s v="CUST2545"/>
    <n v="34"/>
    <s v="PROD1745"/>
    <s v="Germany"/>
    <s v="5/21/2023"/>
    <s v="2/14/2024"/>
    <n v="3"/>
    <s v="cancelled"/>
    <s v="10/31/2023"/>
    <s v=" $841.79 "/>
    <n v="2"/>
    <n v="41"/>
    <s v="Clothing"/>
    <s v="Hoodie"/>
    <s v="Clothing"/>
    <x v="0"/>
    <n v="1683.58"/>
    <s v="Aligned"/>
    <s v="25-34 Millennials"/>
    <s v="High Value Tier"/>
    <s v="Stable"/>
  </r>
  <r>
    <s v="ORD6546"/>
    <s v="CUST2546"/>
    <n v="18"/>
    <s v="PROD1746"/>
    <s v="India"/>
    <s v="3/17/2023"/>
    <s v="7/29/2024"/>
    <n v="1"/>
    <s v="paused"/>
    <s v="9/19/2024"/>
    <s v=" $151.42 "/>
    <n v="1"/>
    <n v="45"/>
    <s v="Sports"/>
    <s v="Lamp"/>
    <s v="Home"/>
    <x v="0"/>
    <n v="151.41999999999999"/>
    <s v="Misaligned"/>
    <s v="18-24 Gen Z"/>
    <s v="High Value Tier"/>
    <s v="Elevated Risk"/>
  </r>
  <r>
    <s v="ORD6547"/>
    <s v="CUST2547"/>
    <n v="65"/>
    <s v="PROD1747"/>
    <s v="Germany"/>
    <s v="12/29/2020"/>
    <s v="5/18/2021"/>
    <n v="2"/>
    <s v="active"/>
    <s v="8/27/2022"/>
    <s v=" $263.28 "/>
    <n v="4"/>
    <n v="25"/>
    <s v="Home"/>
    <s v="Skirt"/>
    <s v="Clothing"/>
    <x v="0"/>
    <n v="1053.1199999999999"/>
    <s v="Misaligned"/>
    <s v="65+ Seniors"/>
    <s v="High Value Tier"/>
    <s v="Stable"/>
  </r>
  <r>
    <s v="ORD6548"/>
    <s v="CUST2548"/>
    <n v="20"/>
    <s v="PROD1748"/>
    <s v="Canada"/>
    <s v="6/19/2022"/>
    <s v="1/24/2025"/>
    <n v="2"/>
    <s v="cancelled"/>
    <d v="2024-02-08T00:00:00"/>
    <s v=" $129.67 "/>
    <n v="8"/>
    <n v="20"/>
    <s v="Home"/>
    <s v="Nail Polish"/>
    <s v="Beauty"/>
    <x v="0"/>
    <n v="1037.3599999999999"/>
    <s v="Misaligned"/>
    <s v="18-24 Gen Z"/>
    <s v="High Value Tier"/>
    <s v="Stable"/>
  </r>
  <r>
    <s v="ORD6549"/>
    <s v="CUST2549"/>
    <n v="30"/>
    <s v="PROD1749"/>
    <s v="UK"/>
    <s v="6/20/2022"/>
    <d v="2024-06-11T00:00:00"/>
    <n v="2"/>
    <s v="active"/>
    <s v="10/31/2023"/>
    <s v=" $1,735.82 "/>
    <n v="1"/>
    <n v="42"/>
    <s v="Sports"/>
    <s v="Hoodie"/>
    <s v="Clothing"/>
    <x v="0"/>
    <n v="1735.82"/>
    <s v="Misaligned"/>
    <s v="25-34 Millennials"/>
    <s v="High Value Tier"/>
    <s v="Stable"/>
  </r>
  <r>
    <s v="ORD6550"/>
    <s v="CUST2550"/>
    <n v="68"/>
    <s v="PROD1750"/>
    <s v="UK"/>
    <s v="10/14/2021"/>
    <s v="6/26/2023"/>
    <n v="2"/>
    <s v="active"/>
    <s v="1/19/2025"/>
    <s v=" $89.49 "/>
    <n v="4"/>
    <n v="48"/>
    <s v="Clothing"/>
    <s v="Vacuum Cleaner"/>
    <s v="Home"/>
    <x v="0"/>
    <n v="357.96"/>
    <s v="Misaligned"/>
    <s v="65+ Seniors"/>
    <s v="High Value Tier"/>
    <s v="Stable"/>
  </r>
  <r>
    <s v="ORD6551"/>
    <s v="CUST2551"/>
    <n v="40"/>
    <s v="PROD1751"/>
    <s v="Canada"/>
    <d v="2022-09-09T00:00:00"/>
    <s v="11/28/2023"/>
    <n v="0"/>
    <s v="cancelled"/>
    <s v="6/14/2025"/>
    <s v=" $84.45 "/>
    <n v="8"/>
    <n v="31"/>
    <s v="Beauty"/>
    <s v="Chair"/>
    <s v="Home"/>
    <x v="1"/>
    <n v="675.6"/>
    <s v="Misaligned"/>
    <s v="35-49 Gen X"/>
    <s v="High Value Tier"/>
    <s v="Stable"/>
  </r>
  <r>
    <s v="ORD6552"/>
    <s v="CUST2552"/>
    <n v="65"/>
    <s v="PROD1752"/>
    <s v="Pakistan"/>
    <d v="2021-01-03T00:00:00"/>
    <d v="2021-12-11T00:00:00"/>
    <n v="0"/>
    <s v="active"/>
    <s v="1/17/2022"/>
    <s v=" $101.16 "/>
    <n v="7"/>
    <n v="21"/>
    <s v="Beauty"/>
    <s v="Shampoo"/>
    <s v="Beauty"/>
    <x v="1"/>
    <n v="708.12"/>
    <s v="Aligned"/>
    <s v="65+ Seniors"/>
    <s v="High Value Tier"/>
    <s v="Stable"/>
  </r>
  <r>
    <s v="ORD6553"/>
    <s v="CUST2553"/>
    <n v="54"/>
    <s v="PROD1753"/>
    <s v="Germany"/>
    <s v="1/23/2022"/>
    <s v="4/28/2024"/>
    <n v="3"/>
    <s v="active"/>
    <d v="2022-03-03T00:00:00"/>
    <s v=" $274.23 "/>
    <n v="4"/>
    <n v="22"/>
    <s v="Beauty"/>
    <s v="Perfume"/>
    <s v="Beauty"/>
    <x v="0"/>
    <n v="1096.92"/>
    <s v="Aligned"/>
    <s v="50-64 Boomers"/>
    <s v="High Value Tier"/>
    <s v="Stable"/>
  </r>
  <r>
    <s v="ORD6554"/>
    <s v="CUST2554"/>
    <n v="63"/>
    <s v="PROD1754"/>
    <s v="India"/>
    <s v="3/15/2022"/>
    <d v="2024-08-02T00:00:00"/>
    <n v="2"/>
    <s v="paused"/>
    <s v="5/29/2025"/>
    <s v=" $62.25 "/>
    <n v="9"/>
    <n v="45"/>
    <s v="Beauty"/>
    <s v="Tennis Racket"/>
    <s v="Sports"/>
    <x v="1"/>
    <n v="560.25"/>
    <s v="Misaligned"/>
    <s v="50-64 Boomers"/>
    <s v="High Value Tier"/>
    <s v="Elevated Risk"/>
  </r>
  <r>
    <s v="ORD6555"/>
    <s v="CUST2555"/>
    <n v="45"/>
    <s v="PROD1755"/>
    <s v="USA"/>
    <d v="2023-10-02T00:00:00"/>
    <d v="2024-06-08T00:00:00"/>
    <n v="5"/>
    <s v="cancelled"/>
    <s v="10/25/2024"/>
    <s v=" $323.67 "/>
    <n v="5"/>
    <n v="12"/>
    <s v="Clothing"/>
    <s v="Chair"/>
    <s v="Home"/>
    <x v="0"/>
    <n v="1618.35"/>
    <s v="Misaligned"/>
    <s v="35-49 Gen X"/>
    <s v="High Value Tier"/>
    <s v="Stable"/>
  </r>
  <r>
    <s v="ORD6556"/>
    <s v="CUST2556"/>
    <n v="65"/>
    <s v="PROD1756"/>
    <s v="Canada"/>
    <d v="2021-06-09T00:00:00"/>
    <s v="3/21/2024"/>
    <n v="4"/>
    <s v="active"/>
    <d v="2025-03-07T00:00:00"/>
    <s v=" $960.43 "/>
    <n v="1"/>
    <n v="44"/>
    <s v="Clothing"/>
    <s v="Refrigerator"/>
    <s v="Home"/>
    <x v="1"/>
    <n v="960.43"/>
    <s v="Misaligned"/>
    <s v="65+ Seniors"/>
    <s v="High Value Tier"/>
    <s v="Critical Risk"/>
  </r>
  <r>
    <s v="ORD6557"/>
    <s v="CUST2557"/>
    <n v="29"/>
    <s v="PROD1757"/>
    <s v="Canada"/>
    <s v="2/21/2022"/>
    <s v="11/25/2022"/>
    <n v="3"/>
    <s v="active"/>
    <s v="5/18/2024"/>
    <s v=" $16.74 "/>
    <n v="4"/>
    <n v="3"/>
    <s v="Electronics"/>
    <s v="Dumbbells"/>
    <s v="Sports"/>
    <x v="0"/>
    <n v="66.959999999999994"/>
    <s v="Misaligned"/>
    <s v="25-34 Millennials"/>
    <s v="Value Tier"/>
    <s v="Stable"/>
  </r>
  <r>
    <s v="ORD6558"/>
    <s v="CUST2558"/>
    <n v="30"/>
    <s v="PROD1758"/>
    <s v="USA"/>
    <d v="2021-06-11T00:00:00"/>
    <s v="9/15/2023"/>
    <n v="2"/>
    <s v="active"/>
    <d v="2022-09-12T00:00:00"/>
    <s v=" $202.24 "/>
    <n v="6"/>
    <n v="10"/>
    <s v="Electronics"/>
    <s v="Nail Polish"/>
    <s v="Beauty"/>
    <x v="1"/>
    <n v="1213.44"/>
    <s v="Misaligned"/>
    <s v="25-34 Millennials"/>
    <s v="High Value Tier"/>
    <s v="Stable"/>
  </r>
  <r>
    <s v="ORD6559"/>
    <s v="CUST2559"/>
    <n v="57"/>
    <s v="PROD1759"/>
    <s v="Germany"/>
    <s v="10/26/2022"/>
    <d v="2025-09-08T00:00:00"/>
    <n v="5"/>
    <s v="active"/>
    <s v="8/17/2025"/>
    <s v=" $143.16 "/>
    <n v="8"/>
    <n v="12"/>
    <s v="Electronics"/>
    <s v="Nail Polish"/>
    <s v="Beauty"/>
    <x v="0"/>
    <n v="1145.28"/>
    <s v="Misaligned"/>
    <s v="50-64 Boomers"/>
    <s v="High Value Tier"/>
    <s v="Critical Risk"/>
  </r>
  <r>
    <s v="ORD6560"/>
    <s v="CUST2560"/>
    <n v="39"/>
    <s v="PROD1760"/>
    <s v="Germany"/>
    <d v="2023-12-05T00:00:00"/>
    <s v="4/13/2024"/>
    <n v="2"/>
    <s v="active"/>
    <d v="2023-04-10T00:00:00"/>
    <s v=" $1,785.86 "/>
    <n v="1"/>
    <n v="37"/>
    <s v="Clothing"/>
    <s v="Dumbbells"/>
    <s v="Sports"/>
    <x v="0"/>
    <n v="1785.86"/>
    <s v="Misaligned"/>
    <s v="35-49 Gen X"/>
    <s v="High Value Tier"/>
    <s v="Stable"/>
  </r>
  <r>
    <s v="ORD6561"/>
    <s v="CUST2561"/>
    <n v="65"/>
    <s v="PROD1761"/>
    <s v="India"/>
    <d v="2021-08-09T00:00:00"/>
    <d v="2025-03-07T00:00:00"/>
    <n v="1"/>
    <s v="paused"/>
    <s v="4/22/2022"/>
    <s v=" $328.43 "/>
    <n v="5"/>
    <n v="26"/>
    <s v="Beauty"/>
    <s v="Jacket"/>
    <s v="Clothing"/>
    <x v="0"/>
    <n v="1642.15"/>
    <s v="Misaligned"/>
    <s v="65+ Seniors"/>
    <s v="High Value Tier"/>
    <s v="Elevated Risk"/>
  </r>
  <r>
    <s v="ORD6562"/>
    <s v="CUST2562"/>
    <n v="48"/>
    <s v="PROD1762"/>
    <s v="India"/>
    <d v="2021-02-01T00:00:00"/>
    <d v="2023-09-04T00:00:00"/>
    <n v="4"/>
    <s v="active"/>
    <d v="2021-07-03T00:00:00"/>
    <s v=" $298.07 "/>
    <n v="3"/>
    <n v="7"/>
    <s v="Clothing"/>
    <s v="Skirt"/>
    <s v="Clothing"/>
    <x v="1"/>
    <n v="894.21"/>
    <s v="Aligned"/>
    <s v="35-49 Gen X"/>
    <s v="High Value Tier"/>
    <s v="Critical Risk"/>
  </r>
  <r>
    <s v="ORD6563"/>
    <s v="CUST2563"/>
    <n v="41"/>
    <s v="PROD1763"/>
    <s v="Pakistan"/>
    <s v="2/20/2022"/>
    <s v="9/14/2022"/>
    <n v="2"/>
    <s v="cancelled"/>
    <s v="1/22/2025"/>
    <s v=" $506.96 "/>
    <n v="1"/>
    <n v="28"/>
    <s v="Sports"/>
    <s v="T-Shirt"/>
    <s v="Clothing"/>
    <x v="0"/>
    <n v="506.96"/>
    <s v="Misaligned"/>
    <s v="35-49 Gen X"/>
    <s v="High Value Tier"/>
    <s v="Stable"/>
  </r>
  <r>
    <s v="ORD6564"/>
    <s v="CUST2564"/>
    <n v="43"/>
    <s v="PROD1764"/>
    <s v="Pakistan"/>
    <s v="5/24/2021"/>
    <s v="7/20/2025"/>
    <n v="1"/>
    <s v="active"/>
    <s v="10/17/2022"/>
    <s v=" $234.68 "/>
    <n v="4"/>
    <n v="43"/>
    <s v="Electronics"/>
    <s v="T-Shirt"/>
    <s v="Clothing"/>
    <x v="1"/>
    <n v="938.72"/>
    <s v="Misaligned"/>
    <s v="35-49 Gen X"/>
    <s v="High Value Tier"/>
    <s v="Stable"/>
  </r>
  <r>
    <s v="ORD6565"/>
    <s v="CUST2565"/>
    <n v="19"/>
    <s v="PROD1765"/>
    <s v="Canada"/>
    <s v="1/16/2022"/>
    <d v="2023-09-04T00:00:00"/>
    <n v="5"/>
    <s v="active"/>
    <s v="2/15/2025"/>
    <s v=" $346.97 "/>
    <n v="3"/>
    <n v="33"/>
    <s v="Home"/>
    <s v="Basketball"/>
    <s v="Sports"/>
    <x v="2"/>
    <n v="1040.9100000000001"/>
    <s v="Misaligned"/>
    <s v="18-24 Gen Z"/>
    <s v="High Value Tier"/>
    <s v="Critical Risk"/>
  </r>
  <r>
    <s v="ORD6566"/>
    <s v="CUST2566"/>
    <n v="42"/>
    <s v="PROD1766"/>
    <s v="India"/>
    <d v="2022-08-08T00:00:00"/>
    <s v="11/20/2022"/>
    <n v="0"/>
    <s v="cancelled"/>
    <s v="11/15/2022"/>
    <s v=" $347.84 "/>
    <n v="5"/>
    <n v="5"/>
    <s v="Electronics"/>
    <s v="Smartwatch"/>
    <s v="Electronics"/>
    <x v="1"/>
    <n v="1739.2"/>
    <s v="Aligned"/>
    <s v="35-49 Gen X"/>
    <s v="High Value Tier"/>
    <s v="Stable"/>
  </r>
  <r>
    <s v="ORD6567"/>
    <s v="CUST2567"/>
    <n v="35"/>
    <s v="PROD1767"/>
    <s v="India"/>
    <s v="1/27/2021"/>
    <d v="2021-07-09T00:00:00"/>
    <n v="1"/>
    <s v="cancelled"/>
    <s v="8/13/2024"/>
    <s v=" $121.64 "/>
    <n v="8"/>
    <n v="38"/>
    <s v="Home"/>
    <s v="Chair"/>
    <s v="Home"/>
    <x v="1"/>
    <n v="973.12"/>
    <s v="Aligned"/>
    <s v="35-49 Gen X"/>
    <s v="High Value Tier"/>
    <s v="Stable"/>
  </r>
  <r>
    <s v="ORD6568"/>
    <s v="CUST2568"/>
    <n v="38"/>
    <s v="PROD1768"/>
    <s v="India"/>
    <d v="2021-06-03T00:00:00"/>
    <s v="7/26/2023"/>
    <n v="5"/>
    <s v="active"/>
    <s v="12/17/2021"/>
    <s v=" $323.96 "/>
    <n v="6"/>
    <n v="5"/>
    <s v="Sports"/>
    <s v="Jeans"/>
    <s v="Clothing"/>
    <x v="0"/>
    <n v="1943.76"/>
    <s v="Misaligned"/>
    <s v="35-49 Gen X"/>
    <s v="High Value Tier"/>
    <s v="Critical Risk"/>
  </r>
  <r>
    <s v="ORD6569"/>
    <s v="CUST2569"/>
    <n v="28"/>
    <s v="PROD1769"/>
    <s v="India"/>
    <s v="7/26/2022"/>
    <d v="2022-11-10T00:00:00"/>
    <n v="5"/>
    <s v="active"/>
    <s v="10/31/2022"/>
    <s v=" $171.03 "/>
    <n v="9"/>
    <n v="17"/>
    <s v="Home"/>
    <s v="Cycling Helmet"/>
    <s v="Sports"/>
    <x v="0"/>
    <n v="1539.27"/>
    <s v="Misaligned"/>
    <s v="25-34 Millennials"/>
    <s v="High Value Tier"/>
    <s v="Critical Risk"/>
  </r>
  <r>
    <s v="ORD6570"/>
    <s v="CUST2570"/>
    <n v="65"/>
    <s v="PROD1770"/>
    <s v="India"/>
    <s v="1/17/2022"/>
    <d v="2024-12-03T00:00:00"/>
    <n v="2"/>
    <s v="paused"/>
    <s v="11/28/2022"/>
    <s v=" $46.66 "/>
    <n v="2"/>
    <n v="8"/>
    <s v="Beauty"/>
    <s v="Nail Polish"/>
    <s v="Beauty"/>
    <x v="1"/>
    <n v="93.32"/>
    <s v="Aligned"/>
    <s v="65+ Seniors"/>
    <s v="Value Tier"/>
    <s v="Elevated Risk"/>
  </r>
  <r>
    <s v="ORD6571"/>
    <s v="CUST2571"/>
    <n v="49"/>
    <s v="PROD1771"/>
    <s v="Germany"/>
    <s v="1/27/2021"/>
    <d v="2023-10-05T00:00:00"/>
    <n v="2"/>
    <s v="paused"/>
    <s v="6/16/2025"/>
    <s v=" $87.07 "/>
    <n v="8"/>
    <n v="38"/>
    <s v="Beauty"/>
    <s v="Smartwatch"/>
    <s v="Electronics"/>
    <x v="0"/>
    <n v="696.56"/>
    <s v="Misaligned"/>
    <s v="35-49 Gen X"/>
    <s v="High Value Tier"/>
    <s v="Elevated Risk"/>
  </r>
  <r>
    <s v="ORD6572"/>
    <s v="CUST2572"/>
    <n v="45"/>
    <s v="PROD1772"/>
    <s v="Germany"/>
    <s v="4/14/2022"/>
    <d v="2022-06-10T00:00:00"/>
    <n v="1"/>
    <s v="active"/>
    <d v="2025-06-03T00:00:00"/>
    <s v=" $169.39 "/>
    <n v="7"/>
    <n v="5"/>
    <s v="Sports"/>
    <s v="Smartphone"/>
    <s v="Electronics"/>
    <x v="0"/>
    <n v="1185.73"/>
    <s v="Misaligned"/>
    <s v="35-49 Gen X"/>
    <s v="High Value Tier"/>
    <s v="Stable"/>
  </r>
  <r>
    <s v="ORD6573"/>
    <s v="CUST2573"/>
    <n v="42"/>
    <s v="PROD1773"/>
    <s v="Pakistan"/>
    <s v="9/23/2022"/>
    <d v="2023-01-01T00:00:00"/>
    <n v="0"/>
    <s v="paused"/>
    <s v="11/26/2022"/>
    <s v=" $206.04 "/>
    <n v="7"/>
    <n v="29"/>
    <s v="Electronics"/>
    <s v="Football"/>
    <s v="Sports"/>
    <x v="0"/>
    <n v="1442.28"/>
    <s v="Misaligned"/>
    <s v="35-49 Gen X"/>
    <s v="High Value Tier"/>
    <s v="Elevated Risk"/>
  </r>
  <r>
    <s v="ORD6574"/>
    <s v="CUST2574"/>
    <n v="64"/>
    <s v="PROD1774"/>
    <s v="Pakistan"/>
    <s v="12/30/2021"/>
    <d v="2023-12-02T00:00:00"/>
    <n v="1"/>
    <s v="active"/>
    <d v="2022-05-07T00:00:00"/>
    <s v=" $131.98 "/>
    <n v="9"/>
    <n v="26"/>
    <s v="Clothing"/>
    <s v="Sneakers"/>
    <s v="Clothing"/>
    <x v="1"/>
    <n v="1187.82"/>
    <s v="Aligned"/>
    <s v="50-64 Boomers"/>
    <s v="High Value Tier"/>
    <s v="Stable"/>
  </r>
  <r>
    <s v="ORD6575"/>
    <s v="CUST2575"/>
    <n v="41"/>
    <s v="PROD1775"/>
    <s v="Canada"/>
    <s v="4/23/2022"/>
    <s v="12/27/2024"/>
    <n v="3"/>
    <s v="active"/>
    <d v="2024-05-06T00:00:00"/>
    <s v=" $22.25 "/>
    <n v="2"/>
    <n v="12"/>
    <s v="Beauty"/>
    <s v="Tablet"/>
    <s v="Electronics"/>
    <x v="1"/>
    <n v="44.5"/>
    <s v="Misaligned"/>
    <s v="35-49 Gen X"/>
    <s v="Value Tier"/>
    <s v="Stable"/>
  </r>
  <r>
    <s v="ORD6576"/>
    <s v="CUST2576"/>
    <n v="49"/>
    <s v="PROD1776"/>
    <s v="Canada"/>
    <d v="2020-09-10T00:00:00"/>
    <s v="5/18/2025"/>
    <n v="3"/>
    <s v="cancelled"/>
    <s v="6/15/2021"/>
    <s v=" $124.98 "/>
    <n v="6"/>
    <n v="18"/>
    <s v="Home"/>
    <s v="Jeans"/>
    <s v="Clothing"/>
    <x v="0"/>
    <n v="749.88"/>
    <s v="Misaligned"/>
    <s v="35-49 Gen X"/>
    <s v="High Value Tier"/>
    <s v="Stable"/>
  </r>
  <r>
    <s v="ORD6577"/>
    <s v="CUST2577"/>
    <n v="61"/>
    <s v="PROD1777"/>
    <s v="Canada"/>
    <s v="4/18/2022"/>
    <d v="2024-04-01T00:00:00"/>
    <n v="2"/>
    <s v="active"/>
    <s v="5/24/2025"/>
    <s v=" $265.51 "/>
    <n v="5"/>
    <n v="16"/>
    <s v="Clothing"/>
    <s v="Vacuum Cleaner"/>
    <s v="Home"/>
    <x v="1"/>
    <n v="1327.55"/>
    <s v="Misaligned"/>
    <s v="50-64 Boomers"/>
    <s v="High Value Tier"/>
    <s v="Stable"/>
  </r>
  <r>
    <s v="ORD6578"/>
    <s v="CUST2578"/>
    <n v="54"/>
    <s v="PROD1778"/>
    <s v="Germany"/>
    <d v="2020-10-09T00:00:00"/>
    <s v="3/31/2021"/>
    <n v="1"/>
    <s v="paused"/>
    <d v="2024-10-06T00:00:00"/>
    <s v=" $219.54 "/>
    <n v="9"/>
    <n v="19"/>
    <s v="Beauty"/>
    <s v="Jacket"/>
    <s v="Clothing"/>
    <x v="1"/>
    <n v="1975.86"/>
    <s v="Misaligned"/>
    <s v="50-64 Boomers"/>
    <s v="High Value Tier"/>
    <s v="Elevated Risk"/>
  </r>
  <r>
    <s v="ORD6579"/>
    <s v="CUST2579"/>
    <n v="61"/>
    <s v="PROD1779"/>
    <s v="Pakistan"/>
    <s v="3/19/2021"/>
    <d v="2023-04-08T00:00:00"/>
    <n v="4"/>
    <s v="active"/>
    <s v="3/27/2021"/>
    <s v=" $255.15 "/>
    <n v="5"/>
    <n v="41"/>
    <s v="Electronics"/>
    <s v="Laptop"/>
    <s v="Electronics"/>
    <x v="1"/>
    <n v="1275.75"/>
    <s v="Aligned"/>
    <s v="50-64 Boomers"/>
    <s v="High Value Tier"/>
    <s v="Critical Risk"/>
  </r>
  <r>
    <s v="ORD6580"/>
    <s v="CUST2580"/>
    <n v="27"/>
    <s v="PROD1780"/>
    <s v="Pakistan"/>
    <d v="2020-10-10T00:00:00"/>
    <s v="5/26/2021"/>
    <n v="0"/>
    <s v="active"/>
    <d v="2021-01-02T00:00:00"/>
    <s v=" $264.99 "/>
    <n v="7"/>
    <n v="3"/>
    <s v="Clothing"/>
    <s v="Nail Polish"/>
    <s v="Beauty"/>
    <x v="0"/>
    <n v="1854.93"/>
    <s v="Misaligned"/>
    <s v="25-34 Millennials"/>
    <s v="High Value Tier"/>
    <s v="Stable"/>
  </r>
  <r>
    <s v="ORD6581"/>
    <s v="CUST2581"/>
    <n v="57"/>
    <s v="PROD1781"/>
    <s v="Germany"/>
    <d v="2021-02-03T00:00:00"/>
    <d v="2022-05-05T00:00:00"/>
    <n v="0"/>
    <s v="cancelled"/>
    <s v="4/26/2021"/>
    <s v=" $253.66 "/>
    <n v="6"/>
    <n v="38"/>
    <s v="Home"/>
    <s v="Skirt"/>
    <s v="Clothing"/>
    <x v="0"/>
    <n v="1521.96"/>
    <s v="Misaligned"/>
    <s v="50-64 Boomers"/>
    <s v="High Value Tier"/>
    <s v="Stable"/>
  </r>
  <r>
    <s v="ORD6582"/>
    <s v="CUST2582"/>
    <n v="59"/>
    <s v="PROD1782"/>
    <s v="UK"/>
    <d v="2020-10-09T00:00:00"/>
    <s v="9/23/2024"/>
    <n v="0"/>
    <s v="active"/>
    <s v="6/21/2021"/>
    <s v=" $215.04 "/>
    <n v="3"/>
    <n v="14"/>
    <s v="Electronics"/>
    <s v="Shirt"/>
    <s v="Clothing"/>
    <x v="0"/>
    <n v="645.12"/>
    <s v="Misaligned"/>
    <s v="50-64 Boomers"/>
    <s v="High Value Tier"/>
    <s v="Stable"/>
  </r>
  <r>
    <s v="ORD6583"/>
    <s v="CUST2583"/>
    <n v="61"/>
    <s v="PROD1783"/>
    <s v="Canada"/>
    <s v="1/23/2023"/>
    <d v="2024-11-07T00:00:00"/>
    <n v="5"/>
    <s v="cancelled"/>
    <s v="5/22/2025"/>
    <s v=" $1,226.37 "/>
    <n v="1"/>
    <n v="11"/>
    <s v="Sports"/>
    <s v="Laptop"/>
    <s v="Electronics"/>
    <x v="1"/>
    <n v="1226.3699999999999"/>
    <s v="Misaligned"/>
    <s v="50-64 Boomers"/>
    <s v="High Value Tier"/>
    <s v="Stable"/>
  </r>
  <r>
    <s v="ORD6584"/>
    <s v="CUST2584"/>
    <n v="55"/>
    <s v="PROD1784"/>
    <s v="Pakistan"/>
    <s v="12/27/2020"/>
    <s v="3/17/2024"/>
    <n v="1"/>
    <s v="active"/>
    <s v="11/19/2024"/>
    <s v=" $31.81 "/>
    <n v="5"/>
    <n v="40"/>
    <s v="Clothing"/>
    <s v="Sneakers"/>
    <s v="Clothing"/>
    <x v="0"/>
    <n v="159.05000000000001"/>
    <s v="Aligned"/>
    <s v="50-64 Boomers"/>
    <s v="High Value Tier"/>
    <s v="Stable"/>
  </r>
  <r>
    <s v="ORD6585"/>
    <s v="CUST2585"/>
    <n v="24"/>
    <s v="PROD1785"/>
    <s v="Germany"/>
    <s v="12/27/2021"/>
    <d v="2024-03-11T00:00:00"/>
    <n v="4"/>
    <s v="active"/>
    <s v="12/14/2022"/>
    <s v=" $966.86 "/>
    <n v="1"/>
    <n v="44"/>
    <s v="Clothing"/>
    <s v="Skirt"/>
    <s v="Clothing"/>
    <x v="1"/>
    <n v="966.86"/>
    <s v="Aligned"/>
    <s v="18-24 Gen Z"/>
    <s v="High Value Tier"/>
    <s v="Critical Risk"/>
  </r>
  <r>
    <s v="ORD6586"/>
    <s v="CUST2586"/>
    <n v="58"/>
    <s v="PROD1786"/>
    <s v="USA"/>
    <d v="2021-05-07T00:00:00"/>
    <d v="2025-01-05T00:00:00"/>
    <n v="5"/>
    <s v="active"/>
    <s v="3/26/2024"/>
    <s v=" $196.24 "/>
    <n v="6"/>
    <n v="31"/>
    <s v="Sports"/>
    <s v="Smartphone"/>
    <s v="Electronics"/>
    <x v="1"/>
    <n v="1177.44"/>
    <s v="Misaligned"/>
    <s v="50-64 Boomers"/>
    <s v="High Value Tier"/>
    <s v="Critical Risk"/>
  </r>
  <r>
    <s v="ORD6587"/>
    <s v="CUST2587"/>
    <n v="24"/>
    <s v="PROD1787"/>
    <s v="Germany"/>
    <d v="2023-02-06T00:00:00"/>
    <s v="11/13/2023"/>
    <n v="0"/>
    <s v="active"/>
    <s v="5/21/2025"/>
    <s v=" $279.32 "/>
    <n v="7"/>
    <n v="23"/>
    <s v="Electronics"/>
    <s v="Sneakers"/>
    <s v="Clothing"/>
    <x v="0"/>
    <n v="1955.24"/>
    <s v="Misaligned"/>
    <s v="18-24 Gen Z"/>
    <s v="High Value Tier"/>
    <s v="Stable"/>
  </r>
  <r>
    <s v="ORD6588"/>
    <s v="CUST2588"/>
    <n v="65"/>
    <s v="PROD1788"/>
    <s v="Pakistan"/>
    <d v="2022-04-12T00:00:00"/>
    <d v="2024-08-08T00:00:00"/>
    <n v="5"/>
    <s v="paused"/>
    <d v="2024-09-07T00:00:00"/>
    <s v=" $125.73 "/>
    <n v="8"/>
    <n v="17"/>
    <s v="Clothing"/>
    <s v="Blender"/>
    <s v="Home"/>
    <x v="1"/>
    <n v="1005.84"/>
    <s v="Misaligned"/>
    <s v="65+ Seniors"/>
    <s v="High Value Tier"/>
    <s v="Elevated Risk"/>
  </r>
  <r>
    <s v="ORD6589"/>
    <s v="CUST2589"/>
    <n v="41"/>
    <s v="PROD1789"/>
    <s v="Pakistan"/>
    <s v="7/24/2023"/>
    <d v="2024-07-03T00:00:00"/>
    <n v="4"/>
    <s v="active"/>
    <d v="2024-02-09T00:00:00"/>
    <s v=" $480.90 "/>
    <n v="3"/>
    <n v="12"/>
    <s v="Home"/>
    <s v="Smartwatch"/>
    <s v="Electronics"/>
    <x v="1"/>
    <n v="1442.7"/>
    <s v="Misaligned"/>
    <s v="35-49 Gen X"/>
    <s v="High Value Tier"/>
    <s v="Critical Risk"/>
  </r>
  <r>
    <s v="ORD6590"/>
    <s v="CUST2590"/>
    <n v="59"/>
    <s v="PROD1790"/>
    <s v="Canada"/>
    <s v="6/14/2021"/>
    <s v="12/23/2024"/>
    <n v="5"/>
    <s v="active"/>
    <d v="2022-09-12T00:00:00"/>
    <s v=" $359.75 "/>
    <n v="5"/>
    <n v="25"/>
    <s v="Clothing"/>
    <s v="Shirt"/>
    <s v="Clothing"/>
    <x v="1"/>
    <n v="1798.75"/>
    <s v="Aligned"/>
    <s v="50-64 Boomers"/>
    <s v="High Value Tier"/>
    <s v="Critical Risk"/>
  </r>
  <r>
    <s v="ORD6591"/>
    <s v="CUST2591"/>
    <n v="63"/>
    <s v="PROD1791"/>
    <s v="Germany"/>
    <d v="2023-08-06T00:00:00"/>
    <s v="3/21/2025"/>
    <n v="2"/>
    <s v="active"/>
    <s v="2/22/2024"/>
    <s v=" $159.41 "/>
    <n v="7"/>
    <n v="32"/>
    <s v="Home"/>
    <s v="Sneakers"/>
    <s v="Clothing"/>
    <x v="2"/>
    <n v="1115.8699999999999"/>
    <s v="Misaligned"/>
    <s v="50-64 Boomers"/>
    <s v="High Value Tier"/>
    <s v="Stable"/>
  </r>
  <r>
    <s v="ORD6592"/>
    <s v="CUST2592"/>
    <n v="26"/>
    <s v="PROD1792"/>
    <s v="India"/>
    <s v="6/30/2021"/>
    <s v="3/13/2022"/>
    <n v="0"/>
    <s v="cancelled"/>
    <s v="6/20/2024"/>
    <s v=" $623.01 "/>
    <n v="2"/>
    <n v="8"/>
    <s v="Beauty"/>
    <s v="Chair"/>
    <s v="Home"/>
    <x v="2"/>
    <n v="1246.02"/>
    <s v="Misaligned"/>
    <s v="25-34 Millennials"/>
    <s v="High Value Tier"/>
    <s v="Stable"/>
  </r>
  <r>
    <s v="ORD6593"/>
    <s v="CUST2593"/>
    <n v="34"/>
    <s v="PROD1793"/>
    <s v="UK"/>
    <d v="2022-04-01T00:00:00"/>
    <d v="2022-09-02T00:00:00"/>
    <n v="1"/>
    <s v="paused"/>
    <s v="9/28/2023"/>
    <s v=" $171.77 "/>
    <n v="4"/>
    <n v="43"/>
    <s v="Clothing"/>
    <s v="Shirt"/>
    <s v="Clothing"/>
    <x v="0"/>
    <n v="687.08"/>
    <s v="Aligned"/>
    <s v="25-34 Millennials"/>
    <s v="High Value Tier"/>
    <s v="Elevated Risk"/>
  </r>
  <r>
    <s v="ORD6594"/>
    <s v="CUST2594"/>
    <n v="53"/>
    <s v="PROD1794"/>
    <s v="Germany"/>
    <s v="9/25/2022"/>
    <d v="2024-10-05T00:00:00"/>
    <n v="5"/>
    <s v="active"/>
    <s v="6/29/2025"/>
    <s v=" $140.03 "/>
    <n v="3"/>
    <n v="25"/>
    <s v="Sports"/>
    <s v="Dress"/>
    <s v="Clothing"/>
    <x v="0"/>
    <n v="420.09"/>
    <s v="Misaligned"/>
    <s v="50-64 Boomers"/>
    <s v="High Value Tier"/>
    <s v="Critical Risk"/>
  </r>
  <r>
    <s v="ORD6595"/>
    <s v="CUST2595"/>
    <n v="42"/>
    <s v="PROD1795"/>
    <s v="Germany"/>
    <s v="1/18/2022"/>
    <s v="10/17/2024"/>
    <n v="4"/>
    <s v="active"/>
    <s v="2/19/2022"/>
    <s v=" $222.75 "/>
    <n v="5"/>
    <n v="35"/>
    <s v="Sports"/>
    <s v="Sneakers"/>
    <s v="Clothing"/>
    <x v="1"/>
    <n v="1113.75"/>
    <s v="Misaligned"/>
    <s v="35-49 Gen X"/>
    <s v="High Value Tier"/>
    <s v="Critical Risk"/>
  </r>
  <r>
    <s v="ORD6596"/>
    <s v="CUST2596"/>
    <n v="58"/>
    <s v="PROD1796"/>
    <s v="Canada"/>
    <s v="11/22/2020"/>
    <s v="12/20/2022"/>
    <n v="2"/>
    <s v="paused"/>
    <s v="3/25/2025"/>
    <s v=" $867.89 "/>
    <n v="2"/>
    <n v="12"/>
    <s v="Home"/>
    <s v="Bluetooth Speaker"/>
    <s v="Electronics"/>
    <x v="1"/>
    <n v="1735.78"/>
    <s v="Misaligned"/>
    <s v="50-64 Boomers"/>
    <s v="High Value Tier"/>
    <s v="Elevated Risk"/>
  </r>
  <r>
    <s v="ORD6597"/>
    <s v="CUST2597"/>
    <n v="61"/>
    <s v="PROD1797"/>
    <s v="UK"/>
    <s v="7/20/2021"/>
    <d v="2023-10-12T00:00:00"/>
    <n v="5"/>
    <s v="paused"/>
    <s v="5/18/2022"/>
    <s v=" $426.44 "/>
    <n v="2"/>
    <n v="10"/>
    <s v="Beauty"/>
    <s v="Skirt"/>
    <s v="Clothing"/>
    <x v="0"/>
    <n v="852.88"/>
    <s v="Misaligned"/>
    <s v="50-64 Boomers"/>
    <s v="High Value Tier"/>
    <s v="Elevated Risk"/>
  </r>
  <r>
    <s v="ORD6598"/>
    <s v="CUST2598"/>
    <n v="47"/>
    <s v="PROD1798"/>
    <s v="USA"/>
    <s v="8/13/2022"/>
    <s v="8/13/2022"/>
    <n v="2"/>
    <s v="active"/>
    <s v="8/18/2024"/>
    <s v=" $274.02 "/>
    <n v="5"/>
    <n v="22"/>
    <s v="Sports"/>
    <s v="Refrigerator"/>
    <s v="Home"/>
    <x v="0"/>
    <n v="1370.1"/>
    <s v="Misaligned"/>
    <s v="35-49 Gen X"/>
    <s v="High Value Tier"/>
    <s v="Stable"/>
  </r>
  <r>
    <s v="ORD6599"/>
    <s v="CUST2599"/>
    <n v="33"/>
    <s v="PROD1799"/>
    <s v="Germany"/>
    <s v="1/13/2023"/>
    <s v="5/18/2025"/>
    <n v="4"/>
    <s v="active"/>
    <s v="6/29/2025"/>
    <s v=" $222.60 "/>
    <n v="6"/>
    <n v="12"/>
    <s v="Clothing"/>
    <s v="Perfume"/>
    <s v="Beauty"/>
    <x v="1"/>
    <n v="1335.6"/>
    <s v="Misaligned"/>
    <s v="25-34 Millennials"/>
    <s v="High Value Tier"/>
    <s v="Critical Risk"/>
  </r>
  <r>
    <s v="ORD6600"/>
    <s v="CUST2600"/>
    <n v="44"/>
    <s v="PROD1800"/>
    <s v="Pakistan"/>
    <s v="7/25/2022"/>
    <s v="6/17/2023"/>
    <n v="2"/>
    <s v="active"/>
    <d v="2023-02-01T00:00:00"/>
    <s v=" $177.18 "/>
    <n v="9"/>
    <n v="30"/>
    <s v="Electronics"/>
    <s v="Tablet"/>
    <s v="Electronics"/>
    <x v="0"/>
    <n v="1594.62"/>
    <s v="Aligned"/>
    <s v="35-49 Gen X"/>
    <s v="High Value Tier"/>
    <s v="Stable"/>
  </r>
  <r>
    <s v="ORD6601"/>
    <s v="CUST2601"/>
    <n v="58"/>
    <s v="PROD1801"/>
    <s v="UK"/>
    <s v="6/23/2022"/>
    <s v="2/23/2023"/>
    <n v="3"/>
    <s v="cancelled"/>
    <s v="8/31/2024"/>
    <s v=" $506.88 "/>
    <n v="2"/>
    <n v="47"/>
    <s v="Clothing"/>
    <s v="Camera"/>
    <s v="Electronics"/>
    <x v="0"/>
    <n v="1013.76"/>
    <s v="Misaligned"/>
    <s v="50-64 Boomers"/>
    <s v="High Value Tier"/>
    <s v="Stable"/>
  </r>
  <r>
    <s v="ORD6602"/>
    <s v="CUST2602"/>
    <n v="59"/>
    <s v="PROD1802"/>
    <s v="India"/>
    <d v="2020-02-11T00:00:00"/>
    <d v="2021-04-06T00:00:00"/>
    <n v="2"/>
    <s v="cancelled"/>
    <d v="2020-04-11T00:00:00"/>
    <s v=" $142.16 "/>
    <n v="8"/>
    <n v="1"/>
    <s v="Clothing"/>
    <s v="Laptop"/>
    <s v="Electronics"/>
    <x v="0"/>
    <n v="1137.28"/>
    <s v="Misaligned"/>
    <s v="50-64 Boomers"/>
    <s v="Core Tier"/>
    <s v="Stable"/>
  </r>
  <r>
    <s v="ORD6603"/>
    <s v="CUST2603"/>
    <n v="50"/>
    <s v="PROD1803"/>
    <s v="India"/>
    <d v="2023-07-07T00:00:00"/>
    <s v="7/15/2025"/>
    <n v="4"/>
    <s v="active"/>
    <s v="12/28/2023"/>
    <s v=" $186.90 "/>
    <n v="6"/>
    <n v="29"/>
    <s v="Clothing"/>
    <s v="Vacuum Cleaner"/>
    <s v="Home"/>
    <x v="0"/>
    <n v="1121.4000000000001"/>
    <s v="Misaligned"/>
    <s v="50-64 Boomers"/>
    <s v="High Value Tier"/>
    <s v="Critical Risk"/>
  </r>
  <r>
    <s v="ORD6604"/>
    <s v="CUST2604"/>
    <n v="20"/>
    <s v="PROD1804"/>
    <s v="Germany"/>
    <s v="10/16/2021"/>
    <s v="3/18/2023"/>
    <n v="4"/>
    <s v="active"/>
    <s v="9/26/2022"/>
    <s v=" $46.03 "/>
    <n v="8"/>
    <n v="24"/>
    <s v="Clothing"/>
    <s v="Tennis Racket"/>
    <s v="Sports"/>
    <x v="0"/>
    <n v="368.24"/>
    <s v="Misaligned"/>
    <s v="18-24 Gen Z"/>
    <s v="High Value Tier"/>
    <s v="Critical Risk"/>
  </r>
  <r>
    <s v="ORD6605"/>
    <s v="CUST2605"/>
    <n v="60"/>
    <s v="PROD1805"/>
    <s v="Germany"/>
    <s v="8/18/2023"/>
    <s v="4/15/2024"/>
    <n v="5"/>
    <s v="active"/>
    <d v="2024-01-07T00:00:00"/>
    <s v=" $119.98 "/>
    <n v="7"/>
    <n v="14"/>
    <s v="Home"/>
    <s v="Hoodie"/>
    <s v="Clothing"/>
    <x v="1"/>
    <n v="839.86"/>
    <s v="Misaligned"/>
    <s v="50-64 Boomers"/>
    <s v="High Value Tier"/>
    <s v="Critical Risk"/>
  </r>
  <r>
    <s v="ORD6606"/>
    <s v="CUST2606"/>
    <n v="43"/>
    <s v="PROD1806"/>
    <s v="UK"/>
    <s v="11/20/2021"/>
    <d v="2023-06-09T00:00:00"/>
    <n v="0"/>
    <s v="active"/>
    <d v="2022-02-01T00:00:00"/>
    <s v=" $428.32 "/>
    <n v="1"/>
    <n v="38"/>
    <s v="Electronics"/>
    <s v="Gaming Console"/>
    <s v="Electronics"/>
    <x v="0"/>
    <n v="428.32"/>
    <s v="Aligned"/>
    <s v="35-49 Gen X"/>
    <s v="High Value Tier"/>
    <s v="Stable"/>
  </r>
  <r>
    <s v="ORD6607"/>
    <s v="CUST2607"/>
    <n v="62"/>
    <s v="PROD1807"/>
    <s v="India"/>
    <d v="2023-01-06T00:00:00"/>
    <d v="2023-11-11T00:00:00"/>
    <n v="4"/>
    <s v="active"/>
    <s v="1/14/2024"/>
    <s v=" $434.76 "/>
    <n v="4"/>
    <n v="30"/>
    <s v="Clothing"/>
    <s v="Camera"/>
    <s v="Electronics"/>
    <x v="1"/>
    <n v="1739.04"/>
    <s v="Misaligned"/>
    <s v="50-64 Boomers"/>
    <s v="High Value Tier"/>
    <s v="Critical Risk"/>
  </r>
  <r>
    <s v="ORD6608"/>
    <s v="CUST2608"/>
    <n v="64"/>
    <s v="PROD1808"/>
    <s v="UK"/>
    <s v="5/25/2022"/>
    <d v="2023-02-03T00:00:00"/>
    <n v="1"/>
    <s v="active"/>
    <d v="2024-12-12T00:00:00"/>
    <s v=" $823.43 "/>
    <n v="1"/>
    <n v="16"/>
    <s v="Electronics"/>
    <s v="Smartwatch"/>
    <s v="Electronics"/>
    <x v="0"/>
    <n v="823.43"/>
    <s v="Aligned"/>
    <s v="50-64 Boomers"/>
    <s v="High Value Tier"/>
    <s v="Stable"/>
  </r>
  <r>
    <s v="ORD6609"/>
    <s v="CUST2609"/>
    <n v="35"/>
    <s v="PROD1809"/>
    <s v="USA"/>
    <s v="4/20/2022"/>
    <s v="8/27/2022"/>
    <n v="4"/>
    <s v="active"/>
    <s v="4/24/2024"/>
    <s v=" $457.86 "/>
    <n v="4"/>
    <n v="11"/>
    <s v="Electronics"/>
    <s v="Refrigerator"/>
    <s v="Home"/>
    <x v="0"/>
    <n v="1831.44"/>
    <s v="Misaligned"/>
    <s v="35-49 Gen X"/>
    <s v="High Value Tier"/>
    <s v="Critical Risk"/>
  </r>
  <r>
    <s v="ORD6610"/>
    <s v="CUST2610"/>
    <n v="18"/>
    <s v="PROD1810"/>
    <s v="USA"/>
    <d v="2022-12-12T00:00:00"/>
    <s v="2/26/2023"/>
    <n v="0"/>
    <s v="paused"/>
    <s v="3/29/2024"/>
    <s v=" $101.26 "/>
    <n v="7"/>
    <n v="2"/>
    <s v="Clothing"/>
    <s v="Dining Table"/>
    <s v="Home"/>
    <x v="0"/>
    <n v="708.82"/>
    <s v="Misaligned"/>
    <s v="18-24 Gen Z"/>
    <s v="Core Tier"/>
    <s v="Elevated Risk"/>
  </r>
  <r>
    <s v="ORD6611"/>
    <s v="CUST2611"/>
    <n v="55"/>
    <s v="PROD1811"/>
    <s v="Pakistan"/>
    <s v="4/19/2021"/>
    <s v="4/30/2025"/>
    <n v="4"/>
    <s v="paused"/>
    <s v="4/17/2022"/>
    <s v=" $96.22 "/>
    <n v="6"/>
    <n v="20"/>
    <s v="Beauty"/>
    <s v="Headphones"/>
    <s v="Electronics"/>
    <x v="1"/>
    <n v="577.32000000000005"/>
    <s v="Misaligned"/>
    <s v="50-64 Boomers"/>
    <s v="High Value Tier"/>
    <s v="Elevated Risk"/>
  </r>
  <r>
    <s v="ORD6612"/>
    <s v="CUST2612"/>
    <n v="54"/>
    <s v="PROD1812"/>
    <s v="Germany"/>
    <s v="5/13/2023"/>
    <d v="2024-04-09T00:00:00"/>
    <n v="1"/>
    <s v="cancelled"/>
    <d v="2023-04-06T00:00:00"/>
    <s v=" $231.80 "/>
    <n v="5"/>
    <n v="16"/>
    <s v="Clothing"/>
    <s v="Football"/>
    <s v="Sports"/>
    <x v="0"/>
    <n v="1159"/>
    <s v="Misaligned"/>
    <s v="50-64 Boomers"/>
    <s v="High Value Tier"/>
    <s v="Stable"/>
  </r>
  <r>
    <s v="ORD6613"/>
    <s v="CUST2613"/>
    <n v="46"/>
    <s v="PROD1813"/>
    <s v="Canada"/>
    <s v="7/15/2023"/>
    <s v="7/26/2024"/>
    <n v="0"/>
    <s v="active"/>
    <s v="4/20/2024"/>
    <s v=" $322.05 "/>
    <n v="5"/>
    <n v="24"/>
    <s v="Clothing"/>
    <s v="Laptop"/>
    <s v="Electronics"/>
    <x v="0"/>
    <n v="1610.25"/>
    <s v="Misaligned"/>
    <s v="35-49 Gen X"/>
    <s v="High Value Tier"/>
    <s v="Stable"/>
  </r>
  <r>
    <s v="ORD6614"/>
    <s v="CUST2614"/>
    <n v="60"/>
    <s v="PROD1814"/>
    <s v="Canada"/>
    <s v="4/18/2021"/>
    <s v="6/26/2021"/>
    <n v="1"/>
    <s v="cancelled"/>
    <s v="2/19/2023"/>
    <s v=" $69.27 "/>
    <n v="6"/>
    <n v="43"/>
    <s v="Sports"/>
    <s v="Sneakers"/>
    <s v="Clothing"/>
    <x v="1"/>
    <n v="415.62"/>
    <s v="Misaligned"/>
    <s v="50-64 Boomers"/>
    <s v="High Value Tier"/>
    <s v="Stable"/>
  </r>
  <r>
    <s v="ORD6615"/>
    <s v="CUST2615"/>
    <n v="65"/>
    <s v="PROD1815"/>
    <s v="Germany"/>
    <s v="10/28/2021"/>
    <s v="3/18/2025"/>
    <n v="4"/>
    <s v="active"/>
    <d v="2021-10-12T00:00:00"/>
    <s v=" $1,699.62 "/>
    <n v="1"/>
    <n v="17"/>
    <s v="Clothing"/>
    <s v="Hoodie"/>
    <s v="Clothing"/>
    <x v="1"/>
    <n v="1699.62"/>
    <s v="Aligned"/>
    <s v="65+ Seniors"/>
    <s v="High Value Tier"/>
    <s v="Critical Risk"/>
  </r>
  <r>
    <s v="ORD6616"/>
    <s v="CUST2616"/>
    <n v="32"/>
    <s v="PROD1816"/>
    <s v="India"/>
    <s v="7/25/2023"/>
    <d v="2024-03-12T00:00:00"/>
    <n v="0"/>
    <s v="active"/>
    <s v="10/24/2024"/>
    <s v=" $260.12 "/>
    <n v="7"/>
    <n v="44"/>
    <s v="Beauty"/>
    <s v="Cricket Bat"/>
    <s v="Sports"/>
    <x v="1"/>
    <n v="1820.84"/>
    <s v="Misaligned"/>
    <s v="25-34 Millennials"/>
    <s v="High Value Tier"/>
    <s v="Stable"/>
  </r>
  <r>
    <s v="ORD6617"/>
    <s v="CUST2617"/>
    <n v="50"/>
    <s v="PROD1817"/>
    <s v="Canada"/>
    <d v="2022-01-11T00:00:00"/>
    <s v="3/16/2023"/>
    <n v="0"/>
    <s v="active"/>
    <d v="2023-01-09T00:00:00"/>
    <s v=" $161.93 "/>
    <n v="8"/>
    <n v="43"/>
    <s v="Beauty"/>
    <s v="Cricket Bat"/>
    <s v="Sports"/>
    <x v="0"/>
    <n v="1295.44"/>
    <s v="Misaligned"/>
    <s v="50-64 Boomers"/>
    <s v="High Value Tier"/>
    <s v="Stable"/>
  </r>
  <r>
    <s v="ORD6618"/>
    <s v="CUST2618"/>
    <n v="45"/>
    <s v="PROD1818"/>
    <s v="UK"/>
    <d v="2022-05-10T00:00:00"/>
    <d v="2024-03-08T00:00:00"/>
    <n v="1"/>
    <s v="active"/>
    <s v="10/20/2024"/>
    <s v=" $191.99 "/>
    <n v="7"/>
    <n v="3"/>
    <s v="Electronics"/>
    <s v="Lamp"/>
    <s v="Home"/>
    <x v="0"/>
    <n v="1343.93"/>
    <s v="Misaligned"/>
    <s v="35-49 Gen X"/>
    <s v="High Value Tier"/>
    <s v="Stable"/>
  </r>
  <r>
    <s v="ORD6619"/>
    <s v="CUST2619"/>
    <n v="22"/>
    <s v="PROD1819"/>
    <s v="Germany"/>
    <s v="3/26/2021"/>
    <s v="9/18/2024"/>
    <n v="2"/>
    <s v="cancelled"/>
    <s v="2/28/2022"/>
    <s v=" $91.60 "/>
    <n v="9"/>
    <n v="37"/>
    <s v="Home"/>
    <s v="Shirt"/>
    <s v="Clothing"/>
    <x v="1"/>
    <n v="824.4"/>
    <s v="Misaligned"/>
    <s v="18-24 Gen Z"/>
    <s v="High Value Tier"/>
    <s v="Stable"/>
  </r>
  <r>
    <s v="ORD6620"/>
    <s v="CUST2620"/>
    <n v="65"/>
    <s v="PROD1820"/>
    <s v="India"/>
    <d v="2021-04-05T00:00:00"/>
    <d v="2022-05-09T00:00:00"/>
    <n v="0"/>
    <s v="active"/>
    <d v="2022-08-04T00:00:00"/>
    <s v=" $109.84 "/>
    <n v="8"/>
    <n v="12"/>
    <s v="Home"/>
    <s v="Chair"/>
    <s v="Home"/>
    <x v="1"/>
    <n v="878.72"/>
    <s v="Aligned"/>
    <s v="65+ Seniors"/>
    <s v="High Value Tier"/>
    <s v="Stable"/>
  </r>
  <r>
    <s v="ORD6621"/>
    <s v="CUST2621"/>
    <n v="57"/>
    <s v="PROD1821"/>
    <s v="USA"/>
    <s v="8/19/2023"/>
    <d v="2025-06-01T00:00:00"/>
    <n v="2"/>
    <s v="paused"/>
    <s v="5/31/2024"/>
    <s v=" $502.39 "/>
    <n v="2"/>
    <n v="34"/>
    <s v="Clothing"/>
    <s v="Laptop"/>
    <s v="Electronics"/>
    <x v="1"/>
    <n v="1004.78"/>
    <s v="Misaligned"/>
    <s v="50-64 Boomers"/>
    <s v="High Value Tier"/>
    <s v="Elevated Risk"/>
  </r>
  <r>
    <s v="ORD6622"/>
    <s v="CUST2622"/>
    <n v="66"/>
    <s v="PROD1822"/>
    <s v="Pakistan"/>
    <d v="2021-10-12T00:00:00"/>
    <s v="1/28/2024"/>
    <n v="3"/>
    <s v="active"/>
    <s v="12/19/2023"/>
    <s v=" $201.65 "/>
    <n v="9"/>
    <n v="21"/>
    <s v="Beauty"/>
    <s v="T-Shirt"/>
    <s v="Clothing"/>
    <x v="1"/>
    <n v="1814.85"/>
    <s v="Misaligned"/>
    <s v="65+ Seniors"/>
    <s v="High Value Tier"/>
    <s v="Stable"/>
  </r>
  <r>
    <s v="ORD6623"/>
    <s v="CUST2623"/>
    <n v="24"/>
    <s v="PROD1823"/>
    <s v="India"/>
    <d v="2022-06-08T00:00:00"/>
    <s v="7/18/2024"/>
    <n v="4"/>
    <s v="active"/>
    <s v="8/14/2025"/>
    <s v=" $418.77 "/>
    <n v="4"/>
    <n v="32"/>
    <s v="Home"/>
    <s v="Skirt"/>
    <s v="Clothing"/>
    <x v="0"/>
    <n v="1675.08"/>
    <s v="Misaligned"/>
    <s v="18-24 Gen Z"/>
    <s v="High Value Tier"/>
    <s v="Critical Risk"/>
  </r>
  <r>
    <s v="ORD6624"/>
    <s v="CUST2624"/>
    <n v="46"/>
    <s v="PROD1824"/>
    <s v="Germany"/>
    <d v="2021-04-05T00:00:00"/>
    <s v="8/29/2023"/>
    <n v="4"/>
    <s v="cancelled"/>
    <d v="2023-05-05T00:00:00"/>
    <s v=" $642.34 "/>
    <n v="2"/>
    <n v="42"/>
    <s v="Beauty"/>
    <s v="Shirt"/>
    <s v="Clothing"/>
    <x v="0"/>
    <n v="1284.68"/>
    <s v="Misaligned"/>
    <s v="35-49 Gen X"/>
    <s v="High Value Tier"/>
    <s v="Stable"/>
  </r>
  <r>
    <s v="ORD6625"/>
    <s v="CUST2625"/>
    <n v="50"/>
    <s v="PROD1825"/>
    <s v="Germany"/>
    <s v="12/23/2021"/>
    <d v="2025-07-01T00:00:00"/>
    <n v="4"/>
    <s v="paused"/>
    <d v="2023-03-07T00:00:00"/>
    <s v=" $935.56 "/>
    <n v="2"/>
    <n v="47"/>
    <s v="Beauty"/>
    <s v="Gaming Console"/>
    <s v="Electronics"/>
    <x v="1"/>
    <n v="1871.12"/>
    <s v="Misaligned"/>
    <s v="50-64 Boomers"/>
    <s v="High Value Tier"/>
    <s v="Elevated Risk"/>
  </r>
  <r>
    <s v="ORD6626"/>
    <s v="CUST2626"/>
    <n v="46"/>
    <s v="PROD1826"/>
    <s v="Pakistan"/>
    <s v="10/15/2021"/>
    <d v="2022-02-09T00:00:00"/>
    <n v="2"/>
    <s v="cancelled"/>
    <d v="2024-02-06T00:00:00"/>
    <s v=" $339.15 "/>
    <n v="4"/>
    <n v="27"/>
    <s v="Home"/>
    <s v="Basketball"/>
    <s v="Sports"/>
    <x v="1"/>
    <n v="1356.6"/>
    <s v="Misaligned"/>
    <s v="35-49 Gen X"/>
    <s v="High Value Tier"/>
    <s v="Stable"/>
  </r>
  <r>
    <s v="ORD6627"/>
    <s v="CUST2627"/>
    <n v="23"/>
    <s v="PROD1827"/>
    <s v="UK"/>
    <d v="2020-04-11T00:00:00"/>
    <d v="2023-07-06T00:00:00"/>
    <n v="4"/>
    <s v="active"/>
    <d v="2024-11-01T00:00:00"/>
    <s v=" $375.92 "/>
    <n v="4"/>
    <n v="26"/>
    <s v="Electronics"/>
    <s v="Smartwatch"/>
    <s v="Electronics"/>
    <x v="1"/>
    <n v="1503.68"/>
    <s v="Aligned"/>
    <s v="18-24 Gen Z"/>
    <s v="High Value Tier"/>
    <s v="Critical Risk"/>
  </r>
  <r>
    <s v="ORD6628"/>
    <s v="CUST2628"/>
    <n v="64"/>
    <s v="PROD1828"/>
    <s v="Canada"/>
    <d v="2022-02-04T00:00:00"/>
    <d v="2022-01-08T00:00:00"/>
    <n v="1"/>
    <s v="active"/>
    <s v="10/28/2022"/>
    <s v=" $1,105.58 "/>
    <n v="1"/>
    <n v="30"/>
    <s v="Sports"/>
    <s v="Foundation"/>
    <s v="Beauty"/>
    <x v="0"/>
    <n v="1105.58"/>
    <s v="Misaligned"/>
    <s v="50-64 Boomers"/>
    <s v="High Value Tier"/>
    <s v="Stable"/>
  </r>
  <r>
    <s v="ORD6629"/>
    <s v="CUST2629"/>
    <n v="32"/>
    <s v="PROD1829"/>
    <s v="Germany"/>
    <s v="10/18/2021"/>
    <d v="2024-10-06T00:00:00"/>
    <n v="5"/>
    <s v="active"/>
    <s v="12/27/2023"/>
    <s v=" $95.07 "/>
    <n v="9"/>
    <n v="45"/>
    <s v="Electronics"/>
    <s v="T-Shirt"/>
    <s v="Clothing"/>
    <x v="0"/>
    <n v="855.63"/>
    <s v="Misaligned"/>
    <s v="25-34 Millennials"/>
    <s v="High Value Tier"/>
    <s v="Critical Risk"/>
  </r>
  <r>
    <s v="ORD6630"/>
    <s v="CUST2630"/>
    <n v="36"/>
    <s v="PROD1830"/>
    <s v="USA"/>
    <s v="1/24/2023"/>
    <s v="12/26/2024"/>
    <n v="3"/>
    <s v="cancelled"/>
    <d v="2025-09-08T00:00:00"/>
    <s v=" $166.35 "/>
    <n v="8"/>
    <n v="43"/>
    <s v="Beauty"/>
    <s v="Cricket Bat"/>
    <s v="Sports"/>
    <x v="1"/>
    <n v="1330.8"/>
    <s v="Misaligned"/>
    <s v="35-49 Gen X"/>
    <s v="High Value Tier"/>
    <s v="Stable"/>
  </r>
  <r>
    <s v="ORD6631"/>
    <s v="CUST2631"/>
    <n v="26"/>
    <s v="PROD1831"/>
    <s v="Pakistan"/>
    <d v="2023-05-05T00:00:00"/>
    <d v="2024-02-10T00:00:00"/>
    <n v="2"/>
    <s v="active"/>
    <d v="2024-04-02T00:00:00"/>
    <s v=" $476.29 "/>
    <n v="4"/>
    <n v="21"/>
    <s v="Home"/>
    <s v="Football"/>
    <s v="Sports"/>
    <x v="1"/>
    <n v="1905.16"/>
    <s v="Misaligned"/>
    <s v="25-34 Millennials"/>
    <s v="High Value Tier"/>
    <s v="Stable"/>
  </r>
  <r>
    <s v="ORD6632"/>
    <s v="CUST2632"/>
    <n v="67"/>
    <s v="PROD1832"/>
    <s v="UK"/>
    <s v="1/14/2021"/>
    <s v="12/30/2022"/>
    <n v="3"/>
    <s v="paused"/>
    <d v="2022-03-09T00:00:00"/>
    <s v=" $498.96 "/>
    <n v="3"/>
    <n v="40"/>
    <s v="Sports"/>
    <s v="Football"/>
    <s v="Sports"/>
    <x v="1"/>
    <n v="1496.88"/>
    <s v="Aligned"/>
    <s v="65+ Seniors"/>
    <s v="High Value Tier"/>
    <s v="Elevated Risk"/>
  </r>
  <r>
    <s v="ORD6633"/>
    <s v="CUST2633"/>
    <n v="61"/>
    <s v="PROD1833"/>
    <s v="Canada"/>
    <s v="1/29/2023"/>
    <s v="5/14/2025"/>
    <n v="0"/>
    <s v="paused"/>
    <s v="7/14/2024"/>
    <s v=" $212.70 "/>
    <n v="4"/>
    <n v="29"/>
    <s v="Electronics"/>
    <s v="Moisturizer"/>
    <s v="Beauty"/>
    <x v="1"/>
    <n v="850.8"/>
    <s v="Misaligned"/>
    <s v="50-64 Boomers"/>
    <s v="High Value Tier"/>
    <s v="Elevated Risk"/>
  </r>
  <r>
    <s v="ORD6634"/>
    <s v="CUST2634"/>
    <n v="22"/>
    <s v="PROD1834"/>
    <s v="Canada"/>
    <s v="6/24/2021"/>
    <s v="6/20/2024"/>
    <n v="1"/>
    <s v="active"/>
    <s v="12/24/2023"/>
    <s v=" $1,839.20 "/>
    <n v="1"/>
    <n v="48"/>
    <s v="Clothing"/>
    <s v="Lipstick"/>
    <s v="Beauty"/>
    <x v="0"/>
    <n v="1839.2"/>
    <s v="Misaligned"/>
    <s v="18-24 Gen Z"/>
    <s v="High Value Tier"/>
    <s v="Stable"/>
  </r>
  <r>
    <s v="ORD6635"/>
    <s v="CUST2635"/>
    <n v="62"/>
    <s v="PROD1835"/>
    <s v="UK"/>
    <d v="2022-05-03T00:00:00"/>
    <d v="2025-09-07T00:00:00"/>
    <n v="1"/>
    <s v="active"/>
    <d v="2024-10-10T00:00:00"/>
    <s v=" $317.92 "/>
    <n v="4"/>
    <n v="23"/>
    <s v="Electronics"/>
    <s v="Running Shoes"/>
    <s v="Sports"/>
    <x v="1"/>
    <n v="1271.68"/>
    <s v="Misaligned"/>
    <s v="50-64 Boomers"/>
    <s v="High Value Tier"/>
    <s v="Stable"/>
  </r>
  <r>
    <s v="ORD6636"/>
    <s v="CUST2636"/>
    <n v="45"/>
    <s v="PROD1836"/>
    <s v="Pakistan"/>
    <s v="3/22/2023"/>
    <s v="8/17/2023"/>
    <n v="1"/>
    <s v="paused"/>
    <s v="10/31/2024"/>
    <s v=" $125.84 "/>
    <n v="9"/>
    <n v="49"/>
    <s v="Electronics"/>
    <s v="Smartwatch"/>
    <s v="Electronics"/>
    <x v="0"/>
    <n v="1132.56"/>
    <s v="Aligned"/>
    <s v="35-49 Gen X"/>
    <s v="High Value Tier"/>
    <s v="Elevated Risk"/>
  </r>
  <r>
    <s v="ORD6637"/>
    <s v="CUST2637"/>
    <n v="59"/>
    <s v="PROD1837"/>
    <s v="India"/>
    <s v="5/20/2023"/>
    <s v="9/16/2023"/>
    <n v="3"/>
    <s v="active"/>
    <d v="2025-08-07T00:00:00"/>
    <s v=" $53.62 "/>
    <n v="8"/>
    <n v="30"/>
    <s v="Home"/>
    <s v="Dining Table"/>
    <s v="Home"/>
    <x v="1"/>
    <n v="428.96"/>
    <s v="Aligned"/>
    <s v="50-64 Boomers"/>
    <s v="High Value Tier"/>
    <s v="Stable"/>
  </r>
  <r>
    <s v="ORD6638"/>
    <s v="CUST2638"/>
    <n v="42"/>
    <s v="PROD1838"/>
    <s v="Germany"/>
    <s v="11/14/2021"/>
    <s v="11/27/2024"/>
    <n v="5"/>
    <s v="active"/>
    <d v="2022-03-06T00:00:00"/>
    <s v=" $223.59 "/>
    <n v="7"/>
    <n v="4"/>
    <s v="Sports"/>
    <s v="Bluetooth Speaker"/>
    <s v="Electronics"/>
    <x v="1"/>
    <n v="1565.13"/>
    <s v="Misaligned"/>
    <s v="35-49 Gen X"/>
    <s v="High Value Tier"/>
    <s v="Critical Risk"/>
  </r>
  <r>
    <s v="ORD6639"/>
    <s v="CUST2639"/>
    <n v="26"/>
    <s v="PROD1839"/>
    <s v="USA"/>
    <s v="6/15/2021"/>
    <d v="2022-10-11T00:00:00"/>
    <n v="0"/>
    <s v="paused"/>
    <s v="4/14/2025"/>
    <s v=" $49.19 "/>
    <n v="3"/>
    <n v="29"/>
    <s v="Home"/>
    <s v="Sofa"/>
    <s v="Home"/>
    <x v="0"/>
    <n v="147.57"/>
    <s v="Aligned"/>
    <s v="25-34 Millennials"/>
    <s v="High Value Tier"/>
    <s v="Elevated Risk"/>
  </r>
  <r>
    <s v="ORD6640"/>
    <s v="CUST2640"/>
    <n v="37"/>
    <s v="PROD1840"/>
    <s v="India"/>
    <d v="2023-09-06T00:00:00"/>
    <s v="4/24/2024"/>
    <n v="2"/>
    <s v="active"/>
    <d v="2023-03-10T00:00:00"/>
    <s v=" $211.00 "/>
    <n v="7"/>
    <n v="15"/>
    <s v="Sports"/>
    <s v="Shampoo"/>
    <s v="Beauty"/>
    <x v="0"/>
    <n v="1477"/>
    <s v="Misaligned"/>
    <s v="35-49 Gen X"/>
    <s v="High Value Tier"/>
    <s v="Stable"/>
  </r>
  <r>
    <s v="ORD6641"/>
    <s v="CUST2641"/>
    <n v="36"/>
    <s v="PROD1841"/>
    <s v="Germany"/>
    <s v="8/21/2021"/>
    <s v="9/23/2022"/>
    <n v="0"/>
    <s v="active"/>
    <d v="2024-03-01T00:00:00"/>
    <s v=" $905.81 "/>
    <n v="2"/>
    <n v="46"/>
    <s v="Beauty"/>
    <s v="Headphones"/>
    <s v="Electronics"/>
    <x v="1"/>
    <n v="1811.62"/>
    <s v="Misaligned"/>
    <s v="35-49 Gen X"/>
    <s v="High Value Tier"/>
    <s v="Stable"/>
  </r>
  <r>
    <s v="ORD6642"/>
    <s v="CUST2642"/>
    <n v="60"/>
    <s v="PROD1842"/>
    <s v="Germany"/>
    <d v="2023-06-05T00:00:00"/>
    <d v="2023-06-06T00:00:00"/>
    <n v="5"/>
    <s v="active"/>
    <d v="2025-02-04T00:00:00"/>
    <s v=" $97.72 "/>
    <n v="8"/>
    <n v="2"/>
    <s v="Clothing"/>
    <s v="Skirt"/>
    <s v="Clothing"/>
    <x v="0"/>
    <n v="781.76"/>
    <s v="Aligned"/>
    <s v="50-64 Boomers"/>
    <s v="Core Tier"/>
    <s v="Critical Risk"/>
  </r>
  <r>
    <s v="ORD6643"/>
    <s v="CUST2643"/>
    <n v="34"/>
    <s v="PROD1843"/>
    <s v="India"/>
    <d v="2021-09-10T00:00:00"/>
    <s v="2/28/2022"/>
    <n v="1"/>
    <s v="cancelled"/>
    <d v="2025-10-06T00:00:00"/>
    <s v=" $410.74 "/>
    <n v="3"/>
    <n v="39"/>
    <s v="Home"/>
    <s v="Smartphone"/>
    <s v="Electronics"/>
    <x v="1"/>
    <n v="1232.22"/>
    <s v="Misaligned"/>
    <s v="25-34 Millennials"/>
    <s v="High Value Tier"/>
    <s v="Stable"/>
  </r>
  <r>
    <s v="ORD6644"/>
    <s v="CUST2644"/>
    <n v="43"/>
    <s v="PROD1844"/>
    <s v="Canada"/>
    <s v="10/20/2022"/>
    <s v="7/21/2024"/>
    <n v="0"/>
    <s v="active"/>
    <s v="7/25/2023"/>
    <s v=" $91.62 "/>
    <n v="6"/>
    <n v="9"/>
    <s v="Sports"/>
    <s v="Hoodie"/>
    <s v="Clothing"/>
    <x v="0"/>
    <n v="549.72"/>
    <s v="Misaligned"/>
    <s v="35-49 Gen X"/>
    <s v="High Value Tier"/>
    <s v="Stable"/>
  </r>
  <r>
    <s v="ORD6645"/>
    <s v="CUST2645"/>
    <n v="55"/>
    <s v="PROD1845"/>
    <s v="India"/>
    <d v="2022-04-08T00:00:00"/>
    <d v="2024-11-06T00:00:00"/>
    <n v="2"/>
    <s v="cancelled"/>
    <s v="5/16/2023"/>
    <s v=" $173.84 "/>
    <n v="5"/>
    <n v="46"/>
    <s v="Home"/>
    <s v="Laptop"/>
    <s v="Electronics"/>
    <x v="0"/>
    <n v="869.2"/>
    <s v="Misaligned"/>
    <s v="50-64 Boomers"/>
    <s v="High Value Tier"/>
    <s v="Stable"/>
  </r>
  <r>
    <s v="ORD6646"/>
    <s v="CUST2646"/>
    <n v="33"/>
    <s v="PROD1846"/>
    <s v="UK"/>
    <s v="1/28/2021"/>
    <d v="2025-07-05T00:00:00"/>
    <n v="5"/>
    <s v="active"/>
    <s v="7/22/2021"/>
    <s v=" $255.81 "/>
    <n v="6"/>
    <n v="35"/>
    <s v="Electronics"/>
    <s v="Yoga Mat"/>
    <s v="Sports"/>
    <x v="0"/>
    <n v="1534.86"/>
    <s v="Misaligned"/>
    <s v="25-34 Millennials"/>
    <s v="High Value Tier"/>
    <s v="Critical Risk"/>
  </r>
  <r>
    <s v="ORD6647"/>
    <s v="CUST2647"/>
    <n v="40"/>
    <s v="PROD1847"/>
    <s v="Pakistan"/>
    <d v="2022-12-07T00:00:00"/>
    <s v="11/16/2023"/>
    <n v="2"/>
    <s v="cancelled"/>
    <s v="4/14/2024"/>
    <s v=" $358.63 "/>
    <n v="2"/>
    <n v="6"/>
    <s v="Clothing"/>
    <s v="Nail Polish"/>
    <s v="Beauty"/>
    <x v="1"/>
    <n v="717.26"/>
    <s v="Misaligned"/>
    <s v="35-49 Gen X"/>
    <s v="High Value Tier"/>
    <s v="Stable"/>
  </r>
  <r>
    <s v="ORD6648"/>
    <s v="CUST2648"/>
    <n v="47"/>
    <s v="PROD1848"/>
    <s v="Germany"/>
    <d v="2022-12-11T00:00:00"/>
    <d v="2023-11-12T00:00:00"/>
    <n v="2"/>
    <s v="paused"/>
    <s v="7/25/2023"/>
    <s v=" $12.28 "/>
    <n v="4"/>
    <n v="35"/>
    <s v="Clothing"/>
    <s v="Yoga Mat"/>
    <s v="Sports"/>
    <x v="0"/>
    <n v="49.12"/>
    <s v="Misaligned"/>
    <s v="35-49 Gen X"/>
    <s v="Core Tier"/>
    <s v="Elevated Risk"/>
  </r>
  <r>
    <s v="ORD6649"/>
    <s v="CUST2649"/>
    <n v="54"/>
    <s v="PROD1849"/>
    <s v="India"/>
    <s v="4/30/2021"/>
    <s v="9/24/2021"/>
    <n v="4"/>
    <s v="active"/>
    <d v="2025-08-02T00:00:00"/>
    <s v=" $112.04 "/>
    <n v="8"/>
    <n v="29"/>
    <s v="Clothing"/>
    <s v="Skirt"/>
    <s v="Clothing"/>
    <x v="1"/>
    <n v="896.32"/>
    <s v="Aligned"/>
    <s v="50-64 Boomers"/>
    <s v="High Value Tier"/>
    <s v="Critical Risk"/>
  </r>
  <r>
    <s v="ORD6650"/>
    <s v="CUST2650"/>
    <n v="36"/>
    <s v="PROD1850"/>
    <s v="UK"/>
    <d v="2023-01-04T00:00:00"/>
    <d v="2024-12-10T00:00:00"/>
    <n v="0"/>
    <s v="paused"/>
    <d v="2024-10-08T00:00:00"/>
    <s v=" $1,885.06 "/>
    <n v="1"/>
    <n v="33"/>
    <s v="Electronics"/>
    <s v="Camera"/>
    <s v="Electronics"/>
    <x v="0"/>
    <n v="1885.06"/>
    <s v="Aligned"/>
    <s v="35-49 Gen X"/>
    <s v="High Value Tier"/>
    <s v="Elevated Risk"/>
  </r>
  <r>
    <s v="ORD6651"/>
    <s v="CUST2651"/>
    <n v="26"/>
    <s v="PROD1851"/>
    <s v="Pakistan"/>
    <s v="12/17/2020"/>
    <s v="1/18/2022"/>
    <n v="3"/>
    <s v="paused"/>
    <s v="7/27/2024"/>
    <s v=" $714.40 "/>
    <n v="2"/>
    <n v="30"/>
    <s v="Electronics"/>
    <s v="Sofa"/>
    <s v="Home"/>
    <x v="1"/>
    <n v="1428.8"/>
    <s v="Misaligned"/>
    <s v="25-34 Millennials"/>
    <s v="High Value Tier"/>
    <s v="Elevated Risk"/>
  </r>
  <r>
    <s v="ORD6652"/>
    <s v="CUST2652"/>
    <n v="21"/>
    <s v="PROD1852"/>
    <s v="India"/>
    <s v="6/18/2021"/>
    <d v="2022-01-09T00:00:00"/>
    <n v="2"/>
    <s v="active"/>
    <s v="2/17/2023"/>
    <s v=" $277.69 "/>
    <n v="6"/>
    <n v="10"/>
    <s v="Electronics"/>
    <s v="Sneakers"/>
    <s v="Clothing"/>
    <x v="0"/>
    <n v="1666.14"/>
    <s v="Misaligned"/>
    <s v="18-24 Gen Z"/>
    <s v="High Value Tier"/>
    <s v="Stable"/>
  </r>
  <r>
    <s v="ORD6653"/>
    <s v="CUST2653"/>
    <n v="62"/>
    <s v="PROD1853"/>
    <s v="Pakistan"/>
    <d v="2020-06-10T00:00:00"/>
    <d v="2023-09-05T00:00:00"/>
    <n v="5"/>
    <s v="cancelled"/>
    <s v="2/24/2024"/>
    <s v=" $108.33 "/>
    <n v="8"/>
    <n v="33"/>
    <s v="Electronics"/>
    <s v="Laptop"/>
    <s v="Electronics"/>
    <x v="1"/>
    <n v="866.64"/>
    <s v="Aligned"/>
    <s v="50-64 Boomers"/>
    <s v="High Value Tier"/>
    <s v="Stable"/>
  </r>
  <r>
    <s v="ORD6654"/>
    <s v="CUST2654"/>
    <n v="55"/>
    <s v="PROD1854"/>
    <s v="Germany"/>
    <d v="2021-01-01T00:00:00"/>
    <d v="2021-07-10T00:00:00"/>
    <n v="5"/>
    <s v="paused"/>
    <d v="2023-01-01T00:00:00"/>
    <s v=" $1,831.40 "/>
    <n v="1"/>
    <n v="4"/>
    <s v="Sports"/>
    <s v="Headphones"/>
    <s v="Electronics"/>
    <x v="0"/>
    <n v="1831.4"/>
    <s v="Misaligned"/>
    <s v="50-64 Boomers"/>
    <s v="High Value Tier"/>
    <s v="Elevated Risk"/>
  </r>
  <r>
    <s v="ORD6655"/>
    <s v="CUST2655"/>
    <n v="42"/>
    <s v="PROD1855"/>
    <s v="Germany"/>
    <d v="2021-10-01T00:00:00"/>
    <s v="5/29/2021"/>
    <n v="2"/>
    <s v="cancelled"/>
    <d v="2021-01-12T00:00:00"/>
    <s v=" $524.46 "/>
    <n v="1"/>
    <n v="12"/>
    <s v="Beauty"/>
    <s v="Nail Polish"/>
    <s v="Beauty"/>
    <x v="0"/>
    <n v="524.46"/>
    <s v="Aligned"/>
    <s v="35-49 Gen X"/>
    <s v="High Value Tier"/>
    <s v="Stable"/>
  </r>
  <r>
    <s v="ORD6656"/>
    <s v="CUST2656"/>
    <n v="35"/>
    <s v="PROD1856"/>
    <s v="Canada"/>
    <s v="8/28/2022"/>
    <d v="2025-05-05T00:00:00"/>
    <n v="5"/>
    <s v="active"/>
    <d v="2024-05-07T00:00:00"/>
    <s v=" $351.58 "/>
    <n v="3"/>
    <n v="13"/>
    <s v="Sports"/>
    <s v="Shampoo"/>
    <s v="Beauty"/>
    <x v="1"/>
    <n v="1054.74"/>
    <s v="Misaligned"/>
    <s v="35-49 Gen X"/>
    <s v="High Value Tier"/>
    <s v="Critical Risk"/>
  </r>
  <r>
    <s v="ORD6657"/>
    <s v="CUST2657"/>
    <n v="69"/>
    <s v="PROD1857"/>
    <s v="India"/>
    <s v="8/20/2020"/>
    <s v="8/20/2025"/>
    <n v="5"/>
    <s v="active"/>
    <s v="6/17/2022"/>
    <s v=" $79.30 "/>
    <n v="9"/>
    <n v="34"/>
    <s v="Electronics"/>
    <s v="Hoodie"/>
    <s v="Clothing"/>
    <x v="2"/>
    <n v="713.7"/>
    <s v="Misaligned"/>
    <s v="65+ Seniors"/>
    <s v="High Value Tier"/>
    <s v="Critical Risk"/>
  </r>
  <r>
    <s v="ORD6658"/>
    <s v="CUST2658"/>
    <n v="42"/>
    <s v="PROD1858"/>
    <s v="UK"/>
    <d v="2021-05-02T00:00:00"/>
    <s v="3/19/2025"/>
    <n v="0"/>
    <s v="active"/>
    <d v="2024-01-10T00:00:00"/>
    <s v=" $428.49 "/>
    <n v="3"/>
    <n v="38"/>
    <s v="Beauty"/>
    <s v="Bluetooth Speaker"/>
    <s v="Electronics"/>
    <x v="1"/>
    <n v="1285.47"/>
    <s v="Misaligned"/>
    <s v="35-49 Gen X"/>
    <s v="High Value Tier"/>
    <s v="Stable"/>
  </r>
  <r>
    <s v="ORD6659"/>
    <s v="CUST2659"/>
    <n v="34"/>
    <s v="PROD1859"/>
    <s v="India"/>
    <d v="2021-02-03T00:00:00"/>
    <s v="1/17/2023"/>
    <n v="2"/>
    <s v="active"/>
    <s v="5/14/2025"/>
    <s v=" $63.22 "/>
    <n v="5"/>
    <n v="15"/>
    <s v="Beauty"/>
    <s v="Sofa"/>
    <s v="Home"/>
    <x v="1"/>
    <n v="316.10000000000002"/>
    <s v="Misaligned"/>
    <s v="25-34 Millennials"/>
    <s v="High Value Tier"/>
    <s v="Stable"/>
  </r>
  <r>
    <s v="ORD6660"/>
    <s v="CUST2660"/>
    <n v="39"/>
    <s v="PROD1860"/>
    <s v="Germany"/>
    <s v="4/28/2021"/>
    <d v="2022-02-10T00:00:00"/>
    <n v="0"/>
    <s v="paused"/>
    <d v="2025-04-07T00:00:00"/>
    <s v=" $137.12 "/>
    <n v="8"/>
    <n v="20"/>
    <s v="Clothing"/>
    <s v="Perfume"/>
    <s v="Beauty"/>
    <x v="1"/>
    <n v="1096.96"/>
    <s v="Misaligned"/>
    <s v="35-49 Gen X"/>
    <s v="High Value Tier"/>
    <s v="Elevated Risk"/>
  </r>
  <r>
    <s v="ORD6661"/>
    <s v="CUST2661"/>
    <n v="21"/>
    <s v="PROD1861"/>
    <s v="USA"/>
    <d v="2021-04-01T00:00:00"/>
    <d v="2023-07-12T00:00:00"/>
    <n v="1"/>
    <s v="active"/>
    <s v="4/23/2022"/>
    <s v=" $209.09 "/>
    <n v="3"/>
    <n v="16"/>
    <s v="Clothing"/>
    <s v="Football"/>
    <s v="Sports"/>
    <x v="1"/>
    <n v="627.27"/>
    <s v="Misaligned"/>
    <s v="18-24 Gen Z"/>
    <s v="High Value Tier"/>
    <s v="Stable"/>
  </r>
  <r>
    <s v="ORD6662"/>
    <s v="CUST2662"/>
    <n v="55"/>
    <s v="PROD1862"/>
    <s v="Germany"/>
    <d v="2022-06-07T00:00:00"/>
    <s v="11/25/2024"/>
    <n v="4"/>
    <s v="active"/>
    <d v="2022-08-11T00:00:00"/>
    <s v=" $294.64 "/>
    <n v="4"/>
    <n v="22"/>
    <s v="Home"/>
    <s v="Camera"/>
    <s v="Electronics"/>
    <x v="0"/>
    <n v="1178.56"/>
    <s v="Misaligned"/>
    <s v="50-64 Boomers"/>
    <s v="High Value Tier"/>
    <s v="Critical Risk"/>
  </r>
  <r>
    <s v="ORD6663"/>
    <s v="CUST2663"/>
    <n v="51"/>
    <s v="PROD1863"/>
    <s v="Pakistan"/>
    <s v="11/26/2022"/>
    <d v="2024-12-05T00:00:00"/>
    <n v="5"/>
    <s v="active"/>
    <s v="1/19/2024"/>
    <s v=" $147.02 "/>
    <n v="5"/>
    <n v="31"/>
    <s v="Clothing"/>
    <s v="Skirt"/>
    <s v="Clothing"/>
    <x v="0"/>
    <n v="735.1"/>
    <s v="Aligned"/>
    <s v="50-64 Boomers"/>
    <s v="High Value Tier"/>
    <s v="Critical Risk"/>
  </r>
  <r>
    <s v="ORD6664"/>
    <s v="CUST2664"/>
    <n v="64"/>
    <s v="PROD1864"/>
    <s v="Pakistan"/>
    <d v="2021-06-08T00:00:00"/>
    <d v="2023-11-09T00:00:00"/>
    <n v="5"/>
    <s v="cancelled"/>
    <s v="4/26/2024"/>
    <s v=" $327.61 "/>
    <n v="6"/>
    <n v="19"/>
    <s v="Clothing"/>
    <s v="Cycling Helmet"/>
    <s v="Sports"/>
    <x v="1"/>
    <n v="1965.66"/>
    <s v="Misaligned"/>
    <s v="50-64 Boomers"/>
    <s v="High Value Tier"/>
    <s v="Stable"/>
  </r>
  <r>
    <s v="ORD6665"/>
    <s v="CUST2665"/>
    <n v="64"/>
    <s v="PROD1865"/>
    <s v="USA"/>
    <d v="2021-07-10T00:00:00"/>
    <d v="2024-05-08T00:00:00"/>
    <n v="3"/>
    <s v="paused"/>
    <s v="1/17/2023"/>
    <s v=" $823.69 "/>
    <n v="2"/>
    <n v="2"/>
    <s v="Home"/>
    <s v="Bluetooth Speaker"/>
    <s v="Electronics"/>
    <x v="1"/>
    <n v="1647.38"/>
    <s v="Misaligned"/>
    <s v="50-64 Boomers"/>
    <s v="High Value Tier"/>
    <s v="Elevated Risk"/>
  </r>
  <r>
    <s v="ORD6666"/>
    <s v="CUST2666"/>
    <n v="66"/>
    <s v="PROD1866"/>
    <s v="USA"/>
    <d v="2023-07-07T00:00:00"/>
    <s v="2/25/2024"/>
    <n v="2"/>
    <s v="active"/>
    <d v="2024-02-07T00:00:00"/>
    <s v=" $20.04 "/>
    <n v="7"/>
    <n v="8"/>
    <s v="Clothing"/>
    <s v="Skirt"/>
    <s v="Clothing"/>
    <x v="0"/>
    <n v="140.28"/>
    <s v="Aligned"/>
    <s v="65+ Seniors"/>
    <s v="Core Tier"/>
    <s v="Stable"/>
  </r>
  <r>
    <s v="ORD6667"/>
    <s v="CUST2667"/>
    <n v="32"/>
    <s v="PROD1867"/>
    <s v="Canada"/>
    <d v="2023-10-06T00:00:00"/>
    <d v="2025-08-06T00:00:00"/>
    <n v="4"/>
    <s v="cancelled"/>
    <d v="2023-07-07T00:00:00"/>
    <s v=" $175.23 "/>
    <n v="9"/>
    <n v="22"/>
    <s v="Clothing"/>
    <s v="Hoodie"/>
    <s v="Clothing"/>
    <x v="0"/>
    <n v="1577.07"/>
    <s v="Aligned"/>
    <s v="25-34 Millennials"/>
    <s v="High Value Tier"/>
    <s v="Stable"/>
  </r>
  <r>
    <s v="ORD6668"/>
    <s v="CUST2668"/>
    <n v="55"/>
    <s v="PROD1868"/>
    <s v="Germany"/>
    <d v="2021-01-01T00:00:00"/>
    <d v="2024-12-02T00:00:00"/>
    <n v="5"/>
    <s v="active"/>
    <s v="10/23/2022"/>
    <s v=" $330.08 "/>
    <n v="5"/>
    <n v="34"/>
    <s v="Electronics"/>
    <s v="Chair"/>
    <s v="Home"/>
    <x v="1"/>
    <n v="1650.4"/>
    <s v="Misaligned"/>
    <s v="50-64 Boomers"/>
    <s v="High Value Tier"/>
    <s v="Critical Risk"/>
  </r>
  <r>
    <s v="ORD6669"/>
    <s v="CUST2669"/>
    <n v="59"/>
    <s v="PROD1869"/>
    <s v="USA"/>
    <d v="2023-07-04T00:00:00"/>
    <d v="2023-02-07T00:00:00"/>
    <n v="5"/>
    <s v="paused"/>
    <s v="6/21/2025"/>
    <s v=" $240.04 "/>
    <n v="2"/>
    <n v="36"/>
    <s v="Home"/>
    <s v="Camera"/>
    <s v="Electronics"/>
    <x v="1"/>
    <n v="480.08"/>
    <s v="Misaligned"/>
    <s v="50-64 Boomers"/>
    <s v="High Value Tier"/>
    <s v="Elevated Risk"/>
  </r>
  <r>
    <s v="ORD6670"/>
    <s v="CUST2670"/>
    <n v="24"/>
    <s v="PROD1870"/>
    <s v="Pakistan"/>
    <s v="5/14/2021"/>
    <d v="2022-04-12T00:00:00"/>
    <n v="0"/>
    <s v="active"/>
    <s v="5/18/2024"/>
    <s v=" $3.68 "/>
    <n v="9"/>
    <n v="47"/>
    <s v="Home"/>
    <s v="Headphones"/>
    <s v="Electronics"/>
    <x v="0"/>
    <n v="33.119999999999997"/>
    <s v="Misaligned"/>
    <s v="18-24 Gen Z"/>
    <s v="Core Tier"/>
    <s v="Stable"/>
  </r>
  <r>
    <s v="ORD6671"/>
    <s v="CUST2671"/>
    <n v="66"/>
    <s v="PROD1871"/>
    <s v="Canada"/>
    <s v="8/28/2020"/>
    <s v="1/19/2022"/>
    <n v="3"/>
    <s v="active"/>
    <d v="2023-10-08T00:00:00"/>
    <s v=" $323.89 "/>
    <n v="2"/>
    <n v="37"/>
    <s v="Home"/>
    <s v="Lipstick"/>
    <s v="Beauty"/>
    <x v="0"/>
    <n v="647.78"/>
    <s v="Misaligned"/>
    <s v="65+ Seniors"/>
    <s v="High Value Tier"/>
    <s v="Stable"/>
  </r>
  <r>
    <s v="ORD6672"/>
    <s v="CUST2672"/>
    <n v="48"/>
    <s v="PROD1872"/>
    <s v="Germany"/>
    <s v="8/13/2023"/>
    <d v="2025-12-06T00:00:00"/>
    <n v="4"/>
    <s v="cancelled"/>
    <s v="7/18/2025"/>
    <s v=" $29.26 "/>
    <n v="9"/>
    <n v="34"/>
    <s v="Electronics"/>
    <s v="Face Wash"/>
    <s v="Beauty"/>
    <x v="0"/>
    <n v="263.33999999999997"/>
    <s v="Misaligned"/>
    <s v="35-49 Gen X"/>
    <s v="High Value Tier"/>
    <s v="Stable"/>
  </r>
  <r>
    <s v="ORD6673"/>
    <s v="CUST2673"/>
    <n v="22"/>
    <s v="PROD1873"/>
    <s v="Pakistan"/>
    <d v="2022-06-07T00:00:00"/>
    <s v="2/23/2024"/>
    <n v="3"/>
    <s v="paused"/>
    <d v="2024-03-08T00:00:00"/>
    <s v=" $119.12 "/>
    <n v="5"/>
    <n v="2"/>
    <s v="Clothing"/>
    <s v="Lipstick"/>
    <s v="Beauty"/>
    <x v="0"/>
    <n v="595.6"/>
    <s v="Misaligned"/>
    <s v="18-24 Gen Z"/>
    <s v="Core Tier"/>
    <s v="Elevated Risk"/>
  </r>
  <r>
    <s v="ORD6674"/>
    <s v="CUST2674"/>
    <n v="66"/>
    <s v="PROD1874"/>
    <s v="UK"/>
    <s v="11/14/2021"/>
    <s v="4/23/2023"/>
    <n v="5"/>
    <s v="active"/>
    <s v="3/31/2023"/>
    <s v=" $156.26 "/>
    <n v="8"/>
    <n v="42"/>
    <s v="Home"/>
    <s v="Laptop"/>
    <s v="Electronics"/>
    <x v="1"/>
    <n v="1250.08"/>
    <s v="Misaligned"/>
    <s v="65+ Seniors"/>
    <s v="High Value Tier"/>
    <s v="Critical Risk"/>
  </r>
  <r>
    <s v="ORD6675"/>
    <s v="CUST2675"/>
    <n v="28"/>
    <s v="PROD1875"/>
    <s v="UK"/>
    <d v="2021-02-10T00:00:00"/>
    <s v="10/26/2024"/>
    <n v="4"/>
    <s v="paused"/>
    <s v="7/29/2024"/>
    <s v=" $135.47 "/>
    <n v="6"/>
    <n v="3"/>
    <s v="Electronics"/>
    <s v="Gaming Console"/>
    <s v="Electronics"/>
    <x v="1"/>
    <n v="812.82"/>
    <s v="Aligned"/>
    <s v="25-34 Millennials"/>
    <s v="Core Tier"/>
    <s v="Elevated Risk"/>
  </r>
  <r>
    <s v="ORD6676"/>
    <s v="CUST2676"/>
    <n v="48"/>
    <s v="PROD1876"/>
    <s v="Canada"/>
    <d v="2020-04-11T00:00:00"/>
    <s v="2/24/2024"/>
    <n v="3"/>
    <s v="active"/>
    <d v="2021-05-07T00:00:00"/>
    <s v=" $814.81 "/>
    <n v="2"/>
    <n v="25"/>
    <s v="Beauty"/>
    <s v="T-Shirt"/>
    <s v="Clothing"/>
    <x v="1"/>
    <n v="1629.62"/>
    <s v="Misaligned"/>
    <s v="35-49 Gen X"/>
    <s v="High Value Tier"/>
    <s v="Stable"/>
  </r>
  <r>
    <s v="ORD6677"/>
    <s v="CUST2677"/>
    <n v="35"/>
    <s v="PROD1877"/>
    <s v="India"/>
    <s v="10/15/2020"/>
    <d v="2023-09-05T00:00:00"/>
    <n v="0"/>
    <s v="active"/>
    <s v="3/24/2024"/>
    <s v=" $403.86 "/>
    <n v="2"/>
    <n v="43"/>
    <s v="Beauty"/>
    <s v="Headphones"/>
    <s v="Electronics"/>
    <x v="0"/>
    <n v="807.72"/>
    <s v="Misaligned"/>
    <s v="35-49 Gen X"/>
    <s v="High Value Tier"/>
    <s v="Stable"/>
  </r>
  <r>
    <s v="ORD6678"/>
    <s v="CUST2678"/>
    <n v="27"/>
    <s v="PROD1878"/>
    <s v="USA"/>
    <d v="2021-11-06T00:00:00"/>
    <s v="1/20/2024"/>
    <n v="0"/>
    <s v="active"/>
    <s v="3/25/2023"/>
    <s v=" $163.55 "/>
    <n v="6"/>
    <n v="48"/>
    <s v="Electronics"/>
    <s v="Foundation"/>
    <s v="Beauty"/>
    <x v="0"/>
    <n v="981.3"/>
    <s v="Misaligned"/>
    <s v="25-34 Millennials"/>
    <s v="High Value Tier"/>
    <s v="Stable"/>
  </r>
  <r>
    <s v="ORD6679"/>
    <s v="CUST2679"/>
    <n v="24"/>
    <s v="PROD1879"/>
    <s v="Germany"/>
    <s v="10/20/2021"/>
    <s v="7/24/2023"/>
    <n v="2"/>
    <s v="paused"/>
    <d v="2024-12-05T00:00:00"/>
    <s v=" $75.07 "/>
    <n v="5"/>
    <n v="32"/>
    <s v="Electronics"/>
    <s v="T-Shirt"/>
    <s v="Clothing"/>
    <x v="0"/>
    <n v="375.35"/>
    <s v="Misaligned"/>
    <s v="18-24 Gen Z"/>
    <s v="High Value Tier"/>
    <s v="Elevated Risk"/>
  </r>
  <r>
    <s v="ORD6680"/>
    <s v="CUST2680"/>
    <n v="69"/>
    <s v="PROD1880"/>
    <s v="Pakistan"/>
    <d v="2022-12-02T00:00:00"/>
    <d v="2022-09-04T00:00:00"/>
    <n v="0"/>
    <s v="active"/>
    <s v="10/16/2023"/>
    <s v=" $118.64 "/>
    <n v="8"/>
    <n v="1"/>
    <s v="Clothing"/>
    <s v="Headphones"/>
    <s v="Electronics"/>
    <x v="0"/>
    <n v="949.12"/>
    <s v="Misaligned"/>
    <s v="65+ Seniors"/>
    <s v="Core Tier"/>
    <s v="Stable"/>
  </r>
  <r>
    <s v="ORD6681"/>
    <s v="CUST2681"/>
    <n v="65"/>
    <s v="PROD1881"/>
    <s v="UK"/>
    <d v="2021-01-06T00:00:00"/>
    <s v="6/25/2021"/>
    <n v="4"/>
    <s v="active"/>
    <d v="2021-10-11T00:00:00"/>
    <s v=" $53.37 "/>
    <n v="7"/>
    <n v="34"/>
    <s v="Beauty"/>
    <s v="Microwave"/>
    <s v="Home"/>
    <x v="0"/>
    <n v="373.59"/>
    <s v="Misaligned"/>
    <s v="65+ Seniors"/>
    <s v="High Value Tier"/>
    <s v="Critical Risk"/>
  </r>
  <r>
    <s v="ORD6682"/>
    <s v="CUST2682"/>
    <n v="65"/>
    <s v="PROD1882"/>
    <s v="UK"/>
    <d v="2023-01-03T00:00:00"/>
    <d v="2024-05-04T00:00:00"/>
    <n v="3"/>
    <s v="active"/>
    <d v="2024-09-12T00:00:00"/>
    <s v=" $101.28 "/>
    <n v="6"/>
    <n v="38"/>
    <s v="Clothing"/>
    <s v="Cycling Helmet"/>
    <s v="Sports"/>
    <x v="0"/>
    <n v="607.67999999999995"/>
    <s v="Misaligned"/>
    <s v="65+ Seniors"/>
    <s v="High Value Tier"/>
    <s v="Stable"/>
  </r>
  <r>
    <s v="ORD6683"/>
    <s v="CUST2683"/>
    <n v="55"/>
    <s v="PROD1883"/>
    <s v="USA"/>
    <d v="2023-05-02T00:00:00"/>
    <s v="4/21/2025"/>
    <n v="4"/>
    <s v="active"/>
    <s v="4/18/2024"/>
    <s v=" $86.01 "/>
    <n v="5"/>
    <n v="48"/>
    <s v="Home"/>
    <s v="Laptop"/>
    <s v="Electronics"/>
    <x v="1"/>
    <n v="430.05"/>
    <s v="Misaligned"/>
    <s v="50-64 Boomers"/>
    <s v="High Value Tier"/>
    <s v="Critical Risk"/>
  </r>
  <r>
    <s v="ORD6684"/>
    <s v="CUST2684"/>
    <n v="26"/>
    <s v="PROD1884"/>
    <s v="India"/>
    <s v="12/23/2022"/>
    <s v="11/26/2024"/>
    <n v="3"/>
    <s v="active"/>
    <d v="2024-09-01T00:00:00"/>
    <s v=" $306.85 "/>
    <n v="5"/>
    <n v="11"/>
    <s v="Home"/>
    <s v="Microwave"/>
    <s v="Home"/>
    <x v="1"/>
    <n v="1534.25"/>
    <s v="Aligned"/>
    <s v="25-34 Millennials"/>
    <s v="High Value Tier"/>
    <s v="Stable"/>
  </r>
  <r>
    <s v="ORD6685"/>
    <s v="CUST2685"/>
    <n v="20"/>
    <s v="PROD1885"/>
    <s v="Canada"/>
    <s v="10/13/2021"/>
    <s v="6/18/2025"/>
    <n v="1"/>
    <s v="active"/>
    <s v="5/18/2022"/>
    <s v=" $177.19 "/>
    <n v="3"/>
    <n v="27"/>
    <s v="Beauty"/>
    <s v="Bluetooth Speaker"/>
    <s v="Electronics"/>
    <x v="2"/>
    <n v="531.57000000000005"/>
    <s v="Misaligned"/>
    <s v="18-24 Gen Z"/>
    <s v="High Value Tier"/>
    <s v="Stable"/>
  </r>
  <r>
    <s v="ORD6686"/>
    <s v="CUST2686"/>
    <n v="51"/>
    <s v="PROD1886"/>
    <s v="Pakistan"/>
    <s v="3/14/2021"/>
    <d v="2023-07-08T00:00:00"/>
    <n v="0"/>
    <s v="cancelled"/>
    <s v="9/17/2023"/>
    <s v=" $1,804.28 "/>
    <n v="1"/>
    <n v="32"/>
    <s v="Home"/>
    <s v="Jacket"/>
    <s v="Clothing"/>
    <x v="0"/>
    <n v="1804.28"/>
    <s v="Misaligned"/>
    <s v="50-64 Boomers"/>
    <s v="High Value Tier"/>
    <s v="Stable"/>
  </r>
  <r>
    <s v="ORD6687"/>
    <s v="CUST2687"/>
    <n v="35"/>
    <s v="PROD1887"/>
    <s v="UK"/>
    <s v="2/24/2023"/>
    <s v="3/15/2025"/>
    <n v="0"/>
    <s v="paused"/>
    <d v="2025-02-05T00:00:00"/>
    <s v=" $25.63 "/>
    <n v="4"/>
    <n v="2"/>
    <s v="Electronics"/>
    <s v="Sofa"/>
    <s v="Home"/>
    <x v="1"/>
    <n v="102.52"/>
    <s v="Misaligned"/>
    <s v="35-49 Gen X"/>
    <s v="Value Tier"/>
    <s v="Elevated Risk"/>
  </r>
  <r>
    <s v="ORD6688"/>
    <s v="CUST2688"/>
    <n v="58"/>
    <s v="PROD1888"/>
    <s v="USA"/>
    <s v="5/23/2021"/>
    <d v="2021-10-08T00:00:00"/>
    <n v="2"/>
    <s v="active"/>
    <s v="9/20/2024"/>
    <s v=" $18.20 "/>
    <n v="6"/>
    <n v="23"/>
    <s v="Sports"/>
    <s v="Jacket"/>
    <s v="Clothing"/>
    <x v="1"/>
    <n v="109.2"/>
    <s v="Misaligned"/>
    <s v="50-64 Boomers"/>
    <s v="High Value Tier"/>
    <s v="Stable"/>
  </r>
  <r>
    <s v="ORD6689"/>
    <s v="CUST2689"/>
    <n v="50"/>
    <s v="PROD1889"/>
    <s v="USA"/>
    <s v="8/27/2020"/>
    <s v="3/19/2024"/>
    <n v="4"/>
    <s v="active"/>
    <d v="2023-06-04T00:00:00"/>
    <s v=" $200.74 "/>
    <n v="5"/>
    <n v="38"/>
    <s v="Sports"/>
    <s v="Tablet"/>
    <s v="Electronics"/>
    <x v="0"/>
    <n v="1003.7"/>
    <s v="Misaligned"/>
    <s v="50-64 Boomers"/>
    <s v="High Value Tier"/>
    <s v="Critical Risk"/>
  </r>
  <r>
    <s v="ORD6690"/>
    <s v="CUST2690"/>
    <n v="42"/>
    <s v="PROD1890"/>
    <s v="Canada"/>
    <s v="3/29/2021"/>
    <s v="8/20/2025"/>
    <n v="0"/>
    <s v="active"/>
    <s v="4/28/2025"/>
    <s v=" $301.07 "/>
    <n v="6"/>
    <n v="46"/>
    <s v="Beauty"/>
    <s v="Lamp"/>
    <s v="Home"/>
    <x v="0"/>
    <n v="1806.42"/>
    <s v="Misaligned"/>
    <s v="35-49 Gen X"/>
    <s v="High Value Tier"/>
    <s v="Stable"/>
  </r>
  <r>
    <s v="ORD6691"/>
    <s v="CUST2691"/>
    <n v="21"/>
    <s v="PROD1891"/>
    <s v="USA"/>
    <d v="2023-04-05T00:00:00"/>
    <s v="6/15/2023"/>
    <n v="0"/>
    <s v="active"/>
    <d v="2025-06-07T00:00:00"/>
    <s v=" $383.59 "/>
    <n v="3"/>
    <n v="33"/>
    <s v="Beauty"/>
    <s v="Yoga Mat"/>
    <s v="Sports"/>
    <x v="1"/>
    <n v="1150.77"/>
    <s v="Misaligned"/>
    <s v="18-24 Gen Z"/>
    <s v="High Value Tier"/>
    <s v="Stable"/>
  </r>
  <r>
    <s v="ORD6692"/>
    <s v="CUST2692"/>
    <n v="46"/>
    <s v="PROD1892"/>
    <s v="UK"/>
    <s v="2/21/2023"/>
    <s v="5/22/2024"/>
    <n v="4"/>
    <s v="cancelled"/>
    <d v="2025-06-07T00:00:00"/>
    <s v=" $159.88 "/>
    <n v="5"/>
    <n v="31"/>
    <s v="Electronics"/>
    <s v="Perfume"/>
    <s v="Beauty"/>
    <x v="1"/>
    <n v="799.4"/>
    <s v="Misaligned"/>
    <s v="35-49 Gen X"/>
    <s v="High Value Tier"/>
    <s v="Stable"/>
  </r>
  <r>
    <s v="ORD6693"/>
    <s v="CUST2693"/>
    <n v="62"/>
    <s v="PROD1893"/>
    <s v="UK"/>
    <d v="2023-07-01T00:00:00"/>
    <s v="8/19/2024"/>
    <n v="3"/>
    <s v="active"/>
    <s v="11/24/2024"/>
    <s v=" $96.74 "/>
    <n v="6"/>
    <n v="17"/>
    <s v="Home"/>
    <s v="Headphones"/>
    <s v="Electronics"/>
    <x v="1"/>
    <n v="580.44000000000005"/>
    <s v="Misaligned"/>
    <s v="50-64 Boomers"/>
    <s v="High Value Tier"/>
    <s v="Stable"/>
  </r>
  <r>
    <s v="ORD6694"/>
    <s v="CUST2694"/>
    <n v="33"/>
    <s v="PROD1894"/>
    <s v="Pakistan"/>
    <s v="4/18/2021"/>
    <s v="1/14/2025"/>
    <n v="1"/>
    <s v="paused"/>
    <d v="2024-04-08T00:00:00"/>
    <s v=" $147.04 "/>
    <n v="8"/>
    <n v="12"/>
    <s v="Sports"/>
    <s v="Yoga Mat"/>
    <s v="Sports"/>
    <x v="2"/>
    <n v="1176.32"/>
    <s v="Aligned"/>
    <s v="25-34 Millennials"/>
    <s v="High Value Tier"/>
    <s v="Elevated Risk"/>
  </r>
  <r>
    <s v="ORD6695"/>
    <s v="CUST2695"/>
    <n v="59"/>
    <s v="PROD1895"/>
    <s v="UK"/>
    <s v="2/14/2022"/>
    <s v="12/30/2024"/>
    <n v="0"/>
    <s v="active"/>
    <d v="2024-08-04T00:00:00"/>
    <s v=" $67.84 "/>
    <n v="9"/>
    <n v="12"/>
    <s v="Electronics"/>
    <s v="Chair"/>
    <s v="Home"/>
    <x v="1"/>
    <n v="610.55999999999995"/>
    <s v="Misaligned"/>
    <s v="50-64 Boomers"/>
    <s v="High Value Tier"/>
    <s v="Stable"/>
  </r>
  <r>
    <s v="ORD6696"/>
    <s v="CUST2696"/>
    <n v="60"/>
    <s v="PROD1896"/>
    <s v="UK"/>
    <s v="5/13/2023"/>
    <s v="1/16/2024"/>
    <n v="3"/>
    <s v="active"/>
    <s v="4/17/2024"/>
    <s v=" $488.97 "/>
    <n v="1"/>
    <n v="49"/>
    <s v="Clothing"/>
    <s v="Laptop"/>
    <s v="Electronics"/>
    <x v="1"/>
    <n v="488.97"/>
    <s v="Misaligned"/>
    <s v="50-64 Boomers"/>
    <s v="High Value Tier"/>
    <s v="Stable"/>
  </r>
  <r>
    <s v="ORD6697"/>
    <s v="CUST2697"/>
    <n v="21"/>
    <s v="PROD1897"/>
    <s v="Pakistan"/>
    <s v="6/22/2023"/>
    <s v="2/27/2024"/>
    <n v="1"/>
    <s v="active"/>
    <s v="1/23/2024"/>
    <s v=" $257.60 "/>
    <n v="7"/>
    <n v="34"/>
    <s v="Sports"/>
    <s v="Conditioner"/>
    <s v="Beauty"/>
    <x v="1"/>
    <n v="1803.2"/>
    <s v="Misaligned"/>
    <s v="18-24 Gen Z"/>
    <s v="High Value Tier"/>
    <s v="Stable"/>
  </r>
  <r>
    <s v="ORD6698"/>
    <s v="CUST2698"/>
    <n v="62"/>
    <s v="PROD1898"/>
    <s v="Pakistan"/>
    <s v="9/21/2020"/>
    <d v="2022-11-07T00:00:00"/>
    <n v="4"/>
    <s v="paused"/>
    <s v="7/17/2025"/>
    <s v=" $200.49 "/>
    <n v="2"/>
    <n v="41"/>
    <s v="Electronics"/>
    <s v="Smartphone"/>
    <s v="Electronics"/>
    <x v="0"/>
    <n v="400.98"/>
    <s v="Aligned"/>
    <s v="50-64 Boomers"/>
    <s v="High Value Tier"/>
    <s v="Elevated Risk"/>
  </r>
  <r>
    <s v="ORD6699"/>
    <s v="CUST2699"/>
    <n v="52"/>
    <s v="PROD1899"/>
    <s v="Pakistan"/>
    <s v="5/16/2023"/>
    <s v="5/19/2025"/>
    <n v="3"/>
    <s v="active"/>
    <s v="6/22/2023"/>
    <s v=" $80.90 "/>
    <n v="9"/>
    <n v="22"/>
    <s v="Electronics"/>
    <s v="Camera"/>
    <s v="Electronics"/>
    <x v="1"/>
    <n v="728.1"/>
    <s v="Aligned"/>
    <s v="50-64 Boomers"/>
    <s v="High Value Tier"/>
    <s v="Stable"/>
  </r>
  <r>
    <s v="ORD6700"/>
    <s v="CUST2700"/>
    <n v="44"/>
    <s v="PROD1900"/>
    <s v="Germany"/>
    <s v="3/26/2023"/>
    <s v="5/17/2024"/>
    <n v="3"/>
    <s v="cancelled"/>
    <d v="2024-01-06T00:00:00"/>
    <s v=" $157.67 "/>
    <n v="9"/>
    <n v="13"/>
    <s v="Sports"/>
    <s v="Tablet"/>
    <s v="Electronics"/>
    <x v="1"/>
    <n v="1419.03"/>
    <s v="Misaligned"/>
    <s v="35-49 Gen X"/>
    <s v="High Value Tier"/>
    <s v="Stable"/>
  </r>
  <r>
    <s v="ORD6701"/>
    <s v="CUST2701"/>
    <n v="65"/>
    <s v="PROD1901"/>
    <s v="USA"/>
    <s v="9/26/2020"/>
    <s v="1/16/2024"/>
    <n v="5"/>
    <s v="active"/>
    <s v="6/20/2024"/>
    <s v=" $104.98 "/>
    <n v="8"/>
    <n v="26"/>
    <s v="Home"/>
    <s v="Shirt"/>
    <s v="Clothing"/>
    <x v="0"/>
    <n v="839.84"/>
    <s v="Misaligned"/>
    <s v="65+ Seniors"/>
    <s v="High Value Tier"/>
    <s v="Critical Risk"/>
  </r>
  <r>
    <s v="ORD6702"/>
    <s v="CUST2702"/>
    <n v="50"/>
    <s v="PROD1902"/>
    <s v="Pakistan"/>
    <s v="12/30/2022"/>
    <d v="2024-08-07T00:00:00"/>
    <n v="4"/>
    <s v="active"/>
    <d v="2024-05-09T00:00:00"/>
    <s v=" $62.90 "/>
    <n v="4"/>
    <n v="13"/>
    <s v="Clothing"/>
    <s v="Foundation"/>
    <s v="Beauty"/>
    <x v="0"/>
    <n v="251.6"/>
    <s v="Misaligned"/>
    <s v="50-64 Boomers"/>
    <s v="High Value Tier"/>
    <s v="Critical Risk"/>
  </r>
  <r>
    <s v="ORD6703"/>
    <s v="CUST2703"/>
    <n v="30"/>
    <s v="PROD1903"/>
    <s v="Canada"/>
    <d v="2020-02-12T00:00:00"/>
    <s v="4/22/2025"/>
    <n v="4"/>
    <s v="cancelled"/>
    <s v="7/20/2023"/>
    <s v=" $145.29 "/>
    <n v="3"/>
    <n v="24"/>
    <s v="Clothing"/>
    <s v="Chair"/>
    <s v="Home"/>
    <x v="1"/>
    <n v="435.87"/>
    <s v="Misaligned"/>
    <s v="25-34 Millennials"/>
    <s v="High Value Tier"/>
    <s v="Stable"/>
  </r>
  <r>
    <s v="ORD6704"/>
    <s v="CUST2704"/>
    <n v="28"/>
    <s v="PROD1904"/>
    <s v="India"/>
    <s v="6/24/2022"/>
    <s v="10/16/2024"/>
    <n v="4"/>
    <s v="cancelled"/>
    <s v="10/30/2024"/>
    <s v=" $858.36 "/>
    <n v="2"/>
    <n v="44"/>
    <s v="Home"/>
    <s v="Camera"/>
    <s v="Electronics"/>
    <x v="0"/>
    <n v="1716.72"/>
    <s v="Misaligned"/>
    <s v="25-34 Millennials"/>
    <s v="High Value Tier"/>
    <s v="Stable"/>
  </r>
  <r>
    <s v="ORD6705"/>
    <s v="CUST2705"/>
    <n v="57"/>
    <s v="PROD1905"/>
    <s v="Canada"/>
    <s v="6/29/2021"/>
    <d v="2021-06-08T00:00:00"/>
    <n v="1"/>
    <s v="cancelled"/>
    <s v="7/23/2024"/>
    <s v=" $821.24 "/>
    <n v="2"/>
    <n v="23"/>
    <s v="Home"/>
    <s v="Football"/>
    <s v="Sports"/>
    <x v="1"/>
    <n v="1642.48"/>
    <s v="Misaligned"/>
    <s v="50-64 Boomers"/>
    <s v="High Value Tier"/>
    <s v="Stable"/>
  </r>
  <r>
    <s v="ORD6706"/>
    <s v="CUST2706"/>
    <n v="40"/>
    <s v="PROD1906"/>
    <s v="UK"/>
    <d v="2021-08-11T00:00:00"/>
    <s v="1/24/2025"/>
    <n v="3"/>
    <s v="cancelled"/>
    <s v="7/14/2022"/>
    <s v=" $165.58 "/>
    <n v="8"/>
    <n v="21"/>
    <s v="Electronics"/>
    <s v="Blender"/>
    <s v="Home"/>
    <x v="1"/>
    <n v="1324.64"/>
    <s v="Misaligned"/>
    <s v="35-49 Gen X"/>
    <s v="High Value Tier"/>
    <s v="Stable"/>
  </r>
  <r>
    <s v="ORD6707"/>
    <s v="CUST2707"/>
    <n v="39"/>
    <s v="PROD1907"/>
    <s v="USA"/>
    <d v="2022-11-01T00:00:00"/>
    <s v="6/14/2025"/>
    <n v="5"/>
    <s v="active"/>
    <s v="11/20/2022"/>
    <s v=" $93.48 "/>
    <n v="9"/>
    <n v="39"/>
    <s v="Clothing"/>
    <s v="Headphones"/>
    <s v="Electronics"/>
    <x v="0"/>
    <n v="841.32"/>
    <s v="Misaligned"/>
    <s v="35-49 Gen X"/>
    <s v="High Value Tier"/>
    <s v="Critical Risk"/>
  </r>
  <r>
    <s v="ORD6708"/>
    <s v="CUST2708"/>
    <n v="33"/>
    <s v="PROD1908"/>
    <s v="USA"/>
    <s v="9/27/2021"/>
    <d v="2024-12-10T00:00:00"/>
    <n v="1"/>
    <s v="cancelled"/>
    <d v="2025-10-08T00:00:00"/>
    <s v=" $227.54 "/>
    <n v="8"/>
    <n v="10"/>
    <s v="Sports"/>
    <s v="Sofa"/>
    <s v="Home"/>
    <x v="0"/>
    <n v="1820.32"/>
    <s v="Misaligned"/>
    <s v="25-34 Millennials"/>
    <s v="High Value Tier"/>
    <s v="Stable"/>
  </r>
  <r>
    <s v="ORD6709"/>
    <s v="CUST2709"/>
    <n v="40"/>
    <s v="PROD1909"/>
    <s v="USA"/>
    <s v="3/13/2023"/>
    <s v="4/20/2025"/>
    <n v="1"/>
    <s v="paused"/>
    <s v="8/20/2023"/>
    <s v=" $259.94 "/>
    <n v="6"/>
    <n v="35"/>
    <s v="Clothing"/>
    <s v="Jeans"/>
    <s v="Clothing"/>
    <x v="1"/>
    <n v="1559.64"/>
    <s v="Aligned"/>
    <s v="35-49 Gen X"/>
    <s v="High Value Tier"/>
    <s v="Elevated Risk"/>
  </r>
  <r>
    <s v="ORD6710"/>
    <s v="CUST2710"/>
    <n v="20"/>
    <s v="PROD1910"/>
    <s v="India"/>
    <s v="3/30/2022"/>
    <d v="2024-09-02T00:00:00"/>
    <n v="0"/>
    <s v="active"/>
    <s v="1/26/2024"/>
    <s v=" $232.00 "/>
    <n v="8"/>
    <n v="39"/>
    <s v="Electronics"/>
    <s v="Shirt"/>
    <s v="Clothing"/>
    <x v="0"/>
    <n v="1856"/>
    <s v="Misaligned"/>
    <s v="18-24 Gen Z"/>
    <s v="High Value Tier"/>
    <s v="Stable"/>
  </r>
  <r>
    <s v="ORD6711"/>
    <s v="CUST2711"/>
    <n v="47"/>
    <s v="PROD1911"/>
    <s v="India"/>
    <d v="2022-02-04T00:00:00"/>
    <d v="2024-04-09T00:00:00"/>
    <n v="5"/>
    <s v="paused"/>
    <d v="2023-01-02T00:00:00"/>
    <s v=" $184.92 "/>
    <n v="7"/>
    <n v="34"/>
    <s v="Home"/>
    <s v="Tablet"/>
    <s v="Electronics"/>
    <x v="1"/>
    <n v="1294.44"/>
    <s v="Misaligned"/>
    <s v="35-49 Gen X"/>
    <s v="High Value Tier"/>
    <s v="Elevated Risk"/>
  </r>
  <r>
    <s v="ORD6712"/>
    <s v="CUST2712"/>
    <n v="53"/>
    <s v="PROD1912"/>
    <s v="UK"/>
    <d v="2023-06-03T00:00:00"/>
    <s v="5/21/2025"/>
    <n v="2"/>
    <s v="active"/>
    <d v="2024-02-04T00:00:00"/>
    <s v=" $186.91 "/>
    <n v="6"/>
    <n v="30"/>
    <s v="Clothing"/>
    <s v="Jeans"/>
    <s v="Clothing"/>
    <x v="1"/>
    <n v="1121.46"/>
    <s v="Aligned"/>
    <s v="50-64 Boomers"/>
    <s v="High Value Tier"/>
    <s v="Stable"/>
  </r>
  <r>
    <s v="ORD6713"/>
    <s v="CUST2713"/>
    <n v="66"/>
    <s v="PROD1913"/>
    <s v="India"/>
    <d v="2021-04-08T00:00:00"/>
    <d v="2025-09-04T00:00:00"/>
    <n v="4"/>
    <s v="active"/>
    <d v="2024-11-01T00:00:00"/>
    <s v=" $82.59 "/>
    <n v="9"/>
    <n v="46"/>
    <s v="Beauty"/>
    <s v="Refrigerator"/>
    <s v="Home"/>
    <x v="0"/>
    <n v="743.31"/>
    <s v="Misaligned"/>
    <s v="65+ Seniors"/>
    <s v="High Value Tier"/>
    <s v="Critical Risk"/>
  </r>
  <r>
    <s v="ORD6714"/>
    <s v="CUST2714"/>
    <n v="27"/>
    <s v="PROD1914"/>
    <s v="USA"/>
    <s v="10/18/2021"/>
    <s v="3/20/2023"/>
    <n v="4"/>
    <s v="active"/>
    <s v="3/14/2024"/>
    <s v=" $31.93 "/>
    <n v="3"/>
    <n v="36"/>
    <s v="Home"/>
    <s v="Sofa"/>
    <s v="Home"/>
    <x v="1"/>
    <n v="95.79"/>
    <s v="Aligned"/>
    <s v="25-34 Millennials"/>
    <s v="High Value Tier"/>
    <s v="Critical Risk"/>
  </r>
  <r>
    <s v="ORD6715"/>
    <s v="CUST2715"/>
    <n v="48"/>
    <s v="PROD1915"/>
    <s v="Pakistan"/>
    <s v="7/16/2022"/>
    <s v="5/13/2024"/>
    <n v="4"/>
    <s v="paused"/>
    <s v="12/20/2023"/>
    <s v=" $244.96 "/>
    <n v="4"/>
    <n v="7"/>
    <s v="Electronics"/>
    <s v="Chair"/>
    <s v="Home"/>
    <x v="1"/>
    <n v="979.84"/>
    <s v="Misaligned"/>
    <s v="35-49 Gen X"/>
    <s v="High Value Tier"/>
    <s v="Elevated Risk"/>
  </r>
  <r>
    <s v="ORD6716"/>
    <s v="CUST2716"/>
    <n v="36"/>
    <s v="PROD1916"/>
    <s v="India"/>
    <s v="5/18/2021"/>
    <d v="2021-10-10T00:00:00"/>
    <n v="2"/>
    <s v="cancelled"/>
    <s v="10/27/2024"/>
    <s v=" $79.27 "/>
    <n v="4"/>
    <n v="48"/>
    <s v="Clothing"/>
    <s v="Sofa"/>
    <s v="Home"/>
    <x v="0"/>
    <n v="317.08"/>
    <s v="Misaligned"/>
    <s v="35-49 Gen X"/>
    <s v="High Value Tier"/>
    <s v="Stable"/>
  </r>
  <r>
    <s v="ORD6717"/>
    <s v="CUST2717"/>
    <n v="43"/>
    <s v="PROD1917"/>
    <s v="Pakistan"/>
    <d v="2023-01-04T00:00:00"/>
    <s v="1/22/2025"/>
    <n v="4"/>
    <s v="active"/>
    <d v="2023-12-05T00:00:00"/>
    <s v=" $27.61 "/>
    <n v="9"/>
    <n v="42"/>
    <s v="Clothing"/>
    <s v="Dumbbells"/>
    <s v="Sports"/>
    <x v="1"/>
    <n v="248.49"/>
    <s v="Misaligned"/>
    <s v="35-49 Gen X"/>
    <s v="High Value Tier"/>
    <s v="Critical Risk"/>
  </r>
  <r>
    <s v="ORD6718"/>
    <s v="CUST2718"/>
    <n v="18"/>
    <s v="PROD1918"/>
    <s v="Canada"/>
    <s v="1/18/2022"/>
    <s v="2/13/2022"/>
    <n v="5"/>
    <s v="cancelled"/>
    <s v="1/24/2025"/>
    <s v=" $30.43 "/>
    <n v="9"/>
    <n v="18"/>
    <s v="Beauty"/>
    <s v="Camera"/>
    <s v="Electronics"/>
    <x v="1"/>
    <n v="273.87"/>
    <s v="Misaligned"/>
    <s v="18-24 Gen Z"/>
    <s v="High Value Tier"/>
    <s v="Stable"/>
  </r>
  <r>
    <s v="ORD6719"/>
    <s v="CUST2719"/>
    <n v="40"/>
    <s v="PROD1919"/>
    <s v="Pakistan"/>
    <d v="2020-05-11T00:00:00"/>
    <d v="2023-08-03T00:00:00"/>
    <n v="1"/>
    <s v="cancelled"/>
    <d v="2024-07-11T00:00:00"/>
    <s v=" $870.22 "/>
    <n v="2"/>
    <n v="35"/>
    <s v="Beauty"/>
    <s v="Sneakers"/>
    <s v="Clothing"/>
    <x v="0"/>
    <n v="1740.44"/>
    <s v="Misaligned"/>
    <s v="35-49 Gen X"/>
    <s v="High Value Tier"/>
    <s v="Stable"/>
  </r>
  <r>
    <s v="ORD6720"/>
    <s v="CUST2720"/>
    <n v="22"/>
    <s v="PROD1920"/>
    <s v="USA"/>
    <d v="2023-10-01T00:00:00"/>
    <s v="5/26/2025"/>
    <n v="3"/>
    <s v="paused"/>
    <s v="12/21/2024"/>
    <s v=" $175.59 "/>
    <n v="9"/>
    <n v="41"/>
    <s v="Home"/>
    <s v="Jeans"/>
    <s v="Clothing"/>
    <x v="0"/>
    <n v="1580.31"/>
    <s v="Misaligned"/>
    <s v="18-24 Gen Z"/>
    <s v="High Value Tier"/>
    <s v="Elevated Risk"/>
  </r>
  <r>
    <s v="ORD6721"/>
    <s v="CUST2721"/>
    <n v="18"/>
    <s v="PROD1921"/>
    <s v="UK"/>
    <d v="2020-09-10T00:00:00"/>
    <d v="2024-06-04T00:00:00"/>
    <n v="2"/>
    <s v="active"/>
    <s v="12/25/2023"/>
    <s v=" $362.98 "/>
    <n v="4"/>
    <n v="27"/>
    <s v="Clothing"/>
    <s v="Dining Table"/>
    <s v="Home"/>
    <x v="0"/>
    <n v="1451.92"/>
    <s v="Misaligned"/>
    <s v="18-24 Gen Z"/>
    <s v="High Value Tier"/>
    <s v="Stable"/>
  </r>
  <r>
    <s v="ORD6722"/>
    <s v="CUST2722"/>
    <n v="25"/>
    <s v="PROD1922"/>
    <s v="USA"/>
    <s v="6/14/2022"/>
    <s v="1/22/2024"/>
    <n v="3"/>
    <s v="cancelled"/>
    <s v="8/28/2024"/>
    <s v=" $473.31 "/>
    <n v="3"/>
    <n v="2"/>
    <s v="Electronics"/>
    <s v="Face Wash"/>
    <s v="Beauty"/>
    <x v="0"/>
    <n v="1419.93"/>
    <s v="Misaligned"/>
    <s v="25-34 Millennials"/>
    <s v="High Value Tier"/>
    <s v="Stable"/>
  </r>
  <r>
    <s v="ORD6723"/>
    <s v="CUST2723"/>
    <n v="18"/>
    <s v="PROD1923"/>
    <s v="UK"/>
    <s v="9/29/2022"/>
    <s v="9/29/2024"/>
    <n v="3"/>
    <s v="active"/>
    <s v="3/30/2023"/>
    <s v=" $156.06 "/>
    <n v="6"/>
    <n v="9"/>
    <s v="Electronics"/>
    <s v="Foundation"/>
    <s v="Beauty"/>
    <x v="0"/>
    <n v="936.36"/>
    <s v="Misaligned"/>
    <s v="18-24 Gen Z"/>
    <s v="High Value Tier"/>
    <s v="Stable"/>
  </r>
  <r>
    <s v="ORD6724"/>
    <s v="CUST2724"/>
    <n v="42"/>
    <s v="PROD1924"/>
    <s v="USA"/>
    <s v="6/23/2023"/>
    <s v="9/13/2023"/>
    <n v="4"/>
    <s v="active"/>
    <s v="7/28/2023"/>
    <s v=" $14.15 "/>
    <n v="5"/>
    <n v="31"/>
    <s v="Home"/>
    <s v="Dumbbells"/>
    <s v="Sports"/>
    <x v="1"/>
    <n v="70.75"/>
    <s v="Misaligned"/>
    <s v="35-49 Gen X"/>
    <s v="Core Tier"/>
    <s v="Critical Risk"/>
  </r>
  <r>
    <s v="ORD6725"/>
    <s v="CUST2725"/>
    <n v="26"/>
    <s v="PROD1925"/>
    <s v="Canada"/>
    <d v="2021-04-05T00:00:00"/>
    <s v="6/13/2021"/>
    <n v="5"/>
    <s v="cancelled"/>
    <s v="3/14/2023"/>
    <s v=" $164.04 "/>
    <n v="8"/>
    <n v="13"/>
    <s v="Home"/>
    <s v="Shirt"/>
    <s v="Clothing"/>
    <x v="1"/>
    <n v="1312.32"/>
    <s v="Misaligned"/>
    <s v="25-34 Millennials"/>
    <s v="High Value Tier"/>
    <s v="Stable"/>
  </r>
  <r>
    <s v="ORD6726"/>
    <s v="CUST2726"/>
    <n v="53"/>
    <s v="PROD1926"/>
    <s v="Canada"/>
    <s v="1/24/2021"/>
    <s v="5/30/2021"/>
    <n v="5"/>
    <s v="active"/>
    <s v="4/28/2021"/>
    <s v=" $206.77 "/>
    <n v="3"/>
    <n v="23"/>
    <s v="Sports"/>
    <s v="Shampoo"/>
    <s v="Beauty"/>
    <x v="0"/>
    <n v="620.30999999999995"/>
    <s v="Misaligned"/>
    <s v="50-64 Boomers"/>
    <s v="High Value Tier"/>
    <s v="Critical Risk"/>
  </r>
  <r>
    <s v="ORD6727"/>
    <s v="CUST2727"/>
    <n v="49"/>
    <s v="PROD1927"/>
    <s v="Germany"/>
    <s v="4/17/2021"/>
    <s v="2/14/2023"/>
    <n v="1"/>
    <s v="cancelled"/>
    <s v="7/29/2021"/>
    <s v=" $972.15 "/>
    <n v="2"/>
    <n v="1"/>
    <s v="Home"/>
    <s v="Shirt"/>
    <s v="Clothing"/>
    <x v="2"/>
    <n v="1944.3"/>
    <s v="Misaligned"/>
    <s v="35-49 Gen X"/>
    <s v="Core Tier"/>
    <s v="Stable"/>
  </r>
  <r>
    <s v="ORD6728"/>
    <s v="CUST2728"/>
    <n v="43"/>
    <s v="PROD1928"/>
    <s v="USA"/>
    <s v="1/23/2023"/>
    <s v="5/25/2025"/>
    <n v="3"/>
    <s v="active"/>
    <s v="4/21/2023"/>
    <s v=" $33.55 "/>
    <n v="2"/>
    <n v="36"/>
    <s v="Clothing"/>
    <s v="Shirt"/>
    <s v="Clothing"/>
    <x v="0"/>
    <n v="67.099999999999994"/>
    <s v="Aligned"/>
    <s v="35-49 Gen X"/>
    <s v="Core Tier"/>
    <s v="Stable"/>
  </r>
  <r>
    <s v="ORD6729"/>
    <s v="CUST2729"/>
    <n v="18"/>
    <s v="PROD1929"/>
    <s v="Pakistan"/>
    <d v="2022-08-07T00:00:00"/>
    <d v="2023-07-03T00:00:00"/>
    <n v="5"/>
    <s v="active"/>
    <s v="8/20/2022"/>
    <s v=" $227.40 "/>
    <n v="4"/>
    <n v="18"/>
    <s v="Home"/>
    <s v="Conditioner"/>
    <s v="Beauty"/>
    <x v="2"/>
    <n v="909.6"/>
    <s v="Misaligned"/>
    <s v="18-24 Gen Z"/>
    <s v="High Value Tier"/>
    <s v="Critical Risk"/>
  </r>
  <r>
    <s v="ORD6730"/>
    <s v="CUST2730"/>
    <n v="25"/>
    <s v="PROD1930"/>
    <s v="USA"/>
    <s v="2/22/2021"/>
    <s v="7/24/2023"/>
    <n v="2"/>
    <s v="cancelled"/>
    <d v="2022-10-11T00:00:00"/>
    <s v=" $262.56 "/>
    <n v="4"/>
    <n v="26"/>
    <s v="Sports"/>
    <s v="Laptop"/>
    <s v="Electronics"/>
    <x v="1"/>
    <n v="1050.24"/>
    <s v="Misaligned"/>
    <s v="25-34 Millennials"/>
    <s v="High Value Tier"/>
    <s v="Stable"/>
  </r>
  <r>
    <s v="ORD6731"/>
    <s v="CUST2731"/>
    <n v="42"/>
    <s v="PROD1931"/>
    <s v="India"/>
    <d v="2022-04-08T00:00:00"/>
    <d v="2023-03-02T00:00:00"/>
    <n v="3"/>
    <s v="active"/>
    <d v="2022-05-10T00:00:00"/>
    <s v=" $388.38 "/>
    <n v="2"/>
    <n v="35"/>
    <s v="Clothing"/>
    <s v="Dining Table"/>
    <s v="Home"/>
    <x v="0"/>
    <n v="776.76"/>
    <s v="Misaligned"/>
    <s v="35-49 Gen X"/>
    <s v="High Value Tier"/>
    <s v="Stable"/>
  </r>
  <r>
    <s v="ORD6732"/>
    <s v="CUST2732"/>
    <n v="47"/>
    <s v="PROD1932"/>
    <s v="Germany"/>
    <d v="2022-09-09T00:00:00"/>
    <d v="2025-08-04T00:00:00"/>
    <n v="3"/>
    <s v="active"/>
    <s v="3/13/2024"/>
    <s v=" $157.06 "/>
    <n v="9"/>
    <n v="34"/>
    <s v="Sports"/>
    <s v="Gaming Console"/>
    <s v="Electronics"/>
    <x v="1"/>
    <n v="1413.54"/>
    <s v="Misaligned"/>
    <s v="35-49 Gen X"/>
    <s v="High Value Tier"/>
    <s v="Stable"/>
  </r>
  <r>
    <s v="ORD6733"/>
    <s v="CUST2733"/>
    <n v="20"/>
    <s v="PROD1933"/>
    <s v="Canada"/>
    <s v="7/27/2022"/>
    <s v="6/25/2025"/>
    <n v="2"/>
    <s v="active"/>
    <d v="2023-09-11T00:00:00"/>
    <s v=" $171.09 "/>
    <n v="5"/>
    <n v="36"/>
    <s v="Electronics"/>
    <s v="Tennis Racket"/>
    <s v="Sports"/>
    <x v="0"/>
    <n v="855.45"/>
    <s v="Misaligned"/>
    <s v="18-24 Gen Z"/>
    <s v="High Value Tier"/>
    <s v="Stable"/>
  </r>
  <r>
    <s v="ORD6734"/>
    <s v="CUST2734"/>
    <n v="41"/>
    <s v="PROD1934"/>
    <s v="India"/>
    <d v="2022-12-12T00:00:00"/>
    <s v="6/24/2023"/>
    <n v="1"/>
    <s v="active"/>
    <s v="9/24/2024"/>
    <s v=" $317.36 "/>
    <n v="5"/>
    <n v="19"/>
    <s v="Clothing"/>
    <s v="Lamp"/>
    <s v="Home"/>
    <x v="0"/>
    <n v="1586.8"/>
    <s v="Misaligned"/>
    <s v="35-49 Gen X"/>
    <s v="High Value Tier"/>
    <s v="Stable"/>
  </r>
  <r>
    <s v="ORD6735"/>
    <s v="CUST2735"/>
    <n v="65"/>
    <s v="PROD1935"/>
    <s v="UK"/>
    <s v="4/19/2022"/>
    <d v="2024-06-07T00:00:00"/>
    <n v="0"/>
    <s v="active"/>
    <d v="2022-08-07T00:00:00"/>
    <s v=" $613.07 "/>
    <n v="3"/>
    <n v="22"/>
    <s v="Clothing"/>
    <s v="Vacuum Cleaner"/>
    <s v="Home"/>
    <x v="1"/>
    <n v="1839.21"/>
    <s v="Misaligned"/>
    <s v="65+ Seniors"/>
    <s v="High Value Tier"/>
    <s v="Stable"/>
  </r>
  <r>
    <s v="ORD6736"/>
    <s v="CUST2736"/>
    <n v="33"/>
    <s v="PROD1936"/>
    <s v="Germany"/>
    <d v="2022-03-04T00:00:00"/>
    <d v="2023-07-08T00:00:00"/>
    <n v="4"/>
    <s v="active"/>
    <s v="5/21/2024"/>
    <s v=" $87.29 "/>
    <n v="9"/>
    <n v="40"/>
    <s v="Home"/>
    <s v="Skirt"/>
    <s v="Clothing"/>
    <x v="1"/>
    <n v="785.61"/>
    <s v="Misaligned"/>
    <s v="25-34 Millennials"/>
    <s v="High Value Tier"/>
    <s v="Critical Risk"/>
  </r>
  <r>
    <s v="ORD6737"/>
    <s v="CUST2737"/>
    <n v="69"/>
    <s v="PROD1937"/>
    <s v="USA"/>
    <s v="5/29/2022"/>
    <s v="10/17/2022"/>
    <n v="4"/>
    <s v="active"/>
    <s v="5/26/2025"/>
    <s v=" $90.99 "/>
    <n v="5"/>
    <n v="35"/>
    <s v="Sports"/>
    <s v="Shirt"/>
    <s v="Clothing"/>
    <x v="0"/>
    <n v="454.95"/>
    <s v="Misaligned"/>
    <s v="65+ Seniors"/>
    <s v="High Value Tier"/>
    <s v="Critical Risk"/>
  </r>
  <r>
    <s v="ORD6738"/>
    <s v="CUST2738"/>
    <n v="27"/>
    <s v="PROD1938"/>
    <s v="Germany"/>
    <s v="10/31/2022"/>
    <s v="2/22/2024"/>
    <n v="4"/>
    <s v="active"/>
    <d v="2024-11-03T00:00:00"/>
    <s v=" $291.43 "/>
    <n v="3"/>
    <n v="40"/>
    <s v="Home"/>
    <s v="Chair"/>
    <s v="Home"/>
    <x v="1"/>
    <n v="874.29"/>
    <s v="Aligned"/>
    <s v="25-34 Millennials"/>
    <s v="High Value Tier"/>
    <s v="Critical Risk"/>
  </r>
  <r>
    <s v="ORD6739"/>
    <s v="CUST2739"/>
    <n v="36"/>
    <s v="PROD1939"/>
    <s v="Pakistan"/>
    <s v="6/18/2023"/>
    <s v="9/16/2023"/>
    <n v="3"/>
    <s v="cancelled"/>
    <s v="6/22/2023"/>
    <s v=" $407.69 "/>
    <n v="1"/>
    <n v="47"/>
    <s v="Home"/>
    <s v="Basketball"/>
    <s v="Sports"/>
    <x v="1"/>
    <n v="407.69"/>
    <s v="Misaligned"/>
    <s v="35-49 Gen X"/>
    <s v="High Value Tier"/>
    <s v="Stable"/>
  </r>
  <r>
    <s v="ORD6740"/>
    <s v="CUST2740"/>
    <n v="69"/>
    <s v="PROD1940"/>
    <s v="India"/>
    <s v="1/20/2023"/>
    <d v="2025-08-05T00:00:00"/>
    <n v="3"/>
    <s v="active"/>
    <s v="5/28/2025"/>
    <s v=" $52.80 "/>
    <n v="8"/>
    <n v="33"/>
    <s v="Clothing"/>
    <s v="Dress"/>
    <s v="Clothing"/>
    <x v="1"/>
    <n v="422.4"/>
    <s v="Aligned"/>
    <s v="65+ Seniors"/>
    <s v="High Value Tier"/>
    <s v="Stable"/>
  </r>
  <r>
    <s v="ORD6741"/>
    <s v="CUST2741"/>
    <n v="32"/>
    <s v="PROD1941"/>
    <s v="USA"/>
    <s v="8/23/2020"/>
    <s v="10/17/2020"/>
    <n v="4"/>
    <s v="active"/>
    <d v="2022-04-12T00:00:00"/>
    <s v=" $248.17 "/>
    <n v="1"/>
    <n v="18"/>
    <s v="Sports"/>
    <s v="Vacuum Cleaner"/>
    <s v="Home"/>
    <x v="0"/>
    <n v="248.17"/>
    <s v="Misaligned"/>
    <s v="25-34 Millennials"/>
    <s v="High Value Tier"/>
    <s v="Critical Risk"/>
  </r>
  <r>
    <s v="ORD6742"/>
    <s v="CUST2742"/>
    <n v="52"/>
    <s v="PROD1942"/>
    <s v="India"/>
    <s v="8/22/2020"/>
    <s v="6/19/2025"/>
    <n v="1"/>
    <s v="active"/>
    <s v="7/25/2025"/>
    <s v=" $406.40 "/>
    <n v="4"/>
    <n v="19"/>
    <s v="Clothing"/>
    <s v="Laptop"/>
    <s v="Electronics"/>
    <x v="0"/>
    <n v="1625.6"/>
    <s v="Misaligned"/>
    <s v="50-64 Boomers"/>
    <s v="High Value Tier"/>
    <s v="Stable"/>
  </r>
  <r>
    <s v="ORD6743"/>
    <s v="CUST2743"/>
    <n v="62"/>
    <s v="PROD1943"/>
    <s v="Canada"/>
    <d v="2021-12-04T00:00:00"/>
    <s v="1/27/2022"/>
    <n v="2"/>
    <s v="active"/>
    <s v="10/31/2022"/>
    <s v=" $49.62 "/>
    <n v="6"/>
    <n v="49"/>
    <s v="Sports"/>
    <s v="Hoodie"/>
    <s v="Clothing"/>
    <x v="0"/>
    <n v="297.72000000000003"/>
    <s v="Misaligned"/>
    <s v="50-64 Boomers"/>
    <s v="High Value Tier"/>
    <s v="Stable"/>
  </r>
  <r>
    <s v="ORD6744"/>
    <s v="CUST2744"/>
    <n v="26"/>
    <s v="PROD1944"/>
    <s v="Pakistan"/>
    <s v="11/20/2021"/>
    <s v="1/17/2022"/>
    <n v="5"/>
    <s v="active"/>
    <s v="3/29/2025"/>
    <s v=" $194.30 "/>
    <n v="6"/>
    <n v="11"/>
    <s v="Clothing"/>
    <s v="Headphones"/>
    <s v="Electronics"/>
    <x v="1"/>
    <n v="1165.8"/>
    <s v="Misaligned"/>
    <s v="25-34 Millennials"/>
    <s v="High Value Tier"/>
    <s v="Critical Risk"/>
  </r>
  <r>
    <s v="ORD6745"/>
    <s v="CUST2745"/>
    <n v="33"/>
    <s v="PROD1945"/>
    <s v="USA"/>
    <s v="5/14/2021"/>
    <s v="1/27/2023"/>
    <n v="0"/>
    <s v="active"/>
    <d v="2024-09-01T00:00:00"/>
    <s v=" $141.25 "/>
    <n v="7"/>
    <n v="16"/>
    <s v="Beauty"/>
    <s v="Smartphone"/>
    <s v="Electronics"/>
    <x v="0"/>
    <n v="988.75"/>
    <s v="Misaligned"/>
    <s v="25-34 Millennials"/>
    <s v="High Value Tier"/>
    <s v="Stable"/>
  </r>
  <r>
    <s v="ORD6746"/>
    <s v="CUST2746"/>
    <n v="53"/>
    <s v="PROD1946"/>
    <s v="Canada"/>
    <s v="10/17/2022"/>
    <s v="5/25/2024"/>
    <n v="1"/>
    <s v="paused"/>
    <d v="2024-01-01T00:00:00"/>
    <s v=" $499.41 "/>
    <n v="3"/>
    <n v="35"/>
    <s v="Electronics"/>
    <s v="Hoodie"/>
    <s v="Clothing"/>
    <x v="0"/>
    <n v="1498.23"/>
    <s v="Misaligned"/>
    <s v="50-64 Boomers"/>
    <s v="High Value Tier"/>
    <s v="Elevated Risk"/>
  </r>
  <r>
    <s v="ORD6747"/>
    <s v="CUST2747"/>
    <n v="56"/>
    <s v="PROD1947"/>
    <s v="UK"/>
    <s v="6/23/2022"/>
    <d v="2024-12-08T00:00:00"/>
    <n v="1"/>
    <s v="cancelled"/>
    <d v="2025-06-05T00:00:00"/>
    <s v=" $242.33 "/>
    <n v="1"/>
    <n v="12"/>
    <s v="Beauty"/>
    <s v="Blender"/>
    <s v="Home"/>
    <x v="0"/>
    <n v="242.33"/>
    <s v="Misaligned"/>
    <s v="50-64 Boomers"/>
    <s v="High Value Tier"/>
    <s v="Stable"/>
  </r>
  <r>
    <s v="ORD6748"/>
    <s v="CUST2748"/>
    <n v="52"/>
    <s v="PROD1948"/>
    <s v="UK"/>
    <s v="3/15/2021"/>
    <s v="8/19/2023"/>
    <n v="2"/>
    <s v="active"/>
    <s v="10/15/2023"/>
    <s v=" $946.91 "/>
    <n v="1"/>
    <n v="21"/>
    <s v="Electronics"/>
    <s v="Laptop"/>
    <s v="Electronics"/>
    <x v="0"/>
    <n v="946.91"/>
    <s v="Aligned"/>
    <s v="50-64 Boomers"/>
    <s v="High Value Tier"/>
    <s v="Stable"/>
  </r>
  <r>
    <s v="ORD6749"/>
    <s v="CUST2749"/>
    <n v="50"/>
    <s v="PROD1949"/>
    <s v="UK"/>
    <s v="11/28/2021"/>
    <d v="2022-11-04T00:00:00"/>
    <n v="0"/>
    <s v="active"/>
    <s v="3/16/2022"/>
    <s v=" $411.67 "/>
    <n v="1"/>
    <n v="25"/>
    <s v="Clothing"/>
    <s v="Lamp"/>
    <s v="Home"/>
    <x v="1"/>
    <n v="411.67"/>
    <s v="Misaligned"/>
    <s v="50-64 Boomers"/>
    <s v="High Value Tier"/>
    <s v="Stable"/>
  </r>
  <r>
    <s v="ORD6750"/>
    <s v="CUST2750"/>
    <n v="34"/>
    <s v="PROD1950"/>
    <s v="Canada"/>
    <s v="12/14/2021"/>
    <d v="2025-07-03T00:00:00"/>
    <n v="1"/>
    <s v="active"/>
    <s v="5/16/2024"/>
    <s v=" $177.74 "/>
    <n v="8"/>
    <n v="34"/>
    <s v="Clothing"/>
    <s v="Moisturizer"/>
    <s v="Beauty"/>
    <x v="0"/>
    <n v="1421.92"/>
    <s v="Misaligned"/>
    <s v="25-34 Millennials"/>
    <s v="High Value Tier"/>
    <s v="Stable"/>
  </r>
  <r>
    <s v="ORD6751"/>
    <s v="CUST2751"/>
    <n v="26"/>
    <s v="PROD1951"/>
    <s v="UK"/>
    <s v="8/21/2021"/>
    <d v="2022-12-11T00:00:00"/>
    <n v="4"/>
    <s v="active"/>
    <d v="2023-01-07T00:00:00"/>
    <s v=" $500.06 "/>
    <n v="3"/>
    <n v="4"/>
    <s v="Sports"/>
    <s v="Chair"/>
    <s v="Home"/>
    <x v="0"/>
    <n v="1500.18"/>
    <s v="Misaligned"/>
    <s v="25-34 Millennials"/>
    <s v="High Value Tier"/>
    <s v="Critical Risk"/>
  </r>
  <r>
    <s v="ORD6752"/>
    <s v="CUST2752"/>
    <n v="59"/>
    <s v="PROD1952"/>
    <s v="Canada"/>
    <s v="2/22/2022"/>
    <s v="1/29/2024"/>
    <n v="5"/>
    <s v="active"/>
    <d v="2022-11-10T00:00:00"/>
    <s v=" $397.85 "/>
    <n v="3"/>
    <n v="24"/>
    <s v="Clothing"/>
    <s v="Bluetooth Speaker"/>
    <s v="Electronics"/>
    <x v="0"/>
    <n v="1193.55"/>
    <s v="Misaligned"/>
    <s v="50-64 Boomers"/>
    <s v="High Value Tier"/>
    <s v="Critical Risk"/>
  </r>
  <r>
    <s v="ORD6753"/>
    <s v="CUST2753"/>
    <n v="29"/>
    <s v="PROD1953"/>
    <s v="UK"/>
    <s v="12/14/2022"/>
    <s v="1/25/2024"/>
    <n v="3"/>
    <s v="active"/>
    <s v="4/29/2025"/>
    <s v=" $48.17 "/>
    <n v="5"/>
    <n v="12"/>
    <s v="Electronics"/>
    <s v="Jacket"/>
    <s v="Clothing"/>
    <x v="1"/>
    <n v="240.85"/>
    <s v="Misaligned"/>
    <s v="25-34 Millennials"/>
    <s v="High Value Tier"/>
    <s v="Stable"/>
  </r>
  <r>
    <s v="ORD6754"/>
    <s v="CUST2754"/>
    <n v="41"/>
    <s v="PROD1954"/>
    <s v="USA"/>
    <d v="2022-09-03T00:00:00"/>
    <s v="4/30/2022"/>
    <n v="4"/>
    <s v="paused"/>
    <s v="10/19/2023"/>
    <s v=" $205.14 "/>
    <n v="6"/>
    <n v="38"/>
    <s v="Clothing"/>
    <s v="Face Wash"/>
    <s v="Beauty"/>
    <x v="1"/>
    <n v="1230.8399999999999"/>
    <s v="Misaligned"/>
    <s v="35-49 Gen X"/>
    <s v="High Value Tier"/>
    <s v="Elevated Risk"/>
  </r>
  <r>
    <s v="ORD6755"/>
    <s v="CUST2755"/>
    <n v="51"/>
    <s v="PROD1955"/>
    <s v="USA"/>
    <d v="2022-03-08T00:00:00"/>
    <s v="12/18/2023"/>
    <n v="4"/>
    <s v="active"/>
    <s v="4/30/2024"/>
    <s v=" $168.77 "/>
    <n v="5"/>
    <n v="25"/>
    <s v="Sports"/>
    <s v="Shirt"/>
    <s v="Clothing"/>
    <x v="0"/>
    <n v="843.85"/>
    <s v="Misaligned"/>
    <s v="50-64 Boomers"/>
    <s v="High Value Tier"/>
    <s v="Critical Risk"/>
  </r>
  <r>
    <s v="ORD6756"/>
    <s v="CUST2756"/>
    <n v="56"/>
    <s v="PROD1956"/>
    <s v="Pakistan"/>
    <s v="2/24/2023"/>
    <d v="2023-07-08T00:00:00"/>
    <n v="5"/>
    <s v="active"/>
    <s v="4/28/2024"/>
    <s v=" $246.43 "/>
    <n v="6"/>
    <n v="25"/>
    <s v="Electronics"/>
    <s v="Sneakers"/>
    <s v="Clothing"/>
    <x v="1"/>
    <n v="1478.58"/>
    <s v="Misaligned"/>
    <s v="50-64 Boomers"/>
    <s v="High Value Tier"/>
    <s v="Critical Risk"/>
  </r>
  <r>
    <s v="ORD6757"/>
    <s v="CUST2757"/>
    <n v="22"/>
    <s v="PROD1957"/>
    <s v="Germany"/>
    <s v="8/25/2021"/>
    <d v="2025-02-08T00:00:00"/>
    <n v="0"/>
    <s v="active"/>
    <s v="6/21/2022"/>
    <s v=" $292.64 "/>
    <n v="5"/>
    <n v="32"/>
    <s v="Beauty"/>
    <s v="T-Shirt"/>
    <s v="Clothing"/>
    <x v="1"/>
    <n v="1463.2"/>
    <s v="Misaligned"/>
    <s v="18-24 Gen Z"/>
    <s v="High Value Tier"/>
    <s v="Stable"/>
  </r>
  <r>
    <s v="ORD6758"/>
    <s v="CUST2758"/>
    <n v="61"/>
    <s v="PROD1958"/>
    <s v="Canada"/>
    <s v="11/25/2022"/>
    <d v="2025-09-03T00:00:00"/>
    <n v="4"/>
    <s v="cancelled"/>
    <d v="2024-10-05T00:00:00"/>
    <s v=" $203.28 "/>
    <n v="5"/>
    <n v="47"/>
    <s v="Home"/>
    <s v="Shampoo"/>
    <s v="Beauty"/>
    <x v="0"/>
    <n v="1016.4"/>
    <s v="Misaligned"/>
    <s v="50-64 Boomers"/>
    <s v="High Value Tier"/>
    <s v="Stable"/>
  </r>
  <r>
    <s v="ORD6759"/>
    <s v="CUST2759"/>
    <n v="37"/>
    <s v="PROD1959"/>
    <s v="Pakistan"/>
    <s v="12/17/2022"/>
    <d v="2023-09-04T00:00:00"/>
    <n v="4"/>
    <s v="paused"/>
    <s v="4/21/2024"/>
    <s v=" $931.80 "/>
    <n v="2"/>
    <n v="46"/>
    <s v="Clothing"/>
    <s v="Laptop"/>
    <s v="Electronics"/>
    <x v="1"/>
    <n v="1863.6"/>
    <s v="Misaligned"/>
    <s v="35-49 Gen X"/>
    <s v="High Value Tier"/>
    <s v="Elevated Risk"/>
  </r>
  <r>
    <s v="ORD6760"/>
    <s v="CUST2760"/>
    <n v="62"/>
    <s v="PROD1960"/>
    <s v="USA"/>
    <d v="2022-04-12T00:00:00"/>
    <s v="7/18/2023"/>
    <n v="1"/>
    <s v="cancelled"/>
    <d v="2024-01-12T00:00:00"/>
    <s v=" $117.18 "/>
    <n v="9"/>
    <n v="9"/>
    <s v="Electronics"/>
    <s v="Football"/>
    <s v="Sports"/>
    <x v="1"/>
    <n v="1054.6199999999999"/>
    <s v="Misaligned"/>
    <s v="50-64 Boomers"/>
    <s v="High Value Tier"/>
    <s v="Stable"/>
  </r>
  <r>
    <s v="ORD6761"/>
    <s v="CUST2761"/>
    <n v="42"/>
    <s v="PROD1961"/>
    <s v="Canada"/>
    <d v="2021-04-08T00:00:00"/>
    <d v="2022-02-07T00:00:00"/>
    <n v="4"/>
    <s v="cancelled"/>
    <s v="5/22/2024"/>
    <s v=" $39.66 "/>
    <n v="7"/>
    <n v="34"/>
    <s v="Electronics"/>
    <s v="Football"/>
    <s v="Sports"/>
    <x v="1"/>
    <n v="277.62"/>
    <s v="Misaligned"/>
    <s v="35-49 Gen X"/>
    <s v="High Value Tier"/>
    <s v="Stable"/>
  </r>
  <r>
    <s v="ORD6762"/>
    <s v="CUST2762"/>
    <n v="26"/>
    <s v="PROD1962"/>
    <s v="Pakistan"/>
    <s v="3/19/2022"/>
    <d v="2022-10-06T00:00:00"/>
    <n v="1"/>
    <s v="cancelled"/>
    <d v="2023-04-11T00:00:00"/>
    <s v=" $47.52 "/>
    <n v="5"/>
    <n v="25"/>
    <s v="Sports"/>
    <s v="Face Wash"/>
    <s v="Beauty"/>
    <x v="1"/>
    <n v="237.6"/>
    <s v="Misaligned"/>
    <s v="25-34 Millennials"/>
    <s v="High Value Tier"/>
    <s v="Stable"/>
  </r>
  <r>
    <s v="ORD6763"/>
    <s v="CUST2763"/>
    <n v="34"/>
    <s v="PROD1963"/>
    <s v="Germany"/>
    <d v="2023-02-03T00:00:00"/>
    <s v="7/29/2025"/>
    <n v="1"/>
    <s v="cancelled"/>
    <s v="4/21/2024"/>
    <s v=" $165.16 "/>
    <n v="9"/>
    <n v="9"/>
    <s v="Electronics"/>
    <s v="Foundation"/>
    <s v="Beauty"/>
    <x v="1"/>
    <n v="1486.44"/>
    <s v="Misaligned"/>
    <s v="25-34 Millennials"/>
    <s v="High Value Tier"/>
    <s v="Stable"/>
  </r>
  <r>
    <s v="ORD6764"/>
    <s v="CUST2764"/>
    <n v="46"/>
    <s v="PROD1964"/>
    <s v="India"/>
    <s v="9/20/2022"/>
    <d v="2024-05-01T00:00:00"/>
    <n v="5"/>
    <s v="active"/>
    <d v="2024-11-09T00:00:00"/>
    <s v=" $28.80 "/>
    <n v="2"/>
    <n v="15"/>
    <s v="Clothing"/>
    <s v="Dumbbells"/>
    <s v="Sports"/>
    <x v="0"/>
    <n v="57.6"/>
    <s v="Misaligned"/>
    <s v="35-49 Gen X"/>
    <s v="Core Tier"/>
    <s v="Critical Risk"/>
  </r>
  <r>
    <s v="ORD6765"/>
    <s v="CUST2765"/>
    <n v="44"/>
    <s v="PROD1965"/>
    <s v="India"/>
    <s v="2/27/2023"/>
    <d v="2025-01-04T00:00:00"/>
    <n v="1"/>
    <s v="active"/>
    <d v="2025-03-06T00:00:00"/>
    <s v=" $64.24 "/>
    <n v="9"/>
    <n v="39"/>
    <s v="Home"/>
    <s v="Hoodie"/>
    <s v="Clothing"/>
    <x v="0"/>
    <n v="578.16"/>
    <s v="Misaligned"/>
    <s v="35-49 Gen X"/>
    <s v="High Value Tier"/>
    <s v="Stable"/>
  </r>
  <r>
    <s v="ORD6766"/>
    <s v="CUST2766"/>
    <n v="29"/>
    <s v="PROD1966"/>
    <s v="USA"/>
    <s v="7/17/2023"/>
    <s v="6/30/2025"/>
    <n v="1"/>
    <s v="active"/>
    <s v="6/15/2025"/>
    <s v=" $493.60 "/>
    <n v="2"/>
    <n v="31"/>
    <s v="Sports"/>
    <s v="Tablet"/>
    <s v="Electronics"/>
    <x v="1"/>
    <n v="987.2"/>
    <s v="Misaligned"/>
    <s v="25-34 Millennials"/>
    <s v="High Value Tier"/>
    <s v="Stable"/>
  </r>
  <r>
    <s v="ORD6767"/>
    <s v="CUST2767"/>
    <n v="42"/>
    <s v="PROD1967"/>
    <s v="Germany"/>
    <s v="2/17/2023"/>
    <s v="3/26/2023"/>
    <n v="2"/>
    <s v="paused"/>
    <s v="5/24/2023"/>
    <s v=" $180.20 "/>
    <n v="7"/>
    <n v="39"/>
    <s v="Home"/>
    <s v="Jacket"/>
    <s v="Clothing"/>
    <x v="1"/>
    <n v="1261.4000000000001"/>
    <s v="Misaligned"/>
    <s v="35-49 Gen X"/>
    <s v="High Value Tier"/>
    <s v="Elevated Risk"/>
  </r>
  <r>
    <s v="ORD6768"/>
    <s v="CUST2768"/>
    <n v="37"/>
    <s v="PROD1968"/>
    <s v="UK"/>
    <s v="12/19/2022"/>
    <d v="2024-09-02T00:00:00"/>
    <n v="4"/>
    <s v="active"/>
    <d v="2023-05-09T00:00:00"/>
    <s v=" $121.43 "/>
    <n v="3"/>
    <n v="36"/>
    <s v="Sports"/>
    <s v="Football"/>
    <s v="Sports"/>
    <x v="0"/>
    <n v="364.29"/>
    <s v="Aligned"/>
    <s v="35-49 Gen X"/>
    <s v="High Value Tier"/>
    <s v="Critical Risk"/>
  </r>
  <r>
    <s v="ORD6769"/>
    <s v="CUST2769"/>
    <n v="46"/>
    <s v="PROD1969"/>
    <s v="UK"/>
    <s v="1/27/2021"/>
    <s v="1/14/2023"/>
    <n v="0"/>
    <s v="paused"/>
    <s v="7/31/2024"/>
    <s v=" $322.70 "/>
    <n v="3"/>
    <n v="26"/>
    <s v="Electronics"/>
    <s v="Shampoo"/>
    <s v="Beauty"/>
    <x v="2"/>
    <n v="968.1"/>
    <s v="Misaligned"/>
    <s v="35-49 Gen X"/>
    <s v="High Value Tier"/>
    <s v="Elevated Risk"/>
  </r>
  <r>
    <s v="ORD6770"/>
    <s v="CUST2770"/>
    <n v="58"/>
    <s v="PROD1970"/>
    <s v="Germany"/>
    <d v="2022-06-08T00:00:00"/>
    <s v="5/15/2023"/>
    <n v="4"/>
    <s v="cancelled"/>
    <d v="2024-06-06T00:00:00"/>
    <s v=" $527.36 "/>
    <n v="1"/>
    <n v="35"/>
    <s v="Home"/>
    <s v="Moisturizer"/>
    <s v="Beauty"/>
    <x v="0"/>
    <n v="527.36"/>
    <s v="Misaligned"/>
    <s v="50-64 Boomers"/>
    <s v="High Value Tier"/>
    <s v="Stable"/>
  </r>
  <r>
    <s v="ORD6771"/>
    <s v="CUST2771"/>
    <n v="50"/>
    <s v="PROD1971"/>
    <s v="Canada"/>
    <s v="8/29/2021"/>
    <d v="2024-09-11T00:00:00"/>
    <n v="3"/>
    <s v="active"/>
    <s v="5/18/2025"/>
    <s v=" $101.44 "/>
    <n v="9"/>
    <n v="33"/>
    <s v="Clothing"/>
    <s v="Jacket"/>
    <s v="Clothing"/>
    <x v="1"/>
    <n v="912.96"/>
    <s v="Aligned"/>
    <s v="50-64 Boomers"/>
    <s v="High Value Tier"/>
    <s v="Stable"/>
  </r>
  <r>
    <s v="ORD6772"/>
    <s v="CUST2772"/>
    <n v="44"/>
    <s v="PROD1972"/>
    <s v="Canada"/>
    <d v="2021-07-07T00:00:00"/>
    <s v="1/16/2022"/>
    <n v="2"/>
    <s v="active"/>
    <s v="6/24/2022"/>
    <s v=" $225.41 "/>
    <n v="5"/>
    <n v="1"/>
    <s v="Sports"/>
    <s v="Shampoo"/>
    <s v="Beauty"/>
    <x v="1"/>
    <n v="1127.05"/>
    <s v="Misaligned"/>
    <s v="35-49 Gen X"/>
    <s v="Core Tier"/>
    <s v="Stable"/>
  </r>
  <r>
    <s v="ORD6773"/>
    <s v="CUST2773"/>
    <n v="33"/>
    <s v="PROD1973"/>
    <s v="UK"/>
    <s v="4/15/2022"/>
    <s v="2/27/2024"/>
    <n v="1"/>
    <s v="active"/>
    <s v="12/31/2023"/>
    <s v=" $554.73 "/>
    <n v="1"/>
    <n v="16"/>
    <s v="Beauty"/>
    <s v="Dress"/>
    <s v="Clothing"/>
    <x v="0"/>
    <n v="554.73"/>
    <s v="Misaligned"/>
    <s v="25-34 Millennials"/>
    <s v="High Value Tier"/>
    <s v="Stable"/>
  </r>
  <r>
    <s v="ORD6774"/>
    <s v="CUST2774"/>
    <n v="58"/>
    <s v="PROD1974"/>
    <s v="UK"/>
    <s v="10/19/2022"/>
    <d v="2023-12-06T00:00:00"/>
    <n v="2"/>
    <s v="active"/>
    <s v="9/30/2023"/>
    <s v=" $641.76 "/>
    <n v="3"/>
    <n v="18"/>
    <s v="Home"/>
    <s v="Nail Polish"/>
    <s v="Beauty"/>
    <x v="1"/>
    <n v="1925.28"/>
    <s v="Misaligned"/>
    <s v="50-64 Boomers"/>
    <s v="High Value Tier"/>
    <s v="Stable"/>
  </r>
  <r>
    <s v="ORD6775"/>
    <s v="CUST2775"/>
    <n v="26"/>
    <s v="PROD1975"/>
    <s v="Germany"/>
    <s v="2/26/2023"/>
    <s v="9/28/2023"/>
    <n v="0"/>
    <s v="paused"/>
    <s v="5/24/2023"/>
    <s v=" $116.39 "/>
    <n v="9"/>
    <n v="38"/>
    <s v="Beauty"/>
    <s v="Jacket"/>
    <s v="Clothing"/>
    <x v="1"/>
    <n v="1047.51"/>
    <s v="Misaligned"/>
    <s v="25-34 Millennials"/>
    <s v="High Value Tier"/>
    <s v="Elevated Risk"/>
  </r>
  <r>
    <s v="ORD6776"/>
    <s v="CUST2776"/>
    <n v="48"/>
    <s v="PROD1976"/>
    <s v="USA"/>
    <d v="2022-02-04T00:00:00"/>
    <s v="9/13/2023"/>
    <n v="4"/>
    <s v="cancelled"/>
    <s v="2/27/2023"/>
    <s v=" $277.09 "/>
    <n v="3"/>
    <n v="12"/>
    <s v="Electronics"/>
    <s v="Dumbbells"/>
    <s v="Sports"/>
    <x v="1"/>
    <n v="831.27"/>
    <s v="Misaligned"/>
    <s v="35-49 Gen X"/>
    <s v="High Value Tier"/>
    <s v="Stable"/>
  </r>
  <r>
    <s v="ORD6777"/>
    <s v="CUST2777"/>
    <n v="60"/>
    <s v="PROD1977"/>
    <s v="Germany"/>
    <d v="2021-06-05T00:00:00"/>
    <d v="2025-02-07T00:00:00"/>
    <n v="5"/>
    <s v="active"/>
    <s v="7/26/2021"/>
    <s v=" $68.30 "/>
    <n v="8"/>
    <n v="9"/>
    <s v="Electronics"/>
    <s v="Smartphone"/>
    <s v="Electronics"/>
    <x v="0"/>
    <n v="546.4"/>
    <s v="Aligned"/>
    <s v="50-64 Boomers"/>
    <s v="High Value Tier"/>
    <s v="Critical Risk"/>
  </r>
  <r>
    <s v="ORD6778"/>
    <s v="CUST2778"/>
    <n v="33"/>
    <s v="PROD1978"/>
    <s v="Germany"/>
    <d v="2022-03-02T00:00:00"/>
    <d v="2024-05-06T00:00:00"/>
    <n v="3"/>
    <s v="cancelled"/>
    <s v="10/28/2022"/>
    <s v=" $978.54 "/>
    <n v="2"/>
    <n v="37"/>
    <s v="Electronics"/>
    <s v="Chair"/>
    <s v="Home"/>
    <x v="1"/>
    <n v="1957.08"/>
    <s v="Misaligned"/>
    <s v="25-34 Millennials"/>
    <s v="High Value Tier"/>
    <s v="Stable"/>
  </r>
  <r>
    <s v="ORD6779"/>
    <s v="CUST2779"/>
    <n v="35"/>
    <s v="PROD1979"/>
    <s v="Pakistan"/>
    <d v="2021-12-08T00:00:00"/>
    <d v="2024-12-11T00:00:00"/>
    <n v="0"/>
    <s v="active"/>
    <s v="5/21/2025"/>
    <s v=" $1,241.77 "/>
    <n v="1"/>
    <n v="36"/>
    <s v="Electronics"/>
    <s v="Tennis Racket"/>
    <s v="Sports"/>
    <x v="1"/>
    <n v="1241.77"/>
    <s v="Misaligned"/>
    <s v="35-49 Gen X"/>
    <s v="High Value Tier"/>
    <s v="Stable"/>
  </r>
  <r>
    <s v="ORD6780"/>
    <s v="CUST2780"/>
    <n v="30"/>
    <s v="PROD1980"/>
    <s v="India"/>
    <s v="11/14/2022"/>
    <d v="2025-04-06T00:00:00"/>
    <n v="0"/>
    <s v="active"/>
    <d v="2025-04-08T00:00:00"/>
    <s v=" $394.54 "/>
    <n v="3"/>
    <n v="11"/>
    <s v="Clothing"/>
    <s v="Headphones"/>
    <s v="Electronics"/>
    <x v="1"/>
    <n v="1183.6199999999999"/>
    <s v="Misaligned"/>
    <s v="25-34 Millennials"/>
    <s v="High Value Tier"/>
    <s v="Stable"/>
  </r>
  <r>
    <s v="ORD6781"/>
    <s v="CUST2781"/>
    <n v="50"/>
    <s v="PROD1981"/>
    <s v="India"/>
    <s v="6/30/2023"/>
    <s v="10/15/2024"/>
    <n v="1"/>
    <s v="cancelled"/>
    <d v="2024-03-08T00:00:00"/>
    <s v=" $5.39 "/>
    <n v="8"/>
    <n v="38"/>
    <s v="Electronics"/>
    <s v="Smartwatch"/>
    <s v="Electronics"/>
    <x v="0"/>
    <n v="43.12"/>
    <s v="Aligned"/>
    <s v="50-64 Boomers"/>
    <s v="Core Tier"/>
    <s v="Stable"/>
  </r>
  <r>
    <s v="ORD6782"/>
    <s v="CUST2782"/>
    <n v="40"/>
    <s v="PROD1982"/>
    <s v="India"/>
    <s v="5/24/2021"/>
    <s v="1/19/2025"/>
    <n v="5"/>
    <s v="active"/>
    <d v="2023-03-01T00:00:00"/>
    <s v=" $120.41 "/>
    <n v="8"/>
    <n v="19"/>
    <s v="Home"/>
    <s v="Yoga Mat"/>
    <s v="Sports"/>
    <x v="1"/>
    <n v="963.28"/>
    <s v="Misaligned"/>
    <s v="35-49 Gen X"/>
    <s v="High Value Tier"/>
    <s v="Critical Risk"/>
  </r>
  <r>
    <s v="ORD6783"/>
    <s v="CUST2783"/>
    <n v="48"/>
    <s v="PROD1983"/>
    <s v="UK"/>
    <d v="2022-11-08T00:00:00"/>
    <d v="2023-02-05T00:00:00"/>
    <n v="3"/>
    <s v="active"/>
    <s v="1/21/2025"/>
    <s v=" $124.30 "/>
    <n v="8"/>
    <n v="15"/>
    <s v="Sports"/>
    <s v="Yoga Mat"/>
    <s v="Sports"/>
    <x v="1"/>
    <n v="994.4"/>
    <s v="Aligned"/>
    <s v="35-49 Gen X"/>
    <s v="High Value Tier"/>
    <s v="Stable"/>
  </r>
  <r>
    <s v="ORD6784"/>
    <s v="CUST2784"/>
    <n v="48"/>
    <s v="PROD1984"/>
    <s v="UK"/>
    <s v="8/18/2021"/>
    <s v="10/23/2021"/>
    <n v="5"/>
    <s v="active"/>
    <s v="4/26/2024"/>
    <s v=" $179.90 "/>
    <n v="2"/>
    <n v="40"/>
    <s v="Electronics"/>
    <s v="Nail Polish"/>
    <s v="Beauty"/>
    <x v="1"/>
    <n v="359.8"/>
    <s v="Misaligned"/>
    <s v="35-49 Gen X"/>
    <s v="High Value Tier"/>
    <s v="Critical Risk"/>
  </r>
  <r>
    <s v="ORD6785"/>
    <s v="CUST2785"/>
    <n v="64"/>
    <s v="PROD1985"/>
    <s v="Canada"/>
    <s v="6/18/2021"/>
    <d v="2022-11-10T00:00:00"/>
    <n v="1"/>
    <s v="cancelled"/>
    <d v="2024-09-03T00:00:00"/>
    <s v=" $151.58 "/>
    <n v="7"/>
    <n v="47"/>
    <s v="Home"/>
    <s v="Jeans"/>
    <s v="Clothing"/>
    <x v="1"/>
    <n v="1061.06"/>
    <s v="Misaligned"/>
    <s v="50-64 Boomers"/>
    <s v="High Value Tier"/>
    <s v="Stable"/>
  </r>
  <r>
    <s v="ORD6786"/>
    <s v="CUST2786"/>
    <n v="61"/>
    <s v="PROD1986"/>
    <s v="USA"/>
    <d v="2023-11-07T00:00:00"/>
    <d v="2023-08-11T00:00:00"/>
    <n v="3"/>
    <s v="active"/>
    <s v="12/15/2023"/>
    <s v=" $165.18 "/>
    <n v="8"/>
    <n v="19"/>
    <s v="Home"/>
    <s v="Refrigerator"/>
    <s v="Home"/>
    <x v="0"/>
    <n v="1321.44"/>
    <s v="Aligned"/>
    <s v="50-64 Boomers"/>
    <s v="High Value Tier"/>
    <s v="Stable"/>
  </r>
  <r>
    <s v="ORD6787"/>
    <s v="CUST2787"/>
    <n v="29"/>
    <s v="PROD1987"/>
    <s v="Canada"/>
    <s v="11/14/2022"/>
    <s v="10/14/2023"/>
    <n v="4"/>
    <s v="active"/>
    <s v="11/28/2024"/>
    <s v=" $65.76 "/>
    <n v="7"/>
    <n v="5"/>
    <s v="Electronics"/>
    <s v="Running Shoes"/>
    <s v="Sports"/>
    <x v="1"/>
    <n v="460.32"/>
    <s v="Misaligned"/>
    <s v="25-34 Millennials"/>
    <s v="Core Tier"/>
    <s v="Critical Risk"/>
  </r>
  <r>
    <s v="ORD6788"/>
    <s v="CUST2788"/>
    <n v="64"/>
    <s v="PROD1988"/>
    <s v="Pakistan"/>
    <s v="7/26/2021"/>
    <s v="3/30/2025"/>
    <n v="1"/>
    <s v="cancelled"/>
    <d v="2021-01-08T00:00:00"/>
    <s v=" $123.74 "/>
    <n v="9"/>
    <n v="8"/>
    <s v="Home"/>
    <s v="Dining Table"/>
    <s v="Home"/>
    <x v="0"/>
    <n v="1113.6600000000001"/>
    <s v="Aligned"/>
    <s v="50-64 Boomers"/>
    <s v="High Value Tier"/>
    <s v="Stable"/>
  </r>
  <r>
    <s v="ORD6789"/>
    <s v="CUST2789"/>
    <n v="22"/>
    <s v="PROD1989"/>
    <s v="Canada"/>
    <s v="9/15/2020"/>
    <s v="5/29/2021"/>
    <n v="1"/>
    <s v="active"/>
    <d v="2021-05-04T00:00:00"/>
    <s v=" $62.20 "/>
    <n v="4"/>
    <n v="11"/>
    <s v="Electronics"/>
    <s v="Basketball"/>
    <s v="Sports"/>
    <x v="1"/>
    <n v="248.8"/>
    <s v="Misaligned"/>
    <s v="18-24 Gen Z"/>
    <s v="High Value Tier"/>
    <s v="Stable"/>
  </r>
  <r>
    <s v="ORD6790"/>
    <s v="CUST2790"/>
    <n v="54"/>
    <s v="PROD1990"/>
    <s v="Germany"/>
    <d v="2022-01-12T00:00:00"/>
    <d v="2023-12-05T00:00:00"/>
    <n v="3"/>
    <s v="active"/>
    <s v="8/29/2024"/>
    <s v=" $10.18 "/>
    <n v="4"/>
    <n v="13"/>
    <s v="Electronics"/>
    <s v="Dress"/>
    <s v="Clothing"/>
    <x v="0"/>
    <n v="40.72"/>
    <s v="Misaligned"/>
    <s v="50-64 Boomers"/>
    <s v="Value Tier"/>
    <s v="Stable"/>
  </r>
  <r>
    <s v="ORD6791"/>
    <s v="CUST2791"/>
    <n v="52"/>
    <s v="PROD1991"/>
    <s v="Germany"/>
    <s v="12/22/2022"/>
    <d v="2025-05-06T00:00:00"/>
    <n v="5"/>
    <s v="paused"/>
    <d v="2024-08-07T00:00:00"/>
    <s v=" $178.14 "/>
    <n v="7"/>
    <n v="31"/>
    <s v="Home"/>
    <s v="Dress"/>
    <s v="Clothing"/>
    <x v="0"/>
    <n v="1246.98"/>
    <s v="Misaligned"/>
    <s v="50-64 Boomers"/>
    <s v="High Value Tier"/>
    <s v="Elevated Risk"/>
  </r>
  <r>
    <s v="ORD6792"/>
    <s v="CUST2792"/>
    <n v="47"/>
    <s v="PROD1992"/>
    <s v="Canada"/>
    <d v="2022-08-08T00:00:00"/>
    <s v="2/22/2025"/>
    <n v="4"/>
    <s v="active"/>
    <s v="11/19/2023"/>
    <s v=" $821.69 "/>
    <n v="1"/>
    <n v="44"/>
    <s v="Sports"/>
    <s v="Lipstick"/>
    <s v="Beauty"/>
    <x v="1"/>
    <n v="821.69"/>
    <s v="Misaligned"/>
    <s v="35-49 Gen X"/>
    <s v="High Value Tier"/>
    <s v="Critical Risk"/>
  </r>
  <r>
    <s v="ORD6793"/>
    <s v="CUST2793"/>
    <n v="63"/>
    <s v="PROD1993"/>
    <s v="Canada"/>
    <s v="4/30/2023"/>
    <d v="2023-01-10T00:00:00"/>
    <n v="0"/>
    <s v="paused"/>
    <s v="3/17/2025"/>
    <s v=" $166.66 "/>
    <n v="7"/>
    <n v="16"/>
    <s v="Home"/>
    <s v="Tablet"/>
    <s v="Electronics"/>
    <x v="1"/>
    <n v="1166.6199999999999"/>
    <s v="Misaligned"/>
    <s v="50-64 Boomers"/>
    <s v="High Value Tier"/>
    <s v="Elevated Risk"/>
  </r>
  <r>
    <s v="ORD6794"/>
    <s v="CUST2794"/>
    <n v="25"/>
    <s v="PROD1994"/>
    <s v="India"/>
    <s v="4/25/2022"/>
    <s v="11/30/2023"/>
    <n v="2"/>
    <s v="paused"/>
    <s v="11/23/2024"/>
    <s v=" $715.99 "/>
    <n v="1"/>
    <n v="39"/>
    <s v="Beauty"/>
    <s v="Dining Table"/>
    <s v="Home"/>
    <x v="0"/>
    <n v="715.99"/>
    <s v="Misaligned"/>
    <s v="25-34 Millennials"/>
    <s v="High Value Tier"/>
    <s v="Elevated Risk"/>
  </r>
  <r>
    <s v="ORD6795"/>
    <s v="CUST2795"/>
    <n v="50"/>
    <s v="PROD1995"/>
    <s v="India"/>
    <s v="6/18/2022"/>
    <s v="1/30/2025"/>
    <n v="1"/>
    <s v="cancelled"/>
    <s v="1/13/2025"/>
    <s v=" $1,397.94 "/>
    <n v="1"/>
    <n v="5"/>
    <s v="Sports"/>
    <s v="Cricket Bat"/>
    <s v="Sports"/>
    <x v="1"/>
    <n v="1397.94"/>
    <s v="Aligned"/>
    <s v="50-64 Boomers"/>
    <s v="High Value Tier"/>
    <s v="Stable"/>
  </r>
  <r>
    <s v="ORD6796"/>
    <s v="CUST2796"/>
    <n v="21"/>
    <s v="PROD1996"/>
    <s v="Germany"/>
    <s v="3/13/2021"/>
    <s v="11/15/2023"/>
    <n v="1"/>
    <s v="active"/>
    <s v="9/14/2021"/>
    <s v=" $307.89 "/>
    <n v="5"/>
    <n v="35"/>
    <s v="Sports"/>
    <s v="Bluetooth Speaker"/>
    <s v="Electronics"/>
    <x v="0"/>
    <n v="1539.45"/>
    <s v="Misaligned"/>
    <s v="18-24 Gen Z"/>
    <s v="High Value Tier"/>
    <s v="Stable"/>
  </r>
  <r>
    <s v="ORD6797"/>
    <s v="CUST2797"/>
    <n v="68"/>
    <s v="PROD1997"/>
    <s v="Germany"/>
    <s v="8/29/2021"/>
    <d v="2024-05-12T00:00:00"/>
    <n v="4"/>
    <s v="active"/>
    <s v="2/13/2023"/>
    <s v=" $146.78 "/>
    <n v="9"/>
    <n v="6"/>
    <s v="Electronics"/>
    <s v="Shirt"/>
    <s v="Clothing"/>
    <x v="0"/>
    <n v="1321.02"/>
    <s v="Misaligned"/>
    <s v="65+ Seniors"/>
    <s v="High Value Tier"/>
    <s v="Critical Risk"/>
  </r>
  <r>
    <s v="ORD6798"/>
    <s v="CUST2798"/>
    <n v="40"/>
    <s v="PROD1998"/>
    <s v="Germany"/>
    <s v="2/17/2023"/>
    <s v="1/28/2025"/>
    <n v="1"/>
    <s v="active"/>
    <s v="5/17/2024"/>
    <s v=" $82.46 "/>
    <n v="3"/>
    <n v="41"/>
    <s v="Clothing"/>
    <s v="Headphones"/>
    <s v="Electronics"/>
    <x v="0"/>
    <n v="247.38"/>
    <s v="Misaligned"/>
    <s v="35-49 Gen X"/>
    <s v="High Value Tier"/>
    <s v="Stable"/>
  </r>
  <r>
    <s v="ORD6799"/>
    <s v="CUST2799"/>
    <n v="20"/>
    <s v="PROD1999"/>
    <s v="Germany"/>
    <d v="2021-08-09T00:00:00"/>
    <d v="2021-11-10T00:00:00"/>
    <n v="1"/>
    <s v="active"/>
    <d v="2023-07-09T00:00:00"/>
    <s v=" $406.43 "/>
    <n v="4"/>
    <n v="11"/>
    <s v="Sports"/>
    <s v="Yoga Mat"/>
    <s v="Sports"/>
    <x v="0"/>
    <n v="1625.72"/>
    <s v="Aligned"/>
    <s v="18-24 Gen Z"/>
    <s v="High Value Tier"/>
    <s v="Stable"/>
  </r>
  <r>
    <s v="ORD6800"/>
    <s v="CUST2800"/>
    <n v="20"/>
    <s v="PROD2000"/>
    <s v="Germany"/>
    <s v="11/24/2021"/>
    <d v="2022-04-05T00:00:00"/>
    <n v="2"/>
    <s v="active"/>
    <s v="1/29/2024"/>
    <s v=" $871.44 "/>
    <n v="2"/>
    <n v="35"/>
    <s v="Home"/>
    <s v="Nail Polish"/>
    <s v="Beauty"/>
    <x v="0"/>
    <n v="1742.88"/>
    <s v="Misaligned"/>
    <s v="18-24 Gen Z"/>
    <s v="High Value Tier"/>
    <s v="Stable"/>
  </r>
  <r>
    <s v="ORD6801"/>
    <s v="CUST2801"/>
    <n v="51"/>
    <s v="PROD2001"/>
    <s v="Germany"/>
    <d v="2022-11-12T00:00:00"/>
    <s v="6/21/2025"/>
    <n v="5"/>
    <s v="active"/>
    <s v="1/14/2024"/>
    <s v=" $204.50 "/>
    <n v="8"/>
    <n v="9"/>
    <s v="Home"/>
    <s v="Running Shoes"/>
    <s v="Sports"/>
    <x v="0"/>
    <n v="1636"/>
    <s v="Misaligned"/>
    <s v="50-64 Boomers"/>
    <s v="High Value Tier"/>
    <s v="Critical Risk"/>
  </r>
  <r>
    <s v="ORD6802"/>
    <s v="CUST2802"/>
    <n v="37"/>
    <s v="PROD2002"/>
    <s v="Pakistan"/>
    <d v="2020-08-12T00:00:00"/>
    <s v="12/14/2021"/>
    <n v="4"/>
    <s v="active"/>
    <d v="2022-08-01T00:00:00"/>
    <s v=" $390.24 "/>
    <n v="2"/>
    <n v="49"/>
    <s v="Electronics"/>
    <s v="Football"/>
    <s v="Sports"/>
    <x v="0"/>
    <n v="780.48"/>
    <s v="Misaligned"/>
    <s v="35-49 Gen X"/>
    <s v="High Value Tier"/>
    <s v="Critical Risk"/>
  </r>
  <r>
    <s v="ORD6803"/>
    <s v="CUST2803"/>
    <n v="57"/>
    <s v="PROD2003"/>
    <s v="Pakistan"/>
    <d v="2022-12-08T00:00:00"/>
    <s v="3/19/2025"/>
    <n v="1"/>
    <s v="active"/>
    <s v="7/30/2024"/>
    <s v=" $295.37 "/>
    <n v="6"/>
    <n v="27"/>
    <s v="Sports"/>
    <s v="Lamp"/>
    <s v="Home"/>
    <x v="1"/>
    <n v="1772.22"/>
    <s v="Misaligned"/>
    <s v="50-64 Boomers"/>
    <s v="High Value Tier"/>
    <s v="Stable"/>
  </r>
  <r>
    <s v="ORD6804"/>
    <s v="CUST2804"/>
    <n v="40"/>
    <s v="PROD2004"/>
    <s v="Germany"/>
    <d v="2022-08-04T00:00:00"/>
    <d v="2025-11-01T00:00:00"/>
    <n v="5"/>
    <s v="cancelled"/>
    <s v="6/19/2024"/>
    <s v=" $855.07 "/>
    <n v="2"/>
    <n v="2"/>
    <s v="Sports"/>
    <s v="Moisturizer"/>
    <s v="Beauty"/>
    <x v="1"/>
    <n v="1710.14"/>
    <s v="Misaligned"/>
    <s v="35-49 Gen X"/>
    <s v="High Value Tier"/>
    <s v="Stable"/>
  </r>
  <r>
    <s v="ORD6805"/>
    <s v="CUST2805"/>
    <n v="55"/>
    <s v="PROD2005"/>
    <s v="Canada"/>
    <s v="10/26/2022"/>
    <s v="1/29/2024"/>
    <n v="0"/>
    <s v="active"/>
    <d v="2023-03-08T00:00:00"/>
    <s v=" $1,595.97 "/>
    <n v="1"/>
    <n v="9"/>
    <s v="Electronics"/>
    <s v="T-Shirt"/>
    <s v="Clothing"/>
    <x v="0"/>
    <n v="1595.97"/>
    <s v="Misaligned"/>
    <s v="50-64 Boomers"/>
    <s v="High Value Tier"/>
    <s v="Stable"/>
  </r>
  <r>
    <s v="ORD6806"/>
    <s v="CUST2806"/>
    <n v="66"/>
    <s v="PROD2006"/>
    <s v="UK"/>
    <s v="3/22/2022"/>
    <d v="2023-03-03T00:00:00"/>
    <n v="5"/>
    <s v="cancelled"/>
    <s v="12/15/2023"/>
    <s v=" $139.58 "/>
    <n v="3"/>
    <n v="17"/>
    <s v="Home"/>
    <s v="Camera"/>
    <s v="Electronics"/>
    <x v="0"/>
    <n v="418.74"/>
    <s v="Misaligned"/>
    <s v="65+ Seniors"/>
    <s v="High Value Tier"/>
    <s v="Stable"/>
  </r>
  <r>
    <s v="ORD6807"/>
    <s v="CUST2807"/>
    <n v="44"/>
    <s v="PROD2007"/>
    <s v="Pakistan"/>
    <d v="2022-12-08T00:00:00"/>
    <d v="2025-10-03T00:00:00"/>
    <n v="5"/>
    <s v="active"/>
    <s v="11/30/2022"/>
    <s v=" $493.19 "/>
    <n v="4"/>
    <n v="7"/>
    <s v="Clothing"/>
    <s v="Camera"/>
    <s v="Electronics"/>
    <x v="0"/>
    <n v="1972.76"/>
    <s v="Misaligned"/>
    <s v="35-49 Gen X"/>
    <s v="High Value Tier"/>
    <s v="Critical Risk"/>
  </r>
  <r>
    <s v="ORD6808"/>
    <s v="CUST2808"/>
    <n v="25"/>
    <s v="PROD2008"/>
    <s v="UK"/>
    <d v="2020-06-09T00:00:00"/>
    <d v="2023-01-12T00:00:00"/>
    <n v="4"/>
    <s v="active"/>
    <d v="2024-03-03T00:00:00"/>
    <s v=" $3.87 "/>
    <n v="9"/>
    <n v="3"/>
    <s v="Beauty"/>
    <s v="Perfume"/>
    <s v="Beauty"/>
    <x v="0"/>
    <n v="34.83"/>
    <s v="Aligned"/>
    <s v="25-34 Millennials"/>
    <s v="Value Tier"/>
    <s v="Critical Risk"/>
  </r>
  <r>
    <s v="ORD6809"/>
    <s v="CUST2809"/>
    <n v="53"/>
    <s v="PROD2009"/>
    <s v="USA"/>
    <s v="8/21/2021"/>
    <s v="8/16/2022"/>
    <n v="3"/>
    <s v="active"/>
    <s v="1/20/2024"/>
    <s v=" $646.02 "/>
    <n v="3"/>
    <n v="46"/>
    <s v="Electronics"/>
    <s v="Face Wash"/>
    <s v="Beauty"/>
    <x v="0"/>
    <n v="1938.06"/>
    <s v="Misaligned"/>
    <s v="50-64 Boomers"/>
    <s v="High Value Tier"/>
    <s v="Stable"/>
  </r>
  <r>
    <s v="ORD6810"/>
    <s v="CUST2810"/>
    <n v="65"/>
    <s v="PROD2010"/>
    <s v="Pakistan"/>
    <d v="2021-11-02T00:00:00"/>
    <s v="4/23/2025"/>
    <n v="1"/>
    <s v="cancelled"/>
    <s v="4/18/2025"/>
    <s v=" $331.29 "/>
    <n v="6"/>
    <n v="20"/>
    <s v="Home"/>
    <s v="Foundation"/>
    <s v="Beauty"/>
    <x v="0"/>
    <n v="1987.74"/>
    <s v="Misaligned"/>
    <s v="65+ Seniors"/>
    <s v="High Value Tier"/>
    <s v="Stable"/>
  </r>
  <r>
    <s v="ORD6811"/>
    <s v="CUST2811"/>
    <n v="44"/>
    <s v="PROD2011"/>
    <s v="Germany"/>
    <s v="5/25/2022"/>
    <d v="2024-04-05T00:00:00"/>
    <n v="3"/>
    <s v="active"/>
    <s v="5/26/2022"/>
    <s v=" $95.93 "/>
    <n v="5"/>
    <n v="17"/>
    <s v="Clothing"/>
    <s v="Lipstick"/>
    <s v="Beauty"/>
    <x v="1"/>
    <n v="479.65"/>
    <s v="Misaligned"/>
    <s v="35-49 Gen X"/>
    <s v="High Value Tier"/>
    <s v="Stable"/>
  </r>
  <r>
    <s v="ORD6812"/>
    <s v="CUST2812"/>
    <n v="24"/>
    <s v="PROD2012"/>
    <s v="Canada"/>
    <d v="2021-03-01T00:00:00"/>
    <d v="2021-06-02T00:00:00"/>
    <n v="5"/>
    <s v="cancelled"/>
    <d v="2025-07-07T00:00:00"/>
    <s v=" $243.85 "/>
    <n v="7"/>
    <n v="5"/>
    <s v="Electronics"/>
    <s v="Basketball"/>
    <s v="Sports"/>
    <x v="0"/>
    <n v="1706.95"/>
    <s v="Misaligned"/>
    <s v="18-24 Gen Z"/>
    <s v="High Value Tier"/>
    <s v="Stable"/>
  </r>
  <r>
    <s v="ORD6813"/>
    <s v="CUST2813"/>
    <n v="69"/>
    <s v="PROD2013"/>
    <s v="UK"/>
    <d v="2021-12-03T00:00:00"/>
    <d v="2023-02-06T00:00:00"/>
    <n v="0"/>
    <s v="active"/>
    <d v="2025-05-08T00:00:00"/>
    <s v=" $57.06 "/>
    <n v="9"/>
    <n v="36"/>
    <s v="Beauty"/>
    <s v="Lamp"/>
    <s v="Home"/>
    <x v="2"/>
    <n v="513.54"/>
    <s v="Misaligned"/>
    <s v="65+ Seniors"/>
    <s v="High Value Tier"/>
    <s v="Stable"/>
  </r>
  <r>
    <s v="ORD6814"/>
    <s v="CUST2814"/>
    <n v="56"/>
    <s v="PROD2014"/>
    <s v="India"/>
    <d v="2021-07-03T00:00:00"/>
    <s v="9/14/2021"/>
    <n v="3"/>
    <s v="active"/>
    <s v="8/17/2025"/>
    <s v=" $248.20 "/>
    <n v="5"/>
    <n v="49"/>
    <s v="Beauty"/>
    <s v="Tennis Racket"/>
    <s v="Sports"/>
    <x v="0"/>
    <n v="1241"/>
    <s v="Misaligned"/>
    <s v="50-64 Boomers"/>
    <s v="High Value Tier"/>
    <s v="Stable"/>
  </r>
  <r>
    <s v="ORD6815"/>
    <s v="CUST2815"/>
    <n v="54"/>
    <s v="PROD2015"/>
    <s v="India"/>
    <d v="2021-11-09T00:00:00"/>
    <s v="4/23/2023"/>
    <n v="2"/>
    <s v="active"/>
    <s v="12/31/2024"/>
    <s v=" $40.29 "/>
    <n v="8"/>
    <n v="27"/>
    <s v="Sports"/>
    <s v="Tennis Racket"/>
    <s v="Sports"/>
    <x v="0"/>
    <n v="322.32"/>
    <s v="Aligned"/>
    <s v="50-64 Boomers"/>
    <s v="High Value Tier"/>
    <s v="Stable"/>
  </r>
  <r>
    <s v="ORD6816"/>
    <s v="CUST2816"/>
    <n v="37"/>
    <s v="PROD2016"/>
    <s v="Canada"/>
    <d v="2021-03-09T00:00:00"/>
    <s v="12/17/2024"/>
    <n v="2"/>
    <s v="active"/>
    <d v="2022-11-02T00:00:00"/>
    <s v=" $294.37 "/>
    <n v="5"/>
    <n v="30"/>
    <s v="Beauty"/>
    <s v="Lamp"/>
    <s v="Home"/>
    <x v="1"/>
    <n v="1471.85"/>
    <s v="Misaligned"/>
    <s v="35-49 Gen X"/>
    <s v="High Value Tier"/>
    <s v="Stable"/>
  </r>
  <r>
    <s v="ORD6817"/>
    <s v="CUST2817"/>
    <n v="58"/>
    <s v="PROD2017"/>
    <s v="UK"/>
    <s v="12/26/2021"/>
    <s v="2/22/2022"/>
    <n v="0"/>
    <s v="active"/>
    <s v="6/24/2024"/>
    <s v=" $103.64 "/>
    <n v="9"/>
    <n v="1"/>
    <s v="Sports"/>
    <s v="Jeans"/>
    <s v="Clothing"/>
    <x v="1"/>
    <n v="932.76"/>
    <s v="Misaligned"/>
    <s v="50-64 Boomers"/>
    <s v="Core Tier"/>
    <s v="Stable"/>
  </r>
  <r>
    <s v="ORD6818"/>
    <s v="CUST2818"/>
    <n v="28"/>
    <s v="PROD2018"/>
    <s v="Germany"/>
    <s v="8/28/2020"/>
    <d v="2022-01-03T00:00:00"/>
    <n v="2"/>
    <s v="active"/>
    <s v="8/20/2022"/>
    <s v=" $452.00 "/>
    <n v="4"/>
    <n v="20"/>
    <s v="Electronics"/>
    <s v="Lamp"/>
    <s v="Home"/>
    <x v="1"/>
    <n v="1808"/>
    <s v="Misaligned"/>
    <s v="25-34 Millennials"/>
    <s v="High Value Tier"/>
    <s v="Stable"/>
  </r>
  <r>
    <s v="ORD6819"/>
    <s v="CUST2819"/>
    <n v="18"/>
    <s v="PROD2019"/>
    <s v="UK"/>
    <s v="9/29/2021"/>
    <s v="4/23/2025"/>
    <n v="5"/>
    <s v="active"/>
    <s v="5/15/2022"/>
    <s v=" $899.63 "/>
    <n v="1"/>
    <n v="10"/>
    <s v="Electronics"/>
    <s v="Refrigerator"/>
    <s v="Home"/>
    <x v="0"/>
    <n v="899.63"/>
    <s v="Misaligned"/>
    <s v="18-24 Gen Z"/>
    <s v="High Value Tier"/>
    <s v="Critical Risk"/>
  </r>
  <r>
    <s v="ORD6820"/>
    <s v="CUST2820"/>
    <n v="26"/>
    <s v="PROD2020"/>
    <s v="USA"/>
    <d v="2021-10-04T00:00:00"/>
    <s v="10/31/2021"/>
    <n v="2"/>
    <s v="active"/>
    <d v="2024-03-05T00:00:00"/>
    <s v=" $219.62 "/>
    <n v="9"/>
    <n v="21"/>
    <s v="Home"/>
    <s v="Camera"/>
    <s v="Electronics"/>
    <x v="0"/>
    <n v="1976.58"/>
    <s v="Misaligned"/>
    <s v="25-34 Millennials"/>
    <s v="High Value Tier"/>
    <s v="Stable"/>
  </r>
  <r>
    <s v="ORD6821"/>
    <s v="CUST2821"/>
    <n v="21"/>
    <s v="PROD2021"/>
    <s v="USA"/>
    <s v="12/25/2020"/>
    <s v="4/27/2024"/>
    <n v="2"/>
    <s v="active"/>
    <s v="1/26/2022"/>
    <s v=" $183.35 "/>
    <n v="9"/>
    <n v="13"/>
    <s v="Beauty"/>
    <s v="Conditioner"/>
    <s v="Beauty"/>
    <x v="1"/>
    <n v="1650.15"/>
    <s v="Aligned"/>
    <s v="18-24 Gen Z"/>
    <s v="High Value Tier"/>
    <s v="Stable"/>
  </r>
  <r>
    <s v="ORD6822"/>
    <s v="CUST2822"/>
    <n v="28"/>
    <s v="PROD2022"/>
    <s v="USA"/>
    <d v="2022-12-11T00:00:00"/>
    <s v="4/28/2024"/>
    <n v="5"/>
    <s v="active"/>
    <s v="7/22/2025"/>
    <s v=" $634.36 "/>
    <n v="3"/>
    <n v="21"/>
    <s v="Sports"/>
    <s v="Microwave"/>
    <s v="Home"/>
    <x v="0"/>
    <n v="1903.08"/>
    <s v="Misaligned"/>
    <s v="25-34 Millennials"/>
    <s v="High Value Tier"/>
    <s v="Critical Risk"/>
  </r>
  <r>
    <s v="ORD6823"/>
    <s v="CUST2823"/>
    <n v="20"/>
    <s v="PROD2023"/>
    <s v="Pakistan"/>
    <s v="2/27/2021"/>
    <s v="12/30/2022"/>
    <n v="0"/>
    <s v="active"/>
    <s v="11/19/2022"/>
    <s v=" $90.04 "/>
    <n v="8"/>
    <n v="47"/>
    <s v="Clothing"/>
    <s v="Smartwatch"/>
    <s v="Electronics"/>
    <x v="0"/>
    <n v="720.32"/>
    <s v="Misaligned"/>
    <s v="18-24 Gen Z"/>
    <s v="High Value Tier"/>
    <s v="Stable"/>
  </r>
  <r>
    <s v="ORD6824"/>
    <s v="CUST2824"/>
    <n v="53"/>
    <s v="PROD2024"/>
    <s v="Pakistan"/>
    <s v="10/24/2021"/>
    <d v="2023-01-10T00:00:00"/>
    <n v="0"/>
    <s v="active"/>
    <s v="7/23/2025"/>
    <s v=" $132.42 "/>
    <n v="3"/>
    <n v="1"/>
    <s v="Beauty"/>
    <s v="Dumbbells"/>
    <s v="Sports"/>
    <x v="2"/>
    <n v="397.26"/>
    <s v="Misaligned"/>
    <s v="50-64 Boomers"/>
    <s v="Value Tier"/>
    <s v="Stable"/>
  </r>
  <r>
    <s v="ORD6825"/>
    <s v="CUST2825"/>
    <n v="39"/>
    <s v="PROD2025"/>
    <s v="USA"/>
    <s v="6/27/2022"/>
    <d v="2025-04-08T00:00:00"/>
    <n v="1"/>
    <s v="paused"/>
    <s v="1/22/2024"/>
    <s v=" $369.90 "/>
    <n v="2"/>
    <n v="48"/>
    <s v="Electronics"/>
    <s v="Shampoo"/>
    <s v="Beauty"/>
    <x v="1"/>
    <n v="739.8"/>
    <s v="Misaligned"/>
    <s v="35-49 Gen X"/>
    <s v="High Value Tier"/>
    <s v="Elevated Risk"/>
  </r>
  <r>
    <s v="ORD6826"/>
    <s v="CUST2826"/>
    <n v="45"/>
    <s v="PROD2026"/>
    <s v="Pakistan"/>
    <s v="9/19/2020"/>
    <d v="2022-01-01T00:00:00"/>
    <n v="2"/>
    <s v="cancelled"/>
    <d v="2021-10-06T00:00:00"/>
    <s v=" $193.98 "/>
    <n v="6"/>
    <n v="43"/>
    <s v="Home"/>
    <s v="Football"/>
    <s v="Sports"/>
    <x v="1"/>
    <n v="1163.8800000000001"/>
    <s v="Misaligned"/>
    <s v="35-49 Gen X"/>
    <s v="High Value Tier"/>
    <s v="Stable"/>
  </r>
  <r>
    <s v="ORD6827"/>
    <s v="CUST2827"/>
    <n v="61"/>
    <s v="PROD2027"/>
    <s v="Germany"/>
    <s v="7/19/2021"/>
    <d v="2025-06-01T00:00:00"/>
    <n v="4"/>
    <s v="active"/>
    <s v="10/23/2024"/>
    <s v=" $213.98 "/>
    <n v="3"/>
    <n v="27"/>
    <s v="Home"/>
    <s v="Sneakers"/>
    <s v="Clothing"/>
    <x v="0"/>
    <n v="641.94000000000005"/>
    <s v="Misaligned"/>
    <s v="50-64 Boomers"/>
    <s v="High Value Tier"/>
    <s v="Critical Risk"/>
  </r>
  <r>
    <s v="ORD6828"/>
    <s v="CUST2828"/>
    <n v="51"/>
    <s v="PROD2028"/>
    <s v="Canada"/>
    <s v="8/22/2020"/>
    <s v="8/17/2022"/>
    <n v="5"/>
    <s v="cancelled"/>
    <s v="12/23/2022"/>
    <s v=" $139.20 "/>
    <n v="9"/>
    <n v="48"/>
    <s v="Home"/>
    <s v="Jacket"/>
    <s v="Clothing"/>
    <x v="0"/>
    <n v="1252.8"/>
    <s v="Misaligned"/>
    <s v="50-64 Boomers"/>
    <s v="High Value Tier"/>
    <s v="Stable"/>
  </r>
  <r>
    <s v="ORD6829"/>
    <s v="CUST2829"/>
    <n v="39"/>
    <s v="PROD2029"/>
    <s v="UK"/>
    <s v="3/15/2023"/>
    <s v="5/30/2023"/>
    <n v="5"/>
    <s v="cancelled"/>
    <d v="2023-01-10T00:00:00"/>
    <s v=" $429.99 "/>
    <n v="1"/>
    <n v="29"/>
    <s v="Home"/>
    <s v="Smartwatch"/>
    <s v="Electronics"/>
    <x v="0"/>
    <n v="429.99"/>
    <s v="Misaligned"/>
    <s v="35-49 Gen X"/>
    <s v="High Value Tier"/>
    <s v="Stable"/>
  </r>
  <r>
    <s v="ORD6830"/>
    <s v="CUST2830"/>
    <n v="66"/>
    <s v="PROD2030"/>
    <s v="Germany"/>
    <d v="2023-10-04T00:00:00"/>
    <s v="5/29/2023"/>
    <n v="5"/>
    <s v="cancelled"/>
    <s v="7/31/2023"/>
    <s v=" $204.48 "/>
    <n v="6"/>
    <n v="10"/>
    <s v="Electronics"/>
    <s v="Camera"/>
    <s v="Electronics"/>
    <x v="1"/>
    <n v="1226.8800000000001"/>
    <s v="Aligned"/>
    <s v="65+ Seniors"/>
    <s v="High Value Tier"/>
    <s v="Stable"/>
  </r>
  <r>
    <s v="ORD6831"/>
    <s v="CUST2831"/>
    <n v="62"/>
    <s v="PROD2031"/>
    <s v="Germany"/>
    <d v="2022-05-01T00:00:00"/>
    <d v="2025-05-06T00:00:00"/>
    <n v="0"/>
    <s v="cancelled"/>
    <s v="9/28/2023"/>
    <s v=" $26.95 "/>
    <n v="5"/>
    <n v="33"/>
    <s v="Clothing"/>
    <s v="Nail Polish"/>
    <s v="Beauty"/>
    <x v="0"/>
    <n v="134.75"/>
    <s v="Misaligned"/>
    <s v="50-64 Boomers"/>
    <s v="High Value Tier"/>
    <s v="Stable"/>
  </r>
  <r>
    <s v="ORD6832"/>
    <s v="CUST2832"/>
    <n v="53"/>
    <s v="PROD2032"/>
    <s v="Canada"/>
    <s v="6/15/2022"/>
    <s v="3/24/2023"/>
    <n v="1"/>
    <s v="active"/>
    <d v="2025-06-07T00:00:00"/>
    <s v=" $22.66 "/>
    <n v="6"/>
    <n v="32"/>
    <s v="Sports"/>
    <s v="Smartwatch"/>
    <s v="Electronics"/>
    <x v="0"/>
    <n v="135.96"/>
    <s v="Misaligned"/>
    <s v="50-64 Boomers"/>
    <s v="High Value Tier"/>
    <s v="Stable"/>
  </r>
  <r>
    <s v="ORD6833"/>
    <s v="CUST2833"/>
    <n v="32"/>
    <s v="PROD2033"/>
    <s v="Pakistan"/>
    <d v="2023-10-04T00:00:00"/>
    <s v="7/28/2025"/>
    <n v="2"/>
    <s v="active"/>
    <d v="2025-03-08T00:00:00"/>
    <s v=" $150.86 "/>
    <n v="9"/>
    <n v="48"/>
    <s v="Electronics"/>
    <s v="Shampoo"/>
    <s v="Beauty"/>
    <x v="1"/>
    <n v="1357.74"/>
    <s v="Misaligned"/>
    <s v="25-34 Millennials"/>
    <s v="High Value Tier"/>
    <s v="Stable"/>
  </r>
  <r>
    <s v="ORD6834"/>
    <s v="CUST2834"/>
    <n v="38"/>
    <s v="PROD2034"/>
    <s v="India"/>
    <s v="8/19/2022"/>
    <d v="2023-04-07T00:00:00"/>
    <n v="0"/>
    <s v="paused"/>
    <d v="2023-06-05T00:00:00"/>
    <s v=" $347.74 "/>
    <n v="3"/>
    <n v="29"/>
    <s v="Beauty"/>
    <s v="Headphones"/>
    <s v="Electronics"/>
    <x v="1"/>
    <n v="1043.22"/>
    <s v="Misaligned"/>
    <s v="35-49 Gen X"/>
    <s v="High Value Tier"/>
    <s v="Elevated Risk"/>
  </r>
  <r>
    <s v="ORD6835"/>
    <s v="CUST2835"/>
    <n v="38"/>
    <s v="PROD2035"/>
    <s v="Pakistan"/>
    <d v="2022-05-05T00:00:00"/>
    <s v="2/14/2024"/>
    <n v="4"/>
    <s v="cancelled"/>
    <d v="2025-08-02T00:00:00"/>
    <s v=" $11.42 "/>
    <n v="9"/>
    <n v="34"/>
    <s v="Beauty"/>
    <s v="Cycling Helmet"/>
    <s v="Sports"/>
    <x v="0"/>
    <n v="102.78"/>
    <s v="Misaligned"/>
    <s v="35-49 Gen X"/>
    <s v="High Value Tier"/>
    <s v="Stable"/>
  </r>
  <r>
    <s v="ORD6836"/>
    <s v="CUST2836"/>
    <n v="64"/>
    <s v="PROD2036"/>
    <s v="Germany"/>
    <s v="3/26/2022"/>
    <s v="1/15/2023"/>
    <n v="1"/>
    <s v="active"/>
    <s v="7/25/2023"/>
    <s v=" $531.15 "/>
    <n v="3"/>
    <n v="26"/>
    <s v="Electronics"/>
    <s v="Jacket"/>
    <s v="Clothing"/>
    <x v="1"/>
    <n v="1593.45"/>
    <s v="Misaligned"/>
    <s v="50-64 Boomers"/>
    <s v="High Value Tier"/>
    <s v="Stable"/>
  </r>
  <r>
    <s v="ORD6837"/>
    <s v="CUST2837"/>
    <n v="33"/>
    <s v="PROD2037"/>
    <s v="India"/>
    <d v="2022-12-07T00:00:00"/>
    <d v="2022-09-10T00:00:00"/>
    <n v="3"/>
    <s v="paused"/>
    <s v="7/28/2024"/>
    <s v=" $1,339.00 "/>
    <n v="1"/>
    <n v="48"/>
    <s v="Clothing"/>
    <s v="Conditioner"/>
    <s v="Beauty"/>
    <x v="0"/>
    <n v="1339"/>
    <s v="Misaligned"/>
    <s v="25-34 Millennials"/>
    <s v="High Value Tier"/>
    <s v="Elevated Risk"/>
  </r>
  <r>
    <s v="ORD6838"/>
    <s v="CUST2838"/>
    <n v="23"/>
    <s v="PROD2038"/>
    <s v="India"/>
    <d v="2021-11-04T00:00:00"/>
    <d v="2022-02-05T00:00:00"/>
    <n v="0"/>
    <s v="active"/>
    <s v="9/29/2024"/>
    <s v=" $809.03 "/>
    <n v="1"/>
    <n v="42"/>
    <s v="Home"/>
    <s v="Gaming Console"/>
    <s v="Electronics"/>
    <x v="1"/>
    <n v="809.03"/>
    <s v="Misaligned"/>
    <s v="18-24 Gen Z"/>
    <s v="High Value Tier"/>
    <s v="Stable"/>
  </r>
  <r>
    <s v="ORD6839"/>
    <s v="CUST2839"/>
    <n v="45"/>
    <s v="PROD2039"/>
    <s v="USA"/>
    <d v="2023-04-01T00:00:00"/>
    <s v="5/28/2025"/>
    <n v="1"/>
    <s v="cancelled"/>
    <s v="12/27/2023"/>
    <s v=" $423.72 "/>
    <n v="3"/>
    <n v="43"/>
    <s v="Electronics"/>
    <s v="Hoodie"/>
    <s v="Clothing"/>
    <x v="1"/>
    <n v="1271.1600000000001"/>
    <s v="Misaligned"/>
    <s v="35-49 Gen X"/>
    <s v="High Value Tier"/>
    <s v="Stable"/>
  </r>
  <r>
    <s v="ORD6840"/>
    <s v="CUST2840"/>
    <n v="31"/>
    <s v="PROD2040"/>
    <s v="USA"/>
    <s v="9/16/2022"/>
    <s v="1/22/2023"/>
    <n v="3"/>
    <s v="cancelled"/>
    <d v="2023-02-11T00:00:00"/>
    <s v=" $72.44 "/>
    <n v="7"/>
    <n v="33"/>
    <s v="Beauty"/>
    <s v="Bluetooth Speaker"/>
    <s v="Electronics"/>
    <x v="1"/>
    <n v="507.08"/>
    <s v="Misaligned"/>
    <s v="25-34 Millennials"/>
    <s v="High Value Tier"/>
    <s v="Stable"/>
  </r>
  <r>
    <s v="ORD6841"/>
    <s v="CUST2841"/>
    <n v="58"/>
    <s v="PROD2041"/>
    <s v="USA"/>
    <d v="2022-07-02T00:00:00"/>
    <d v="2022-12-02T00:00:00"/>
    <n v="2"/>
    <s v="paused"/>
    <s v="5/24/2025"/>
    <s v=" $156.44 "/>
    <n v="4"/>
    <n v="36"/>
    <s v="Clothing"/>
    <s v="Bluetooth Speaker"/>
    <s v="Electronics"/>
    <x v="0"/>
    <n v="625.76"/>
    <s v="Misaligned"/>
    <s v="50-64 Boomers"/>
    <s v="High Value Tier"/>
    <s v="Elevated Risk"/>
  </r>
  <r>
    <s v="ORD6842"/>
    <s v="CUST2842"/>
    <n v="34"/>
    <s v="PROD2042"/>
    <s v="Canada"/>
    <d v="2021-01-07T00:00:00"/>
    <s v="2/22/2022"/>
    <n v="3"/>
    <s v="active"/>
    <s v="10/28/2021"/>
    <s v=" $158.08 "/>
    <n v="6"/>
    <n v="7"/>
    <s v="Beauty"/>
    <s v="Jeans"/>
    <s v="Clothing"/>
    <x v="1"/>
    <n v="948.48"/>
    <s v="Misaligned"/>
    <s v="25-34 Millennials"/>
    <s v="High Value Tier"/>
    <s v="Stable"/>
  </r>
  <r>
    <s v="ORD6843"/>
    <s v="CUST2843"/>
    <n v="26"/>
    <s v="PROD2043"/>
    <s v="Pakistan"/>
    <s v="9/26/2022"/>
    <s v="1/21/2024"/>
    <n v="2"/>
    <s v="active"/>
    <d v="2023-12-12T00:00:00"/>
    <s v=" $644.69 "/>
    <n v="1"/>
    <n v="46"/>
    <s v="Beauty"/>
    <s v="Nail Polish"/>
    <s v="Beauty"/>
    <x v="1"/>
    <n v="644.69000000000005"/>
    <s v="Aligned"/>
    <s v="25-34 Millennials"/>
    <s v="High Value Tier"/>
    <s v="Stable"/>
  </r>
  <r>
    <s v="ORD6844"/>
    <s v="CUST2844"/>
    <n v="43"/>
    <s v="PROD2044"/>
    <s v="India"/>
    <s v="12/20/2021"/>
    <s v="2/22/2024"/>
    <n v="4"/>
    <s v="active"/>
    <s v="3/25/2024"/>
    <s v=" $570.25 "/>
    <n v="3"/>
    <n v="33"/>
    <s v="Clothing"/>
    <s v="T-Shirt"/>
    <s v="Clothing"/>
    <x v="1"/>
    <n v="1710.75"/>
    <s v="Aligned"/>
    <s v="35-49 Gen X"/>
    <s v="High Value Tier"/>
    <s v="Critical Risk"/>
  </r>
  <r>
    <s v="ORD6845"/>
    <s v="CUST2845"/>
    <n v="61"/>
    <s v="PROD2045"/>
    <s v="Germany"/>
    <d v="2021-02-09T00:00:00"/>
    <s v="4/24/2023"/>
    <n v="1"/>
    <s v="active"/>
    <s v="8/21/2022"/>
    <s v=" $267.00 "/>
    <n v="7"/>
    <n v="14"/>
    <s v="Sports"/>
    <s v="Cricket Bat"/>
    <s v="Sports"/>
    <x v="1"/>
    <n v="1869"/>
    <s v="Aligned"/>
    <s v="50-64 Boomers"/>
    <s v="High Value Tier"/>
    <s v="Stable"/>
  </r>
  <r>
    <s v="ORD6846"/>
    <s v="CUST2846"/>
    <n v="19"/>
    <s v="PROD2046"/>
    <s v="USA"/>
    <d v="2022-04-01T00:00:00"/>
    <d v="2024-03-09T00:00:00"/>
    <n v="3"/>
    <s v="active"/>
    <d v="2022-11-11T00:00:00"/>
    <s v=" $138.42 "/>
    <n v="4"/>
    <n v="14"/>
    <s v="Electronics"/>
    <s v="Face Wash"/>
    <s v="Beauty"/>
    <x v="1"/>
    <n v="553.67999999999995"/>
    <s v="Misaligned"/>
    <s v="18-24 Gen Z"/>
    <s v="High Value Tier"/>
    <s v="Stable"/>
  </r>
  <r>
    <s v="ORD6847"/>
    <s v="CUST2847"/>
    <n v="47"/>
    <s v="PROD2047"/>
    <s v="Pakistan"/>
    <d v="2020-08-10T00:00:00"/>
    <s v="5/18/2024"/>
    <n v="4"/>
    <s v="active"/>
    <s v="8/21/2023"/>
    <s v=" $71.79 "/>
    <n v="7"/>
    <n v="33"/>
    <s v="Home"/>
    <s v="Conditioner"/>
    <s v="Beauty"/>
    <x v="0"/>
    <n v="502.53"/>
    <s v="Misaligned"/>
    <s v="35-49 Gen X"/>
    <s v="High Value Tier"/>
    <s v="Critical Risk"/>
  </r>
  <r>
    <s v="ORD6848"/>
    <s v="CUST2848"/>
    <n v="30"/>
    <s v="PROD2048"/>
    <s v="USA"/>
    <s v="5/22/2023"/>
    <s v="7/19/2023"/>
    <n v="3"/>
    <s v="active"/>
    <d v="2024-08-02T00:00:00"/>
    <s v=" $477.46 "/>
    <n v="4"/>
    <n v="28"/>
    <s v="Electronics"/>
    <s v="Basketball"/>
    <s v="Sports"/>
    <x v="1"/>
    <n v="1909.84"/>
    <s v="Misaligned"/>
    <s v="25-34 Millennials"/>
    <s v="High Value Tier"/>
    <s v="Stable"/>
  </r>
  <r>
    <s v="ORD6849"/>
    <s v="CUST2849"/>
    <n v="43"/>
    <s v="PROD2049"/>
    <s v="India"/>
    <s v="4/25/2022"/>
    <d v="2022-09-09T00:00:00"/>
    <n v="3"/>
    <s v="active"/>
    <d v="2023-12-05T00:00:00"/>
    <s v=" $601.04 "/>
    <n v="1"/>
    <n v="5"/>
    <s v="Clothing"/>
    <s v="Foundation"/>
    <s v="Beauty"/>
    <x v="1"/>
    <n v="601.04"/>
    <s v="Misaligned"/>
    <s v="35-49 Gen X"/>
    <s v="High Value Tier"/>
    <s v="Stable"/>
  </r>
  <r>
    <s v="ORD6850"/>
    <s v="CUST2850"/>
    <n v="28"/>
    <s v="PROD2050"/>
    <s v="UK"/>
    <d v="2021-04-04T00:00:00"/>
    <s v="10/14/2024"/>
    <n v="4"/>
    <s v="cancelled"/>
    <d v="2025-09-03T00:00:00"/>
    <s v=" $467.71 "/>
    <n v="3"/>
    <n v="30"/>
    <s v="Electronics"/>
    <s v="Chair"/>
    <s v="Home"/>
    <x v="0"/>
    <n v="1403.13"/>
    <s v="Misaligned"/>
    <s v="25-34 Millennials"/>
    <s v="High Value Tier"/>
    <s v="Stable"/>
  </r>
  <r>
    <s v="ORD6851"/>
    <s v="CUST2851"/>
    <n v="47"/>
    <s v="PROD2051"/>
    <s v="Germany"/>
    <d v="2020-12-09T00:00:00"/>
    <s v="3/18/2022"/>
    <n v="1"/>
    <s v="active"/>
    <s v="1/23/2021"/>
    <s v=" $147.14 "/>
    <n v="7"/>
    <n v="36"/>
    <s v="Clothing"/>
    <s v="Chair"/>
    <s v="Home"/>
    <x v="1"/>
    <n v="1029.98"/>
    <s v="Misaligned"/>
    <s v="35-49 Gen X"/>
    <s v="High Value Tier"/>
    <s v="Stable"/>
  </r>
  <r>
    <s v="ORD6852"/>
    <s v="CUST2852"/>
    <n v="60"/>
    <s v="PROD2052"/>
    <s v="USA"/>
    <s v="5/14/2022"/>
    <s v="11/30/2023"/>
    <n v="3"/>
    <s v="cancelled"/>
    <s v="12/27/2023"/>
    <s v=" $283.39 "/>
    <n v="2"/>
    <n v="17"/>
    <s v="Electronics"/>
    <s v="Foundation"/>
    <s v="Beauty"/>
    <x v="1"/>
    <n v="566.78"/>
    <s v="Misaligned"/>
    <s v="50-64 Boomers"/>
    <s v="High Value Tier"/>
    <s v="Stable"/>
  </r>
  <r>
    <s v="ORD6853"/>
    <s v="CUST2853"/>
    <n v="21"/>
    <s v="PROD2053"/>
    <s v="Germany"/>
    <s v="10/16/2021"/>
    <s v="7/30/2025"/>
    <n v="1"/>
    <s v="cancelled"/>
    <s v="7/21/2022"/>
    <s v=" $743.56 "/>
    <n v="2"/>
    <n v="28"/>
    <s v="Electronics"/>
    <s v="Blender"/>
    <s v="Home"/>
    <x v="0"/>
    <n v="1487.12"/>
    <s v="Misaligned"/>
    <s v="18-24 Gen Z"/>
    <s v="High Value Tier"/>
    <s v="Stable"/>
  </r>
  <r>
    <s v="ORD6854"/>
    <s v="CUST2854"/>
    <n v="61"/>
    <s v="PROD2054"/>
    <s v="USA"/>
    <d v="2021-01-08T00:00:00"/>
    <s v="10/13/2022"/>
    <n v="1"/>
    <s v="active"/>
    <d v="2025-12-07T00:00:00"/>
    <s v=" $63.10 "/>
    <n v="8"/>
    <n v="29"/>
    <s v="Beauty"/>
    <s v="Football"/>
    <s v="Sports"/>
    <x v="1"/>
    <n v="504.8"/>
    <s v="Misaligned"/>
    <s v="50-64 Boomers"/>
    <s v="High Value Tier"/>
    <s v="Stable"/>
  </r>
  <r>
    <s v="ORD6855"/>
    <s v="CUST2855"/>
    <n v="28"/>
    <s v="PROD2055"/>
    <s v="UK"/>
    <s v="12/20/2022"/>
    <s v="7/18/2024"/>
    <n v="3"/>
    <s v="paused"/>
    <s v="4/16/2025"/>
    <s v=" $189.33 "/>
    <n v="7"/>
    <n v="4"/>
    <s v="Beauty"/>
    <s v="Conditioner"/>
    <s v="Beauty"/>
    <x v="1"/>
    <n v="1325.31"/>
    <s v="Aligned"/>
    <s v="25-34 Millennials"/>
    <s v="High Value Tier"/>
    <s v="Elevated Risk"/>
  </r>
  <r>
    <s v="ORD6856"/>
    <s v="CUST2856"/>
    <n v="65"/>
    <s v="PROD2056"/>
    <s v="Germany"/>
    <s v="2/26/2023"/>
    <d v="2024-01-09T00:00:00"/>
    <n v="0"/>
    <s v="active"/>
    <d v="2023-05-03T00:00:00"/>
    <s v=" $365.30 "/>
    <n v="4"/>
    <n v="18"/>
    <s v="Sports"/>
    <s v="Sofa"/>
    <s v="Home"/>
    <x v="2"/>
    <n v="1461.2"/>
    <s v="Misaligned"/>
    <s v="65+ Seniors"/>
    <s v="High Value Tier"/>
    <s v="Stable"/>
  </r>
  <r>
    <s v="ORD6857"/>
    <s v="CUST2857"/>
    <n v="61"/>
    <s v="PROD2057"/>
    <s v="Canada"/>
    <s v="2/23/2023"/>
    <d v="2023-10-10T00:00:00"/>
    <n v="1"/>
    <s v="active"/>
    <d v="2024-06-11T00:00:00"/>
    <s v=" $44.94 "/>
    <n v="9"/>
    <n v="7"/>
    <s v="Clothing"/>
    <s v="Sneakers"/>
    <s v="Clothing"/>
    <x v="0"/>
    <n v="404.46"/>
    <s v="Aligned"/>
    <s v="50-64 Boomers"/>
    <s v="High Value Tier"/>
    <s v="Stable"/>
  </r>
  <r>
    <s v="ORD6858"/>
    <s v="CUST2858"/>
    <n v="46"/>
    <s v="PROD2058"/>
    <s v="USA"/>
    <s v="12/31/2022"/>
    <s v="8/29/2023"/>
    <n v="1"/>
    <s v="active"/>
    <d v="2023-01-03T00:00:00"/>
    <s v=" $556.42 "/>
    <n v="2"/>
    <n v="6"/>
    <s v="Beauty"/>
    <s v="Vacuum Cleaner"/>
    <s v="Home"/>
    <x v="1"/>
    <n v="1112.8399999999999"/>
    <s v="Misaligned"/>
    <s v="35-49 Gen X"/>
    <s v="High Value Tier"/>
    <s v="Stable"/>
  </r>
  <r>
    <s v="ORD6859"/>
    <s v="CUST2859"/>
    <n v="63"/>
    <s v="PROD2059"/>
    <s v="USA"/>
    <s v="5/30/2022"/>
    <s v="12/18/2024"/>
    <n v="2"/>
    <s v="cancelled"/>
    <d v="2023-06-07T00:00:00"/>
    <s v=" $103.42 "/>
    <n v="6"/>
    <n v="40"/>
    <s v="Home"/>
    <s v="Lipstick"/>
    <s v="Beauty"/>
    <x v="1"/>
    <n v="620.52"/>
    <s v="Misaligned"/>
    <s v="50-64 Boomers"/>
    <s v="High Value Tier"/>
    <s v="Stable"/>
  </r>
  <r>
    <s v="ORD6860"/>
    <s v="CUST2860"/>
    <n v="35"/>
    <s v="PROD2060"/>
    <s v="Pakistan"/>
    <s v="2/17/2023"/>
    <s v="12/17/2024"/>
    <n v="0"/>
    <s v="active"/>
    <d v="2024-12-09T00:00:00"/>
    <s v=" $300.08 "/>
    <n v="4"/>
    <n v="25"/>
    <s v="Electronics"/>
    <s v="Conditioner"/>
    <s v="Beauty"/>
    <x v="2"/>
    <n v="1200.32"/>
    <s v="Misaligned"/>
    <s v="35-49 Gen X"/>
    <s v="High Value Tier"/>
    <s v="Stable"/>
  </r>
  <r>
    <s v="ORD6861"/>
    <s v="CUST2861"/>
    <n v="39"/>
    <s v="PROD2061"/>
    <s v="USA"/>
    <d v="2021-08-04T00:00:00"/>
    <s v="8/15/2024"/>
    <n v="5"/>
    <s v="active"/>
    <d v="2024-12-11T00:00:00"/>
    <s v=" $117.58 "/>
    <n v="2"/>
    <n v="4"/>
    <s v="Clothing"/>
    <s v="Sneakers"/>
    <s v="Clothing"/>
    <x v="0"/>
    <n v="235.16"/>
    <s v="Aligned"/>
    <s v="35-49 Gen X"/>
    <s v="Core Tier"/>
    <s v="Critical Risk"/>
  </r>
  <r>
    <s v="ORD6862"/>
    <s v="CUST2862"/>
    <n v="43"/>
    <s v="PROD2062"/>
    <s v="UK"/>
    <s v="10/18/2020"/>
    <s v="2/24/2021"/>
    <n v="4"/>
    <s v="active"/>
    <s v="10/16/2023"/>
    <s v=" $1,685.50 "/>
    <n v="1"/>
    <n v="8"/>
    <s v="Beauty"/>
    <s v="Jacket"/>
    <s v="Clothing"/>
    <x v="1"/>
    <n v="1685.5"/>
    <s v="Misaligned"/>
    <s v="35-49 Gen X"/>
    <s v="High Value Tier"/>
    <s v="Critical Risk"/>
  </r>
  <r>
    <s v="ORD6863"/>
    <s v="CUST2863"/>
    <n v="58"/>
    <s v="PROD2063"/>
    <s v="Germany"/>
    <s v="8/17/2021"/>
    <d v="2023-01-10T00:00:00"/>
    <n v="4"/>
    <s v="active"/>
    <s v="10/24/2022"/>
    <s v=" $331.38 "/>
    <n v="5"/>
    <n v="6"/>
    <s v="Clothing"/>
    <s v="Gaming Console"/>
    <s v="Electronics"/>
    <x v="1"/>
    <n v="1656.9"/>
    <s v="Misaligned"/>
    <s v="50-64 Boomers"/>
    <s v="High Value Tier"/>
    <s v="Critical Risk"/>
  </r>
  <r>
    <s v="ORD6864"/>
    <s v="CUST2864"/>
    <n v="21"/>
    <s v="PROD2064"/>
    <s v="USA"/>
    <s v="11/23/2020"/>
    <d v="2023-04-11T00:00:00"/>
    <n v="0"/>
    <s v="paused"/>
    <s v="6/27/2021"/>
    <s v=" $529.98 "/>
    <n v="1"/>
    <n v="41"/>
    <s v="Sports"/>
    <s v="Cricket Bat"/>
    <s v="Sports"/>
    <x v="0"/>
    <n v="529.98"/>
    <s v="Aligned"/>
    <s v="18-24 Gen Z"/>
    <s v="High Value Tier"/>
    <s v="Elevated Risk"/>
  </r>
  <r>
    <s v="ORD6865"/>
    <s v="CUST2865"/>
    <n v="46"/>
    <s v="PROD2065"/>
    <s v="Pakistan"/>
    <s v="7/15/2022"/>
    <s v="6/13/2025"/>
    <n v="5"/>
    <s v="cancelled"/>
    <s v="9/18/2024"/>
    <s v=" $642.41 "/>
    <n v="3"/>
    <n v="26"/>
    <s v="Clothing"/>
    <s v="Smartphone"/>
    <s v="Electronics"/>
    <x v="1"/>
    <n v="1927.23"/>
    <s v="Misaligned"/>
    <s v="35-49 Gen X"/>
    <s v="High Value Tier"/>
    <s v="Stable"/>
  </r>
  <r>
    <s v="ORD6866"/>
    <s v="CUST2866"/>
    <n v="67"/>
    <s v="PROD2066"/>
    <s v="Canada"/>
    <s v="1/24/2022"/>
    <s v="7/25/2025"/>
    <n v="3"/>
    <s v="active"/>
    <s v="3/17/2023"/>
    <s v=" $118.68 "/>
    <n v="9"/>
    <n v="38"/>
    <s v="Electronics"/>
    <s v="Shampoo"/>
    <s v="Beauty"/>
    <x v="0"/>
    <n v="1068.1199999999999"/>
    <s v="Misaligned"/>
    <s v="65+ Seniors"/>
    <s v="High Value Tier"/>
    <s v="Stable"/>
  </r>
  <r>
    <s v="ORD6867"/>
    <s v="CUST2867"/>
    <n v="24"/>
    <s v="PROD2067"/>
    <s v="Canada"/>
    <s v="3/17/2022"/>
    <s v="9/27/2022"/>
    <n v="2"/>
    <s v="cancelled"/>
    <d v="2023-06-09T00:00:00"/>
    <s v=" $570.81 "/>
    <n v="1"/>
    <n v="40"/>
    <s v="Clothing"/>
    <s v="Face Wash"/>
    <s v="Beauty"/>
    <x v="0"/>
    <n v="570.80999999999995"/>
    <s v="Misaligned"/>
    <s v="18-24 Gen Z"/>
    <s v="High Value Tier"/>
    <s v="Stable"/>
  </r>
  <r>
    <s v="ORD6868"/>
    <s v="CUST2868"/>
    <n v="28"/>
    <s v="PROD2068"/>
    <s v="Canada"/>
    <d v="2020-09-11T00:00:00"/>
    <s v="12/31/2022"/>
    <n v="0"/>
    <s v="active"/>
    <s v="3/26/2023"/>
    <s v=" $410.67 "/>
    <n v="3"/>
    <n v="42"/>
    <s v="Electronics"/>
    <s v="Jacket"/>
    <s v="Clothing"/>
    <x v="0"/>
    <n v="1232.01"/>
    <s v="Misaligned"/>
    <s v="25-34 Millennials"/>
    <s v="High Value Tier"/>
    <s v="Stable"/>
  </r>
  <r>
    <s v="ORD6869"/>
    <s v="CUST2869"/>
    <n v="68"/>
    <s v="PROD2069"/>
    <s v="UK"/>
    <d v="2021-11-08T00:00:00"/>
    <s v="5/15/2023"/>
    <n v="1"/>
    <s v="active"/>
    <s v="5/14/2024"/>
    <s v=" $21.90 "/>
    <n v="8"/>
    <n v="14"/>
    <s v="Sports"/>
    <s v="Camera"/>
    <s v="Electronics"/>
    <x v="1"/>
    <n v="175.2"/>
    <s v="Misaligned"/>
    <s v="65+ Seniors"/>
    <s v="Core Tier"/>
    <s v="Stable"/>
  </r>
  <r>
    <s v="ORD6870"/>
    <s v="CUST2870"/>
    <n v="26"/>
    <s v="PROD2070"/>
    <s v="UK"/>
    <s v="6/14/2023"/>
    <d v="2025-06-02T00:00:00"/>
    <n v="2"/>
    <s v="cancelled"/>
    <d v="2024-06-11T00:00:00"/>
    <s v=" $239.88 "/>
    <n v="8"/>
    <n v="44"/>
    <s v="Home"/>
    <s v="Headphones"/>
    <s v="Electronics"/>
    <x v="0"/>
    <n v="1919.04"/>
    <s v="Misaligned"/>
    <s v="25-34 Millennials"/>
    <s v="High Value Tier"/>
    <s v="Stable"/>
  </r>
  <r>
    <s v="ORD6871"/>
    <s v="CUST2871"/>
    <n v="27"/>
    <s v="PROD2071"/>
    <s v="Pakistan"/>
    <d v="2023-09-05T00:00:00"/>
    <d v="2025-08-07T00:00:00"/>
    <n v="1"/>
    <s v="cancelled"/>
    <s v="9/25/2023"/>
    <s v=" $1,761.57 "/>
    <n v="1"/>
    <n v="16"/>
    <s v="Electronics"/>
    <s v="Dumbbells"/>
    <s v="Sports"/>
    <x v="1"/>
    <n v="1761.57"/>
    <s v="Misaligned"/>
    <s v="25-34 Millennials"/>
    <s v="High Value Tier"/>
    <s v="Stable"/>
  </r>
  <r>
    <s v="ORD6872"/>
    <s v="CUST2872"/>
    <n v="48"/>
    <s v="PROD2072"/>
    <s v="USA"/>
    <d v="2021-01-10T00:00:00"/>
    <s v="4/22/2024"/>
    <n v="5"/>
    <s v="active"/>
    <s v="10/14/2024"/>
    <s v=" $1,081.80 "/>
    <n v="1"/>
    <n v="40"/>
    <s v="Clothing"/>
    <s v="Yoga Mat"/>
    <s v="Sports"/>
    <x v="1"/>
    <n v="1081.8"/>
    <s v="Misaligned"/>
    <s v="35-49 Gen X"/>
    <s v="High Value Tier"/>
    <s v="Critical Risk"/>
  </r>
  <r>
    <s v="ORD6873"/>
    <s v="CUST2873"/>
    <n v="37"/>
    <s v="PROD2073"/>
    <s v="Germany"/>
    <d v="2022-03-07T00:00:00"/>
    <d v="2023-06-12T00:00:00"/>
    <n v="3"/>
    <s v="active"/>
    <s v="9/30/2022"/>
    <s v=" $152.49 "/>
    <n v="5"/>
    <n v="42"/>
    <s v="Sports"/>
    <s v="Cricket Bat"/>
    <s v="Sports"/>
    <x v="1"/>
    <n v="762.45"/>
    <s v="Aligned"/>
    <s v="35-49 Gen X"/>
    <s v="High Value Tier"/>
    <s v="Stable"/>
  </r>
  <r>
    <s v="ORD6874"/>
    <s v="CUST2874"/>
    <n v="50"/>
    <s v="PROD2074"/>
    <s v="India"/>
    <s v="5/21/2021"/>
    <s v="2/16/2025"/>
    <n v="0"/>
    <s v="cancelled"/>
    <d v="2025-05-07T00:00:00"/>
    <s v=" $1,955.81 "/>
    <n v="1"/>
    <n v="30"/>
    <s v="Electronics"/>
    <s v="Skirt"/>
    <s v="Clothing"/>
    <x v="1"/>
    <n v="1955.81"/>
    <s v="Misaligned"/>
    <s v="50-64 Boomers"/>
    <s v="High Value Tier"/>
    <s v="Stable"/>
  </r>
  <r>
    <s v="ORD6875"/>
    <s v="CUST2875"/>
    <n v="44"/>
    <s v="PROD2075"/>
    <s v="Canada"/>
    <s v="9/13/2020"/>
    <d v="2020-09-11T00:00:00"/>
    <n v="2"/>
    <s v="active"/>
    <d v="2023-09-12T00:00:00"/>
    <s v=" $92.50 "/>
    <n v="7"/>
    <n v="11"/>
    <s v="Home"/>
    <s v="Bluetooth Speaker"/>
    <s v="Electronics"/>
    <x v="1"/>
    <n v="647.5"/>
    <s v="Misaligned"/>
    <s v="35-49 Gen X"/>
    <s v="High Value Tier"/>
    <s v="Stable"/>
  </r>
  <r>
    <s v="ORD6876"/>
    <s v="CUST2876"/>
    <n v="41"/>
    <s v="PROD2076"/>
    <s v="Canada"/>
    <s v="6/18/2021"/>
    <s v="12/25/2021"/>
    <n v="1"/>
    <s v="paused"/>
    <d v="2023-03-03T00:00:00"/>
    <s v=" $207.01 "/>
    <n v="3"/>
    <n v="17"/>
    <s v="Electronics"/>
    <s v="Dining Table"/>
    <s v="Home"/>
    <x v="0"/>
    <n v="621.03"/>
    <s v="Misaligned"/>
    <s v="35-49 Gen X"/>
    <s v="High Value Tier"/>
    <s v="Elevated Risk"/>
  </r>
  <r>
    <s v="ORD6877"/>
    <s v="CUST2877"/>
    <n v="66"/>
    <s v="PROD2077"/>
    <s v="Germany"/>
    <s v="2/27/2022"/>
    <s v="2/19/2023"/>
    <n v="2"/>
    <s v="paused"/>
    <s v="7/26/2025"/>
    <s v=" $51.21 "/>
    <n v="8"/>
    <n v="48"/>
    <s v="Clothing"/>
    <s v="Perfume"/>
    <s v="Beauty"/>
    <x v="2"/>
    <n v="409.68"/>
    <s v="Misaligned"/>
    <s v="65+ Seniors"/>
    <s v="High Value Tier"/>
    <s v="Elevated Risk"/>
  </r>
  <r>
    <s v="ORD6878"/>
    <s v="CUST2878"/>
    <n v="30"/>
    <s v="PROD2078"/>
    <s v="UK"/>
    <s v="1/20/2022"/>
    <s v="1/20/2024"/>
    <n v="5"/>
    <s v="active"/>
    <s v="11/20/2022"/>
    <s v=" $1,358.08 "/>
    <n v="1"/>
    <n v="46"/>
    <s v="Electronics"/>
    <s v="Bluetooth Speaker"/>
    <s v="Electronics"/>
    <x v="1"/>
    <n v="1358.08"/>
    <s v="Aligned"/>
    <s v="25-34 Millennials"/>
    <s v="High Value Tier"/>
    <s v="Critical Risk"/>
  </r>
  <r>
    <s v="ORD6879"/>
    <s v="CUST2879"/>
    <n v="46"/>
    <s v="PROD2079"/>
    <s v="Pakistan"/>
    <s v="3/16/2021"/>
    <s v="3/20/2022"/>
    <n v="1"/>
    <s v="active"/>
    <s v="7/27/2024"/>
    <s v=" $420.35 "/>
    <n v="2"/>
    <n v="21"/>
    <s v="Home"/>
    <s v="Lipstick"/>
    <s v="Beauty"/>
    <x v="0"/>
    <n v="840.7"/>
    <s v="Misaligned"/>
    <s v="35-49 Gen X"/>
    <s v="High Value Tier"/>
    <s v="Stable"/>
  </r>
  <r>
    <s v="ORD6880"/>
    <s v="CUST2880"/>
    <n v="51"/>
    <s v="PROD2080"/>
    <s v="India"/>
    <s v="5/26/2022"/>
    <d v="2024-11-06T00:00:00"/>
    <n v="1"/>
    <s v="cancelled"/>
    <d v="2022-02-11T00:00:00"/>
    <s v=" $418.53 "/>
    <n v="3"/>
    <n v="43"/>
    <s v="Beauty"/>
    <s v="Yoga Mat"/>
    <s v="Sports"/>
    <x v="1"/>
    <n v="1255.5899999999999"/>
    <s v="Misaligned"/>
    <s v="50-64 Boomers"/>
    <s v="High Value Tier"/>
    <s v="Stable"/>
  </r>
  <r>
    <s v="ORD6881"/>
    <s v="CUST2881"/>
    <n v="53"/>
    <s v="PROD2081"/>
    <s v="UK"/>
    <d v="2021-11-01T00:00:00"/>
    <d v="2023-08-09T00:00:00"/>
    <n v="3"/>
    <s v="active"/>
    <d v="2021-02-04T00:00:00"/>
    <s v=" $192.16 "/>
    <n v="6"/>
    <n v="22"/>
    <s v="Clothing"/>
    <s v="Blender"/>
    <s v="Home"/>
    <x v="1"/>
    <n v="1152.96"/>
    <s v="Misaligned"/>
    <s v="50-64 Boomers"/>
    <s v="High Value Tier"/>
    <s v="Stable"/>
  </r>
  <r>
    <s v="ORD6882"/>
    <s v="CUST2882"/>
    <n v="54"/>
    <s v="PROD2082"/>
    <s v="USA"/>
    <d v="2021-09-09T00:00:00"/>
    <s v="3/26/2023"/>
    <n v="4"/>
    <s v="cancelled"/>
    <s v="4/15/2025"/>
    <s v=" $410.43 "/>
    <n v="3"/>
    <n v="42"/>
    <s v="Electronics"/>
    <s v="Jacket"/>
    <s v="Clothing"/>
    <x v="0"/>
    <n v="1231.29"/>
    <s v="Misaligned"/>
    <s v="50-64 Boomers"/>
    <s v="High Value Tier"/>
    <s v="Stable"/>
  </r>
  <r>
    <s v="ORD6883"/>
    <s v="CUST2883"/>
    <n v="58"/>
    <s v="PROD2083"/>
    <s v="Canada"/>
    <s v="9/25/2022"/>
    <s v="3/16/2024"/>
    <n v="2"/>
    <s v="active"/>
    <s v="10/25/2023"/>
    <s v=" $170.66 "/>
    <n v="6"/>
    <n v="46"/>
    <s v="Home"/>
    <s v="Refrigerator"/>
    <s v="Home"/>
    <x v="1"/>
    <n v="1023.96"/>
    <s v="Aligned"/>
    <s v="50-64 Boomers"/>
    <s v="High Value Tier"/>
    <s v="Stable"/>
  </r>
  <r>
    <s v="ORD6884"/>
    <s v="CUST2884"/>
    <n v="48"/>
    <s v="PROD2084"/>
    <s v="USA"/>
    <s v="4/13/2023"/>
    <s v="4/17/2024"/>
    <n v="0"/>
    <s v="paused"/>
    <s v="3/22/2025"/>
    <s v=" $32.67 "/>
    <n v="8"/>
    <n v="9"/>
    <s v="Sports"/>
    <s v="Cycling Helmet"/>
    <s v="Sports"/>
    <x v="1"/>
    <n v="261.36"/>
    <s v="Aligned"/>
    <s v="35-49 Gen X"/>
    <s v="Core Tier"/>
    <s v="Elevated Risk"/>
  </r>
  <r>
    <s v="ORD6885"/>
    <s v="CUST2885"/>
    <n v="59"/>
    <s v="PROD2085"/>
    <s v="Germany"/>
    <s v="9/16/2022"/>
    <s v="3/21/2024"/>
    <n v="0"/>
    <s v="active"/>
    <s v="4/24/2024"/>
    <s v=" $1,453.08 "/>
    <n v="1"/>
    <n v="34"/>
    <s v="Electronics"/>
    <s v="Vacuum Cleaner"/>
    <s v="Home"/>
    <x v="0"/>
    <n v="1453.08"/>
    <s v="Misaligned"/>
    <s v="50-64 Boomers"/>
    <s v="High Value Tier"/>
    <s v="Stable"/>
  </r>
  <r>
    <s v="ORD6886"/>
    <s v="CUST2886"/>
    <n v="69"/>
    <s v="PROD2086"/>
    <s v="Germany"/>
    <s v="1/20/2022"/>
    <d v="2024-11-07T00:00:00"/>
    <n v="0"/>
    <s v="active"/>
    <d v="2022-09-06T00:00:00"/>
    <s v=" $104.39 "/>
    <n v="9"/>
    <n v="19"/>
    <s v="Beauty"/>
    <s v="Perfume"/>
    <s v="Beauty"/>
    <x v="0"/>
    <n v="939.51"/>
    <s v="Aligned"/>
    <s v="65+ Seniors"/>
    <s v="High Value Tier"/>
    <s v="Stable"/>
  </r>
  <r>
    <s v="ORD6887"/>
    <s v="CUST2887"/>
    <n v="25"/>
    <s v="PROD2087"/>
    <s v="India"/>
    <s v="8/14/2022"/>
    <s v="10/24/2024"/>
    <n v="0"/>
    <s v="cancelled"/>
    <d v="2025-02-01T00:00:00"/>
    <s v=" $935.95 "/>
    <n v="1"/>
    <n v="11"/>
    <s v="Electronics"/>
    <s v="Basketball"/>
    <s v="Sports"/>
    <x v="0"/>
    <n v="935.95"/>
    <s v="Misaligned"/>
    <s v="25-34 Millennials"/>
    <s v="High Value Tier"/>
    <s v="Stable"/>
  </r>
  <r>
    <s v="ORD6888"/>
    <s v="CUST2888"/>
    <n v="28"/>
    <s v="PROD2088"/>
    <s v="India"/>
    <s v="8/30/2020"/>
    <s v="3/20/2023"/>
    <n v="4"/>
    <s v="cancelled"/>
    <d v="2024-05-11T00:00:00"/>
    <s v=" $6.43 "/>
    <n v="6"/>
    <n v="43"/>
    <s v="Beauty"/>
    <s v="Chair"/>
    <s v="Home"/>
    <x v="1"/>
    <n v="38.58"/>
    <s v="Misaligned"/>
    <s v="25-34 Millennials"/>
    <s v="Core Tier"/>
    <s v="Stable"/>
  </r>
  <r>
    <s v="ORD6889"/>
    <s v="CUST2889"/>
    <n v="31"/>
    <s v="PROD2089"/>
    <s v="India"/>
    <s v="3/28/2021"/>
    <d v="2023-12-12T00:00:00"/>
    <n v="4"/>
    <s v="paused"/>
    <d v="2023-01-11T00:00:00"/>
    <s v=" $334.50 "/>
    <n v="2"/>
    <n v="15"/>
    <s v="Electronics"/>
    <s v="Cricket Bat"/>
    <s v="Sports"/>
    <x v="1"/>
    <n v="669"/>
    <s v="Misaligned"/>
    <s v="25-34 Millennials"/>
    <s v="High Value Tier"/>
    <s v="Elevated Risk"/>
  </r>
  <r>
    <s v="ORD6890"/>
    <s v="CUST2890"/>
    <n v="51"/>
    <s v="PROD2090"/>
    <s v="UK"/>
    <s v="6/23/2021"/>
    <d v="2021-04-08T00:00:00"/>
    <n v="2"/>
    <s v="active"/>
    <d v="2021-04-07T00:00:00"/>
    <s v=" $72.16 "/>
    <n v="7"/>
    <n v="4"/>
    <s v="Electronics"/>
    <s v="Football"/>
    <s v="Sports"/>
    <x v="0"/>
    <n v="505.12"/>
    <s v="Misaligned"/>
    <s v="50-64 Boomers"/>
    <s v="Core Tier"/>
    <s v="Stable"/>
  </r>
  <r>
    <s v="ORD6891"/>
    <s v="CUST2891"/>
    <n v="22"/>
    <s v="PROD2091"/>
    <s v="India"/>
    <s v="4/30/2022"/>
    <s v="9/22/2024"/>
    <n v="1"/>
    <s v="cancelled"/>
    <s v="7/21/2022"/>
    <s v=" $198.07 "/>
    <n v="5"/>
    <n v="36"/>
    <s v="Clothing"/>
    <s v="Laptop"/>
    <s v="Electronics"/>
    <x v="0"/>
    <n v="990.35"/>
    <s v="Misaligned"/>
    <s v="18-24 Gen Z"/>
    <s v="High Value Tier"/>
    <s v="Stable"/>
  </r>
  <r>
    <s v="ORD6892"/>
    <s v="CUST2892"/>
    <n v="34"/>
    <s v="PROD2092"/>
    <s v="USA"/>
    <s v="2/19/2022"/>
    <d v="2023-11-04T00:00:00"/>
    <n v="1"/>
    <s v="active"/>
    <s v="4/22/2022"/>
    <s v=" $1,180.59 "/>
    <n v="1"/>
    <n v="22"/>
    <s v="Beauty"/>
    <s v="Skirt"/>
    <s v="Clothing"/>
    <x v="1"/>
    <n v="1180.5899999999999"/>
    <s v="Misaligned"/>
    <s v="25-34 Millennials"/>
    <s v="High Value Tier"/>
    <s v="Stable"/>
  </r>
  <r>
    <s v="ORD6893"/>
    <s v="CUST2893"/>
    <n v="24"/>
    <s v="PROD2093"/>
    <s v="India"/>
    <d v="2021-05-07T00:00:00"/>
    <s v="11/14/2024"/>
    <n v="3"/>
    <s v="active"/>
    <d v="2023-05-12T00:00:00"/>
    <s v=" $83.69 "/>
    <n v="5"/>
    <n v="7"/>
    <s v="Beauty"/>
    <s v="Microwave"/>
    <s v="Home"/>
    <x v="0"/>
    <n v="418.45"/>
    <s v="Misaligned"/>
    <s v="18-24 Gen Z"/>
    <s v="High Value Tier"/>
    <s v="Stable"/>
  </r>
  <r>
    <s v="ORD6894"/>
    <s v="CUST2894"/>
    <n v="24"/>
    <s v="PROD2094"/>
    <s v="USA"/>
    <d v="2023-01-08T00:00:00"/>
    <s v="5/15/2024"/>
    <n v="5"/>
    <s v="active"/>
    <d v="2025-05-07T00:00:00"/>
    <s v=" $228.12 "/>
    <n v="7"/>
    <n v="25"/>
    <s v="Beauty"/>
    <s v="Sneakers"/>
    <s v="Clothing"/>
    <x v="1"/>
    <n v="1596.84"/>
    <s v="Misaligned"/>
    <s v="18-24 Gen Z"/>
    <s v="High Value Tier"/>
    <s v="Critical Risk"/>
  </r>
  <r>
    <s v="ORD6895"/>
    <s v="CUST2895"/>
    <n v="53"/>
    <s v="PROD2095"/>
    <s v="Germany"/>
    <s v="8/28/2020"/>
    <d v="2022-11-02T00:00:00"/>
    <n v="4"/>
    <s v="active"/>
    <d v="2020-06-12T00:00:00"/>
    <s v=" $284.69 "/>
    <n v="5"/>
    <n v="13"/>
    <s v="Beauty"/>
    <s v="Microwave"/>
    <s v="Home"/>
    <x v="0"/>
    <n v="1423.45"/>
    <s v="Misaligned"/>
    <s v="50-64 Boomers"/>
    <s v="High Value Tier"/>
    <s v="Critical Risk"/>
  </r>
  <r>
    <s v="ORD6896"/>
    <s v="CUST2896"/>
    <n v="67"/>
    <s v="PROD2096"/>
    <s v="India"/>
    <d v="2021-05-08T00:00:00"/>
    <d v="2024-07-09T00:00:00"/>
    <n v="1"/>
    <s v="paused"/>
    <d v="2022-01-01T00:00:00"/>
    <s v=" $10.34 "/>
    <n v="5"/>
    <n v="10"/>
    <s v="Home"/>
    <s v="Shirt"/>
    <s v="Clothing"/>
    <x v="1"/>
    <n v="51.7"/>
    <s v="Misaligned"/>
    <s v="65+ Seniors"/>
    <s v="Value Tier"/>
    <s v="Elevated Risk"/>
  </r>
  <r>
    <s v="ORD6897"/>
    <s v="CUST2897"/>
    <n v="57"/>
    <s v="PROD2097"/>
    <s v="Canada"/>
    <d v="2022-04-02T00:00:00"/>
    <d v="2023-10-11T00:00:00"/>
    <n v="5"/>
    <s v="active"/>
    <s v="5/28/2022"/>
    <s v=" $218.72 "/>
    <n v="6"/>
    <n v="37"/>
    <s v="Home"/>
    <s v="Bluetooth Speaker"/>
    <s v="Electronics"/>
    <x v="0"/>
    <n v="1312.32"/>
    <s v="Misaligned"/>
    <s v="50-64 Boomers"/>
    <s v="High Value Tier"/>
    <s v="Critical Risk"/>
  </r>
  <r>
    <s v="ORD6898"/>
    <s v="CUST2898"/>
    <n v="32"/>
    <s v="PROD2098"/>
    <s v="Pakistan"/>
    <d v="2020-05-12T00:00:00"/>
    <s v="4/22/2023"/>
    <n v="5"/>
    <s v="cancelled"/>
    <d v="2023-06-09T00:00:00"/>
    <s v=" $211.68 "/>
    <n v="6"/>
    <n v="25"/>
    <s v="Home"/>
    <s v="Moisturizer"/>
    <s v="Beauty"/>
    <x v="0"/>
    <n v="1270.08"/>
    <s v="Misaligned"/>
    <s v="25-34 Millennials"/>
    <s v="High Value Tier"/>
    <s v="Stable"/>
  </r>
  <r>
    <s v="ORD6899"/>
    <s v="CUST2899"/>
    <n v="45"/>
    <s v="PROD2099"/>
    <s v="Pakistan"/>
    <s v="3/16/2023"/>
    <d v="2024-01-04T00:00:00"/>
    <n v="1"/>
    <s v="active"/>
    <s v="4/27/2023"/>
    <s v=" $102.92 "/>
    <n v="7"/>
    <n v="2"/>
    <s v="Beauty"/>
    <s v="Vacuum Cleaner"/>
    <s v="Home"/>
    <x v="1"/>
    <n v="720.44"/>
    <s v="Misaligned"/>
    <s v="35-49 Gen X"/>
    <s v="Core Tier"/>
    <s v="Stable"/>
  </r>
  <r>
    <s v="ORD6900"/>
    <s v="CUST2900"/>
    <n v="52"/>
    <s v="PROD2100"/>
    <s v="Pakistan"/>
    <s v="10/25/2021"/>
    <d v="2023-06-06T00:00:00"/>
    <n v="5"/>
    <s v="active"/>
    <d v="2024-03-04T00:00:00"/>
    <s v=" $277.83 "/>
    <n v="6"/>
    <n v="41"/>
    <s v="Clothing"/>
    <s v="T-Shirt"/>
    <s v="Clothing"/>
    <x v="0"/>
    <n v="1666.98"/>
    <s v="Aligned"/>
    <s v="50-64 Boomers"/>
    <s v="High Value Tier"/>
    <s v="Critical Risk"/>
  </r>
  <r>
    <s v="ORD6901"/>
    <s v="CUST2901"/>
    <n v="51"/>
    <s v="PROD2101"/>
    <s v="Canada"/>
    <s v="2/26/2021"/>
    <s v="2/22/2022"/>
    <n v="2"/>
    <s v="active"/>
    <d v="2025-06-01T00:00:00"/>
    <s v=" $224.46 "/>
    <n v="6"/>
    <n v="30"/>
    <s v="Beauty"/>
    <s v="Jacket"/>
    <s v="Clothing"/>
    <x v="1"/>
    <n v="1346.76"/>
    <s v="Misaligned"/>
    <s v="50-64 Boomers"/>
    <s v="High Value Tier"/>
    <s v="Stable"/>
  </r>
  <r>
    <s v="ORD6902"/>
    <s v="CUST2902"/>
    <n v="21"/>
    <s v="PROD2102"/>
    <s v="UK"/>
    <s v="3/21/2021"/>
    <s v="4/25/2022"/>
    <n v="4"/>
    <s v="active"/>
    <d v="2023-07-02T00:00:00"/>
    <s v=" $277.63 "/>
    <n v="3"/>
    <n v="16"/>
    <s v="Beauty"/>
    <s v="Cycling Helmet"/>
    <s v="Sports"/>
    <x v="1"/>
    <n v="832.89"/>
    <s v="Misaligned"/>
    <s v="18-24 Gen Z"/>
    <s v="High Value Tier"/>
    <s v="Critical Risk"/>
  </r>
  <r>
    <s v="ORD6903"/>
    <s v="CUST2903"/>
    <n v="28"/>
    <s v="PROD2103"/>
    <s v="UK"/>
    <s v="9/15/2021"/>
    <s v="10/22/2022"/>
    <n v="4"/>
    <s v="active"/>
    <s v="3/21/2023"/>
    <s v=" $350.36 "/>
    <n v="4"/>
    <n v="22"/>
    <s v="Home"/>
    <s v="Conditioner"/>
    <s v="Beauty"/>
    <x v="0"/>
    <n v="1401.44"/>
    <s v="Misaligned"/>
    <s v="25-34 Millennials"/>
    <s v="High Value Tier"/>
    <s v="Critical Risk"/>
  </r>
  <r>
    <s v="ORD6904"/>
    <s v="CUST2904"/>
    <n v="26"/>
    <s v="PROD2104"/>
    <s v="UK"/>
    <s v="10/18/2022"/>
    <d v="2024-09-06T00:00:00"/>
    <n v="2"/>
    <s v="paused"/>
    <s v="11/22/2022"/>
    <s v=" $213.68 "/>
    <n v="5"/>
    <n v="35"/>
    <s v="Sports"/>
    <s v="Moisturizer"/>
    <s v="Beauty"/>
    <x v="0"/>
    <n v="1068.4000000000001"/>
    <s v="Misaligned"/>
    <s v="25-34 Millennials"/>
    <s v="High Value Tier"/>
    <s v="Elevated Risk"/>
  </r>
  <r>
    <s v="ORD6905"/>
    <s v="CUST2905"/>
    <n v="59"/>
    <s v="PROD2105"/>
    <s v="Pakistan"/>
    <s v="8/13/2022"/>
    <s v="1/26/2023"/>
    <n v="4"/>
    <s v="active"/>
    <s v="12/21/2022"/>
    <s v=" $36.09 "/>
    <n v="8"/>
    <n v="27"/>
    <s v="Home"/>
    <s v="Tennis Racket"/>
    <s v="Sports"/>
    <x v="0"/>
    <n v="288.72000000000003"/>
    <s v="Misaligned"/>
    <s v="50-64 Boomers"/>
    <s v="High Value Tier"/>
    <s v="Critical Risk"/>
  </r>
  <r>
    <s v="ORD6906"/>
    <s v="CUST2906"/>
    <n v="18"/>
    <s v="PROD2106"/>
    <s v="India"/>
    <d v="2022-11-03T00:00:00"/>
    <d v="2022-09-08T00:00:00"/>
    <n v="3"/>
    <s v="cancelled"/>
    <d v="2025-02-04T00:00:00"/>
    <s v=" $267.89 "/>
    <n v="6"/>
    <n v="2"/>
    <s v="Electronics"/>
    <s v="Football"/>
    <s v="Sports"/>
    <x v="1"/>
    <n v="1607.34"/>
    <s v="Misaligned"/>
    <s v="18-24 Gen Z"/>
    <s v="High Value Tier"/>
    <s v="Stable"/>
  </r>
  <r>
    <s v="ORD6907"/>
    <s v="CUST2907"/>
    <n v="40"/>
    <s v="PROD2107"/>
    <s v="Germany"/>
    <s v="4/27/2023"/>
    <s v="1/21/2025"/>
    <n v="5"/>
    <s v="active"/>
    <d v="2024-01-02T00:00:00"/>
    <s v=" $755.64 "/>
    <n v="2"/>
    <n v="38"/>
    <s v="Home"/>
    <s v="Bluetooth Speaker"/>
    <s v="Electronics"/>
    <x v="1"/>
    <n v="1511.28"/>
    <s v="Misaligned"/>
    <s v="35-49 Gen X"/>
    <s v="High Value Tier"/>
    <s v="Critical Risk"/>
  </r>
  <r>
    <s v="ORD6908"/>
    <s v="CUST2908"/>
    <n v="25"/>
    <s v="PROD2108"/>
    <s v="India"/>
    <d v="2020-12-10T00:00:00"/>
    <s v="8/31/2021"/>
    <n v="5"/>
    <s v="cancelled"/>
    <d v="2022-07-02T00:00:00"/>
    <s v=" $1,725.32 "/>
    <n v="1"/>
    <n v="5"/>
    <s v="Clothing"/>
    <s v="Cycling Helmet"/>
    <s v="Sports"/>
    <x v="1"/>
    <n v="1725.32"/>
    <s v="Misaligned"/>
    <s v="25-34 Millennials"/>
    <s v="High Value Tier"/>
    <s v="Stable"/>
  </r>
  <r>
    <s v="ORD6909"/>
    <s v="CUST2909"/>
    <n v="29"/>
    <s v="PROD2109"/>
    <s v="USA"/>
    <s v="6/24/2021"/>
    <d v="2024-10-10T00:00:00"/>
    <n v="5"/>
    <s v="active"/>
    <d v="2025-05-08T00:00:00"/>
    <s v=" $87.10 "/>
    <n v="7"/>
    <n v="45"/>
    <s v="Sports"/>
    <s v="Dumbbells"/>
    <s v="Sports"/>
    <x v="1"/>
    <n v="609.70000000000005"/>
    <s v="Aligned"/>
    <s v="25-34 Millennials"/>
    <s v="High Value Tier"/>
    <s v="Critical Risk"/>
  </r>
  <r>
    <s v="ORD6910"/>
    <s v="CUST2910"/>
    <n v="63"/>
    <s v="PROD2110"/>
    <s v="USA"/>
    <s v="1/29/2021"/>
    <s v="6/20/2024"/>
    <n v="1"/>
    <s v="active"/>
    <s v="4/17/2023"/>
    <s v=" $104.59 "/>
    <n v="6"/>
    <n v="22"/>
    <s v="Beauty"/>
    <s v="T-Shirt"/>
    <s v="Clothing"/>
    <x v="1"/>
    <n v="627.54"/>
    <s v="Misaligned"/>
    <s v="50-64 Boomers"/>
    <s v="High Value Tier"/>
    <s v="Stable"/>
  </r>
  <r>
    <s v="ORD6911"/>
    <s v="CUST2911"/>
    <n v="44"/>
    <s v="PROD2111"/>
    <s v="UK"/>
    <d v="2021-09-05T00:00:00"/>
    <s v="11/30/2023"/>
    <n v="1"/>
    <s v="cancelled"/>
    <s v="4/15/2022"/>
    <s v=" $79.28 "/>
    <n v="2"/>
    <n v="9"/>
    <s v="Electronics"/>
    <s v="Sofa"/>
    <s v="Home"/>
    <x v="0"/>
    <n v="158.56"/>
    <s v="Misaligned"/>
    <s v="35-49 Gen X"/>
    <s v="Core Tier"/>
    <s v="Stable"/>
  </r>
  <r>
    <s v="ORD6912"/>
    <s v="CUST2912"/>
    <n v="48"/>
    <s v="PROD2112"/>
    <s v="Pakistan"/>
    <d v="2023-11-01T00:00:00"/>
    <s v="9/26/2024"/>
    <n v="0"/>
    <s v="active"/>
    <s v="2/17/2024"/>
    <s v=" $197.22 "/>
    <n v="6"/>
    <n v="9"/>
    <s v="Electronics"/>
    <s v="Cycling Helmet"/>
    <s v="Sports"/>
    <x v="1"/>
    <n v="1183.32"/>
    <s v="Misaligned"/>
    <s v="35-49 Gen X"/>
    <s v="High Value Tier"/>
    <s v="Stable"/>
  </r>
  <r>
    <s v="ORD6913"/>
    <s v="CUST2913"/>
    <n v="45"/>
    <s v="PROD2113"/>
    <s v="Pakistan"/>
    <d v="2021-04-02T00:00:00"/>
    <d v="2022-06-06T00:00:00"/>
    <n v="4"/>
    <s v="paused"/>
    <s v="5/23/2024"/>
    <s v=" $343.73 "/>
    <n v="1"/>
    <n v="23"/>
    <s v="Beauty"/>
    <s v="Face Wash"/>
    <s v="Beauty"/>
    <x v="1"/>
    <n v="343.73"/>
    <s v="Aligned"/>
    <s v="35-49 Gen X"/>
    <s v="High Value Tier"/>
    <s v="Elevated Risk"/>
  </r>
  <r>
    <s v="ORD6914"/>
    <s v="CUST2914"/>
    <n v="67"/>
    <s v="PROD2114"/>
    <s v="India"/>
    <s v="5/21/2023"/>
    <s v="10/14/2023"/>
    <n v="3"/>
    <s v="active"/>
    <s v="11/26/2023"/>
    <s v=" $183.62 "/>
    <n v="6"/>
    <n v="37"/>
    <s v="Home"/>
    <s v="T-Shirt"/>
    <s v="Clothing"/>
    <x v="0"/>
    <n v="1101.72"/>
    <s v="Misaligned"/>
    <s v="65+ Seniors"/>
    <s v="High Value Tier"/>
    <s v="Stable"/>
  </r>
  <r>
    <s v="ORD6915"/>
    <s v="CUST2915"/>
    <n v="25"/>
    <s v="PROD2115"/>
    <s v="Canada"/>
    <s v="11/26/2020"/>
    <d v="2025-09-01T00:00:00"/>
    <n v="5"/>
    <s v="active"/>
    <s v="3/31/2025"/>
    <s v=" $266.26 "/>
    <n v="7"/>
    <n v="15"/>
    <s v="Clothing"/>
    <s v="Face Wash"/>
    <s v="Beauty"/>
    <x v="2"/>
    <n v="1863.82"/>
    <s v="Misaligned"/>
    <s v="25-34 Millennials"/>
    <s v="High Value Tier"/>
    <s v="Critical Risk"/>
  </r>
  <r>
    <s v="ORD6916"/>
    <s v="CUST2916"/>
    <n v="39"/>
    <s v="PROD2116"/>
    <s v="Germany"/>
    <d v="2020-04-09T00:00:00"/>
    <s v="4/26/2025"/>
    <n v="3"/>
    <s v="active"/>
    <s v="8/14/2025"/>
    <s v=" $231.08 "/>
    <n v="6"/>
    <n v="4"/>
    <s v="Beauty"/>
    <s v="T-Shirt"/>
    <s v="Clothing"/>
    <x v="1"/>
    <n v="1386.48"/>
    <s v="Misaligned"/>
    <s v="35-49 Gen X"/>
    <s v="High Value Tier"/>
    <s v="Stable"/>
  </r>
  <r>
    <s v="ORD6917"/>
    <s v="CUST2917"/>
    <n v="42"/>
    <s v="PROD2117"/>
    <s v="Pakistan"/>
    <d v="2021-12-08T00:00:00"/>
    <s v="11/20/2022"/>
    <n v="2"/>
    <s v="active"/>
    <d v="2022-07-01T00:00:00"/>
    <s v=" $261.03 "/>
    <n v="7"/>
    <n v="15"/>
    <s v="Clothing"/>
    <s v="Dress"/>
    <s v="Clothing"/>
    <x v="1"/>
    <n v="1827.21"/>
    <s v="Aligned"/>
    <s v="35-49 Gen X"/>
    <s v="High Value Tier"/>
    <s v="Stable"/>
  </r>
  <r>
    <s v="ORD6918"/>
    <s v="CUST2918"/>
    <n v="49"/>
    <s v="PROD2118"/>
    <s v="India"/>
    <s v="9/24/2020"/>
    <s v="11/17/2023"/>
    <n v="2"/>
    <s v="active"/>
    <d v="2023-08-04T00:00:00"/>
    <s v=" $220.35 "/>
    <n v="4"/>
    <n v="25"/>
    <s v="Sports"/>
    <s v="Microwave"/>
    <s v="Home"/>
    <x v="1"/>
    <n v="881.4"/>
    <s v="Misaligned"/>
    <s v="35-49 Gen X"/>
    <s v="High Value Tier"/>
    <s v="Stable"/>
  </r>
  <r>
    <s v="ORD6919"/>
    <s v="CUST2919"/>
    <n v="22"/>
    <s v="PROD2119"/>
    <s v="Canada"/>
    <d v="2021-06-04T00:00:00"/>
    <s v="7/22/2021"/>
    <n v="2"/>
    <s v="paused"/>
    <d v="2024-10-04T00:00:00"/>
    <s v=" $88.49 "/>
    <n v="7"/>
    <n v="34"/>
    <s v="Clothing"/>
    <s v="Dumbbells"/>
    <s v="Sports"/>
    <x v="0"/>
    <n v="619.42999999999995"/>
    <s v="Misaligned"/>
    <s v="18-24 Gen Z"/>
    <s v="High Value Tier"/>
    <s v="Elevated Risk"/>
  </r>
  <r>
    <s v="ORD6920"/>
    <s v="CUST2920"/>
    <n v="64"/>
    <s v="PROD2120"/>
    <s v="Pakistan"/>
    <s v="12/14/2021"/>
    <s v="1/28/2022"/>
    <n v="4"/>
    <s v="cancelled"/>
    <d v="2024-10-03T00:00:00"/>
    <s v=" $229.56 "/>
    <n v="7"/>
    <n v="9"/>
    <s v="Sports"/>
    <s v="Sofa"/>
    <s v="Home"/>
    <x v="0"/>
    <n v="1606.92"/>
    <s v="Misaligned"/>
    <s v="50-64 Boomers"/>
    <s v="High Value Tier"/>
    <s v="Stable"/>
  </r>
  <r>
    <s v="ORD6921"/>
    <s v="CUST2921"/>
    <n v="64"/>
    <s v="PROD2121"/>
    <s v="Pakistan"/>
    <s v="11/25/2022"/>
    <d v="2025-12-04T00:00:00"/>
    <n v="3"/>
    <s v="active"/>
    <d v="2025-04-06T00:00:00"/>
    <s v=" $38.42 "/>
    <n v="6"/>
    <n v="34"/>
    <s v="Electronics"/>
    <s v="Camera"/>
    <s v="Electronics"/>
    <x v="0"/>
    <n v="230.52"/>
    <s v="Aligned"/>
    <s v="50-64 Boomers"/>
    <s v="High Value Tier"/>
    <s v="Stable"/>
  </r>
  <r>
    <s v="ORD6922"/>
    <s v="CUST2922"/>
    <n v="51"/>
    <s v="PROD2122"/>
    <s v="Pakistan"/>
    <s v="5/24/2023"/>
    <d v="2025-09-02T00:00:00"/>
    <n v="1"/>
    <s v="cancelled"/>
    <s v="7/22/2023"/>
    <s v=" $35.18 "/>
    <n v="6"/>
    <n v="26"/>
    <s v="Beauty"/>
    <s v="Microwave"/>
    <s v="Home"/>
    <x v="1"/>
    <n v="211.08"/>
    <s v="Misaligned"/>
    <s v="50-64 Boomers"/>
    <s v="High Value Tier"/>
    <s v="Stable"/>
  </r>
  <r>
    <s v="ORD6923"/>
    <s v="CUST2923"/>
    <n v="44"/>
    <s v="PROD2123"/>
    <s v="Germany"/>
    <s v="5/20/2021"/>
    <s v="11/28/2021"/>
    <n v="0"/>
    <s v="active"/>
    <d v="2025-04-06T00:00:00"/>
    <s v=" $96.43 "/>
    <n v="1"/>
    <n v="8"/>
    <s v="Sports"/>
    <s v="Tablet"/>
    <s v="Electronics"/>
    <x v="0"/>
    <n v="96.43"/>
    <s v="Misaligned"/>
    <s v="35-49 Gen X"/>
    <s v="Core Tier"/>
    <s v="Stable"/>
  </r>
  <r>
    <s v="ORD6924"/>
    <s v="CUST2924"/>
    <n v="53"/>
    <s v="PROD2124"/>
    <s v="USA"/>
    <d v="2021-03-11T00:00:00"/>
    <s v="2/21/2025"/>
    <n v="0"/>
    <s v="active"/>
    <s v="1/31/2022"/>
    <s v=" $198.52 "/>
    <n v="9"/>
    <n v="44"/>
    <s v="Home"/>
    <s v="Basketball"/>
    <s v="Sports"/>
    <x v="1"/>
    <n v="1786.68"/>
    <s v="Misaligned"/>
    <s v="50-64 Boomers"/>
    <s v="High Value Tier"/>
    <s v="Stable"/>
  </r>
  <r>
    <s v="ORD6925"/>
    <s v="CUST2925"/>
    <n v="33"/>
    <s v="PROD2125"/>
    <s v="Pakistan"/>
    <s v="12/26/2020"/>
    <s v="10/28/2021"/>
    <n v="4"/>
    <s v="paused"/>
    <d v="2025-02-02T00:00:00"/>
    <s v=" $423.90 "/>
    <n v="3"/>
    <n v="47"/>
    <s v="Sports"/>
    <s v="Refrigerator"/>
    <s v="Home"/>
    <x v="0"/>
    <n v="1271.7"/>
    <s v="Misaligned"/>
    <s v="25-34 Millennials"/>
    <s v="High Value Tier"/>
    <s v="Elevated Risk"/>
  </r>
  <r>
    <s v="ORD6926"/>
    <s v="CUST2926"/>
    <n v="27"/>
    <s v="PROD2126"/>
    <s v="Canada"/>
    <d v="2023-06-03T00:00:00"/>
    <s v="7/24/2024"/>
    <n v="2"/>
    <s v="active"/>
    <s v="5/21/2025"/>
    <s v=" $182.16 "/>
    <n v="4"/>
    <n v="48"/>
    <s v="Clothing"/>
    <s v="T-Shirt"/>
    <s v="Clothing"/>
    <x v="0"/>
    <n v="728.64"/>
    <s v="Aligned"/>
    <s v="25-34 Millennials"/>
    <s v="High Value Tier"/>
    <s v="Stable"/>
  </r>
  <r>
    <s v="ORD6927"/>
    <s v="CUST2927"/>
    <n v="30"/>
    <s v="PROD2127"/>
    <s v="USA"/>
    <d v="2022-12-05T00:00:00"/>
    <s v="6/29/2022"/>
    <n v="2"/>
    <s v="cancelled"/>
    <s v="7/28/2022"/>
    <s v=" $978.85 "/>
    <n v="1"/>
    <n v="44"/>
    <s v="Sports"/>
    <s v="Gaming Console"/>
    <s v="Electronics"/>
    <x v="0"/>
    <n v="978.85"/>
    <s v="Misaligned"/>
    <s v="25-34 Millennials"/>
    <s v="High Value Tier"/>
    <s v="Stable"/>
  </r>
  <r>
    <s v="ORD6928"/>
    <s v="CUST2928"/>
    <n v="27"/>
    <s v="PROD2128"/>
    <s v="Germany"/>
    <s v="4/25/2022"/>
    <s v="5/14/2022"/>
    <n v="1"/>
    <s v="cancelled"/>
    <s v="11/25/2023"/>
    <s v=" $657.06 "/>
    <n v="2"/>
    <n v="31"/>
    <s v="Home"/>
    <s v="Microwave"/>
    <s v="Home"/>
    <x v="0"/>
    <n v="1314.12"/>
    <s v="Aligned"/>
    <s v="25-34 Millennials"/>
    <s v="High Value Tier"/>
    <s v="Stable"/>
  </r>
  <r>
    <s v="ORD6929"/>
    <s v="CUST2929"/>
    <n v="18"/>
    <s v="PROD2129"/>
    <s v="USA"/>
    <s v="11/30/2020"/>
    <s v="9/14/2023"/>
    <n v="5"/>
    <s v="active"/>
    <s v="9/23/2021"/>
    <s v=" $6.78 "/>
    <n v="8"/>
    <n v="41"/>
    <s v="Home"/>
    <s v="Smartphone"/>
    <s v="Electronics"/>
    <x v="0"/>
    <n v="54.24"/>
    <s v="Misaligned"/>
    <s v="18-24 Gen Z"/>
    <s v="Core Tier"/>
    <s v="Critical Risk"/>
  </r>
  <r>
    <s v="ORD6930"/>
    <s v="CUST2930"/>
    <n v="21"/>
    <s v="PROD2130"/>
    <s v="India"/>
    <s v="1/21/2021"/>
    <s v="10/24/2023"/>
    <n v="0"/>
    <s v="cancelled"/>
    <s v="11/29/2021"/>
    <s v=" $289.80 "/>
    <n v="2"/>
    <n v="48"/>
    <s v="Sports"/>
    <s v="Jacket"/>
    <s v="Clothing"/>
    <x v="1"/>
    <n v="579.6"/>
    <s v="Misaligned"/>
    <s v="18-24 Gen Z"/>
    <s v="High Value Tier"/>
    <s v="Stable"/>
  </r>
  <r>
    <s v="ORD6931"/>
    <s v="CUST2931"/>
    <n v="19"/>
    <s v="PROD2131"/>
    <s v="USA"/>
    <d v="2022-02-06T00:00:00"/>
    <s v="1/26/2023"/>
    <n v="0"/>
    <s v="cancelled"/>
    <s v="9/19/2023"/>
    <s v=" $21.72 "/>
    <n v="8"/>
    <n v="12"/>
    <s v="Clothing"/>
    <s v="Perfume"/>
    <s v="Beauty"/>
    <x v="0"/>
    <n v="173.76"/>
    <s v="Misaligned"/>
    <s v="18-24 Gen Z"/>
    <s v="Core Tier"/>
    <s v="Stable"/>
  </r>
  <r>
    <s v="ORD6932"/>
    <s v="CUST2932"/>
    <n v="49"/>
    <s v="PROD2132"/>
    <s v="UK"/>
    <d v="2021-07-06T00:00:00"/>
    <s v="10/21/2022"/>
    <n v="1"/>
    <s v="cancelled"/>
    <s v="5/24/2025"/>
    <s v=" $780.10 "/>
    <n v="1"/>
    <n v="32"/>
    <s v="Home"/>
    <s v="Smartphone"/>
    <s v="Electronics"/>
    <x v="0"/>
    <n v="780.1"/>
    <s v="Misaligned"/>
    <s v="35-49 Gen X"/>
    <s v="High Value Tier"/>
    <s v="Stable"/>
  </r>
  <r>
    <s v="ORD6933"/>
    <s v="CUST2933"/>
    <n v="46"/>
    <s v="PROD2133"/>
    <s v="Canada"/>
    <s v="7/13/2022"/>
    <d v="2025-01-01T00:00:00"/>
    <n v="0"/>
    <s v="active"/>
    <s v="10/29/2024"/>
    <s v=" $460.48 "/>
    <n v="3"/>
    <n v="8"/>
    <s v="Sports"/>
    <s v="Bluetooth Speaker"/>
    <s v="Electronics"/>
    <x v="1"/>
    <n v="1381.44"/>
    <s v="Misaligned"/>
    <s v="35-49 Gen X"/>
    <s v="High Value Tier"/>
    <s v="Stable"/>
  </r>
  <r>
    <s v="ORD6934"/>
    <s v="CUST2934"/>
    <n v="58"/>
    <s v="PROD2134"/>
    <s v="Germany"/>
    <s v="11/29/2021"/>
    <s v="2/20/2022"/>
    <n v="5"/>
    <s v="active"/>
    <s v="7/17/2024"/>
    <s v=" $332.45 "/>
    <n v="6"/>
    <n v="1"/>
    <s v="Electronics"/>
    <s v="Lamp"/>
    <s v="Home"/>
    <x v="0"/>
    <n v="1994.7"/>
    <s v="Misaligned"/>
    <s v="50-64 Boomers"/>
    <s v="Core Tier"/>
    <s v="Critical Risk"/>
  </r>
  <r>
    <s v="ORD6935"/>
    <s v="CUST2935"/>
    <n v="26"/>
    <s v="PROD2135"/>
    <s v="Germany"/>
    <s v="1/17/2022"/>
    <d v="2023-06-04T00:00:00"/>
    <n v="0"/>
    <s v="active"/>
    <d v="2024-04-09T00:00:00"/>
    <s v=" $66.25 "/>
    <n v="4"/>
    <n v="2"/>
    <s v="Sports"/>
    <s v="T-Shirt"/>
    <s v="Clothing"/>
    <x v="2"/>
    <n v="265"/>
    <s v="Misaligned"/>
    <s v="25-34 Millennials"/>
    <s v="Value Tier"/>
    <s v="Stable"/>
  </r>
  <r>
    <s v="ORD6936"/>
    <s v="CUST2936"/>
    <n v="49"/>
    <s v="PROD2136"/>
    <s v="USA"/>
    <d v="2020-09-11T00:00:00"/>
    <s v="3/14/2022"/>
    <n v="0"/>
    <s v="cancelled"/>
    <d v="2021-09-09T00:00:00"/>
    <s v=" $132.92 "/>
    <n v="8"/>
    <n v="14"/>
    <s v="Home"/>
    <s v="Face Wash"/>
    <s v="Beauty"/>
    <x v="1"/>
    <n v="1063.3599999999999"/>
    <s v="Misaligned"/>
    <s v="35-49 Gen X"/>
    <s v="High Value Tier"/>
    <s v="Stable"/>
  </r>
  <r>
    <s v="ORD6937"/>
    <s v="CUST2937"/>
    <n v="63"/>
    <s v="PROD2137"/>
    <s v="Germany"/>
    <s v="7/21/2022"/>
    <d v="2023-09-01T00:00:00"/>
    <n v="0"/>
    <s v="active"/>
    <d v="2024-03-05T00:00:00"/>
    <s v=" $187.24 "/>
    <n v="9"/>
    <n v="5"/>
    <s v="Sports"/>
    <s v="Gaming Console"/>
    <s v="Electronics"/>
    <x v="0"/>
    <n v="1685.16"/>
    <s v="Misaligned"/>
    <s v="50-64 Boomers"/>
    <s v="High Value Tier"/>
    <s v="Stable"/>
  </r>
  <r>
    <s v="ORD6938"/>
    <s v="CUST2938"/>
    <n v="41"/>
    <s v="PROD2138"/>
    <s v="UK"/>
    <d v="2022-01-03T00:00:00"/>
    <d v="2024-09-01T00:00:00"/>
    <n v="2"/>
    <s v="paused"/>
    <s v="10/29/2022"/>
    <s v=" $1,575.87 "/>
    <n v="1"/>
    <n v="48"/>
    <s v="Home"/>
    <s v="Refrigerator"/>
    <s v="Home"/>
    <x v="0"/>
    <n v="1575.87"/>
    <s v="Aligned"/>
    <s v="35-49 Gen X"/>
    <s v="High Value Tier"/>
    <s v="Elevated Risk"/>
  </r>
  <r>
    <s v="ORD6939"/>
    <s v="CUST2939"/>
    <n v="50"/>
    <s v="PROD2139"/>
    <s v="India"/>
    <s v="8/20/2022"/>
    <d v="2024-12-02T00:00:00"/>
    <n v="0"/>
    <s v="active"/>
    <d v="2023-09-07T00:00:00"/>
    <s v=" $141.13 "/>
    <n v="5"/>
    <n v="11"/>
    <s v="Electronics"/>
    <s v="Smartphone"/>
    <s v="Electronics"/>
    <x v="1"/>
    <n v="705.65"/>
    <s v="Aligned"/>
    <s v="50-64 Boomers"/>
    <s v="High Value Tier"/>
    <s v="Stable"/>
  </r>
  <r>
    <s v="ORD6940"/>
    <s v="CUST2940"/>
    <n v="46"/>
    <s v="PROD2140"/>
    <s v="Pakistan"/>
    <d v="2021-08-09T00:00:00"/>
    <s v="2/26/2025"/>
    <n v="5"/>
    <s v="active"/>
    <d v="2024-05-11T00:00:00"/>
    <s v=" $584.37 "/>
    <n v="3"/>
    <n v="11"/>
    <s v="Sports"/>
    <s v="Dress"/>
    <s v="Clothing"/>
    <x v="1"/>
    <n v="1753.11"/>
    <s v="Misaligned"/>
    <s v="35-49 Gen X"/>
    <s v="High Value Tier"/>
    <s v="Critical Risk"/>
  </r>
  <r>
    <s v="ORD6941"/>
    <s v="CUST2941"/>
    <n v="59"/>
    <s v="PROD2141"/>
    <s v="USA"/>
    <d v="2022-02-07T00:00:00"/>
    <s v="11/17/2023"/>
    <n v="4"/>
    <s v="active"/>
    <d v="2023-04-06T00:00:00"/>
    <s v=" $389.05 "/>
    <n v="5"/>
    <n v="17"/>
    <s v="Electronics"/>
    <s v="Vacuum Cleaner"/>
    <s v="Home"/>
    <x v="0"/>
    <n v="1945.25"/>
    <s v="Misaligned"/>
    <s v="50-64 Boomers"/>
    <s v="High Value Tier"/>
    <s v="Critical Risk"/>
  </r>
  <r>
    <s v="ORD6942"/>
    <s v="CUST2942"/>
    <n v="61"/>
    <s v="PROD2142"/>
    <s v="Germany"/>
    <s v="3/29/2023"/>
    <d v="2024-06-12T00:00:00"/>
    <n v="2"/>
    <s v="active"/>
    <s v="4/26/2025"/>
    <s v=" $495.74 "/>
    <n v="3"/>
    <n v="41"/>
    <s v="Home"/>
    <s v="Foundation"/>
    <s v="Beauty"/>
    <x v="0"/>
    <n v="1487.22"/>
    <s v="Misaligned"/>
    <s v="50-64 Boomers"/>
    <s v="High Value Tier"/>
    <s v="Stable"/>
  </r>
  <r>
    <s v="ORD6943"/>
    <s v="CUST2943"/>
    <n v="60"/>
    <s v="PROD2143"/>
    <s v="Germany"/>
    <s v="4/25/2022"/>
    <d v="2025-08-05T00:00:00"/>
    <n v="5"/>
    <s v="active"/>
    <d v="2022-02-11T00:00:00"/>
    <s v=" $19.39 "/>
    <n v="9"/>
    <n v="32"/>
    <s v="Sports"/>
    <s v="Lamp"/>
    <s v="Home"/>
    <x v="1"/>
    <n v="174.51"/>
    <s v="Misaligned"/>
    <s v="50-64 Boomers"/>
    <s v="High Value Tier"/>
    <s v="Critical Risk"/>
  </r>
  <r>
    <s v="ORD6944"/>
    <s v="CUST2944"/>
    <n v="35"/>
    <s v="PROD2144"/>
    <s v="UK"/>
    <s v="2/26/2023"/>
    <s v="6/29/2023"/>
    <n v="2"/>
    <s v="cancelled"/>
    <s v="6/27/2023"/>
    <s v=" $444.92 "/>
    <n v="3"/>
    <n v="28"/>
    <s v="Electronics"/>
    <s v="Football"/>
    <s v="Sports"/>
    <x v="1"/>
    <n v="1334.76"/>
    <s v="Misaligned"/>
    <s v="35-49 Gen X"/>
    <s v="High Value Tier"/>
    <s v="Stable"/>
  </r>
  <r>
    <s v="ORD6945"/>
    <s v="CUST2945"/>
    <n v="36"/>
    <s v="PROD2145"/>
    <s v="Canada"/>
    <s v="7/14/2022"/>
    <s v="11/23/2022"/>
    <n v="2"/>
    <s v="cancelled"/>
    <s v="12/26/2023"/>
    <s v=" $85.87 "/>
    <n v="6"/>
    <n v="28"/>
    <s v="Home"/>
    <s v="Hoodie"/>
    <s v="Clothing"/>
    <x v="0"/>
    <n v="515.22"/>
    <s v="Misaligned"/>
    <s v="35-49 Gen X"/>
    <s v="High Value Tier"/>
    <s v="Stable"/>
  </r>
  <r>
    <s v="ORD6946"/>
    <s v="CUST2946"/>
    <n v="64"/>
    <s v="PROD2146"/>
    <s v="UK"/>
    <d v="2021-08-05T00:00:00"/>
    <s v="11/21/2023"/>
    <n v="2"/>
    <s v="active"/>
    <s v="12/31/2023"/>
    <s v=" $382.88 "/>
    <n v="3"/>
    <n v="1"/>
    <s v="Electronics"/>
    <s v="Running Shoes"/>
    <s v="Sports"/>
    <x v="0"/>
    <n v="1148.6400000000001"/>
    <s v="Misaligned"/>
    <s v="50-64 Boomers"/>
    <s v="Core Tier"/>
    <s v="Stable"/>
  </r>
  <r>
    <s v="ORD6947"/>
    <s v="CUST2947"/>
    <n v="34"/>
    <s v="PROD2147"/>
    <s v="Canada"/>
    <s v="12/24/2020"/>
    <d v="2023-11-12T00:00:00"/>
    <n v="2"/>
    <s v="active"/>
    <s v="6/20/2024"/>
    <s v=" $177.29 "/>
    <n v="9"/>
    <n v="44"/>
    <s v="Clothing"/>
    <s v="Yoga Mat"/>
    <s v="Sports"/>
    <x v="1"/>
    <n v="1595.61"/>
    <s v="Misaligned"/>
    <s v="25-34 Millennials"/>
    <s v="High Value Tier"/>
    <s v="Stable"/>
  </r>
  <r>
    <s v="ORD6948"/>
    <s v="CUST2948"/>
    <n v="67"/>
    <s v="PROD2148"/>
    <s v="UK"/>
    <d v="2020-10-10T00:00:00"/>
    <s v="9/27/2024"/>
    <n v="2"/>
    <s v="active"/>
    <s v="10/31/2024"/>
    <s v=" $130.54 "/>
    <n v="6"/>
    <n v="11"/>
    <s v="Electronics"/>
    <s v="Skirt"/>
    <s v="Clothing"/>
    <x v="1"/>
    <n v="783.24"/>
    <s v="Misaligned"/>
    <s v="65+ Seniors"/>
    <s v="High Value Tier"/>
    <s v="Stable"/>
  </r>
  <r>
    <s v="ORD6949"/>
    <s v="CUST2949"/>
    <n v="27"/>
    <s v="PROD2149"/>
    <s v="Germany"/>
    <s v="4/27/2022"/>
    <s v="3/13/2025"/>
    <n v="5"/>
    <s v="active"/>
    <d v="2023-10-09T00:00:00"/>
    <s v=" $1,249.74 "/>
    <n v="1"/>
    <n v="5"/>
    <s v="Sports"/>
    <s v="Yoga Mat"/>
    <s v="Sports"/>
    <x v="0"/>
    <n v="1249.74"/>
    <s v="Aligned"/>
    <s v="25-34 Millennials"/>
    <s v="High Value Tier"/>
    <s v="Critical Risk"/>
  </r>
  <r>
    <s v="ORD6950"/>
    <s v="CUST2950"/>
    <n v="19"/>
    <s v="PROD2150"/>
    <s v="Germany"/>
    <d v="2022-10-06T00:00:00"/>
    <s v="9/19/2022"/>
    <n v="4"/>
    <s v="paused"/>
    <d v="2023-08-12T00:00:00"/>
    <s v=" $290.81 "/>
    <n v="4"/>
    <n v="49"/>
    <s v="Sports"/>
    <s v="Jacket"/>
    <s v="Clothing"/>
    <x v="1"/>
    <n v="1163.24"/>
    <s v="Misaligned"/>
    <s v="18-24 Gen Z"/>
    <s v="High Value Tier"/>
    <s v="Elevated Risk"/>
  </r>
  <r>
    <s v="ORD6951"/>
    <s v="CUST2951"/>
    <n v="21"/>
    <s v="PROD2151"/>
    <s v="India"/>
    <d v="2021-07-04T00:00:00"/>
    <d v="2024-09-07T00:00:00"/>
    <n v="0"/>
    <s v="active"/>
    <s v="6/24/2021"/>
    <s v=" $366.09 "/>
    <n v="5"/>
    <n v="5"/>
    <s v="Beauty"/>
    <s v="Tennis Racket"/>
    <s v="Sports"/>
    <x v="1"/>
    <n v="1830.45"/>
    <s v="Misaligned"/>
    <s v="18-24 Gen Z"/>
    <s v="High Value Tier"/>
    <s v="Stable"/>
  </r>
  <r>
    <s v="ORD6952"/>
    <s v="CUST2952"/>
    <n v="61"/>
    <s v="PROD2152"/>
    <s v="Pakistan"/>
    <d v="2022-03-12T00:00:00"/>
    <d v="2025-05-05T00:00:00"/>
    <n v="2"/>
    <s v="active"/>
    <s v="7/26/2025"/>
    <s v=" $34.53 "/>
    <n v="3"/>
    <n v="36"/>
    <s v="Sports"/>
    <s v="Shirt"/>
    <s v="Clothing"/>
    <x v="0"/>
    <n v="103.59"/>
    <s v="Misaligned"/>
    <s v="50-64 Boomers"/>
    <s v="High Value Tier"/>
    <s v="Stable"/>
  </r>
  <r>
    <s v="ORD6953"/>
    <s v="CUST2953"/>
    <n v="60"/>
    <s v="PROD2153"/>
    <s v="UK"/>
    <s v="12/18/2020"/>
    <s v="5/14/2024"/>
    <n v="0"/>
    <s v="active"/>
    <s v="7/14/2024"/>
    <s v=" $112.73 "/>
    <n v="8"/>
    <n v="34"/>
    <s v="Sports"/>
    <s v="Perfume"/>
    <s v="Beauty"/>
    <x v="0"/>
    <n v="901.84"/>
    <s v="Misaligned"/>
    <s v="50-64 Boomers"/>
    <s v="High Value Tier"/>
    <s v="Stable"/>
  </r>
  <r>
    <s v="ORD6954"/>
    <s v="CUST2954"/>
    <n v="62"/>
    <s v="PROD2154"/>
    <s v="Canada"/>
    <s v="5/23/2023"/>
    <s v="11/30/2023"/>
    <n v="2"/>
    <s v="cancelled"/>
    <s v="4/24/2024"/>
    <s v=" $1,019.71 "/>
    <n v="1"/>
    <n v="8"/>
    <s v="Beauty"/>
    <s v="Moisturizer"/>
    <s v="Beauty"/>
    <x v="1"/>
    <n v="1019.71"/>
    <s v="Aligned"/>
    <s v="50-64 Boomers"/>
    <s v="High Value Tier"/>
    <s v="Stable"/>
  </r>
  <r>
    <s v="ORD6955"/>
    <s v="CUST2955"/>
    <n v="51"/>
    <s v="PROD2155"/>
    <s v="India"/>
    <d v="2023-11-02T00:00:00"/>
    <d v="2025-07-06T00:00:00"/>
    <n v="4"/>
    <s v="active"/>
    <d v="2024-10-08T00:00:00"/>
    <s v=" $74.99 "/>
    <n v="6"/>
    <n v="4"/>
    <s v="Clothing"/>
    <s v="Laptop"/>
    <s v="Electronics"/>
    <x v="1"/>
    <n v="449.94"/>
    <s v="Misaligned"/>
    <s v="50-64 Boomers"/>
    <s v="Core Tier"/>
    <s v="Critical Risk"/>
  </r>
  <r>
    <s v="ORD6956"/>
    <s v="CUST2956"/>
    <n v="69"/>
    <s v="PROD2156"/>
    <s v="Pakistan"/>
    <d v="2023-10-03T00:00:00"/>
    <s v="11/29/2023"/>
    <n v="4"/>
    <s v="active"/>
    <s v="10/17/2023"/>
    <s v=" $434.02 "/>
    <n v="4"/>
    <n v="44"/>
    <s v="Clothing"/>
    <s v="Nail Polish"/>
    <s v="Beauty"/>
    <x v="0"/>
    <n v="1736.08"/>
    <s v="Misaligned"/>
    <s v="65+ Seniors"/>
    <s v="High Value Tier"/>
    <s v="Critical Risk"/>
  </r>
  <r>
    <s v="ORD6957"/>
    <s v="CUST2957"/>
    <n v="42"/>
    <s v="PROD2157"/>
    <s v="UK"/>
    <d v="2020-11-11T00:00:00"/>
    <s v="3/19/2023"/>
    <n v="4"/>
    <s v="active"/>
    <s v="5/23/2021"/>
    <s v=" $358.32 "/>
    <n v="4"/>
    <n v="32"/>
    <s v="Electronics"/>
    <s v="Nail Polish"/>
    <s v="Beauty"/>
    <x v="0"/>
    <n v="1433.28"/>
    <s v="Misaligned"/>
    <s v="35-49 Gen X"/>
    <s v="High Value Tier"/>
    <s v="Critical Risk"/>
  </r>
  <r>
    <s v="ORD6958"/>
    <s v="CUST2958"/>
    <n v="54"/>
    <s v="PROD2158"/>
    <s v="Germany"/>
    <d v="2021-07-09T00:00:00"/>
    <d v="2023-05-11T00:00:00"/>
    <n v="4"/>
    <s v="active"/>
    <s v="2/26/2025"/>
    <s v=" $189.52 "/>
    <n v="9"/>
    <n v="48"/>
    <s v="Home"/>
    <s v="Jeans"/>
    <s v="Clothing"/>
    <x v="1"/>
    <n v="1705.68"/>
    <s v="Misaligned"/>
    <s v="50-64 Boomers"/>
    <s v="High Value Tier"/>
    <s v="Critical Risk"/>
  </r>
  <r>
    <s v="ORD6959"/>
    <s v="CUST2959"/>
    <n v="55"/>
    <s v="PROD2159"/>
    <s v="India"/>
    <d v="2022-03-03T00:00:00"/>
    <s v="12/30/2023"/>
    <n v="0"/>
    <s v="paused"/>
    <s v="4/18/2022"/>
    <s v=" $239.76 "/>
    <n v="3"/>
    <n v="19"/>
    <s v="Home"/>
    <s v="Conditioner"/>
    <s v="Beauty"/>
    <x v="1"/>
    <n v="719.28"/>
    <s v="Misaligned"/>
    <s v="50-64 Boomers"/>
    <s v="High Value Tier"/>
    <s v="Elevated Risk"/>
  </r>
  <r>
    <s v="ORD6960"/>
    <s v="CUST2960"/>
    <n v="67"/>
    <s v="PROD2160"/>
    <s v="UK"/>
    <s v="1/20/2023"/>
    <s v="5/22/2025"/>
    <n v="4"/>
    <s v="cancelled"/>
    <d v="2024-01-05T00:00:00"/>
    <s v=" $43.42 "/>
    <n v="9"/>
    <n v="5"/>
    <s v="Electronics"/>
    <s v="Sofa"/>
    <s v="Home"/>
    <x v="1"/>
    <n v="390.78"/>
    <s v="Misaligned"/>
    <s v="65+ Seniors"/>
    <s v="Core Tier"/>
    <s v="Stable"/>
  </r>
  <r>
    <s v="ORD6961"/>
    <s v="CUST2961"/>
    <n v="37"/>
    <s v="PROD2161"/>
    <s v="Canada"/>
    <d v="2023-02-02T00:00:00"/>
    <s v="2/27/2025"/>
    <n v="4"/>
    <s v="active"/>
    <s v="1/29/2024"/>
    <s v=" $153.87 "/>
    <n v="2"/>
    <n v="2"/>
    <s v="Home"/>
    <s v="Vacuum Cleaner"/>
    <s v="Home"/>
    <x v="1"/>
    <n v="307.74"/>
    <s v="Aligned"/>
    <s v="35-49 Gen X"/>
    <s v="Value Tier"/>
    <s v="Critical Risk"/>
  </r>
  <r>
    <s v="ORD6962"/>
    <s v="CUST2962"/>
    <n v="21"/>
    <s v="PROD2162"/>
    <s v="UK"/>
    <s v="11/18/2021"/>
    <s v="3/15/2025"/>
    <n v="4"/>
    <s v="paused"/>
    <d v="2022-07-01T00:00:00"/>
    <s v=" $8.10 "/>
    <n v="4"/>
    <n v="15"/>
    <s v="Electronics"/>
    <s v="Face Wash"/>
    <s v="Beauty"/>
    <x v="1"/>
    <n v="32.4"/>
    <s v="Misaligned"/>
    <s v="18-24 Gen Z"/>
    <s v="Value Tier"/>
    <s v="Elevated Risk"/>
  </r>
  <r>
    <s v="ORD6963"/>
    <s v="CUST2963"/>
    <n v="43"/>
    <s v="PROD2163"/>
    <s v="Canada"/>
    <s v="7/13/2022"/>
    <s v="1/16/2025"/>
    <n v="4"/>
    <s v="paused"/>
    <s v="7/13/2025"/>
    <s v=" $325.53 "/>
    <n v="4"/>
    <n v="16"/>
    <s v="Sports"/>
    <s v="Hoodie"/>
    <s v="Clothing"/>
    <x v="1"/>
    <n v="1302.1199999999999"/>
    <s v="Misaligned"/>
    <s v="35-49 Gen X"/>
    <s v="High Value Tier"/>
    <s v="Elevated Risk"/>
  </r>
  <r>
    <s v="ORD6964"/>
    <s v="CUST2964"/>
    <n v="58"/>
    <s v="PROD2164"/>
    <s v="India"/>
    <s v="1/21/2023"/>
    <d v="2023-03-05T00:00:00"/>
    <n v="3"/>
    <s v="paused"/>
    <s v="10/30/2023"/>
    <s v=" $211.46 "/>
    <n v="8"/>
    <n v="6"/>
    <s v="Beauty"/>
    <s v="Cycling Helmet"/>
    <s v="Sports"/>
    <x v="1"/>
    <n v="1691.68"/>
    <s v="Misaligned"/>
    <s v="50-64 Boomers"/>
    <s v="High Value Tier"/>
    <s v="Elevated Risk"/>
  </r>
  <r>
    <s v="ORD6965"/>
    <s v="CUST2965"/>
    <n v="31"/>
    <s v="PROD2165"/>
    <s v="USA"/>
    <d v="2022-06-08T00:00:00"/>
    <d v="2023-04-10T00:00:00"/>
    <n v="0"/>
    <s v="active"/>
    <s v="4/19/2023"/>
    <s v=" $293.70 "/>
    <n v="2"/>
    <n v="1"/>
    <s v="Clothing"/>
    <s v="Shirt"/>
    <s v="Clothing"/>
    <x v="0"/>
    <n v="587.4"/>
    <s v="Aligned"/>
    <s v="25-34 Millennials"/>
    <s v="Value Tier"/>
    <s v="Stable"/>
  </r>
  <r>
    <s v="ORD6966"/>
    <s v="CUST2966"/>
    <n v="31"/>
    <s v="PROD2166"/>
    <s v="Pakistan"/>
    <s v="11/13/2022"/>
    <s v="3/13/2023"/>
    <n v="4"/>
    <s v="active"/>
    <s v="7/24/2024"/>
    <s v=" $157.86 "/>
    <n v="8"/>
    <n v="41"/>
    <s v="Sports"/>
    <s v="Dining Table"/>
    <s v="Home"/>
    <x v="0"/>
    <n v="1262.8800000000001"/>
    <s v="Misaligned"/>
    <s v="25-34 Millennials"/>
    <s v="High Value Tier"/>
    <s v="Critical Risk"/>
  </r>
  <r>
    <s v="ORD6967"/>
    <s v="CUST2967"/>
    <n v="42"/>
    <s v="PROD2167"/>
    <s v="UK"/>
    <s v="7/13/2023"/>
    <d v="2025-03-04T00:00:00"/>
    <n v="1"/>
    <s v="cancelled"/>
    <s v="11/16/2023"/>
    <s v=" $927.22 "/>
    <n v="2"/>
    <n v="16"/>
    <s v="Electronics"/>
    <s v="Cycling Helmet"/>
    <s v="Sports"/>
    <x v="0"/>
    <n v="1854.44"/>
    <s v="Misaligned"/>
    <s v="35-49 Gen X"/>
    <s v="High Value Tier"/>
    <s v="Stable"/>
  </r>
  <r>
    <s v="ORD6968"/>
    <s v="CUST2968"/>
    <n v="57"/>
    <s v="PROD2168"/>
    <s v="USA"/>
    <s v="7/25/2022"/>
    <s v="4/14/2023"/>
    <n v="5"/>
    <s v="paused"/>
    <s v="2/24/2023"/>
    <s v=" $33.59 "/>
    <n v="5"/>
    <n v="8"/>
    <s v="Home"/>
    <s v="Perfume"/>
    <s v="Beauty"/>
    <x v="1"/>
    <n v="167.95"/>
    <s v="Misaligned"/>
    <s v="50-64 Boomers"/>
    <s v="Core Tier"/>
    <s v="Elevated Risk"/>
  </r>
  <r>
    <s v="ORD6969"/>
    <s v="CUST2969"/>
    <n v="56"/>
    <s v="PROD2169"/>
    <s v="USA"/>
    <s v="11/13/2020"/>
    <s v="1/17/2021"/>
    <n v="4"/>
    <s v="active"/>
    <d v="2022-12-04T00:00:00"/>
    <s v=" $295.43 "/>
    <n v="4"/>
    <n v="21"/>
    <s v="Sports"/>
    <s v="Jeans"/>
    <s v="Clothing"/>
    <x v="0"/>
    <n v="1181.72"/>
    <s v="Misaligned"/>
    <s v="50-64 Boomers"/>
    <s v="High Value Tier"/>
    <s v="Critical Risk"/>
  </r>
  <r>
    <s v="ORD6970"/>
    <s v="CUST2970"/>
    <n v="33"/>
    <s v="PROD2170"/>
    <s v="India"/>
    <d v="2022-10-08T00:00:00"/>
    <d v="2024-03-08T00:00:00"/>
    <n v="1"/>
    <s v="cancelled"/>
    <d v="2025-03-06T00:00:00"/>
    <s v=" $91.90 "/>
    <n v="9"/>
    <n v="23"/>
    <s v="Home"/>
    <s v="Perfume"/>
    <s v="Beauty"/>
    <x v="1"/>
    <n v="827.1"/>
    <s v="Misaligned"/>
    <s v="25-34 Millennials"/>
    <s v="High Value Tier"/>
    <s v="Stable"/>
  </r>
  <r>
    <s v="ORD6971"/>
    <s v="CUST2971"/>
    <n v="43"/>
    <s v="PROD2171"/>
    <s v="India"/>
    <s v="12/18/2021"/>
    <s v="9/17/2024"/>
    <n v="5"/>
    <s v="active"/>
    <d v="2023-09-04T00:00:00"/>
    <s v=" $531.37 "/>
    <n v="2"/>
    <n v="18"/>
    <s v="Clothing"/>
    <s v="Smartwatch"/>
    <s v="Electronics"/>
    <x v="1"/>
    <n v="1062.74"/>
    <s v="Misaligned"/>
    <s v="35-49 Gen X"/>
    <s v="High Value Tier"/>
    <s v="Critical Risk"/>
  </r>
  <r>
    <s v="ORD6972"/>
    <s v="CUST2972"/>
    <n v="41"/>
    <s v="PROD2172"/>
    <s v="India"/>
    <d v="2021-02-09T00:00:00"/>
    <d v="2024-02-11T00:00:00"/>
    <n v="4"/>
    <s v="active"/>
    <d v="2023-08-03T00:00:00"/>
    <s v=" $143.44 "/>
    <n v="4"/>
    <n v="38"/>
    <s v="Sports"/>
    <s v="Bluetooth Speaker"/>
    <s v="Electronics"/>
    <x v="1"/>
    <n v="573.76"/>
    <s v="Misaligned"/>
    <s v="35-49 Gen X"/>
    <s v="High Value Tier"/>
    <s v="Critical Risk"/>
  </r>
  <r>
    <s v="ORD6973"/>
    <s v="CUST2973"/>
    <n v="46"/>
    <s v="PROD2173"/>
    <s v="UK"/>
    <d v="2023-10-07T00:00:00"/>
    <d v="2025-12-06T00:00:00"/>
    <n v="1"/>
    <s v="active"/>
    <s v="6/27/2025"/>
    <s v=" $432.84 "/>
    <n v="4"/>
    <n v="46"/>
    <s v="Clothing"/>
    <s v="Cycling Helmet"/>
    <s v="Sports"/>
    <x v="1"/>
    <n v="1731.36"/>
    <s v="Misaligned"/>
    <s v="35-49 Gen X"/>
    <s v="High Value Tier"/>
    <s v="Stable"/>
  </r>
  <r>
    <s v="ORD6974"/>
    <s v="CUST2974"/>
    <n v="56"/>
    <s v="PROD2174"/>
    <s v="Pakistan"/>
    <s v="4/14/2021"/>
    <d v="2023-01-06T00:00:00"/>
    <n v="1"/>
    <s v="active"/>
    <d v="2025-08-07T00:00:00"/>
    <s v=" $61.63 "/>
    <n v="4"/>
    <n v="13"/>
    <s v="Clothing"/>
    <s v="Smartphone"/>
    <s v="Electronics"/>
    <x v="1"/>
    <n v="246.52"/>
    <s v="Misaligned"/>
    <s v="50-64 Boomers"/>
    <s v="High Value Tier"/>
    <s v="Stable"/>
  </r>
  <r>
    <s v="ORD6975"/>
    <s v="CUST2975"/>
    <n v="24"/>
    <s v="PROD2175"/>
    <s v="Germany"/>
    <s v="7/25/2022"/>
    <d v="2022-09-09T00:00:00"/>
    <n v="3"/>
    <s v="active"/>
    <s v="10/20/2022"/>
    <s v=" $146.29 "/>
    <n v="7"/>
    <n v="28"/>
    <s v="Sports"/>
    <s v="Smartwatch"/>
    <s v="Electronics"/>
    <x v="1"/>
    <n v="1024.03"/>
    <s v="Misaligned"/>
    <s v="18-24 Gen Z"/>
    <s v="High Value Tier"/>
    <s v="Stable"/>
  </r>
  <r>
    <s v="ORD6976"/>
    <s v="CUST2976"/>
    <n v="28"/>
    <s v="PROD2176"/>
    <s v="UK"/>
    <s v="8/27/2022"/>
    <s v="11/23/2024"/>
    <n v="0"/>
    <s v="active"/>
    <s v="8/21/2023"/>
    <s v=" $142.63 "/>
    <n v="2"/>
    <n v="35"/>
    <s v="Electronics"/>
    <s v="Sofa"/>
    <s v="Home"/>
    <x v="0"/>
    <n v="285.26"/>
    <s v="Misaligned"/>
    <s v="25-34 Millennials"/>
    <s v="High Value Tier"/>
    <s v="Stable"/>
  </r>
  <r>
    <s v="ORD6977"/>
    <s v="CUST2977"/>
    <n v="61"/>
    <s v="PROD2177"/>
    <s v="India"/>
    <d v="2023-02-04T00:00:00"/>
    <s v="8/13/2025"/>
    <n v="3"/>
    <s v="active"/>
    <s v="12/15/2024"/>
    <s v=" $281.51 "/>
    <n v="5"/>
    <n v="12"/>
    <s v="Clothing"/>
    <s v="Running Shoes"/>
    <s v="Sports"/>
    <x v="0"/>
    <n v="1407.55"/>
    <s v="Misaligned"/>
    <s v="50-64 Boomers"/>
    <s v="High Value Tier"/>
    <s v="Stable"/>
  </r>
  <r>
    <s v="ORD6978"/>
    <s v="CUST2978"/>
    <n v="61"/>
    <s v="PROD2178"/>
    <s v="UK"/>
    <s v="10/30/2021"/>
    <d v="2024-09-01T00:00:00"/>
    <n v="0"/>
    <s v="active"/>
    <s v="11/17/2024"/>
    <s v=" $314.29 "/>
    <n v="4"/>
    <n v="46"/>
    <s v="Home"/>
    <s v="Skirt"/>
    <s v="Clothing"/>
    <x v="1"/>
    <n v="1257.1600000000001"/>
    <s v="Misaligned"/>
    <s v="50-64 Boomers"/>
    <s v="High Value Tier"/>
    <s v="Stable"/>
  </r>
  <r>
    <s v="ORD6979"/>
    <s v="CUST2979"/>
    <n v="25"/>
    <s v="PROD2179"/>
    <s v="Pakistan"/>
    <s v="8/29/2020"/>
    <d v="2020-07-11T00:00:00"/>
    <n v="4"/>
    <s v="cancelled"/>
    <s v="12/28/2021"/>
    <s v=" $628.04 "/>
    <n v="3"/>
    <n v="14"/>
    <s v="Electronics"/>
    <s v="Jacket"/>
    <s v="Clothing"/>
    <x v="1"/>
    <n v="1884.12"/>
    <s v="Misaligned"/>
    <s v="25-34 Millennials"/>
    <s v="High Value Tier"/>
    <s v="Stable"/>
  </r>
  <r>
    <s v="ORD6980"/>
    <s v="CUST2980"/>
    <n v="40"/>
    <s v="PROD2180"/>
    <s v="UK"/>
    <s v="3/20/2022"/>
    <s v="12/16/2022"/>
    <n v="3"/>
    <s v="paused"/>
    <d v="2023-06-01T00:00:00"/>
    <s v=" $145.30 "/>
    <n v="3"/>
    <n v="28"/>
    <s v="Sports"/>
    <s v="T-Shirt"/>
    <s v="Clothing"/>
    <x v="1"/>
    <n v="435.9"/>
    <s v="Misaligned"/>
    <s v="35-49 Gen X"/>
    <s v="High Value Tier"/>
    <s v="Elevated Risk"/>
  </r>
  <r>
    <s v="ORD6981"/>
    <s v="CUST2981"/>
    <n v="56"/>
    <s v="PROD2181"/>
    <s v="India"/>
    <s v="2/28/2022"/>
    <d v="2024-01-12T00:00:00"/>
    <n v="1"/>
    <s v="cancelled"/>
    <s v="7/13/2024"/>
    <s v=" $81.86 "/>
    <n v="3"/>
    <n v="10"/>
    <s v="Electronics"/>
    <s v="Basketball"/>
    <s v="Sports"/>
    <x v="1"/>
    <n v="245.58"/>
    <s v="Misaligned"/>
    <s v="50-64 Boomers"/>
    <s v="Core Tier"/>
    <s v="Stable"/>
  </r>
  <r>
    <s v="ORD6982"/>
    <s v="CUST2982"/>
    <n v="26"/>
    <s v="PROD2182"/>
    <s v="Pakistan"/>
    <d v="2022-08-04T00:00:00"/>
    <s v="7/22/2025"/>
    <n v="0"/>
    <s v="active"/>
    <s v="8/26/2024"/>
    <s v=" $478.29 "/>
    <n v="4"/>
    <n v="3"/>
    <s v="Home"/>
    <s v="Shampoo"/>
    <s v="Beauty"/>
    <x v="0"/>
    <n v="1913.16"/>
    <s v="Misaligned"/>
    <s v="25-34 Millennials"/>
    <s v="High Value Tier"/>
    <s v="Stable"/>
  </r>
  <r>
    <s v="ORD6983"/>
    <s v="CUST2983"/>
    <n v="53"/>
    <s v="PROD2183"/>
    <s v="USA"/>
    <s v="7/15/2022"/>
    <s v="7/19/2022"/>
    <n v="4"/>
    <s v="paused"/>
    <s v="1/13/2023"/>
    <s v=" $386.17 "/>
    <n v="2"/>
    <n v="9"/>
    <s v="Electronics"/>
    <s v="Refrigerator"/>
    <s v="Home"/>
    <x v="0"/>
    <n v="772.34"/>
    <s v="Misaligned"/>
    <s v="50-64 Boomers"/>
    <s v="High Value Tier"/>
    <s v="Elevated Risk"/>
  </r>
  <r>
    <s v="ORD6984"/>
    <s v="CUST2984"/>
    <n v="23"/>
    <s v="PROD2184"/>
    <s v="India"/>
    <d v="2022-12-03T00:00:00"/>
    <d v="2024-03-04T00:00:00"/>
    <n v="2"/>
    <s v="active"/>
    <s v="6/28/2023"/>
    <s v=" $1,902.06 "/>
    <n v="1"/>
    <n v="28"/>
    <s v="Sports"/>
    <s v="Foundation"/>
    <s v="Beauty"/>
    <x v="0"/>
    <n v="1902.06"/>
    <s v="Misaligned"/>
    <s v="18-24 Gen Z"/>
    <s v="High Value Tier"/>
    <s v="Stable"/>
  </r>
  <r>
    <s v="ORD6985"/>
    <s v="CUST2985"/>
    <n v="52"/>
    <s v="PROD2185"/>
    <s v="UK"/>
    <s v="8/26/2022"/>
    <s v="8/21/2023"/>
    <n v="3"/>
    <s v="cancelled"/>
    <d v="2025-06-02T00:00:00"/>
    <s v=" $11.23 "/>
    <n v="8"/>
    <n v="6"/>
    <s v="Sports"/>
    <s v="Bluetooth Speaker"/>
    <s v="Electronics"/>
    <x v="0"/>
    <n v="89.84"/>
    <s v="Misaligned"/>
    <s v="50-64 Boomers"/>
    <s v="Value Tier"/>
    <s v="Stable"/>
  </r>
  <r>
    <s v="ORD6986"/>
    <s v="CUST2986"/>
    <n v="21"/>
    <s v="PROD2186"/>
    <s v="USA"/>
    <s v="1/24/2021"/>
    <d v="2024-03-08T00:00:00"/>
    <n v="1"/>
    <s v="active"/>
    <d v="2024-03-05T00:00:00"/>
    <s v=" $522.95 "/>
    <n v="2"/>
    <n v="2"/>
    <s v="Clothing"/>
    <s v="Camera"/>
    <s v="Electronics"/>
    <x v="0"/>
    <n v="1045.9000000000001"/>
    <s v="Misaligned"/>
    <s v="18-24 Gen Z"/>
    <s v="Core Tier"/>
    <s v="Stable"/>
  </r>
  <r>
    <s v="ORD6987"/>
    <s v="CUST2987"/>
    <n v="65"/>
    <s v="PROD2187"/>
    <s v="Canada"/>
    <d v="2020-05-12T00:00:00"/>
    <s v="4/21/2024"/>
    <n v="3"/>
    <s v="active"/>
    <s v="1/24/2021"/>
    <s v=" $354.59 "/>
    <n v="4"/>
    <n v="47"/>
    <s v="Electronics"/>
    <s v="Perfume"/>
    <s v="Beauty"/>
    <x v="1"/>
    <n v="1418.36"/>
    <s v="Misaligned"/>
    <s v="65+ Seniors"/>
    <s v="High Value Tier"/>
    <s v="Stable"/>
  </r>
  <r>
    <s v="ORD6988"/>
    <s v="CUST2988"/>
    <n v="50"/>
    <s v="PROD2188"/>
    <s v="Canada"/>
    <s v="1/20/2022"/>
    <d v="2024-10-07T00:00:00"/>
    <n v="0"/>
    <s v="active"/>
    <d v="2023-03-07T00:00:00"/>
    <s v=" $35.70 "/>
    <n v="8"/>
    <n v="38"/>
    <s v="Clothing"/>
    <s v="Smartwatch"/>
    <s v="Electronics"/>
    <x v="1"/>
    <n v="285.60000000000002"/>
    <s v="Misaligned"/>
    <s v="50-64 Boomers"/>
    <s v="High Value Tier"/>
    <s v="Stable"/>
  </r>
  <r>
    <s v="ORD6989"/>
    <s v="CUST2989"/>
    <n v="36"/>
    <s v="PROD2189"/>
    <s v="Germany"/>
    <s v="3/23/2022"/>
    <d v="2025-05-06T00:00:00"/>
    <n v="2"/>
    <s v="cancelled"/>
    <s v="9/27/2023"/>
    <s v=" $394.60 "/>
    <n v="5"/>
    <n v="43"/>
    <s v="Beauty"/>
    <s v="Lipstick"/>
    <s v="Beauty"/>
    <x v="0"/>
    <n v="1973"/>
    <s v="Aligned"/>
    <s v="35-49 Gen X"/>
    <s v="High Value Tier"/>
    <s v="Stable"/>
  </r>
  <r>
    <s v="ORD6990"/>
    <s v="CUST2990"/>
    <n v="69"/>
    <s v="PROD2190"/>
    <s v="Canada"/>
    <s v="8/17/2023"/>
    <s v="5/21/2025"/>
    <n v="4"/>
    <s v="paused"/>
    <s v="8/21/2023"/>
    <s v=" $71.62 "/>
    <n v="5"/>
    <n v="17"/>
    <s v="Clothing"/>
    <s v="Football"/>
    <s v="Sports"/>
    <x v="0"/>
    <n v="358.1"/>
    <s v="Misaligned"/>
    <s v="65+ Seniors"/>
    <s v="High Value Tier"/>
    <s v="Elevated Risk"/>
  </r>
  <r>
    <s v="ORD6991"/>
    <s v="CUST2991"/>
    <n v="55"/>
    <s v="PROD2191"/>
    <s v="India"/>
    <s v="7/17/2022"/>
    <s v="12/16/2024"/>
    <n v="4"/>
    <s v="active"/>
    <s v="5/13/2023"/>
    <s v=" $260.37 "/>
    <n v="3"/>
    <n v="36"/>
    <s v="Clothing"/>
    <s v="Vacuum Cleaner"/>
    <s v="Home"/>
    <x v="1"/>
    <n v="781.11"/>
    <s v="Misaligned"/>
    <s v="50-64 Boomers"/>
    <s v="High Value Tier"/>
    <s v="Critical Risk"/>
  </r>
  <r>
    <s v="ORD6992"/>
    <s v="CUST2992"/>
    <n v="35"/>
    <s v="PROD2192"/>
    <s v="Germany"/>
    <d v="2021-05-03T00:00:00"/>
    <s v="11/14/2023"/>
    <n v="5"/>
    <s v="active"/>
    <d v="2025-02-02T00:00:00"/>
    <s v=" $281.42 "/>
    <n v="3"/>
    <n v="46"/>
    <s v="Electronics"/>
    <s v="Tablet"/>
    <s v="Electronics"/>
    <x v="1"/>
    <n v="844.26"/>
    <s v="Aligned"/>
    <s v="35-49 Gen X"/>
    <s v="High Value Tier"/>
    <s v="Critical Risk"/>
  </r>
  <r>
    <s v="ORD6993"/>
    <s v="CUST2993"/>
    <n v="23"/>
    <s v="PROD2193"/>
    <s v="Pakistan"/>
    <s v="11/28/2020"/>
    <d v="2021-09-08T00:00:00"/>
    <n v="3"/>
    <s v="active"/>
    <s v="5/20/2025"/>
    <s v=" $54.05 "/>
    <n v="9"/>
    <n v="29"/>
    <s v="Clothing"/>
    <s v="Dining Table"/>
    <s v="Home"/>
    <x v="0"/>
    <n v="486.45"/>
    <s v="Misaligned"/>
    <s v="18-24 Gen Z"/>
    <s v="High Value Tier"/>
    <s v="Stable"/>
  </r>
  <r>
    <s v="ORD6994"/>
    <s v="CUST2994"/>
    <n v="40"/>
    <s v="PROD2194"/>
    <s v="India"/>
    <d v="2021-07-02T00:00:00"/>
    <s v="2/15/2024"/>
    <n v="4"/>
    <s v="active"/>
    <s v="12/26/2023"/>
    <s v=" $77.92 "/>
    <n v="4"/>
    <n v="5"/>
    <s v="Home"/>
    <s v="Dress"/>
    <s v="Clothing"/>
    <x v="1"/>
    <n v="311.68"/>
    <s v="Misaligned"/>
    <s v="35-49 Gen X"/>
    <s v="Core Tier"/>
    <s v="Critical Risk"/>
  </r>
  <r>
    <s v="ORD6995"/>
    <s v="CUST2995"/>
    <n v="27"/>
    <s v="PROD2195"/>
    <s v="UK"/>
    <d v="2021-11-07T00:00:00"/>
    <s v="7/22/2023"/>
    <n v="0"/>
    <s v="active"/>
    <s v="7/23/2022"/>
    <s v=" $30.34 "/>
    <n v="7"/>
    <n v="25"/>
    <s v="Beauty"/>
    <s v="Sneakers"/>
    <s v="Clothing"/>
    <x v="0"/>
    <n v="212.38"/>
    <s v="Misaligned"/>
    <s v="25-34 Millennials"/>
    <s v="High Value Tier"/>
    <s v="Stable"/>
  </r>
  <r>
    <s v="ORD6996"/>
    <s v="CUST2996"/>
    <n v="59"/>
    <s v="PROD2196"/>
    <s v="Canada"/>
    <s v="11/26/2022"/>
    <s v="10/29/2023"/>
    <n v="4"/>
    <s v="paused"/>
    <d v="2024-05-03T00:00:00"/>
    <s v=" $381.38 "/>
    <n v="3"/>
    <n v="12"/>
    <s v="Electronics"/>
    <s v="Chair"/>
    <s v="Home"/>
    <x v="1"/>
    <n v="1144.1400000000001"/>
    <s v="Misaligned"/>
    <s v="50-64 Boomers"/>
    <s v="High Value Tier"/>
    <s v="Elevated Risk"/>
  </r>
  <r>
    <s v="ORD6997"/>
    <s v="CUST2997"/>
    <n v="41"/>
    <s v="PROD2197"/>
    <s v="India"/>
    <s v="4/20/2022"/>
    <s v="8/15/2022"/>
    <n v="1"/>
    <s v="active"/>
    <s v="4/29/2023"/>
    <s v=" $305.05 "/>
    <n v="6"/>
    <n v="38"/>
    <s v="Beauty"/>
    <s v="Lipstick"/>
    <s v="Beauty"/>
    <x v="1"/>
    <n v="1830.3"/>
    <s v="Aligned"/>
    <s v="35-49 Gen X"/>
    <s v="High Value Tier"/>
    <s v="Stable"/>
  </r>
  <r>
    <s v="ORD6998"/>
    <s v="CUST2998"/>
    <n v="20"/>
    <s v="PROD2198"/>
    <s v="USA"/>
    <s v="5/16/2021"/>
    <s v="12/15/2024"/>
    <n v="0"/>
    <s v="active"/>
    <s v="2/17/2022"/>
    <s v=" $229.14 "/>
    <n v="1"/>
    <n v="49"/>
    <s v="Beauty"/>
    <s v="Face Wash"/>
    <s v="Beauty"/>
    <x v="1"/>
    <n v="229.14"/>
    <s v="Aligned"/>
    <s v="18-24 Gen Z"/>
    <s v="High Value Tier"/>
    <s v="Stable"/>
  </r>
  <r>
    <s v="ORD6999"/>
    <s v="CUST2999"/>
    <n v="54"/>
    <s v="PROD2199"/>
    <s v="India"/>
    <s v="1/31/2023"/>
    <s v="7/25/2023"/>
    <n v="5"/>
    <s v="cancelled"/>
    <s v="5/31/2024"/>
    <s v=" $4.41 "/>
    <n v="7"/>
    <n v="24"/>
    <s v="Beauty"/>
    <s v="Hoodie"/>
    <s v="Clothing"/>
    <x v="1"/>
    <n v="30.87"/>
    <s v="Misaligned"/>
    <s v="50-64 Boomers"/>
    <s v="Value Tier"/>
    <s v="Stable"/>
  </r>
  <r>
    <m/>
    <m/>
    <m/>
    <m/>
    <m/>
    <m/>
    <m/>
    <m/>
    <m/>
    <m/>
    <m/>
    <m/>
    <m/>
    <m/>
    <m/>
    <m/>
    <x v="3"/>
    <m/>
    <m/>
    <m/>
    <m/>
    <m/>
  </r>
  <r>
    <m/>
    <m/>
    <m/>
    <m/>
    <m/>
    <m/>
    <m/>
    <m/>
    <m/>
    <m/>
    <m/>
    <m/>
    <m/>
    <m/>
    <m/>
    <m/>
    <x v="4"/>
    <n v="2051690.6500000055"/>
    <m/>
    <m/>
    <m/>
    <m/>
  </r>
  <r>
    <m/>
    <m/>
    <m/>
    <m/>
    <m/>
    <m/>
    <m/>
    <m/>
    <m/>
    <m/>
    <m/>
    <m/>
    <m/>
    <m/>
    <m/>
    <m/>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26FFC4-4934-42EE-AC44-0A4ED0E5927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E28" firstHeaderRow="0"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0"/>
        <item x="1"/>
        <item x="2"/>
        <item x="4"/>
        <item x="3"/>
        <item t="default"/>
      </items>
    </pivotField>
    <pivotField dataField="1" showAll="0"/>
    <pivotField showAll="0"/>
    <pivotField showAll="0"/>
    <pivotField showAll="0"/>
    <pivotField showAll="0"/>
  </pivotFields>
  <rowFields count="1">
    <field x="16"/>
  </rowFields>
  <rowItems count="6">
    <i>
      <x/>
    </i>
    <i>
      <x v="1"/>
    </i>
    <i>
      <x v="2"/>
    </i>
    <i>
      <x v="3"/>
    </i>
    <i>
      <x v="4"/>
    </i>
    <i t="grand">
      <x/>
    </i>
  </rowItems>
  <colFields count="1">
    <field x="-2"/>
  </colFields>
  <colItems count="4">
    <i>
      <x/>
    </i>
    <i i="1">
      <x v="1"/>
    </i>
    <i i="2">
      <x v="2"/>
    </i>
    <i i="3">
      <x v="3"/>
    </i>
  </colItems>
  <dataFields count="4">
    <dataField name="Order_Count" fld="0" subtotal="count" baseField="16" baseItem="0"/>
    <dataField name="Total_Revenue" fld="17" baseField="16" baseItem="0"/>
    <dataField name="Avg_Order_Value" fld="17" subtotal="average" baseField="16" baseItem="0" numFmtId="2"/>
    <dataField name="Avg_Quantity" fld="11" subtotal="average" baseField="16" baseItem="0" numFmtId="2"/>
  </dataFields>
  <formats count="2">
    <format dxfId="91">
      <pivotArea outline="0" collapsedLevelsAreSubtotals="1" fieldPosition="0">
        <references count="1">
          <reference field="4294967294" count="2" selected="0">
            <x v="2"/>
            <x v="3"/>
          </reference>
        </references>
      </pivotArea>
    </format>
    <format dxfId="90">
      <pivotArea collapsedLevelsAreSubtotals="1" fieldPosition="0">
        <references count="2">
          <reference field="4294967294" count="1" selected="0">
            <x v="0"/>
          </reference>
          <reference field="16" count="3">
            <x v="0"/>
            <x v="1"/>
            <x v="2"/>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3"/>
          </reference>
        </references>
      </pivotArea>
    </chartFormat>
    <chartFormat chart="2" format="7"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2"/>
          </reference>
        </references>
      </pivotArea>
    </chartFormat>
    <chartFormat chart="4" format="14" series="1">
      <pivotArea type="data" outline="0" fieldPosition="0">
        <references count="1">
          <reference field="4294967294" count="1" selected="0">
            <x v="3"/>
          </reference>
        </references>
      </pivotArea>
    </chartFormat>
    <chartFormat chart="4"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CFD715-258C-490A-98FC-B0CDF090EE5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0:L16" firstHeaderRow="0" firstDataRow="1" firstDataCol="1"/>
  <pivotFields count="22">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4">
        <item x="0"/>
        <item x="1"/>
        <item x="2"/>
        <item t="default"/>
      </items>
    </pivotField>
    <pivotField dataField="1" showAll="0"/>
    <pivotField showAll="0"/>
    <pivotField axis="axisRow" showAll="0">
      <items count="6">
        <item x="3"/>
        <item x="2"/>
        <item x="0"/>
        <item x="1"/>
        <item x="4"/>
        <item t="default"/>
      </items>
    </pivotField>
    <pivotField showAll="0"/>
    <pivotField showAll="0"/>
  </pivotFields>
  <rowFields count="1">
    <field x="19"/>
  </rowFields>
  <rowItems count="6">
    <i>
      <x/>
    </i>
    <i>
      <x v="1"/>
    </i>
    <i>
      <x v="2"/>
    </i>
    <i>
      <x v="3"/>
    </i>
    <i>
      <x v="4"/>
    </i>
    <i t="grand">
      <x/>
    </i>
  </rowItems>
  <colFields count="1">
    <field x="-2"/>
  </colFields>
  <colItems count="4">
    <i>
      <x/>
    </i>
    <i i="1">
      <x v="1"/>
    </i>
    <i i="2">
      <x v="2"/>
    </i>
    <i i="3">
      <x v="3"/>
    </i>
  </colItems>
  <dataFields count="4">
    <dataField name="customer_Count" fld="1" subtotal="count" baseField="19" baseItem="0"/>
    <dataField name="Sum of gross_revenue" fld="17" baseField="0" baseItem="0"/>
    <dataField name="Avg_Order_Value" fld="17" subtotal="average" baseField="19" baseItem="0" numFmtId="2"/>
    <dataField name="Avg_Purchase_Freq" fld="12" subtotal="average" baseField="19" baseItem="0" numFmtId="2"/>
  </dataFields>
  <formats count="2">
    <format dxfId="93">
      <pivotArea collapsedLevelsAreSubtotals="1" fieldPosition="0">
        <references count="2">
          <reference field="4294967294" count="1" selected="0">
            <x v="0"/>
          </reference>
          <reference field="19" count="0"/>
        </references>
      </pivotArea>
    </format>
    <format dxfId="92">
      <pivotArea outline="0" collapsedLevelsAreSubtotals="1" fieldPosition="0">
        <references count="1">
          <reference field="4294967294" count="2" selected="0">
            <x v="2"/>
            <x v="3"/>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78DA3-7977-4C2A-B1A0-1D026B2FEDB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L6" firstHeaderRow="0" firstDataRow="1" firstDataCol="1"/>
  <pivotFields count="22">
    <pivotField showAll="0"/>
    <pivotField dataField="1"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Fields count="1">
    <field x="8"/>
  </rowFields>
  <rowItems count="4">
    <i>
      <x/>
    </i>
    <i>
      <x v="1"/>
    </i>
    <i>
      <x v="2"/>
    </i>
    <i t="grand">
      <x/>
    </i>
  </rowItems>
  <colFields count="1">
    <field x="-2"/>
  </colFields>
  <colItems count="4">
    <i>
      <x/>
    </i>
    <i i="1">
      <x v="1"/>
    </i>
    <i i="2">
      <x v="2"/>
    </i>
    <i i="3">
      <x v="3"/>
    </i>
  </colItems>
  <dataFields count="4">
    <dataField name="Count of customer_id" fld="1" subtotal="count" baseField="0" baseItem="0"/>
    <dataField name="Sum of gross_revenue" fld="17" baseField="0" baseItem="0"/>
    <dataField name="Avg_Cancellations" fld="7" subtotal="average" baseField="8" baseItem="0" numFmtId="2"/>
    <dataField name="Avg_Purchase_Freq" fld="12" subtotal="average" baseField="8" baseItem="0" numFmtId="2"/>
  </dataFields>
  <formats count="1">
    <format dxfId="94">
      <pivotArea outline="0" collapsedLevelsAreSubtotals="1" fieldPosition="0">
        <references count="1">
          <reference field="4294967294" count="2" selected="0">
            <x v="2"/>
            <x v="3"/>
          </reference>
        </references>
      </pivotArea>
    </format>
  </formats>
  <chartFormats count="3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5" format="7">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1">
          <reference field="4294967294" count="1" selected="0">
            <x v="1"/>
          </reference>
        </references>
      </pivotArea>
    </chartFormat>
    <chartFormat chart="5" format="9">
      <pivotArea type="data" outline="0" fieldPosition="0">
        <references count="2">
          <reference field="4294967294" count="1" selected="0">
            <x v="1"/>
          </reference>
          <reference field="8" count="1" selected="0">
            <x v="0"/>
          </reference>
        </references>
      </pivotArea>
    </chartFormat>
    <chartFormat chart="5" format="10">
      <pivotArea type="data" outline="0" fieldPosition="0">
        <references count="2">
          <reference field="4294967294" count="1" selected="0">
            <x v="1"/>
          </reference>
          <reference field="8" count="1" selected="0">
            <x v="1"/>
          </reference>
        </references>
      </pivotArea>
    </chartFormat>
    <chartFormat chart="5" format="11">
      <pivotArea type="data" outline="0" fieldPosition="0">
        <references count="2">
          <reference field="4294967294" count="1" selected="0">
            <x v="1"/>
          </reference>
          <reference field="8" count="1" selected="0">
            <x v="2"/>
          </reference>
        </references>
      </pivotArea>
    </chartFormat>
    <chartFormat chart="5" format="12" series="1">
      <pivotArea type="data" outline="0" fieldPosition="0">
        <references count="1">
          <reference field="4294967294" count="1" selected="0">
            <x v="2"/>
          </reference>
        </references>
      </pivotArea>
    </chartFormat>
    <chartFormat chart="5" format="13">
      <pivotArea type="data" outline="0" fieldPosition="0">
        <references count="2">
          <reference field="4294967294" count="1" selected="0">
            <x v="2"/>
          </reference>
          <reference field="8" count="1" selected="0">
            <x v="0"/>
          </reference>
        </references>
      </pivotArea>
    </chartFormat>
    <chartFormat chart="5" format="14">
      <pivotArea type="data" outline="0" fieldPosition="0">
        <references count="2">
          <reference field="4294967294" count="1" selected="0">
            <x v="2"/>
          </reference>
          <reference field="8" count="1" selected="0">
            <x v="1"/>
          </reference>
        </references>
      </pivotArea>
    </chartFormat>
    <chartFormat chart="5" format="15">
      <pivotArea type="data" outline="0" fieldPosition="0">
        <references count="2">
          <reference field="4294967294" count="1" selected="0">
            <x v="2"/>
          </reference>
          <reference field="8" count="1" selected="0">
            <x v="2"/>
          </reference>
        </references>
      </pivotArea>
    </chartFormat>
    <chartFormat chart="5" format="16" series="1">
      <pivotArea type="data" outline="0" fieldPosition="0">
        <references count="1">
          <reference field="4294967294" count="1" selected="0">
            <x v="3"/>
          </reference>
        </references>
      </pivotArea>
    </chartFormat>
    <chartFormat chart="5" format="17">
      <pivotArea type="data" outline="0" fieldPosition="0">
        <references count="2">
          <reference field="4294967294" count="1" selected="0">
            <x v="3"/>
          </reference>
          <reference field="8" count="1" selected="0">
            <x v="0"/>
          </reference>
        </references>
      </pivotArea>
    </chartFormat>
    <chartFormat chart="5" format="18">
      <pivotArea type="data" outline="0" fieldPosition="0">
        <references count="2">
          <reference field="4294967294" count="1" selected="0">
            <x v="3"/>
          </reference>
          <reference field="8" count="1" selected="0">
            <x v="1"/>
          </reference>
        </references>
      </pivotArea>
    </chartFormat>
    <chartFormat chart="5" format="19">
      <pivotArea type="data" outline="0" fieldPosition="0">
        <references count="2">
          <reference field="4294967294" count="1" selected="0">
            <x v="3"/>
          </reference>
          <reference field="8" count="1" selected="0">
            <x v="2"/>
          </reference>
        </references>
      </pivotArea>
    </chartFormat>
    <chartFormat chart="8" format="36" series="1">
      <pivotArea type="data" outline="0" fieldPosition="0">
        <references count="1">
          <reference field="4294967294" count="1" selected="0">
            <x v="0"/>
          </reference>
        </references>
      </pivotArea>
    </chartFormat>
    <chartFormat chart="8" format="37">
      <pivotArea type="data" outline="0" fieldPosition="0">
        <references count="2">
          <reference field="4294967294" count="1" selected="0">
            <x v="0"/>
          </reference>
          <reference field="8" count="1" selected="0">
            <x v="0"/>
          </reference>
        </references>
      </pivotArea>
    </chartFormat>
    <chartFormat chart="8" format="38">
      <pivotArea type="data" outline="0" fieldPosition="0">
        <references count="2">
          <reference field="4294967294" count="1" selected="0">
            <x v="0"/>
          </reference>
          <reference field="8" count="1" selected="0">
            <x v="1"/>
          </reference>
        </references>
      </pivotArea>
    </chartFormat>
    <chartFormat chart="8" format="39">
      <pivotArea type="data" outline="0" fieldPosition="0">
        <references count="2">
          <reference field="4294967294" count="1" selected="0">
            <x v="0"/>
          </reference>
          <reference field="8" count="1" selected="0">
            <x v="2"/>
          </reference>
        </references>
      </pivotArea>
    </chartFormat>
    <chartFormat chart="8" format="40" series="1">
      <pivotArea type="data" outline="0" fieldPosition="0">
        <references count="1">
          <reference field="4294967294" count="1" selected="0">
            <x v="1"/>
          </reference>
        </references>
      </pivotArea>
    </chartFormat>
    <chartFormat chart="8" format="41">
      <pivotArea type="data" outline="0" fieldPosition="0">
        <references count="2">
          <reference field="4294967294" count="1" selected="0">
            <x v="1"/>
          </reference>
          <reference field="8" count="1" selected="0">
            <x v="0"/>
          </reference>
        </references>
      </pivotArea>
    </chartFormat>
    <chartFormat chart="8" format="42">
      <pivotArea type="data" outline="0" fieldPosition="0">
        <references count="2">
          <reference field="4294967294" count="1" selected="0">
            <x v="1"/>
          </reference>
          <reference field="8" count="1" selected="0">
            <x v="1"/>
          </reference>
        </references>
      </pivotArea>
    </chartFormat>
    <chartFormat chart="8" format="43">
      <pivotArea type="data" outline="0" fieldPosition="0">
        <references count="2">
          <reference field="4294967294" count="1" selected="0">
            <x v="1"/>
          </reference>
          <reference field="8" count="1" selected="0">
            <x v="2"/>
          </reference>
        </references>
      </pivotArea>
    </chartFormat>
    <chartFormat chart="8" format="44" series="1">
      <pivotArea type="data" outline="0" fieldPosition="0">
        <references count="1">
          <reference field="4294967294" count="1" selected="0">
            <x v="2"/>
          </reference>
        </references>
      </pivotArea>
    </chartFormat>
    <chartFormat chart="8" format="45">
      <pivotArea type="data" outline="0" fieldPosition="0">
        <references count="2">
          <reference field="4294967294" count="1" selected="0">
            <x v="2"/>
          </reference>
          <reference field="8" count="1" selected="0">
            <x v="0"/>
          </reference>
        </references>
      </pivotArea>
    </chartFormat>
    <chartFormat chart="8" format="46">
      <pivotArea type="data" outline="0" fieldPosition="0">
        <references count="2">
          <reference field="4294967294" count="1" selected="0">
            <x v="2"/>
          </reference>
          <reference field="8" count="1" selected="0">
            <x v="1"/>
          </reference>
        </references>
      </pivotArea>
    </chartFormat>
    <chartFormat chart="8" format="47">
      <pivotArea type="data" outline="0" fieldPosition="0">
        <references count="2">
          <reference field="4294967294" count="1" selected="0">
            <x v="2"/>
          </reference>
          <reference field="8" count="1" selected="0">
            <x v="2"/>
          </reference>
        </references>
      </pivotArea>
    </chartFormat>
    <chartFormat chart="8" format="48" series="1">
      <pivotArea type="data" outline="0" fieldPosition="0">
        <references count="1">
          <reference field="4294967294" count="1" selected="0">
            <x v="3"/>
          </reference>
        </references>
      </pivotArea>
    </chartFormat>
    <chartFormat chart="8" format="49">
      <pivotArea type="data" outline="0" fieldPosition="0">
        <references count="2">
          <reference field="4294967294" count="1" selected="0">
            <x v="3"/>
          </reference>
          <reference field="8" count="1" selected="0">
            <x v="0"/>
          </reference>
        </references>
      </pivotArea>
    </chartFormat>
    <chartFormat chart="8" format="50">
      <pivotArea type="data" outline="0" fieldPosition="0">
        <references count="2">
          <reference field="4294967294" count="1" selected="0">
            <x v="3"/>
          </reference>
          <reference field="8" count="1" selected="0">
            <x v="1"/>
          </reference>
        </references>
      </pivotArea>
    </chartFormat>
    <chartFormat chart="8" format="51">
      <pivotArea type="data" outline="0" fieldPosition="0">
        <references count="2">
          <reference field="4294967294" count="1" selected="0">
            <x v="3"/>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9E773F-91A3-478B-A7DB-5498465C272B}" name="Revenue Distribution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E18" firstHeaderRow="0" firstDataRow="1" firstDataCol="1"/>
  <pivotFields count="22">
    <pivotField dataField="1" showAll="0"/>
    <pivotField dataField="1" showAll="0"/>
    <pivotField showAll="0"/>
    <pivotField showAll="0"/>
    <pivotField axis="axisRow" showAll="0">
      <items count="7">
        <item x="0"/>
        <item x="4"/>
        <item x="3"/>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7">
    <i>
      <x/>
    </i>
    <i>
      <x v="1"/>
    </i>
    <i>
      <x v="2"/>
    </i>
    <i>
      <x v="3"/>
    </i>
    <i>
      <x v="4"/>
    </i>
    <i>
      <x v="5"/>
    </i>
    <i t="grand">
      <x/>
    </i>
  </rowItems>
  <colFields count="1">
    <field x="-2"/>
  </colFields>
  <colItems count="4">
    <i>
      <x/>
    </i>
    <i i="1">
      <x v="1"/>
    </i>
    <i i="2">
      <x v="2"/>
    </i>
    <i i="3">
      <x v="3"/>
    </i>
  </colItems>
  <dataFields count="4">
    <dataField name="Total_revenue" fld="17" baseField="0" baseItem="0" numFmtId="166"/>
    <dataField name="order_count" fld="0" subtotal="count" baseField="0" baseItem="0"/>
    <dataField name="Unique_Customers" fld="1" subtotal="count" baseField="0" baseItem="0" numFmtId="2"/>
    <dataField name="Avg_Order_Value" fld="17" subtotal="average" baseField="4" baseItem="0" numFmtId="166"/>
  </dataFields>
  <formats count="15">
    <format dxfId="109">
      <pivotArea outline="0" collapsedLevelsAreSubtotals="1" fieldPosition="0">
        <references count="1">
          <reference field="4294967294" count="1" selected="0">
            <x v="2"/>
          </reference>
        </references>
      </pivotArea>
    </format>
    <format dxfId="108">
      <pivotArea type="all" dataOnly="0" outline="0" fieldPosition="0"/>
    </format>
    <format dxfId="107">
      <pivotArea outline="0" collapsedLevelsAreSubtotals="1" fieldPosition="0"/>
    </format>
    <format dxfId="106">
      <pivotArea field="4" type="button" dataOnly="0" labelOnly="1" outline="0" axis="axisRow" fieldPosition="0"/>
    </format>
    <format dxfId="105">
      <pivotArea dataOnly="0" labelOnly="1" fieldPosition="0">
        <references count="1">
          <reference field="4" count="0"/>
        </references>
      </pivotArea>
    </format>
    <format dxfId="104">
      <pivotArea dataOnly="0" labelOnly="1" grandRow="1" outline="0" fieldPosition="0"/>
    </format>
    <format dxfId="103">
      <pivotArea dataOnly="0" labelOnly="1" outline="0" fieldPosition="0">
        <references count="1">
          <reference field="4294967294" count="4">
            <x v="0"/>
            <x v="1"/>
            <x v="2"/>
            <x v="3"/>
          </reference>
        </references>
      </pivotArea>
    </format>
    <format dxfId="102">
      <pivotArea type="all" dataOnly="0" outline="0" fieldPosition="0"/>
    </format>
    <format dxfId="101">
      <pivotArea outline="0" collapsedLevelsAreSubtotals="1" fieldPosition="0"/>
    </format>
    <format dxfId="100">
      <pivotArea field="4" type="button" dataOnly="0" labelOnly="1" outline="0" axis="axisRow" fieldPosition="0"/>
    </format>
    <format dxfId="99">
      <pivotArea dataOnly="0" labelOnly="1" fieldPosition="0">
        <references count="1">
          <reference field="4" count="0"/>
        </references>
      </pivotArea>
    </format>
    <format dxfId="98">
      <pivotArea dataOnly="0" labelOnly="1" grandRow="1" outline="0" fieldPosition="0"/>
    </format>
    <format dxfId="97">
      <pivotArea dataOnly="0" labelOnly="1" outline="0" fieldPosition="0">
        <references count="1">
          <reference field="4294967294" count="4">
            <x v="0"/>
            <x v="1"/>
            <x v="2"/>
            <x v="3"/>
          </reference>
        </references>
      </pivotArea>
    </format>
    <format dxfId="96">
      <pivotArea outline="0" collapsedLevelsAreSubtotals="1" fieldPosition="0">
        <references count="1">
          <reference field="4294967294" count="1" selected="0">
            <x v="0"/>
          </reference>
        </references>
      </pivotArea>
    </format>
    <format dxfId="95">
      <pivotArea outline="0" collapsedLevelsAreSubtotals="1" fieldPosition="0">
        <references count="1">
          <reference field="4294967294" count="1" selected="0">
            <x v="3"/>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56DF1-CF0B-4B51-89BA-3ACE0B5C08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E8" firstHeaderRow="0" firstDataRow="1" firstDataCol="1"/>
  <pivotFields count="22">
    <pivotField dataField="1" showAll="0"/>
    <pivotField showAll="0"/>
    <pivotField showAll="0"/>
    <pivotField showAll="0"/>
    <pivotField showAll="0">
      <items count="7">
        <item x="0"/>
        <item x="4"/>
        <item x="3"/>
        <item x="2"/>
        <item x="5"/>
        <item x="1"/>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6">
        <item x="3"/>
        <item x="2"/>
        <item x="4"/>
        <item x="1"/>
        <item x="0"/>
        <item t="default"/>
      </items>
    </pivotField>
    <pivotField showAll="0">
      <items count="4">
        <item x="0"/>
        <item x="1"/>
        <item x="2"/>
        <item t="default"/>
      </items>
    </pivotField>
    <pivotField dataField="1" showAll="0"/>
    <pivotField showAll="0"/>
    <pivotField showAll="0"/>
    <pivotField showAll="0"/>
    <pivotField showAll="0"/>
  </pivotFields>
  <rowFields count="1">
    <field x="15"/>
  </rowFields>
  <rowItems count="6">
    <i>
      <x/>
    </i>
    <i>
      <x v="1"/>
    </i>
    <i>
      <x v="2"/>
    </i>
    <i>
      <x v="3"/>
    </i>
    <i>
      <x v="4"/>
    </i>
    <i t="grand">
      <x/>
    </i>
  </rowItems>
  <colFields count="1">
    <field x="-2"/>
  </colFields>
  <colItems count="4">
    <i>
      <x/>
    </i>
    <i i="1">
      <x v="1"/>
    </i>
    <i i="2">
      <x v="2"/>
    </i>
    <i i="3">
      <x v="3"/>
    </i>
  </colItems>
  <dataFields count="4">
    <dataField name="Total_revenue" fld="17" baseField="0" baseItem="0" numFmtId="166"/>
    <dataField name="order_count" fld="0" subtotal="count" baseField="0" baseItem="0"/>
    <dataField name="Avg_Order_Value" fld="17" subtotal="average" baseField="15" baseItem="0" numFmtId="166"/>
    <dataField name="Avg_Unit_Price" fld="11" subtotal="average" baseField="15" baseItem="0" numFmtId="166"/>
  </dataFields>
  <formats count="16">
    <format dxfId="125">
      <pivotArea collapsedLevelsAreSubtotals="1" fieldPosition="0">
        <references count="2">
          <reference field="4294967294" count="1" selected="0">
            <x v="3"/>
          </reference>
          <reference field="15" count="0"/>
        </references>
      </pivotArea>
    </format>
    <format dxfId="124">
      <pivotArea outline="0" collapsedLevelsAreSubtotals="1" fieldPosition="0">
        <references count="1">
          <reference field="4294967294" count="1" selected="0">
            <x v="0"/>
          </reference>
        </references>
      </pivotArea>
    </format>
    <format dxfId="123">
      <pivotArea outline="0" collapsedLevelsAreSubtotals="1" fieldPosition="0">
        <references count="1">
          <reference field="4294967294" count="1" selected="0">
            <x v="2"/>
          </reference>
        </references>
      </pivotArea>
    </format>
    <format dxfId="122">
      <pivotArea outline="0" collapsedLevelsAreSubtotals="1" fieldPosition="0">
        <references count="1">
          <reference field="4294967294" count="1" selected="0">
            <x v="3"/>
          </reference>
        </references>
      </pivotArea>
    </format>
    <format dxfId="121">
      <pivotArea type="all" dataOnly="0" outline="0" fieldPosition="0"/>
    </format>
    <format dxfId="120">
      <pivotArea outline="0" collapsedLevelsAreSubtotals="1" fieldPosition="0"/>
    </format>
    <format dxfId="119">
      <pivotArea field="15" type="button" dataOnly="0" labelOnly="1" outline="0" axis="axisRow" fieldPosition="0"/>
    </format>
    <format dxfId="118">
      <pivotArea dataOnly="0" labelOnly="1" fieldPosition="0">
        <references count="1">
          <reference field="15" count="0"/>
        </references>
      </pivotArea>
    </format>
    <format dxfId="117">
      <pivotArea dataOnly="0" labelOnly="1" grandRow="1" outline="0" fieldPosition="0"/>
    </format>
    <format dxfId="116">
      <pivotArea dataOnly="0" labelOnly="1" outline="0" fieldPosition="0">
        <references count="1">
          <reference field="4294967294" count="4">
            <x v="0"/>
            <x v="1"/>
            <x v="2"/>
            <x v="3"/>
          </reference>
        </references>
      </pivotArea>
    </format>
    <format dxfId="115">
      <pivotArea type="all" dataOnly="0" outline="0" fieldPosition="0"/>
    </format>
    <format dxfId="114">
      <pivotArea outline="0" collapsedLevelsAreSubtotals="1" fieldPosition="0"/>
    </format>
    <format dxfId="113">
      <pivotArea field="15" type="button" dataOnly="0" labelOnly="1" outline="0" axis="axisRow" fieldPosition="0"/>
    </format>
    <format dxfId="112">
      <pivotArea dataOnly="0" labelOnly="1" fieldPosition="0">
        <references count="1">
          <reference field="15" count="0"/>
        </references>
      </pivotArea>
    </format>
    <format dxfId="111">
      <pivotArea dataOnly="0" labelOnly="1" grandRow="1" outline="0" fieldPosition="0"/>
    </format>
    <format dxfId="110">
      <pivotArea dataOnly="0" labelOnly="1" outline="0" fieldPosition="0">
        <references count="1">
          <reference field="4294967294" count="4">
            <x v="0"/>
            <x v="1"/>
            <x v="2"/>
            <x v="3"/>
          </reference>
        </references>
      </pivotArea>
    </format>
  </formats>
  <chartFormats count="8">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2"/>
          </reference>
        </references>
      </pivotArea>
    </chartFormat>
    <chartFormat chart="17" format="7" series="1">
      <pivotArea type="data" outline="0" fieldPosition="0">
        <references count="1">
          <reference field="4294967294" count="1" selected="0">
            <x v="3"/>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 chart="21" format="14" series="1">
      <pivotArea type="data" outline="0" fieldPosition="0">
        <references count="1">
          <reference field="4294967294" count="1" selected="0">
            <x v="2"/>
          </reference>
        </references>
      </pivotArea>
    </chartFormat>
    <chartFormat chart="21"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4DCAAB-A57B-4D4F-B992-6547558D1D4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20:L27"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4"/>
        <item x="1"/>
        <item x="0"/>
        <item t="default"/>
      </items>
    </pivotField>
    <pivotField axis="axisCol" showAll="0">
      <items count="4">
        <item x="0"/>
        <item x="1"/>
        <item x="2"/>
        <item t="default"/>
      </items>
    </pivotField>
    <pivotField dataField="1" showAll="0"/>
    <pivotField showAll="0"/>
    <pivotField showAll="0"/>
    <pivotField showAll="0"/>
    <pivotField showAll="0"/>
  </pivotFields>
  <rowFields count="1">
    <field x="15"/>
  </rowFields>
  <rowItems count="6">
    <i>
      <x/>
    </i>
    <i>
      <x v="1"/>
    </i>
    <i>
      <x v="2"/>
    </i>
    <i>
      <x v="3"/>
    </i>
    <i>
      <x v="4"/>
    </i>
    <i t="grand">
      <x/>
    </i>
  </rowItems>
  <colFields count="1">
    <field x="16"/>
  </colFields>
  <colItems count="4">
    <i>
      <x/>
    </i>
    <i>
      <x v="1"/>
    </i>
    <i>
      <x v="2"/>
    </i>
    <i t="grand">
      <x/>
    </i>
  </colItems>
  <dataFields count="1">
    <dataField name="Sum of gross_revenue" fld="17" baseField="0" baseItem="0"/>
  </dataFields>
  <chartFormats count="6">
    <chartFormat chart="2" format="3" series="1">
      <pivotArea type="data" outline="0" fieldPosition="0">
        <references count="2">
          <reference field="4294967294" count="1" selected="0">
            <x v="0"/>
          </reference>
          <reference field="16" count="1" selected="0">
            <x v="0"/>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 chart="5" format="9" series="1">
      <pivotArea type="data" outline="0" fieldPosition="0">
        <references count="2">
          <reference field="4294967294" count="1" selected="0">
            <x v="0"/>
          </reference>
          <reference field="16" count="1" selected="0">
            <x v="0"/>
          </reference>
        </references>
      </pivotArea>
    </chartFormat>
    <chartFormat chart="5" format="10" series="1">
      <pivotArea type="data" outline="0" fieldPosition="0">
        <references count="2">
          <reference field="4294967294" count="1" selected="0">
            <x v="0"/>
          </reference>
          <reference field="16" count="1" selected="0">
            <x v="1"/>
          </reference>
        </references>
      </pivotArea>
    </chartFormat>
    <chartFormat chart="5" format="11"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594278-1617-4A6D-9D21-F4A50567557A}" sourceName="category">
  <pivotTables>
    <pivotTable tabId="5" name="PivotTable7"/>
  </pivotTables>
  <data>
    <tabular pivotCacheId="798572799">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9E8F60-E32F-4C61-B554-3D199733C65A}" sourceName="gender">
  <pivotTables>
    <pivotTable tabId="5" name="PivotTable12"/>
  </pivotTables>
  <data>
    <tabular pivotCacheId="7985727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093A540-7329-4E0B-AB9C-4731AEC74070}" cache="Slicer_category" caption="category" rowHeight="247650"/>
  <slicer name="gender" xr10:uid="{4EE14D2C-93E7-4121-90FB-C92EA37CDF72}"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EC86CC-EFE2-49A6-8225-74E8F0BBF617}" name="Table1" displayName="Table1" ref="A1:V2002" totalsRowCount="1" headerRowDxfId="171" dataDxfId="170">
  <autoFilter ref="A1:V2001" xr:uid="{5BEC86CC-EFE2-49A6-8225-74E8F0BBF617}"/>
  <sortState xmlns:xlrd2="http://schemas.microsoft.com/office/spreadsheetml/2017/richdata2" ref="A2:V2001">
    <sortCondition ref="A1:A2001"/>
  </sortState>
  <tableColumns count="22">
    <tableColumn id="1" xr3:uid="{58893B0F-1D1B-44AA-BB75-8DF296CD8B6C}" name="order_id" dataDxfId="169" totalsRowDxfId="168"/>
    <tableColumn id="2" xr3:uid="{58FFD40F-7A1E-4629-9AD7-91DB3F43AB9A}" name="customer_id" dataDxfId="167" totalsRowDxfId="166"/>
    <tableColumn id="3" xr3:uid="{5EE929B2-16FB-406D-84FA-4E8D88931993}" name="age" dataDxfId="165" totalsRowDxfId="164"/>
    <tableColumn id="4" xr3:uid="{D042010F-86A5-4365-A9B5-AC3BE75F3940}" name="product_id" dataDxfId="163" totalsRowDxfId="162"/>
    <tableColumn id="5" xr3:uid="{3F5A3FBC-42CE-4DEB-91FE-DEBC06AB7409}" name="country" dataDxfId="161" totalsRowDxfId="160"/>
    <tableColumn id="6" xr3:uid="{5F39D0F2-0FF1-407D-8DE2-8DAF8852FEFE}" name="signup_date" dataDxfId="159" totalsRowDxfId="158"/>
    <tableColumn id="7" xr3:uid="{1B9735A5-875D-4476-8810-9590B6D130F8}" name="last_purchase_date" dataDxfId="157" totalsRowDxfId="156"/>
    <tableColumn id="8" xr3:uid="{61725113-D52C-4436-B705-548C135DF139}" name="cancellations_count" dataDxfId="155" totalsRowDxfId="154"/>
    <tableColumn id="9" xr3:uid="{92FCE0DE-09B8-4D2E-A778-8D91DFA36B71}" name="subscription_status" dataDxfId="153" totalsRowDxfId="152"/>
    <tableColumn id="10" xr3:uid="{5AC590BB-2F15-42F9-A76C-3A8CA61B22B9}" name="order_date" dataDxfId="151" totalsRowDxfId="150"/>
    <tableColumn id="11" xr3:uid="{E9DB3DD3-A7A2-48B5-B7C5-3CEC92F44918}" name=" unit_price " dataDxfId="149" totalsRowDxfId="148"/>
    <tableColumn id="12" xr3:uid="{5244DF5B-32A5-4409-9933-011C66C9068A}" name="quantity" dataDxfId="147" totalsRowDxfId="146"/>
    <tableColumn id="13" xr3:uid="{7336FAA3-3D67-4559-9625-2E24605FF6C5}" name="purchase_frequency" dataDxfId="145" totalsRowDxfId="144"/>
    <tableColumn id="14" xr3:uid="{97120627-23A7-4BED-A3AE-600B0CD36F70}" name="preferred_category" dataDxfId="143" totalsRowDxfId="142"/>
    <tableColumn id="15" xr3:uid="{52DEB09B-78A0-44F5-9500-D03894933CD2}" name="product_name" dataDxfId="141" totalsRowDxfId="140"/>
    <tableColumn id="16" xr3:uid="{24B50439-5FC1-4881-8CDE-ABA4F239FC75}" name="category" dataDxfId="139" totalsRowDxfId="138"/>
    <tableColumn id="17" xr3:uid="{7FC5E5E4-8D15-4716-B384-602C82510573}" name="gender" dataDxfId="137" totalsRowDxfId="136"/>
    <tableColumn id="18" xr3:uid="{7EE8953C-62BA-4126-9848-C5DDD3655DD5}" name="gross_revenue" dataDxfId="135" totalsRowDxfId="134"/>
    <tableColumn id="19" xr3:uid="{3190ADDE-B43D-4C0E-84D4-97F8A4A494E5}" name="preference_alignment" dataDxfId="133" totalsRowDxfId="132"/>
    <tableColumn id="20" xr3:uid="{6DD9D8C4-E63A-41C5-B881-2BE497DF4A8F}" name="age_group" dataDxfId="131" totalsRowDxfId="130"/>
    <tableColumn id="21" xr3:uid="{7DC01C31-490D-4659-82E2-6E2A0D9E6DDD}" name="Customer_Lifetime_Value_Tier" dataDxfId="129" totalsRowDxfId="128"/>
    <tableColumn id="22" xr3:uid="{9187403D-6E46-4996-9C5A-175AABF50864}" name="dormancy_risk" dataDxfId="127" totalsRowDxfId="1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CB11-4D35-425E-8377-4905688D1F45}">
  <dimension ref="A1:Q2001"/>
  <sheetViews>
    <sheetView workbookViewId="0">
      <selection activeCell="T19" sqref="T19"/>
    </sheetView>
  </sheetViews>
  <sheetFormatPr defaultRowHeight="14.4" x14ac:dyDescent="0.3"/>
  <sheetData>
    <row r="1" spans="1:17" x14ac:dyDescent="0.3">
      <c r="A1" t="s">
        <v>0</v>
      </c>
      <c r="B1" t="s">
        <v>1</v>
      </c>
      <c r="C1" t="s">
        <v>2</v>
      </c>
      <c r="D1" t="s">
        <v>3</v>
      </c>
      <c r="E1" t="s">
        <v>4</v>
      </c>
      <c r="F1" t="s">
        <v>5</v>
      </c>
      <c r="G1" t="s">
        <v>6</v>
      </c>
      <c r="H1" t="s">
        <v>7</v>
      </c>
      <c r="I1" t="s">
        <v>8</v>
      </c>
      <c r="J1" t="s">
        <v>9</v>
      </c>
      <c r="K1" t="s">
        <v>9226</v>
      </c>
      <c r="L1" t="s">
        <v>11</v>
      </c>
      <c r="M1" t="s">
        <v>12</v>
      </c>
      <c r="N1" t="s">
        <v>13</v>
      </c>
      <c r="O1" t="s">
        <v>14</v>
      </c>
      <c r="P1" t="s">
        <v>15</v>
      </c>
      <c r="Q1" t="s">
        <v>16</v>
      </c>
    </row>
    <row r="2" spans="1:17" x14ac:dyDescent="0.3">
      <c r="A2" t="s">
        <v>22</v>
      </c>
      <c r="B2" t="s">
        <v>23</v>
      </c>
      <c r="C2">
        <v>39</v>
      </c>
      <c r="D2" t="s">
        <v>24</v>
      </c>
      <c r="E2" t="s">
        <v>25</v>
      </c>
      <c r="F2" s="86">
        <v>44378</v>
      </c>
      <c r="G2" t="s">
        <v>26</v>
      </c>
      <c r="H2">
        <v>0</v>
      </c>
      <c r="I2" t="s">
        <v>27</v>
      </c>
      <c r="J2" t="s">
        <v>28</v>
      </c>
      <c r="K2">
        <v>78.209999999999994</v>
      </c>
      <c r="L2">
        <v>5</v>
      </c>
      <c r="M2">
        <v>37</v>
      </c>
      <c r="N2" t="s">
        <v>30</v>
      </c>
      <c r="O2" t="s">
        <v>31</v>
      </c>
      <c r="P2" t="s">
        <v>30</v>
      </c>
      <c r="Q2" t="s">
        <v>32</v>
      </c>
    </row>
    <row r="3" spans="1:17" x14ac:dyDescent="0.3">
      <c r="A3" t="s">
        <v>37</v>
      </c>
      <c r="B3" t="s">
        <v>38</v>
      </c>
      <c r="C3">
        <v>61</v>
      </c>
      <c r="D3" t="s">
        <v>39</v>
      </c>
      <c r="E3" t="s">
        <v>40</v>
      </c>
      <c r="F3" t="s">
        <v>41</v>
      </c>
      <c r="G3" s="86">
        <v>44420</v>
      </c>
      <c r="H3">
        <v>0</v>
      </c>
      <c r="I3" t="s">
        <v>27</v>
      </c>
      <c r="J3" t="s">
        <v>42</v>
      </c>
      <c r="K3">
        <v>64.02</v>
      </c>
      <c r="L3">
        <v>8</v>
      </c>
      <c r="M3">
        <v>35</v>
      </c>
      <c r="N3" t="s">
        <v>30</v>
      </c>
      <c r="O3" t="s">
        <v>44</v>
      </c>
      <c r="P3" t="s">
        <v>45</v>
      </c>
      <c r="Q3" t="s">
        <v>32</v>
      </c>
    </row>
    <row r="4" spans="1:17" x14ac:dyDescent="0.3">
      <c r="A4" t="s">
        <v>48</v>
      </c>
      <c r="B4" t="s">
        <v>49</v>
      </c>
      <c r="C4">
        <v>26</v>
      </c>
      <c r="D4" t="s">
        <v>50</v>
      </c>
      <c r="E4" t="s">
        <v>51</v>
      </c>
      <c r="F4" s="86">
        <v>45205</v>
      </c>
      <c r="G4" s="86">
        <v>45025</v>
      </c>
      <c r="H4">
        <v>3</v>
      </c>
      <c r="I4" t="s">
        <v>52</v>
      </c>
      <c r="J4" s="86">
        <v>45994</v>
      </c>
      <c r="K4">
        <v>604.14</v>
      </c>
      <c r="L4">
        <v>2</v>
      </c>
      <c r="M4">
        <v>44</v>
      </c>
      <c r="N4" t="s">
        <v>54</v>
      </c>
      <c r="O4" t="s">
        <v>55</v>
      </c>
      <c r="P4" t="s">
        <v>56</v>
      </c>
      <c r="Q4" t="s">
        <v>32</v>
      </c>
    </row>
    <row r="5" spans="1:17" x14ac:dyDescent="0.3">
      <c r="A5" t="s">
        <v>58</v>
      </c>
      <c r="B5" t="s">
        <v>59</v>
      </c>
      <c r="C5">
        <v>54</v>
      </c>
      <c r="D5" t="s">
        <v>60</v>
      </c>
      <c r="E5" t="s">
        <v>61</v>
      </c>
      <c r="F5" t="s">
        <v>62</v>
      </c>
      <c r="G5" t="s">
        <v>63</v>
      </c>
      <c r="H5">
        <v>4</v>
      </c>
      <c r="I5" t="s">
        <v>64</v>
      </c>
      <c r="J5" t="s">
        <v>65</v>
      </c>
      <c r="K5">
        <v>84.66</v>
      </c>
      <c r="L5">
        <v>4</v>
      </c>
      <c r="M5">
        <v>1</v>
      </c>
      <c r="N5" t="s">
        <v>30</v>
      </c>
      <c r="O5" t="s">
        <v>67</v>
      </c>
      <c r="P5" t="s">
        <v>68</v>
      </c>
      <c r="Q5" t="s">
        <v>69</v>
      </c>
    </row>
    <row r="6" spans="1:17" x14ac:dyDescent="0.3">
      <c r="A6" t="s">
        <v>72</v>
      </c>
      <c r="B6" t="s">
        <v>73</v>
      </c>
      <c r="C6">
        <v>50</v>
      </c>
      <c r="D6" t="s">
        <v>74</v>
      </c>
      <c r="E6" t="s">
        <v>61</v>
      </c>
      <c r="F6" s="86">
        <v>44086</v>
      </c>
      <c r="G6" t="s">
        <v>75</v>
      </c>
      <c r="H6">
        <v>0</v>
      </c>
      <c r="I6" t="s">
        <v>27</v>
      </c>
      <c r="J6" s="86">
        <v>45512</v>
      </c>
      <c r="K6">
        <v>62.66</v>
      </c>
      <c r="L6">
        <v>7</v>
      </c>
      <c r="M6">
        <v>35</v>
      </c>
      <c r="N6" t="s">
        <v>30</v>
      </c>
      <c r="O6" t="s">
        <v>77</v>
      </c>
      <c r="P6" t="s">
        <v>54</v>
      </c>
      <c r="Q6" t="s">
        <v>69</v>
      </c>
    </row>
    <row r="7" spans="1:17" x14ac:dyDescent="0.3">
      <c r="A7" t="s">
        <v>78</v>
      </c>
      <c r="B7" t="s">
        <v>79</v>
      </c>
      <c r="C7">
        <v>46</v>
      </c>
      <c r="D7" t="s">
        <v>80</v>
      </c>
      <c r="E7" t="s">
        <v>51</v>
      </c>
      <c r="F7" t="s">
        <v>81</v>
      </c>
      <c r="G7" t="s">
        <v>82</v>
      </c>
      <c r="H7">
        <v>2</v>
      </c>
      <c r="I7" t="s">
        <v>27</v>
      </c>
      <c r="J7" t="s">
        <v>83</v>
      </c>
      <c r="K7">
        <v>221.61</v>
      </c>
      <c r="L7">
        <v>8</v>
      </c>
      <c r="M7">
        <v>16</v>
      </c>
      <c r="N7" t="s">
        <v>54</v>
      </c>
      <c r="O7" t="s">
        <v>55</v>
      </c>
      <c r="P7" t="s">
        <v>56</v>
      </c>
      <c r="Q7" t="s">
        <v>69</v>
      </c>
    </row>
    <row r="8" spans="1:17" x14ac:dyDescent="0.3">
      <c r="A8" t="s">
        <v>85</v>
      </c>
      <c r="B8" t="s">
        <v>86</v>
      </c>
      <c r="C8">
        <v>29</v>
      </c>
      <c r="D8" t="s">
        <v>87</v>
      </c>
      <c r="E8" t="s">
        <v>88</v>
      </c>
      <c r="F8" s="86">
        <v>45203</v>
      </c>
      <c r="G8" t="s">
        <v>89</v>
      </c>
      <c r="H8">
        <v>1</v>
      </c>
      <c r="I8" t="s">
        <v>27</v>
      </c>
      <c r="J8" s="86">
        <v>45415</v>
      </c>
      <c r="K8">
        <v>175.74</v>
      </c>
      <c r="L8">
        <v>4</v>
      </c>
      <c r="M8">
        <v>7</v>
      </c>
      <c r="N8" t="s">
        <v>56</v>
      </c>
      <c r="O8" t="s">
        <v>91</v>
      </c>
      <c r="P8" t="s">
        <v>54</v>
      </c>
      <c r="Q8" t="s">
        <v>32</v>
      </c>
    </row>
    <row r="9" spans="1:17" x14ac:dyDescent="0.3">
      <c r="A9" t="s">
        <v>92</v>
      </c>
      <c r="B9" t="s">
        <v>93</v>
      </c>
      <c r="C9">
        <v>24</v>
      </c>
      <c r="D9" t="s">
        <v>94</v>
      </c>
      <c r="E9" t="s">
        <v>95</v>
      </c>
      <c r="F9" s="86">
        <v>44872</v>
      </c>
      <c r="G9" t="s">
        <v>96</v>
      </c>
      <c r="H9">
        <v>2</v>
      </c>
      <c r="I9" t="s">
        <v>27</v>
      </c>
      <c r="J9" t="s">
        <v>97</v>
      </c>
      <c r="K9">
        <v>9.56</v>
      </c>
      <c r="L9">
        <v>5</v>
      </c>
      <c r="M9">
        <v>34</v>
      </c>
      <c r="N9" t="s">
        <v>56</v>
      </c>
      <c r="O9" t="s">
        <v>99</v>
      </c>
      <c r="P9" t="s">
        <v>56</v>
      </c>
      <c r="Q9" t="s">
        <v>32</v>
      </c>
    </row>
    <row r="10" spans="1:17" x14ac:dyDescent="0.3">
      <c r="A10" t="s">
        <v>102</v>
      </c>
      <c r="B10" t="s">
        <v>103</v>
      </c>
      <c r="C10">
        <v>53</v>
      </c>
      <c r="D10" t="s">
        <v>104</v>
      </c>
      <c r="E10" t="s">
        <v>51</v>
      </c>
      <c r="F10" t="s">
        <v>105</v>
      </c>
      <c r="G10" t="s">
        <v>106</v>
      </c>
      <c r="H10">
        <v>4</v>
      </c>
      <c r="I10" t="s">
        <v>64</v>
      </c>
      <c r="J10" t="s">
        <v>107</v>
      </c>
      <c r="K10">
        <v>1525.8</v>
      </c>
      <c r="L10">
        <v>1</v>
      </c>
      <c r="M10">
        <v>32</v>
      </c>
      <c r="N10" t="s">
        <v>54</v>
      </c>
      <c r="O10" t="s">
        <v>109</v>
      </c>
      <c r="P10" t="s">
        <v>68</v>
      </c>
      <c r="Q10" t="s">
        <v>32</v>
      </c>
    </row>
    <row r="11" spans="1:17" x14ac:dyDescent="0.3">
      <c r="A11" t="s">
        <v>110</v>
      </c>
      <c r="B11" t="s">
        <v>111</v>
      </c>
      <c r="C11">
        <v>38</v>
      </c>
      <c r="D11" t="s">
        <v>112</v>
      </c>
      <c r="E11" t="s">
        <v>88</v>
      </c>
      <c r="F11" s="86">
        <v>44451</v>
      </c>
      <c r="G11" t="s">
        <v>113</v>
      </c>
      <c r="H11">
        <v>2</v>
      </c>
      <c r="I11" t="s">
        <v>27</v>
      </c>
      <c r="J11" t="s">
        <v>114</v>
      </c>
      <c r="K11">
        <v>337.24</v>
      </c>
      <c r="L11">
        <v>4</v>
      </c>
      <c r="M11">
        <v>6</v>
      </c>
      <c r="N11" t="s">
        <v>56</v>
      </c>
      <c r="O11" t="s">
        <v>116</v>
      </c>
      <c r="P11" t="s">
        <v>54</v>
      </c>
      <c r="Q11" t="s">
        <v>69</v>
      </c>
    </row>
    <row r="12" spans="1:17" x14ac:dyDescent="0.3">
      <c r="A12" t="s">
        <v>117</v>
      </c>
      <c r="B12" t="s">
        <v>118</v>
      </c>
      <c r="C12">
        <v>41</v>
      </c>
      <c r="D12" t="s">
        <v>119</v>
      </c>
      <c r="E12" t="s">
        <v>95</v>
      </c>
      <c r="F12" s="86">
        <v>43931</v>
      </c>
      <c r="G12" s="86">
        <v>44600</v>
      </c>
      <c r="H12">
        <v>2</v>
      </c>
      <c r="I12" t="s">
        <v>27</v>
      </c>
      <c r="J12" t="s">
        <v>120</v>
      </c>
      <c r="K12">
        <v>203.05</v>
      </c>
      <c r="L12">
        <v>6</v>
      </c>
      <c r="M12">
        <v>38</v>
      </c>
      <c r="N12" t="s">
        <v>45</v>
      </c>
      <c r="O12" t="s">
        <v>122</v>
      </c>
      <c r="P12" t="s">
        <v>30</v>
      </c>
      <c r="Q12" t="s">
        <v>32</v>
      </c>
    </row>
    <row r="13" spans="1:17" x14ac:dyDescent="0.3">
      <c r="A13" t="s">
        <v>123</v>
      </c>
      <c r="B13" t="s">
        <v>124</v>
      </c>
      <c r="C13">
        <v>24</v>
      </c>
      <c r="D13" t="s">
        <v>125</v>
      </c>
      <c r="E13" t="s">
        <v>25</v>
      </c>
      <c r="F13" s="86">
        <v>44897</v>
      </c>
      <c r="G13" s="86">
        <v>45994</v>
      </c>
      <c r="H13">
        <v>1</v>
      </c>
      <c r="I13" t="s">
        <v>27</v>
      </c>
      <c r="J13" t="s">
        <v>126</v>
      </c>
      <c r="K13">
        <v>940.17</v>
      </c>
      <c r="L13">
        <v>1</v>
      </c>
      <c r="M13">
        <v>24</v>
      </c>
      <c r="N13" t="s">
        <v>68</v>
      </c>
      <c r="O13" t="s">
        <v>128</v>
      </c>
      <c r="P13" t="s">
        <v>54</v>
      </c>
      <c r="Q13" t="s">
        <v>32</v>
      </c>
    </row>
    <row r="14" spans="1:17" x14ac:dyDescent="0.3">
      <c r="A14" t="s">
        <v>129</v>
      </c>
      <c r="B14" t="s">
        <v>130</v>
      </c>
      <c r="C14">
        <v>39</v>
      </c>
      <c r="D14" t="s">
        <v>131</v>
      </c>
      <c r="E14" t="s">
        <v>25</v>
      </c>
      <c r="F14" t="s">
        <v>132</v>
      </c>
      <c r="G14" t="s">
        <v>133</v>
      </c>
      <c r="H14">
        <v>2</v>
      </c>
      <c r="I14" t="s">
        <v>27</v>
      </c>
      <c r="J14" s="86">
        <v>44385</v>
      </c>
      <c r="K14">
        <v>168.79</v>
      </c>
      <c r="L14">
        <v>9</v>
      </c>
      <c r="M14">
        <v>36</v>
      </c>
      <c r="N14" t="s">
        <v>68</v>
      </c>
      <c r="O14" t="s">
        <v>135</v>
      </c>
      <c r="P14" t="s">
        <v>45</v>
      </c>
      <c r="Q14" t="s">
        <v>32</v>
      </c>
    </row>
    <row r="15" spans="1:17" x14ac:dyDescent="0.3">
      <c r="A15" t="s">
        <v>136</v>
      </c>
      <c r="B15" t="s">
        <v>137</v>
      </c>
      <c r="C15">
        <v>61</v>
      </c>
      <c r="D15" t="s">
        <v>138</v>
      </c>
      <c r="E15" t="s">
        <v>40</v>
      </c>
      <c r="F15" t="s">
        <v>139</v>
      </c>
      <c r="G15" s="86">
        <v>45547</v>
      </c>
      <c r="H15">
        <v>3</v>
      </c>
      <c r="I15" t="s">
        <v>27</v>
      </c>
      <c r="J15" t="s">
        <v>140</v>
      </c>
      <c r="K15">
        <v>236.77</v>
      </c>
      <c r="L15">
        <v>8</v>
      </c>
      <c r="M15">
        <v>5</v>
      </c>
      <c r="N15" t="s">
        <v>30</v>
      </c>
      <c r="O15" t="s">
        <v>142</v>
      </c>
      <c r="P15" t="s">
        <v>68</v>
      </c>
      <c r="Q15" t="s">
        <v>32</v>
      </c>
    </row>
    <row r="16" spans="1:17" x14ac:dyDescent="0.3">
      <c r="A16" t="s">
        <v>143</v>
      </c>
      <c r="B16" t="s">
        <v>144</v>
      </c>
      <c r="C16">
        <v>64</v>
      </c>
      <c r="D16" t="s">
        <v>145</v>
      </c>
      <c r="E16" t="s">
        <v>95</v>
      </c>
      <c r="F16" t="s">
        <v>146</v>
      </c>
      <c r="G16" t="s">
        <v>147</v>
      </c>
      <c r="H16">
        <v>1</v>
      </c>
      <c r="I16" t="s">
        <v>27</v>
      </c>
      <c r="J16" s="86">
        <v>45089</v>
      </c>
      <c r="K16">
        <v>130.32</v>
      </c>
      <c r="L16">
        <v>6</v>
      </c>
      <c r="M16">
        <v>20</v>
      </c>
      <c r="N16" t="s">
        <v>56</v>
      </c>
      <c r="O16" t="s">
        <v>149</v>
      </c>
      <c r="P16" t="s">
        <v>30</v>
      </c>
      <c r="Q16" t="s">
        <v>32</v>
      </c>
    </row>
    <row r="17" spans="1:17" x14ac:dyDescent="0.3">
      <c r="A17" t="s">
        <v>150</v>
      </c>
      <c r="B17" t="s">
        <v>151</v>
      </c>
      <c r="C17">
        <v>28</v>
      </c>
      <c r="D17" t="s">
        <v>152</v>
      </c>
      <c r="E17" t="s">
        <v>95</v>
      </c>
      <c r="F17" t="s">
        <v>153</v>
      </c>
      <c r="G17" t="s">
        <v>154</v>
      </c>
      <c r="H17">
        <v>5</v>
      </c>
      <c r="I17" t="s">
        <v>52</v>
      </c>
      <c r="J17" t="s">
        <v>155</v>
      </c>
      <c r="K17">
        <v>333.99</v>
      </c>
      <c r="L17">
        <v>3</v>
      </c>
      <c r="M17">
        <v>27</v>
      </c>
      <c r="N17" t="s">
        <v>45</v>
      </c>
      <c r="O17" t="s">
        <v>157</v>
      </c>
      <c r="P17" t="s">
        <v>68</v>
      </c>
      <c r="Q17" t="s">
        <v>32</v>
      </c>
    </row>
    <row r="18" spans="1:17" x14ac:dyDescent="0.3">
      <c r="A18" t="s">
        <v>158</v>
      </c>
      <c r="B18" t="s">
        <v>159</v>
      </c>
      <c r="C18">
        <v>34</v>
      </c>
      <c r="D18" t="s">
        <v>160</v>
      </c>
      <c r="E18" t="s">
        <v>40</v>
      </c>
      <c r="F18" s="86">
        <v>44354</v>
      </c>
      <c r="G18" s="86">
        <v>45696</v>
      </c>
      <c r="H18">
        <v>1</v>
      </c>
      <c r="I18" t="s">
        <v>27</v>
      </c>
      <c r="J18" t="s">
        <v>161</v>
      </c>
      <c r="K18">
        <v>1875.08</v>
      </c>
      <c r="L18">
        <v>1</v>
      </c>
      <c r="M18">
        <v>31</v>
      </c>
      <c r="N18" t="s">
        <v>30</v>
      </c>
      <c r="O18" t="s">
        <v>31</v>
      </c>
      <c r="P18" t="s">
        <v>30</v>
      </c>
      <c r="Q18" t="s">
        <v>32</v>
      </c>
    </row>
    <row r="19" spans="1:17" x14ac:dyDescent="0.3">
      <c r="A19" t="s">
        <v>163</v>
      </c>
      <c r="B19" t="s">
        <v>164</v>
      </c>
      <c r="C19">
        <v>22</v>
      </c>
      <c r="D19" t="s">
        <v>165</v>
      </c>
      <c r="E19" t="s">
        <v>51</v>
      </c>
      <c r="F19" t="s">
        <v>166</v>
      </c>
      <c r="G19" s="86">
        <v>45390</v>
      </c>
      <c r="H19">
        <v>0</v>
      </c>
      <c r="I19" t="s">
        <v>52</v>
      </c>
      <c r="J19" t="s">
        <v>167</v>
      </c>
      <c r="K19">
        <v>211.24</v>
      </c>
      <c r="L19">
        <v>6</v>
      </c>
      <c r="M19">
        <v>18</v>
      </c>
      <c r="N19" t="s">
        <v>54</v>
      </c>
      <c r="O19" t="s">
        <v>169</v>
      </c>
      <c r="P19" t="s">
        <v>30</v>
      </c>
      <c r="Q19" t="s">
        <v>69</v>
      </c>
    </row>
    <row r="20" spans="1:17" x14ac:dyDescent="0.3">
      <c r="A20" t="s">
        <v>170</v>
      </c>
      <c r="B20" t="s">
        <v>171</v>
      </c>
      <c r="C20">
        <v>42</v>
      </c>
      <c r="D20" t="s">
        <v>172</v>
      </c>
      <c r="E20" t="s">
        <v>40</v>
      </c>
      <c r="F20" t="s">
        <v>173</v>
      </c>
      <c r="G20" s="86">
        <v>45901</v>
      </c>
      <c r="H20">
        <v>5</v>
      </c>
      <c r="I20" t="s">
        <v>64</v>
      </c>
      <c r="J20" t="s">
        <v>82</v>
      </c>
      <c r="K20">
        <v>1702.39</v>
      </c>
      <c r="L20">
        <v>1</v>
      </c>
      <c r="M20">
        <v>14</v>
      </c>
      <c r="N20" t="s">
        <v>56</v>
      </c>
      <c r="O20" t="s">
        <v>175</v>
      </c>
      <c r="P20" t="s">
        <v>56</v>
      </c>
      <c r="Q20" t="s">
        <v>69</v>
      </c>
    </row>
    <row r="21" spans="1:17" x14ac:dyDescent="0.3">
      <c r="A21" t="s">
        <v>176</v>
      </c>
      <c r="B21" t="s">
        <v>177</v>
      </c>
      <c r="C21">
        <v>51</v>
      </c>
      <c r="D21" t="s">
        <v>178</v>
      </c>
      <c r="E21" t="s">
        <v>61</v>
      </c>
      <c r="F21" t="s">
        <v>179</v>
      </c>
      <c r="G21" t="s">
        <v>82</v>
      </c>
      <c r="H21">
        <v>0</v>
      </c>
      <c r="I21" t="s">
        <v>64</v>
      </c>
      <c r="J21" t="s">
        <v>180</v>
      </c>
      <c r="K21">
        <v>199.58</v>
      </c>
      <c r="L21">
        <v>8</v>
      </c>
      <c r="M21">
        <v>41</v>
      </c>
      <c r="N21" t="s">
        <v>56</v>
      </c>
      <c r="O21" t="s">
        <v>44</v>
      </c>
      <c r="P21" t="s">
        <v>45</v>
      </c>
      <c r="Q21" t="s">
        <v>32</v>
      </c>
    </row>
    <row r="22" spans="1:17" x14ac:dyDescent="0.3">
      <c r="A22" t="s">
        <v>182</v>
      </c>
      <c r="B22" t="s">
        <v>183</v>
      </c>
      <c r="C22">
        <v>64</v>
      </c>
      <c r="D22" t="s">
        <v>184</v>
      </c>
      <c r="E22" t="s">
        <v>25</v>
      </c>
      <c r="F22" t="s">
        <v>185</v>
      </c>
      <c r="G22" t="s">
        <v>186</v>
      </c>
      <c r="H22">
        <v>4</v>
      </c>
      <c r="I22" t="s">
        <v>27</v>
      </c>
      <c r="J22" s="86">
        <v>44717</v>
      </c>
      <c r="K22">
        <v>242.03</v>
      </c>
      <c r="L22">
        <v>6</v>
      </c>
      <c r="M22">
        <v>2</v>
      </c>
      <c r="N22" t="s">
        <v>54</v>
      </c>
      <c r="O22" t="s">
        <v>169</v>
      </c>
      <c r="P22" t="s">
        <v>30</v>
      </c>
      <c r="Q22" t="s">
        <v>32</v>
      </c>
    </row>
    <row r="23" spans="1:17" x14ac:dyDescent="0.3">
      <c r="A23" t="s">
        <v>189</v>
      </c>
      <c r="B23" t="s">
        <v>190</v>
      </c>
      <c r="C23">
        <v>52</v>
      </c>
      <c r="D23" t="s">
        <v>191</v>
      </c>
      <c r="E23" t="s">
        <v>88</v>
      </c>
      <c r="F23" s="86">
        <v>44229</v>
      </c>
      <c r="G23" t="s">
        <v>192</v>
      </c>
      <c r="H23">
        <v>1</v>
      </c>
      <c r="I23" t="s">
        <v>64</v>
      </c>
      <c r="J23" t="s">
        <v>28</v>
      </c>
      <c r="K23">
        <v>50.78</v>
      </c>
      <c r="L23">
        <v>7</v>
      </c>
      <c r="M23">
        <v>9</v>
      </c>
      <c r="N23" t="s">
        <v>45</v>
      </c>
      <c r="O23" t="s">
        <v>194</v>
      </c>
      <c r="P23" t="s">
        <v>56</v>
      </c>
      <c r="Q23" t="s">
        <v>69</v>
      </c>
    </row>
    <row r="24" spans="1:17" x14ac:dyDescent="0.3">
      <c r="A24" t="s">
        <v>195</v>
      </c>
      <c r="B24" t="s">
        <v>196</v>
      </c>
      <c r="C24">
        <v>28</v>
      </c>
      <c r="D24" t="s">
        <v>197</v>
      </c>
      <c r="E24" t="s">
        <v>88</v>
      </c>
      <c r="F24" s="86">
        <v>44810</v>
      </c>
      <c r="G24" s="86">
        <v>44689</v>
      </c>
      <c r="H24">
        <v>2</v>
      </c>
      <c r="I24" t="s">
        <v>27</v>
      </c>
      <c r="J24" s="86">
        <v>45445</v>
      </c>
      <c r="K24">
        <v>89.87</v>
      </c>
      <c r="L24">
        <v>6</v>
      </c>
      <c r="M24">
        <v>39</v>
      </c>
      <c r="N24" t="s">
        <v>45</v>
      </c>
      <c r="O24" t="s">
        <v>199</v>
      </c>
      <c r="P24" t="s">
        <v>54</v>
      </c>
      <c r="Q24" t="s">
        <v>32</v>
      </c>
    </row>
    <row r="25" spans="1:17" x14ac:dyDescent="0.3">
      <c r="A25" t="s">
        <v>200</v>
      </c>
      <c r="B25" t="s">
        <v>201</v>
      </c>
      <c r="C25">
        <v>25</v>
      </c>
      <c r="D25" t="s">
        <v>202</v>
      </c>
      <c r="E25" t="s">
        <v>88</v>
      </c>
      <c r="F25" s="86">
        <v>44291</v>
      </c>
      <c r="G25" s="86">
        <v>45967</v>
      </c>
      <c r="H25">
        <v>5</v>
      </c>
      <c r="I25" t="s">
        <v>27</v>
      </c>
      <c r="J25" s="86">
        <v>45968</v>
      </c>
      <c r="K25">
        <v>52.34</v>
      </c>
      <c r="L25">
        <v>8</v>
      </c>
      <c r="M25">
        <v>16</v>
      </c>
      <c r="N25" t="s">
        <v>54</v>
      </c>
      <c r="O25" t="s">
        <v>116</v>
      </c>
      <c r="P25" t="s">
        <v>54</v>
      </c>
      <c r="Q25" t="s">
        <v>69</v>
      </c>
    </row>
    <row r="26" spans="1:17" x14ac:dyDescent="0.3">
      <c r="A26" t="s">
        <v>204</v>
      </c>
      <c r="B26" t="s">
        <v>205</v>
      </c>
      <c r="C26">
        <v>45</v>
      </c>
      <c r="D26" t="s">
        <v>206</v>
      </c>
      <c r="E26" t="s">
        <v>88</v>
      </c>
      <c r="F26" t="s">
        <v>207</v>
      </c>
      <c r="G26" t="s">
        <v>208</v>
      </c>
      <c r="H26">
        <v>2</v>
      </c>
      <c r="I26" t="s">
        <v>27</v>
      </c>
      <c r="J26" t="s">
        <v>209</v>
      </c>
      <c r="K26">
        <v>232.67</v>
      </c>
      <c r="L26">
        <v>3</v>
      </c>
      <c r="M26">
        <v>20</v>
      </c>
      <c r="N26" t="s">
        <v>56</v>
      </c>
      <c r="O26" t="s">
        <v>211</v>
      </c>
      <c r="P26" t="s">
        <v>68</v>
      </c>
      <c r="Q26" t="s">
        <v>69</v>
      </c>
    </row>
    <row r="27" spans="1:17" x14ac:dyDescent="0.3">
      <c r="A27" t="s">
        <v>212</v>
      </c>
      <c r="B27" t="s">
        <v>213</v>
      </c>
      <c r="C27">
        <v>49</v>
      </c>
      <c r="D27" t="s">
        <v>214</v>
      </c>
      <c r="E27" t="s">
        <v>61</v>
      </c>
      <c r="F27" s="86">
        <v>44388</v>
      </c>
      <c r="G27" s="86">
        <v>44810</v>
      </c>
      <c r="H27">
        <v>3</v>
      </c>
      <c r="I27" t="s">
        <v>52</v>
      </c>
      <c r="J27" t="s">
        <v>215</v>
      </c>
      <c r="K27">
        <v>142.88999999999999</v>
      </c>
      <c r="L27">
        <v>5</v>
      </c>
      <c r="M27">
        <v>40</v>
      </c>
      <c r="N27" t="s">
        <v>56</v>
      </c>
      <c r="O27" t="s">
        <v>175</v>
      </c>
      <c r="P27" t="s">
        <v>56</v>
      </c>
      <c r="Q27" t="s">
        <v>69</v>
      </c>
    </row>
    <row r="28" spans="1:17" x14ac:dyDescent="0.3">
      <c r="A28" t="s">
        <v>217</v>
      </c>
      <c r="B28" t="s">
        <v>218</v>
      </c>
      <c r="C28">
        <v>27</v>
      </c>
      <c r="D28" t="s">
        <v>219</v>
      </c>
      <c r="E28" t="s">
        <v>88</v>
      </c>
      <c r="F28" t="s">
        <v>220</v>
      </c>
      <c r="G28" s="86">
        <v>45782</v>
      </c>
      <c r="H28">
        <v>0</v>
      </c>
      <c r="I28" t="s">
        <v>64</v>
      </c>
      <c r="J28" t="s">
        <v>221</v>
      </c>
      <c r="K28">
        <v>44.69</v>
      </c>
      <c r="L28">
        <v>7</v>
      </c>
      <c r="M28">
        <v>28</v>
      </c>
      <c r="N28" t="s">
        <v>68</v>
      </c>
      <c r="O28" t="s">
        <v>223</v>
      </c>
      <c r="P28" t="s">
        <v>56</v>
      </c>
      <c r="Q28" t="s">
        <v>69</v>
      </c>
    </row>
    <row r="29" spans="1:17" x14ac:dyDescent="0.3">
      <c r="A29" t="s">
        <v>224</v>
      </c>
      <c r="B29" t="s">
        <v>225</v>
      </c>
      <c r="C29">
        <v>69</v>
      </c>
      <c r="D29" t="s">
        <v>226</v>
      </c>
      <c r="E29" t="s">
        <v>51</v>
      </c>
      <c r="F29" t="s">
        <v>227</v>
      </c>
      <c r="G29" t="s">
        <v>228</v>
      </c>
      <c r="H29">
        <v>4</v>
      </c>
      <c r="I29" t="s">
        <v>52</v>
      </c>
      <c r="J29" t="s">
        <v>229</v>
      </c>
      <c r="K29">
        <v>139.30000000000001</v>
      </c>
      <c r="L29">
        <v>7</v>
      </c>
      <c r="M29">
        <v>42</v>
      </c>
      <c r="N29" t="s">
        <v>56</v>
      </c>
      <c r="O29" t="s">
        <v>231</v>
      </c>
      <c r="P29" t="s">
        <v>30</v>
      </c>
      <c r="Q29" t="s">
        <v>69</v>
      </c>
    </row>
    <row r="30" spans="1:17" x14ac:dyDescent="0.3">
      <c r="A30" t="s">
        <v>233</v>
      </c>
      <c r="B30" t="s">
        <v>234</v>
      </c>
      <c r="C30">
        <v>66</v>
      </c>
      <c r="D30" t="s">
        <v>235</v>
      </c>
      <c r="E30" t="s">
        <v>61</v>
      </c>
      <c r="F30" s="86">
        <v>44233</v>
      </c>
      <c r="G30" s="86">
        <v>45720</v>
      </c>
      <c r="H30">
        <v>1</v>
      </c>
      <c r="I30" t="s">
        <v>27</v>
      </c>
      <c r="J30" t="s">
        <v>236</v>
      </c>
      <c r="K30">
        <v>149.65</v>
      </c>
      <c r="L30">
        <v>8</v>
      </c>
      <c r="M30">
        <v>45</v>
      </c>
      <c r="N30" t="s">
        <v>54</v>
      </c>
      <c r="O30" t="s">
        <v>238</v>
      </c>
      <c r="P30" t="s">
        <v>45</v>
      </c>
      <c r="Q30" t="s">
        <v>69</v>
      </c>
    </row>
    <row r="31" spans="1:17" x14ac:dyDescent="0.3">
      <c r="A31" t="s">
        <v>239</v>
      </c>
      <c r="B31" t="s">
        <v>240</v>
      </c>
      <c r="C31">
        <v>43</v>
      </c>
      <c r="D31" t="s">
        <v>241</v>
      </c>
      <c r="E31" t="s">
        <v>25</v>
      </c>
      <c r="F31" t="s">
        <v>242</v>
      </c>
      <c r="G31" t="s">
        <v>243</v>
      </c>
      <c r="H31">
        <v>3</v>
      </c>
      <c r="I31" t="s">
        <v>52</v>
      </c>
      <c r="J31" s="86">
        <v>44355</v>
      </c>
      <c r="K31">
        <v>157.1</v>
      </c>
      <c r="L31">
        <v>6</v>
      </c>
      <c r="M31">
        <v>14</v>
      </c>
      <c r="N31" t="s">
        <v>54</v>
      </c>
      <c r="O31" t="s">
        <v>245</v>
      </c>
      <c r="P31" t="s">
        <v>54</v>
      </c>
      <c r="Q31" t="s">
        <v>32</v>
      </c>
    </row>
    <row r="32" spans="1:17" x14ac:dyDescent="0.3">
      <c r="A32" t="s">
        <v>246</v>
      </c>
      <c r="B32" t="s">
        <v>247</v>
      </c>
      <c r="C32">
        <v>18</v>
      </c>
      <c r="D32" t="s">
        <v>248</v>
      </c>
      <c r="E32" t="s">
        <v>88</v>
      </c>
      <c r="F32" t="s">
        <v>249</v>
      </c>
      <c r="G32" s="86">
        <v>44202</v>
      </c>
      <c r="H32">
        <v>5</v>
      </c>
      <c r="I32" t="s">
        <v>27</v>
      </c>
      <c r="J32" s="86">
        <v>45019</v>
      </c>
      <c r="K32">
        <v>182.53</v>
      </c>
      <c r="L32">
        <v>9</v>
      </c>
      <c r="M32">
        <v>24</v>
      </c>
      <c r="N32" t="s">
        <v>56</v>
      </c>
      <c r="O32" t="s">
        <v>251</v>
      </c>
      <c r="P32" t="s">
        <v>30</v>
      </c>
      <c r="Q32" t="s">
        <v>69</v>
      </c>
    </row>
    <row r="33" spans="1:17" x14ac:dyDescent="0.3">
      <c r="A33" t="s">
        <v>252</v>
      </c>
      <c r="B33" t="s">
        <v>253</v>
      </c>
      <c r="C33">
        <v>37</v>
      </c>
      <c r="D33" t="s">
        <v>254</v>
      </c>
      <c r="E33" t="s">
        <v>25</v>
      </c>
      <c r="F33" t="s">
        <v>255</v>
      </c>
      <c r="G33" t="s">
        <v>256</v>
      </c>
      <c r="H33">
        <v>4</v>
      </c>
      <c r="I33" t="s">
        <v>64</v>
      </c>
      <c r="J33" s="86">
        <v>45482</v>
      </c>
      <c r="K33">
        <v>31.95</v>
      </c>
      <c r="L33">
        <v>1</v>
      </c>
      <c r="M33">
        <v>9</v>
      </c>
      <c r="N33" t="s">
        <v>45</v>
      </c>
      <c r="O33" t="s">
        <v>194</v>
      </c>
      <c r="P33" t="s">
        <v>56</v>
      </c>
      <c r="Q33" t="s">
        <v>69</v>
      </c>
    </row>
    <row r="34" spans="1:17" x14ac:dyDescent="0.3">
      <c r="A34" t="s">
        <v>258</v>
      </c>
      <c r="B34" t="s">
        <v>259</v>
      </c>
      <c r="C34">
        <v>52</v>
      </c>
      <c r="D34" t="s">
        <v>260</v>
      </c>
      <c r="E34" t="s">
        <v>88</v>
      </c>
      <c r="F34" s="86">
        <v>44441</v>
      </c>
      <c r="G34" t="s">
        <v>261</v>
      </c>
      <c r="H34">
        <v>0</v>
      </c>
      <c r="I34" t="s">
        <v>52</v>
      </c>
      <c r="J34" s="86">
        <v>45210</v>
      </c>
      <c r="K34">
        <v>804.77</v>
      </c>
      <c r="L34">
        <v>2</v>
      </c>
      <c r="M34">
        <v>26</v>
      </c>
      <c r="N34" t="s">
        <v>68</v>
      </c>
      <c r="O34" t="s">
        <v>149</v>
      </c>
      <c r="P34" t="s">
        <v>30</v>
      </c>
      <c r="Q34" t="s">
        <v>32</v>
      </c>
    </row>
    <row r="35" spans="1:17" x14ac:dyDescent="0.3">
      <c r="A35" t="s">
        <v>263</v>
      </c>
      <c r="B35" t="s">
        <v>264</v>
      </c>
      <c r="C35">
        <v>50</v>
      </c>
      <c r="D35" t="s">
        <v>265</v>
      </c>
      <c r="E35" t="s">
        <v>25</v>
      </c>
      <c r="F35" t="s">
        <v>266</v>
      </c>
      <c r="G35" t="s">
        <v>267</v>
      </c>
      <c r="H35">
        <v>5</v>
      </c>
      <c r="I35" t="s">
        <v>27</v>
      </c>
      <c r="J35" s="86">
        <v>44690</v>
      </c>
      <c r="K35">
        <v>332.38</v>
      </c>
      <c r="L35">
        <v>5</v>
      </c>
      <c r="M35">
        <v>29</v>
      </c>
      <c r="N35" t="s">
        <v>45</v>
      </c>
      <c r="O35" t="s">
        <v>269</v>
      </c>
      <c r="P35" t="s">
        <v>56</v>
      </c>
      <c r="Q35" t="s">
        <v>69</v>
      </c>
    </row>
    <row r="36" spans="1:17" x14ac:dyDescent="0.3">
      <c r="A36" t="s">
        <v>270</v>
      </c>
      <c r="B36" t="s">
        <v>271</v>
      </c>
      <c r="C36">
        <v>49</v>
      </c>
      <c r="D36" t="s">
        <v>272</v>
      </c>
      <c r="E36" t="s">
        <v>95</v>
      </c>
      <c r="F36" t="s">
        <v>273</v>
      </c>
      <c r="G36" t="s">
        <v>274</v>
      </c>
      <c r="H36">
        <v>5</v>
      </c>
      <c r="I36" t="s">
        <v>27</v>
      </c>
      <c r="J36" t="s">
        <v>275</v>
      </c>
      <c r="K36">
        <v>1292.6500000000001</v>
      </c>
      <c r="L36">
        <v>1</v>
      </c>
      <c r="M36">
        <v>12</v>
      </c>
      <c r="N36" t="s">
        <v>54</v>
      </c>
      <c r="O36" t="s">
        <v>169</v>
      </c>
      <c r="P36" t="s">
        <v>30</v>
      </c>
      <c r="Q36" t="s">
        <v>32</v>
      </c>
    </row>
    <row r="37" spans="1:17" x14ac:dyDescent="0.3">
      <c r="A37" t="s">
        <v>277</v>
      </c>
      <c r="B37" t="s">
        <v>278</v>
      </c>
      <c r="C37">
        <v>48</v>
      </c>
      <c r="D37" t="s">
        <v>279</v>
      </c>
      <c r="E37" t="s">
        <v>61</v>
      </c>
      <c r="F37" s="86">
        <v>44507</v>
      </c>
      <c r="G37" t="s">
        <v>120</v>
      </c>
      <c r="H37">
        <v>3</v>
      </c>
      <c r="I37" t="s">
        <v>27</v>
      </c>
      <c r="J37" s="86">
        <v>45357</v>
      </c>
      <c r="K37">
        <v>36.39</v>
      </c>
      <c r="L37">
        <v>7</v>
      </c>
      <c r="M37">
        <v>24</v>
      </c>
      <c r="N37" t="s">
        <v>54</v>
      </c>
      <c r="O37" t="s">
        <v>91</v>
      </c>
      <c r="P37" t="s">
        <v>54</v>
      </c>
      <c r="Q37" t="s">
        <v>32</v>
      </c>
    </row>
    <row r="38" spans="1:17" x14ac:dyDescent="0.3">
      <c r="A38" t="s">
        <v>281</v>
      </c>
      <c r="B38" t="s">
        <v>282</v>
      </c>
      <c r="C38">
        <v>42</v>
      </c>
      <c r="D38" t="s">
        <v>283</v>
      </c>
      <c r="E38" t="s">
        <v>95</v>
      </c>
      <c r="F38" s="86">
        <v>44993</v>
      </c>
      <c r="G38" t="s">
        <v>284</v>
      </c>
      <c r="H38">
        <v>0</v>
      </c>
      <c r="I38" t="s">
        <v>64</v>
      </c>
      <c r="J38" t="s">
        <v>285</v>
      </c>
      <c r="K38">
        <v>79.19</v>
      </c>
      <c r="L38">
        <v>7</v>
      </c>
      <c r="M38">
        <v>13</v>
      </c>
      <c r="N38" t="s">
        <v>45</v>
      </c>
      <c r="O38" t="s">
        <v>116</v>
      </c>
      <c r="P38" t="s">
        <v>54</v>
      </c>
      <c r="Q38" t="s">
        <v>69</v>
      </c>
    </row>
    <row r="39" spans="1:17" x14ac:dyDescent="0.3">
      <c r="A39" t="s">
        <v>287</v>
      </c>
      <c r="B39" t="s">
        <v>288</v>
      </c>
      <c r="C39">
        <v>66</v>
      </c>
      <c r="D39" t="s">
        <v>289</v>
      </c>
      <c r="E39" t="s">
        <v>61</v>
      </c>
      <c r="F39" t="s">
        <v>290</v>
      </c>
      <c r="G39" t="s">
        <v>81</v>
      </c>
      <c r="H39">
        <v>3</v>
      </c>
      <c r="I39" t="s">
        <v>27</v>
      </c>
      <c r="J39" t="s">
        <v>291</v>
      </c>
      <c r="K39">
        <v>94.06</v>
      </c>
      <c r="L39">
        <v>4</v>
      </c>
      <c r="M39">
        <v>48</v>
      </c>
      <c r="N39" t="s">
        <v>30</v>
      </c>
      <c r="O39" t="s">
        <v>293</v>
      </c>
      <c r="P39" t="s">
        <v>45</v>
      </c>
      <c r="Q39" t="s">
        <v>69</v>
      </c>
    </row>
    <row r="40" spans="1:17" x14ac:dyDescent="0.3">
      <c r="A40" t="s">
        <v>294</v>
      </c>
      <c r="B40" t="s">
        <v>295</v>
      </c>
      <c r="C40">
        <v>25</v>
      </c>
      <c r="D40" t="s">
        <v>296</v>
      </c>
      <c r="E40" t="s">
        <v>51</v>
      </c>
      <c r="F40" t="s">
        <v>297</v>
      </c>
      <c r="G40" t="s">
        <v>298</v>
      </c>
      <c r="H40">
        <v>3</v>
      </c>
      <c r="I40" t="s">
        <v>64</v>
      </c>
      <c r="J40" t="s">
        <v>185</v>
      </c>
      <c r="K40">
        <v>786.48</v>
      </c>
      <c r="L40">
        <v>2</v>
      </c>
      <c r="M40">
        <v>11</v>
      </c>
      <c r="N40" t="s">
        <v>30</v>
      </c>
      <c r="O40" t="s">
        <v>251</v>
      </c>
      <c r="P40" t="s">
        <v>30</v>
      </c>
      <c r="Q40" t="s">
        <v>32</v>
      </c>
    </row>
    <row r="41" spans="1:17" x14ac:dyDescent="0.3">
      <c r="A41" t="s">
        <v>300</v>
      </c>
      <c r="B41" t="s">
        <v>301</v>
      </c>
      <c r="C41">
        <v>40</v>
      </c>
      <c r="D41" t="s">
        <v>302</v>
      </c>
      <c r="E41" t="s">
        <v>61</v>
      </c>
      <c r="F41" s="86">
        <v>44663</v>
      </c>
      <c r="G41" t="s">
        <v>303</v>
      </c>
      <c r="H41">
        <v>5</v>
      </c>
      <c r="I41" t="s">
        <v>27</v>
      </c>
      <c r="J41" s="86">
        <v>45783</v>
      </c>
      <c r="K41">
        <v>20.55</v>
      </c>
      <c r="L41">
        <v>6</v>
      </c>
      <c r="M41">
        <v>47</v>
      </c>
      <c r="N41" t="s">
        <v>68</v>
      </c>
      <c r="O41" t="s">
        <v>175</v>
      </c>
      <c r="P41" t="s">
        <v>56</v>
      </c>
      <c r="Q41" t="s">
        <v>32</v>
      </c>
    </row>
    <row r="42" spans="1:17" x14ac:dyDescent="0.3">
      <c r="A42" t="s">
        <v>305</v>
      </c>
      <c r="B42" t="s">
        <v>306</v>
      </c>
      <c r="C42">
        <v>31</v>
      </c>
      <c r="D42" t="s">
        <v>307</v>
      </c>
      <c r="E42" t="s">
        <v>40</v>
      </c>
      <c r="F42" s="86">
        <v>45143</v>
      </c>
      <c r="G42" s="86">
        <v>45816</v>
      </c>
      <c r="H42">
        <v>3</v>
      </c>
      <c r="I42" t="s">
        <v>27</v>
      </c>
      <c r="J42" s="86">
        <v>45179</v>
      </c>
      <c r="K42">
        <v>203.23</v>
      </c>
      <c r="L42">
        <v>5</v>
      </c>
      <c r="M42">
        <v>45</v>
      </c>
      <c r="N42" t="s">
        <v>68</v>
      </c>
      <c r="O42" t="s">
        <v>175</v>
      </c>
      <c r="P42" t="s">
        <v>56</v>
      </c>
      <c r="Q42" t="s">
        <v>69</v>
      </c>
    </row>
    <row r="43" spans="1:17" x14ac:dyDescent="0.3">
      <c r="A43" t="s">
        <v>309</v>
      </c>
      <c r="B43" t="s">
        <v>310</v>
      </c>
      <c r="C43">
        <v>55</v>
      </c>
      <c r="D43" t="s">
        <v>311</v>
      </c>
      <c r="E43" t="s">
        <v>51</v>
      </c>
      <c r="F43" t="s">
        <v>312</v>
      </c>
      <c r="G43" t="s">
        <v>313</v>
      </c>
      <c r="H43">
        <v>5</v>
      </c>
      <c r="I43" t="s">
        <v>27</v>
      </c>
      <c r="J43" s="86">
        <v>45334</v>
      </c>
      <c r="K43">
        <v>65.069999999999993</v>
      </c>
      <c r="L43">
        <v>7</v>
      </c>
      <c r="M43">
        <v>5</v>
      </c>
      <c r="N43" t="s">
        <v>30</v>
      </c>
      <c r="O43" t="s">
        <v>122</v>
      </c>
      <c r="P43" t="s">
        <v>30</v>
      </c>
      <c r="Q43" t="s">
        <v>32</v>
      </c>
    </row>
    <row r="44" spans="1:17" x14ac:dyDescent="0.3">
      <c r="A44" t="s">
        <v>315</v>
      </c>
      <c r="B44" t="s">
        <v>316</v>
      </c>
      <c r="C44">
        <v>57</v>
      </c>
      <c r="D44" t="s">
        <v>317</v>
      </c>
      <c r="E44" t="s">
        <v>88</v>
      </c>
      <c r="F44" t="s">
        <v>318</v>
      </c>
      <c r="G44" t="s">
        <v>319</v>
      </c>
      <c r="H44">
        <v>4</v>
      </c>
      <c r="I44" t="s">
        <v>64</v>
      </c>
      <c r="J44" t="s">
        <v>320</v>
      </c>
      <c r="K44">
        <v>1954.64</v>
      </c>
      <c r="L44">
        <v>1</v>
      </c>
      <c r="M44">
        <v>36</v>
      </c>
      <c r="N44" t="s">
        <v>45</v>
      </c>
      <c r="O44" t="s">
        <v>169</v>
      </c>
      <c r="P44" t="s">
        <v>30</v>
      </c>
      <c r="Q44" t="s">
        <v>322</v>
      </c>
    </row>
    <row r="45" spans="1:17" x14ac:dyDescent="0.3">
      <c r="A45" t="s">
        <v>323</v>
      </c>
      <c r="B45" t="s">
        <v>324</v>
      </c>
      <c r="C45">
        <v>55</v>
      </c>
      <c r="D45" t="s">
        <v>325</v>
      </c>
      <c r="E45" t="s">
        <v>95</v>
      </c>
      <c r="F45" t="s">
        <v>326</v>
      </c>
      <c r="G45" t="s">
        <v>327</v>
      </c>
      <c r="H45">
        <v>4</v>
      </c>
      <c r="I45" t="s">
        <v>27</v>
      </c>
      <c r="J45" t="s">
        <v>328</v>
      </c>
      <c r="K45">
        <v>18.98</v>
      </c>
      <c r="L45">
        <v>7</v>
      </c>
      <c r="M45">
        <v>45</v>
      </c>
      <c r="N45" t="s">
        <v>30</v>
      </c>
      <c r="O45" t="s">
        <v>199</v>
      </c>
      <c r="P45" t="s">
        <v>54</v>
      </c>
      <c r="Q45" t="s">
        <v>32</v>
      </c>
    </row>
    <row r="46" spans="1:17" x14ac:dyDescent="0.3">
      <c r="A46" t="s">
        <v>330</v>
      </c>
      <c r="B46" t="s">
        <v>331</v>
      </c>
      <c r="C46">
        <v>47</v>
      </c>
      <c r="D46" t="s">
        <v>332</v>
      </c>
      <c r="E46" t="s">
        <v>88</v>
      </c>
      <c r="F46" s="86">
        <v>44868</v>
      </c>
      <c r="G46" s="86">
        <v>45242</v>
      </c>
      <c r="H46">
        <v>5</v>
      </c>
      <c r="I46" t="s">
        <v>52</v>
      </c>
      <c r="J46" s="86">
        <v>45907</v>
      </c>
      <c r="K46">
        <v>654.55999999999995</v>
      </c>
      <c r="L46">
        <v>3</v>
      </c>
      <c r="M46">
        <v>48</v>
      </c>
      <c r="N46" t="s">
        <v>68</v>
      </c>
      <c r="O46" t="s">
        <v>31</v>
      </c>
      <c r="P46" t="s">
        <v>30</v>
      </c>
      <c r="Q46" t="s">
        <v>69</v>
      </c>
    </row>
    <row r="47" spans="1:17" x14ac:dyDescent="0.3">
      <c r="A47" t="s">
        <v>334</v>
      </c>
      <c r="B47" t="s">
        <v>335</v>
      </c>
      <c r="C47">
        <v>29</v>
      </c>
      <c r="D47" t="s">
        <v>336</v>
      </c>
      <c r="E47" t="s">
        <v>51</v>
      </c>
      <c r="F47" t="s">
        <v>337</v>
      </c>
      <c r="G47" t="s">
        <v>338</v>
      </c>
      <c r="H47">
        <v>0</v>
      </c>
      <c r="I47" t="s">
        <v>27</v>
      </c>
      <c r="J47" t="s">
        <v>339</v>
      </c>
      <c r="K47">
        <v>334.17</v>
      </c>
      <c r="L47">
        <v>5</v>
      </c>
      <c r="M47">
        <v>6</v>
      </c>
      <c r="N47" t="s">
        <v>45</v>
      </c>
      <c r="O47" t="s">
        <v>128</v>
      </c>
      <c r="P47" t="s">
        <v>54</v>
      </c>
      <c r="Q47" t="s">
        <v>69</v>
      </c>
    </row>
    <row r="48" spans="1:17" x14ac:dyDescent="0.3">
      <c r="A48" t="s">
        <v>341</v>
      </c>
      <c r="B48" t="s">
        <v>342</v>
      </c>
      <c r="C48">
        <v>19</v>
      </c>
      <c r="D48" t="s">
        <v>343</v>
      </c>
      <c r="E48" t="s">
        <v>51</v>
      </c>
      <c r="F48" t="s">
        <v>344</v>
      </c>
      <c r="G48" t="s">
        <v>345</v>
      </c>
      <c r="H48">
        <v>0</v>
      </c>
      <c r="I48" t="s">
        <v>27</v>
      </c>
      <c r="J48" t="s">
        <v>346</v>
      </c>
      <c r="K48">
        <v>219.75</v>
      </c>
      <c r="L48">
        <v>5</v>
      </c>
      <c r="M48">
        <v>37</v>
      </c>
      <c r="N48" t="s">
        <v>68</v>
      </c>
      <c r="O48" t="s">
        <v>99</v>
      </c>
      <c r="P48" t="s">
        <v>56</v>
      </c>
      <c r="Q48" t="s">
        <v>32</v>
      </c>
    </row>
    <row r="49" spans="1:17" x14ac:dyDescent="0.3">
      <c r="A49" t="s">
        <v>348</v>
      </c>
      <c r="B49" t="s">
        <v>349</v>
      </c>
      <c r="C49">
        <v>38</v>
      </c>
      <c r="D49" t="s">
        <v>350</v>
      </c>
      <c r="E49" t="s">
        <v>25</v>
      </c>
      <c r="F49" t="s">
        <v>351</v>
      </c>
      <c r="G49" s="86">
        <v>44811</v>
      </c>
      <c r="H49">
        <v>1</v>
      </c>
      <c r="I49" t="s">
        <v>27</v>
      </c>
      <c r="J49" t="s">
        <v>352</v>
      </c>
      <c r="K49">
        <v>223.05</v>
      </c>
      <c r="L49">
        <v>7</v>
      </c>
      <c r="M49">
        <v>23</v>
      </c>
      <c r="N49" t="s">
        <v>45</v>
      </c>
      <c r="O49" t="s">
        <v>354</v>
      </c>
      <c r="P49" t="s">
        <v>45</v>
      </c>
      <c r="Q49" t="s">
        <v>69</v>
      </c>
    </row>
    <row r="50" spans="1:17" x14ac:dyDescent="0.3">
      <c r="A50" t="s">
        <v>355</v>
      </c>
      <c r="B50" t="s">
        <v>356</v>
      </c>
      <c r="C50">
        <v>48</v>
      </c>
      <c r="D50" t="s">
        <v>357</v>
      </c>
      <c r="E50" t="s">
        <v>51</v>
      </c>
      <c r="F50" s="86">
        <v>45203</v>
      </c>
      <c r="G50" t="s">
        <v>358</v>
      </c>
      <c r="H50">
        <v>5</v>
      </c>
      <c r="I50" t="s">
        <v>64</v>
      </c>
      <c r="J50" s="86">
        <v>45906</v>
      </c>
      <c r="K50">
        <v>149.88</v>
      </c>
      <c r="L50">
        <v>4</v>
      </c>
      <c r="M50">
        <v>35</v>
      </c>
      <c r="N50" t="s">
        <v>30</v>
      </c>
      <c r="O50" t="s">
        <v>128</v>
      </c>
      <c r="P50" t="s">
        <v>54</v>
      </c>
      <c r="Q50" t="s">
        <v>69</v>
      </c>
    </row>
    <row r="51" spans="1:17" x14ac:dyDescent="0.3">
      <c r="A51" t="s">
        <v>360</v>
      </c>
      <c r="B51" t="s">
        <v>361</v>
      </c>
      <c r="C51">
        <v>58</v>
      </c>
      <c r="D51" t="s">
        <v>362</v>
      </c>
      <c r="E51" t="s">
        <v>88</v>
      </c>
      <c r="F51" t="s">
        <v>363</v>
      </c>
      <c r="G51" s="86">
        <v>45748</v>
      </c>
      <c r="H51">
        <v>4</v>
      </c>
      <c r="I51" t="s">
        <v>27</v>
      </c>
      <c r="J51" t="s">
        <v>364</v>
      </c>
      <c r="K51">
        <v>165.27</v>
      </c>
      <c r="L51">
        <v>9</v>
      </c>
      <c r="M51">
        <v>30</v>
      </c>
      <c r="N51" t="s">
        <v>30</v>
      </c>
      <c r="O51" t="s">
        <v>366</v>
      </c>
      <c r="P51" t="s">
        <v>54</v>
      </c>
      <c r="Q51" t="s">
        <v>69</v>
      </c>
    </row>
    <row r="52" spans="1:17" x14ac:dyDescent="0.3">
      <c r="A52" t="s">
        <v>367</v>
      </c>
      <c r="B52" t="s">
        <v>368</v>
      </c>
      <c r="C52">
        <v>27</v>
      </c>
      <c r="D52" t="s">
        <v>369</v>
      </c>
      <c r="E52" t="s">
        <v>51</v>
      </c>
      <c r="F52" t="s">
        <v>370</v>
      </c>
      <c r="G52" t="s">
        <v>371</v>
      </c>
      <c r="H52">
        <v>0</v>
      </c>
      <c r="I52" t="s">
        <v>64</v>
      </c>
      <c r="J52" s="86">
        <v>45171</v>
      </c>
      <c r="K52">
        <v>222.62</v>
      </c>
      <c r="L52">
        <v>8</v>
      </c>
      <c r="M52">
        <v>37</v>
      </c>
      <c r="N52" t="s">
        <v>68</v>
      </c>
      <c r="O52" t="s">
        <v>373</v>
      </c>
      <c r="P52" t="s">
        <v>54</v>
      </c>
      <c r="Q52" t="s">
        <v>32</v>
      </c>
    </row>
    <row r="53" spans="1:17" x14ac:dyDescent="0.3">
      <c r="A53" t="s">
        <v>374</v>
      </c>
      <c r="B53" t="s">
        <v>375</v>
      </c>
      <c r="C53">
        <v>54</v>
      </c>
      <c r="D53" t="s">
        <v>376</v>
      </c>
      <c r="E53" t="s">
        <v>25</v>
      </c>
      <c r="F53" s="86">
        <v>44693</v>
      </c>
      <c r="G53" t="s">
        <v>377</v>
      </c>
      <c r="H53">
        <v>2</v>
      </c>
      <c r="I53" t="s">
        <v>27</v>
      </c>
      <c r="J53" s="86">
        <v>45783</v>
      </c>
      <c r="K53">
        <v>45.17</v>
      </c>
      <c r="L53">
        <v>2</v>
      </c>
      <c r="M53">
        <v>14</v>
      </c>
      <c r="N53" t="s">
        <v>68</v>
      </c>
      <c r="O53" t="s">
        <v>366</v>
      </c>
      <c r="P53" t="s">
        <v>54</v>
      </c>
      <c r="Q53" t="s">
        <v>69</v>
      </c>
    </row>
    <row r="54" spans="1:17" x14ac:dyDescent="0.3">
      <c r="A54" t="s">
        <v>379</v>
      </c>
      <c r="B54" t="s">
        <v>380</v>
      </c>
      <c r="C54">
        <v>67</v>
      </c>
      <c r="D54" t="s">
        <v>381</v>
      </c>
      <c r="E54" t="s">
        <v>40</v>
      </c>
      <c r="F54" s="86">
        <v>44083</v>
      </c>
      <c r="G54" t="s">
        <v>382</v>
      </c>
      <c r="H54">
        <v>3</v>
      </c>
      <c r="I54" t="s">
        <v>27</v>
      </c>
      <c r="J54" t="s">
        <v>383</v>
      </c>
      <c r="K54">
        <v>136.94999999999999</v>
      </c>
      <c r="L54">
        <v>8</v>
      </c>
      <c r="M54">
        <v>4</v>
      </c>
      <c r="N54" t="s">
        <v>56</v>
      </c>
      <c r="O54" t="s">
        <v>251</v>
      </c>
      <c r="P54" t="s">
        <v>30</v>
      </c>
      <c r="Q54" t="s">
        <v>32</v>
      </c>
    </row>
    <row r="55" spans="1:17" x14ac:dyDescent="0.3">
      <c r="A55" t="s">
        <v>385</v>
      </c>
      <c r="B55" t="s">
        <v>386</v>
      </c>
      <c r="C55">
        <v>51</v>
      </c>
      <c r="D55" t="s">
        <v>387</v>
      </c>
      <c r="E55" t="s">
        <v>25</v>
      </c>
      <c r="F55" s="86">
        <v>43961</v>
      </c>
      <c r="G55" t="s">
        <v>388</v>
      </c>
      <c r="H55">
        <v>4</v>
      </c>
      <c r="I55" t="s">
        <v>52</v>
      </c>
      <c r="J55" s="86">
        <v>45720</v>
      </c>
      <c r="K55">
        <v>323.04000000000002</v>
      </c>
      <c r="L55">
        <v>3</v>
      </c>
      <c r="M55">
        <v>8</v>
      </c>
      <c r="N55" t="s">
        <v>68</v>
      </c>
      <c r="O55" t="s">
        <v>109</v>
      </c>
      <c r="P55" t="s">
        <v>68</v>
      </c>
      <c r="Q55" t="s">
        <v>32</v>
      </c>
    </row>
    <row r="56" spans="1:17" x14ac:dyDescent="0.3">
      <c r="A56" t="s">
        <v>390</v>
      </c>
      <c r="B56" t="s">
        <v>391</v>
      </c>
      <c r="C56">
        <v>59</v>
      </c>
      <c r="D56" t="s">
        <v>392</v>
      </c>
      <c r="E56" t="s">
        <v>95</v>
      </c>
      <c r="F56" s="86">
        <v>44990</v>
      </c>
      <c r="G56" t="s">
        <v>393</v>
      </c>
      <c r="H56">
        <v>0</v>
      </c>
      <c r="I56" t="s">
        <v>52</v>
      </c>
      <c r="J56" t="s">
        <v>394</v>
      </c>
      <c r="K56">
        <v>104</v>
      </c>
      <c r="L56">
        <v>3</v>
      </c>
      <c r="M56">
        <v>1</v>
      </c>
      <c r="N56" t="s">
        <v>54</v>
      </c>
      <c r="O56" t="s">
        <v>199</v>
      </c>
      <c r="P56" t="s">
        <v>54</v>
      </c>
      <c r="Q56" t="s">
        <v>69</v>
      </c>
    </row>
    <row r="57" spans="1:17" x14ac:dyDescent="0.3">
      <c r="A57" t="s">
        <v>396</v>
      </c>
      <c r="B57" t="s">
        <v>397</v>
      </c>
      <c r="C57">
        <v>42</v>
      </c>
      <c r="D57" t="s">
        <v>398</v>
      </c>
      <c r="E57" t="s">
        <v>40</v>
      </c>
      <c r="F57" s="86">
        <v>44808</v>
      </c>
      <c r="G57" s="86">
        <v>44659</v>
      </c>
      <c r="H57">
        <v>4</v>
      </c>
      <c r="I57" t="s">
        <v>52</v>
      </c>
      <c r="J57" s="86">
        <v>45203</v>
      </c>
      <c r="K57">
        <v>251.6</v>
      </c>
      <c r="L57">
        <v>3</v>
      </c>
      <c r="M57">
        <v>23</v>
      </c>
      <c r="N57" t="s">
        <v>68</v>
      </c>
      <c r="O57" t="s">
        <v>354</v>
      </c>
      <c r="P57" t="s">
        <v>45</v>
      </c>
      <c r="Q57" t="s">
        <v>32</v>
      </c>
    </row>
    <row r="58" spans="1:17" x14ac:dyDescent="0.3">
      <c r="A58" t="s">
        <v>400</v>
      </c>
      <c r="B58" t="s">
        <v>401</v>
      </c>
      <c r="C58">
        <v>38</v>
      </c>
      <c r="D58" t="s">
        <v>402</v>
      </c>
      <c r="E58" t="s">
        <v>40</v>
      </c>
      <c r="F58" t="s">
        <v>403</v>
      </c>
      <c r="G58" t="s">
        <v>404</v>
      </c>
      <c r="H58">
        <v>0</v>
      </c>
      <c r="I58" t="s">
        <v>27</v>
      </c>
      <c r="J58" t="s">
        <v>358</v>
      </c>
      <c r="K58">
        <v>472.04</v>
      </c>
      <c r="L58">
        <v>2</v>
      </c>
      <c r="M58">
        <v>17</v>
      </c>
      <c r="N58" t="s">
        <v>54</v>
      </c>
      <c r="O58" t="s">
        <v>269</v>
      </c>
      <c r="P58" t="s">
        <v>56</v>
      </c>
      <c r="Q58" t="s">
        <v>69</v>
      </c>
    </row>
    <row r="59" spans="1:17" x14ac:dyDescent="0.3">
      <c r="A59" t="s">
        <v>406</v>
      </c>
      <c r="B59" t="s">
        <v>407</v>
      </c>
      <c r="C59">
        <v>23</v>
      </c>
      <c r="D59" t="s">
        <v>408</v>
      </c>
      <c r="E59" t="s">
        <v>88</v>
      </c>
      <c r="F59" t="s">
        <v>409</v>
      </c>
      <c r="G59" s="86">
        <v>45963</v>
      </c>
      <c r="H59">
        <v>5</v>
      </c>
      <c r="I59" t="s">
        <v>27</v>
      </c>
      <c r="J59" t="s">
        <v>410</v>
      </c>
      <c r="K59">
        <v>21.85</v>
      </c>
      <c r="L59">
        <v>8</v>
      </c>
      <c r="M59">
        <v>1</v>
      </c>
      <c r="N59" t="s">
        <v>45</v>
      </c>
      <c r="O59" t="s">
        <v>231</v>
      </c>
      <c r="P59" t="s">
        <v>30</v>
      </c>
      <c r="Q59" t="s">
        <v>32</v>
      </c>
    </row>
    <row r="60" spans="1:17" x14ac:dyDescent="0.3">
      <c r="A60" t="s">
        <v>412</v>
      </c>
      <c r="B60" t="s">
        <v>413</v>
      </c>
      <c r="C60">
        <v>18</v>
      </c>
      <c r="D60" t="s">
        <v>414</v>
      </c>
      <c r="E60" t="s">
        <v>40</v>
      </c>
      <c r="F60" t="s">
        <v>415</v>
      </c>
      <c r="G60" t="s">
        <v>416</v>
      </c>
      <c r="H60">
        <v>3</v>
      </c>
      <c r="I60" t="s">
        <v>27</v>
      </c>
      <c r="J60" s="86">
        <v>45018</v>
      </c>
      <c r="K60">
        <v>295.22000000000003</v>
      </c>
      <c r="L60">
        <v>5</v>
      </c>
      <c r="M60">
        <v>18</v>
      </c>
      <c r="N60" t="s">
        <v>54</v>
      </c>
      <c r="O60" t="s">
        <v>418</v>
      </c>
      <c r="P60" t="s">
        <v>56</v>
      </c>
      <c r="Q60" t="s">
        <v>69</v>
      </c>
    </row>
    <row r="61" spans="1:17" x14ac:dyDescent="0.3">
      <c r="A61" t="s">
        <v>419</v>
      </c>
      <c r="B61" t="s">
        <v>420</v>
      </c>
      <c r="C61">
        <v>41</v>
      </c>
      <c r="D61" t="s">
        <v>421</v>
      </c>
      <c r="E61" t="s">
        <v>25</v>
      </c>
      <c r="F61" t="s">
        <v>422</v>
      </c>
      <c r="G61" s="86">
        <v>44966</v>
      </c>
      <c r="H61">
        <v>0</v>
      </c>
      <c r="I61" t="s">
        <v>64</v>
      </c>
      <c r="J61" t="s">
        <v>423</v>
      </c>
      <c r="K61">
        <v>362.26</v>
      </c>
      <c r="L61">
        <v>5</v>
      </c>
      <c r="M61">
        <v>13</v>
      </c>
      <c r="N61" t="s">
        <v>68</v>
      </c>
      <c r="O61" t="s">
        <v>425</v>
      </c>
      <c r="P61" t="s">
        <v>30</v>
      </c>
      <c r="Q61" t="s">
        <v>32</v>
      </c>
    </row>
    <row r="62" spans="1:17" x14ac:dyDescent="0.3">
      <c r="A62" t="s">
        <v>426</v>
      </c>
      <c r="B62" t="s">
        <v>427</v>
      </c>
      <c r="C62">
        <v>35</v>
      </c>
      <c r="D62" t="s">
        <v>428</v>
      </c>
      <c r="E62" t="s">
        <v>25</v>
      </c>
      <c r="F62" t="s">
        <v>388</v>
      </c>
      <c r="G62" t="s">
        <v>429</v>
      </c>
      <c r="H62">
        <v>1</v>
      </c>
      <c r="I62" t="s">
        <v>52</v>
      </c>
      <c r="J62" t="s">
        <v>430</v>
      </c>
      <c r="K62">
        <v>286.73</v>
      </c>
      <c r="L62">
        <v>6</v>
      </c>
      <c r="M62">
        <v>42</v>
      </c>
      <c r="N62" t="s">
        <v>68</v>
      </c>
      <c r="O62" t="s">
        <v>149</v>
      </c>
      <c r="P62" t="s">
        <v>30</v>
      </c>
      <c r="Q62" t="s">
        <v>32</v>
      </c>
    </row>
    <row r="63" spans="1:17" x14ac:dyDescent="0.3">
      <c r="A63" t="s">
        <v>432</v>
      </c>
      <c r="B63" t="s">
        <v>433</v>
      </c>
      <c r="C63">
        <v>39</v>
      </c>
      <c r="D63" t="s">
        <v>434</v>
      </c>
      <c r="E63" t="s">
        <v>25</v>
      </c>
      <c r="F63" t="s">
        <v>435</v>
      </c>
      <c r="G63" s="86">
        <v>45566</v>
      </c>
      <c r="H63">
        <v>3</v>
      </c>
      <c r="I63" t="s">
        <v>27</v>
      </c>
      <c r="J63" s="86">
        <v>44685</v>
      </c>
      <c r="K63">
        <v>34.68</v>
      </c>
      <c r="L63">
        <v>9</v>
      </c>
      <c r="M63">
        <v>2</v>
      </c>
      <c r="N63" t="s">
        <v>45</v>
      </c>
      <c r="O63" t="s">
        <v>199</v>
      </c>
      <c r="P63" t="s">
        <v>54</v>
      </c>
      <c r="Q63" t="s">
        <v>32</v>
      </c>
    </row>
    <row r="64" spans="1:17" x14ac:dyDescent="0.3">
      <c r="A64" t="s">
        <v>437</v>
      </c>
      <c r="B64" t="s">
        <v>438</v>
      </c>
      <c r="C64">
        <v>33</v>
      </c>
      <c r="D64" t="s">
        <v>439</v>
      </c>
      <c r="E64" t="s">
        <v>95</v>
      </c>
      <c r="F64" s="86">
        <v>44448</v>
      </c>
      <c r="G64" s="86">
        <v>45324</v>
      </c>
      <c r="H64">
        <v>4</v>
      </c>
      <c r="I64" t="s">
        <v>64</v>
      </c>
      <c r="J64" t="s">
        <v>440</v>
      </c>
      <c r="K64">
        <v>370.97</v>
      </c>
      <c r="L64">
        <v>4</v>
      </c>
      <c r="M64">
        <v>13</v>
      </c>
      <c r="N64" t="s">
        <v>54</v>
      </c>
      <c r="O64" t="s">
        <v>175</v>
      </c>
      <c r="P64" t="s">
        <v>56</v>
      </c>
      <c r="Q64" t="s">
        <v>32</v>
      </c>
    </row>
    <row r="65" spans="1:17" x14ac:dyDescent="0.3">
      <c r="A65" t="s">
        <v>442</v>
      </c>
      <c r="B65" t="s">
        <v>443</v>
      </c>
      <c r="C65">
        <v>34</v>
      </c>
      <c r="D65" t="s">
        <v>444</v>
      </c>
      <c r="E65" t="s">
        <v>25</v>
      </c>
      <c r="F65" t="s">
        <v>445</v>
      </c>
      <c r="G65" s="86">
        <v>44837</v>
      </c>
      <c r="H65">
        <v>4</v>
      </c>
      <c r="I65" t="s">
        <v>27</v>
      </c>
      <c r="J65" t="s">
        <v>446</v>
      </c>
      <c r="K65">
        <v>841.95</v>
      </c>
      <c r="L65">
        <v>2</v>
      </c>
      <c r="M65">
        <v>9</v>
      </c>
      <c r="N65" t="s">
        <v>30</v>
      </c>
      <c r="O65" t="s">
        <v>116</v>
      </c>
      <c r="P65" t="s">
        <v>54</v>
      </c>
      <c r="Q65" t="s">
        <v>32</v>
      </c>
    </row>
    <row r="66" spans="1:17" x14ac:dyDescent="0.3">
      <c r="A66" t="s">
        <v>448</v>
      </c>
      <c r="B66" t="s">
        <v>449</v>
      </c>
      <c r="C66">
        <v>22</v>
      </c>
      <c r="D66" t="s">
        <v>450</v>
      </c>
      <c r="E66" t="s">
        <v>88</v>
      </c>
      <c r="F66" s="86">
        <v>44780</v>
      </c>
      <c r="G66" s="86">
        <v>44987</v>
      </c>
      <c r="H66">
        <v>4</v>
      </c>
      <c r="I66" t="s">
        <v>52</v>
      </c>
      <c r="J66" t="s">
        <v>451</v>
      </c>
      <c r="K66">
        <v>1795.65</v>
      </c>
      <c r="L66">
        <v>1</v>
      </c>
      <c r="M66">
        <v>16</v>
      </c>
      <c r="N66" t="s">
        <v>56</v>
      </c>
      <c r="O66" t="s">
        <v>238</v>
      </c>
      <c r="P66" t="s">
        <v>45</v>
      </c>
      <c r="Q66" t="s">
        <v>32</v>
      </c>
    </row>
    <row r="67" spans="1:17" x14ac:dyDescent="0.3">
      <c r="A67" t="s">
        <v>453</v>
      </c>
      <c r="B67" t="s">
        <v>454</v>
      </c>
      <c r="C67">
        <v>56</v>
      </c>
      <c r="D67" t="s">
        <v>455</v>
      </c>
      <c r="E67" t="s">
        <v>51</v>
      </c>
      <c r="F67" t="s">
        <v>456</v>
      </c>
      <c r="G67" s="86">
        <v>45997</v>
      </c>
      <c r="H67">
        <v>1</v>
      </c>
      <c r="I67" t="s">
        <v>64</v>
      </c>
      <c r="J67" t="s">
        <v>457</v>
      </c>
      <c r="K67">
        <v>459.56</v>
      </c>
      <c r="L67">
        <v>3</v>
      </c>
      <c r="M67">
        <v>7</v>
      </c>
      <c r="N67" t="s">
        <v>30</v>
      </c>
      <c r="O67" t="s">
        <v>77</v>
      </c>
      <c r="P67" t="s">
        <v>54</v>
      </c>
      <c r="Q67" t="s">
        <v>69</v>
      </c>
    </row>
    <row r="68" spans="1:17" x14ac:dyDescent="0.3">
      <c r="A68" t="s">
        <v>459</v>
      </c>
      <c r="B68" t="s">
        <v>460</v>
      </c>
      <c r="C68">
        <v>54</v>
      </c>
      <c r="D68" t="s">
        <v>461</v>
      </c>
      <c r="E68" t="s">
        <v>51</v>
      </c>
      <c r="F68" t="s">
        <v>377</v>
      </c>
      <c r="G68" s="86">
        <v>45569</v>
      </c>
      <c r="H68">
        <v>3</v>
      </c>
      <c r="I68" t="s">
        <v>52</v>
      </c>
      <c r="J68" s="86">
        <v>45512</v>
      </c>
      <c r="K68">
        <v>193.86</v>
      </c>
      <c r="L68">
        <v>5</v>
      </c>
      <c r="M68">
        <v>9</v>
      </c>
      <c r="N68" t="s">
        <v>45</v>
      </c>
      <c r="O68" t="s">
        <v>55</v>
      </c>
      <c r="P68" t="s">
        <v>56</v>
      </c>
      <c r="Q68" t="s">
        <v>32</v>
      </c>
    </row>
    <row r="69" spans="1:17" x14ac:dyDescent="0.3">
      <c r="A69" t="s">
        <v>463</v>
      </c>
      <c r="B69" t="s">
        <v>464</v>
      </c>
      <c r="C69">
        <v>66</v>
      </c>
      <c r="D69" t="s">
        <v>465</v>
      </c>
      <c r="E69" t="s">
        <v>95</v>
      </c>
      <c r="F69" t="s">
        <v>466</v>
      </c>
      <c r="G69" t="s">
        <v>467</v>
      </c>
      <c r="H69">
        <v>4</v>
      </c>
      <c r="I69" t="s">
        <v>27</v>
      </c>
      <c r="J69" t="s">
        <v>468</v>
      </c>
      <c r="K69">
        <v>180.63</v>
      </c>
      <c r="L69">
        <v>3</v>
      </c>
      <c r="M69">
        <v>39</v>
      </c>
      <c r="N69" t="s">
        <v>56</v>
      </c>
      <c r="O69" t="s">
        <v>149</v>
      </c>
      <c r="P69" t="s">
        <v>30</v>
      </c>
      <c r="Q69" t="s">
        <v>32</v>
      </c>
    </row>
    <row r="70" spans="1:17" x14ac:dyDescent="0.3">
      <c r="A70" t="s">
        <v>470</v>
      </c>
      <c r="B70" t="s">
        <v>471</v>
      </c>
      <c r="C70">
        <v>45</v>
      </c>
      <c r="D70" t="s">
        <v>472</v>
      </c>
      <c r="E70" t="s">
        <v>25</v>
      </c>
      <c r="F70" t="s">
        <v>473</v>
      </c>
      <c r="G70" s="86">
        <v>45605</v>
      </c>
      <c r="H70">
        <v>5</v>
      </c>
      <c r="I70" t="s">
        <v>27</v>
      </c>
      <c r="J70" t="s">
        <v>474</v>
      </c>
      <c r="K70">
        <v>1217.67</v>
      </c>
      <c r="L70">
        <v>1</v>
      </c>
      <c r="M70">
        <v>40</v>
      </c>
      <c r="N70" t="s">
        <v>45</v>
      </c>
      <c r="O70" t="s">
        <v>211</v>
      </c>
      <c r="P70" t="s">
        <v>68</v>
      </c>
      <c r="Q70" t="s">
        <v>322</v>
      </c>
    </row>
    <row r="71" spans="1:17" x14ac:dyDescent="0.3">
      <c r="A71" t="s">
        <v>476</v>
      </c>
      <c r="B71" t="s">
        <v>477</v>
      </c>
      <c r="C71">
        <v>19</v>
      </c>
      <c r="D71" t="s">
        <v>478</v>
      </c>
      <c r="E71" t="s">
        <v>25</v>
      </c>
      <c r="F71" t="s">
        <v>479</v>
      </c>
      <c r="G71" t="s">
        <v>480</v>
      </c>
      <c r="H71">
        <v>4</v>
      </c>
      <c r="I71" t="s">
        <v>27</v>
      </c>
      <c r="J71" s="86">
        <v>45839</v>
      </c>
      <c r="K71">
        <v>262.10000000000002</v>
      </c>
      <c r="L71">
        <v>6</v>
      </c>
      <c r="M71">
        <v>33</v>
      </c>
      <c r="N71" t="s">
        <v>56</v>
      </c>
      <c r="O71" t="s">
        <v>77</v>
      </c>
      <c r="P71" t="s">
        <v>54</v>
      </c>
      <c r="Q71" t="s">
        <v>69</v>
      </c>
    </row>
    <row r="72" spans="1:17" x14ac:dyDescent="0.3">
      <c r="A72" t="s">
        <v>482</v>
      </c>
      <c r="B72" t="s">
        <v>483</v>
      </c>
      <c r="C72">
        <v>33</v>
      </c>
      <c r="D72" t="s">
        <v>484</v>
      </c>
      <c r="E72" t="s">
        <v>61</v>
      </c>
      <c r="F72" t="s">
        <v>485</v>
      </c>
      <c r="G72" t="s">
        <v>486</v>
      </c>
      <c r="H72">
        <v>3</v>
      </c>
      <c r="I72" t="s">
        <v>27</v>
      </c>
      <c r="J72" t="s">
        <v>487</v>
      </c>
      <c r="K72">
        <v>466.13</v>
      </c>
      <c r="L72">
        <v>3</v>
      </c>
      <c r="M72">
        <v>25</v>
      </c>
      <c r="N72" t="s">
        <v>45</v>
      </c>
      <c r="O72" t="s">
        <v>418</v>
      </c>
      <c r="P72" t="s">
        <v>56</v>
      </c>
      <c r="Q72" t="s">
        <v>32</v>
      </c>
    </row>
    <row r="73" spans="1:17" x14ac:dyDescent="0.3">
      <c r="A73" t="s">
        <v>489</v>
      </c>
      <c r="B73" t="s">
        <v>490</v>
      </c>
      <c r="C73">
        <v>62</v>
      </c>
      <c r="D73" t="s">
        <v>491</v>
      </c>
      <c r="E73" t="s">
        <v>61</v>
      </c>
      <c r="F73" s="86">
        <v>44449</v>
      </c>
      <c r="G73" s="86">
        <v>45294</v>
      </c>
      <c r="H73">
        <v>2</v>
      </c>
      <c r="I73" t="s">
        <v>27</v>
      </c>
      <c r="J73" t="s">
        <v>492</v>
      </c>
      <c r="K73">
        <v>365.16</v>
      </c>
      <c r="L73">
        <v>3</v>
      </c>
      <c r="M73">
        <v>13</v>
      </c>
      <c r="N73" t="s">
        <v>30</v>
      </c>
      <c r="O73" t="s">
        <v>245</v>
      </c>
      <c r="P73" t="s">
        <v>54</v>
      </c>
      <c r="Q73" t="s">
        <v>32</v>
      </c>
    </row>
    <row r="74" spans="1:17" x14ac:dyDescent="0.3">
      <c r="A74" t="s">
        <v>494</v>
      </c>
      <c r="B74" t="s">
        <v>495</v>
      </c>
      <c r="C74">
        <v>34</v>
      </c>
      <c r="D74" t="s">
        <v>496</v>
      </c>
      <c r="E74" t="s">
        <v>25</v>
      </c>
      <c r="F74" t="s">
        <v>497</v>
      </c>
      <c r="G74" s="86">
        <v>44200</v>
      </c>
      <c r="H74">
        <v>3</v>
      </c>
      <c r="I74" t="s">
        <v>27</v>
      </c>
      <c r="J74" s="86">
        <v>45206</v>
      </c>
      <c r="K74">
        <v>24.08</v>
      </c>
      <c r="L74">
        <v>5</v>
      </c>
      <c r="M74">
        <v>28</v>
      </c>
      <c r="N74" t="s">
        <v>68</v>
      </c>
      <c r="O74" t="s">
        <v>366</v>
      </c>
      <c r="P74" t="s">
        <v>54</v>
      </c>
      <c r="Q74" t="s">
        <v>69</v>
      </c>
    </row>
    <row r="75" spans="1:17" x14ac:dyDescent="0.3">
      <c r="A75" t="s">
        <v>499</v>
      </c>
      <c r="B75" t="s">
        <v>500</v>
      </c>
      <c r="C75">
        <v>57</v>
      </c>
      <c r="D75" t="s">
        <v>501</v>
      </c>
      <c r="E75" t="s">
        <v>51</v>
      </c>
      <c r="F75" s="86">
        <v>44207</v>
      </c>
      <c r="G75" t="s">
        <v>502</v>
      </c>
      <c r="H75">
        <v>0</v>
      </c>
      <c r="I75" t="s">
        <v>52</v>
      </c>
      <c r="J75" t="s">
        <v>503</v>
      </c>
      <c r="K75">
        <v>167.47</v>
      </c>
      <c r="L75">
        <v>5</v>
      </c>
      <c r="M75">
        <v>13</v>
      </c>
      <c r="N75" t="s">
        <v>30</v>
      </c>
      <c r="O75" t="s">
        <v>238</v>
      </c>
      <c r="P75" t="s">
        <v>45</v>
      </c>
      <c r="Q75" t="s">
        <v>69</v>
      </c>
    </row>
    <row r="76" spans="1:17" x14ac:dyDescent="0.3">
      <c r="A76" t="s">
        <v>505</v>
      </c>
      <c r="B76" t="s">
        <v>506</v>
      </c>
      <c r="C76">
        <v>21</v>
      </c>
      <c r="D76" t="s">
        <v>507</v>
      </c>
      <c r="E76" t="s">
        <v>61</v>
      </c>
      <c r="F76" t="s">
        <v>255</v>
      </c>
      <c r="G76" t="s">
        <v>508</v>
      </c>
      <c r="H76">
        <v>2</v>
      </c>
      <c r="I76" t="s">
        <v>27</v>
      </c>
      <c r="J76" s="86">
        <v>44874</v>
      </c>
      <c r="K76">
        <v>44.36</v>
      </c>
      <c r="L76">
        <v>6</v>
      </c>
      <c r="M76">
        <v>27</v>
      </c>
      <c r="N76" t="s">
        <v>30</v>
      </c>
      <c r="O76" t="s">
        <v>366</v>
      </c>
      <c r="P76" t="s">
        <v>54</v>
      </c>
      <c r="Q76" t="s">
        <v>32</v>
      </c>
    </row>
    <row r="77" spans="1:17" x14ac:dyDescent="0.3">
      <c r="A77" t="s">
        <v>510</v>
      </c>
      <c r="B77" t="s">
        <v>511</v>
      </c>
      <c r="C77">
        <v>43</v>
      </c>
      <c r="D77" t="s">
        <v>512</v>
      </c>
      <c r="E77" t="s">
        <v>40</v>
      </c>
      <c r="F77" t="s">
        <v>513</v>
      </c>
      <c r="G77" t="s">
        <v>63</v>
      </c>
      <c r="H77">
        <v>1</v>
      </c>
      <c r="I77" t="s">
        <v>52</v>
      </c>
      <c r="J77" t="s">
        <v>514</v>
      </c>
      <c r="K77">
        <v>157.69999999999999</v>
      </c>
      <c r="L77">
        <v>5</v>
      </c>
      <c r="M77">
        <v>32</v>
      </c>
      <c r="N77" t="s">
        <v>45</v>
      </c>
      <c r="O77" t="s">
        <v>122</v>
      </c>
      <c r="P77" t="s">
        <v>30</v>
      </c>
      <c r="Q77" t="s">
        <v>32</v>
      </c>
    </row>
    <row r="78" spans="1:17" x14ac:dyDescent="0.3">
      <c r="A78" t="s">
        <v>516</v>
      </c>
      <c r="B78" t="s">
        <v>517</v>
      </c>
      <c r="C78">
        <v>63</v>
      </c>
      <c r="D78" t="s">
        <v>518</v>
      </c>
      <c r="E78" t="s">
        <v>40</v>
      </c>
      <c r="F78" s="86">
        <v>44260</v>
      </c>
      <c r="G78" s="86">
        <v>44720</v>
      </c>
      <c r="H78">
        <v>5</v>
      </c>
      <c r="I78" t="s">
        <v>52</v>
      </c>
      <c r="J78" t="s">
        <v>519</v>
      </c>
      <c r="K78">
        <v>244.5</v>
      </c>
      <c r="L78">
        <v>6</v>
      </c>
      <c r="M78">
        <v>19</v>
      </c>
      <c r="N78" t="s">
        <v>56</v>
      </c>
      <c r="O78" t="s">
        <v>293</v>
      </c>
      <c r="P78" t="s">
        <v>45</v>
      </c>
      <c r="Q78" t="s">
        <v>69</v>
      </c>
    </row>
    <row r="79" spans="1:17" x14ac:dyDescent="0.3">
      <c r="A79" t="s">
        <v>521</v>
      </c>
      <c r="B79" t="s">
        <v>522</v>
      </c>
      <c r="C79">
        <v>35</v>
      </c>
      <c r="D79" t="s">
        <v>523</v>
      </c>
      <c r="E79" t="s">
        <v>95</v>
      </c>
      <c r="F79" t="s">
        <v>524</v>
      </c>
      <c r="G79" s="86">
        <v>45516</v>
      </c>
      <c r="H79">
        <v>2</v>
      </c>
      <c r="I79" t="s">
        <v>52</v>
      </c>
      <c r="J79" t="s">
        <v>525</v>
      </c>
      <c r="K79">
        <v>1519.11</v>
      </c>
      <c r="L79">
        <v>1</v>
      </c>
      <c r="M79">
        <v>47</v>
      </c>
      <c r="N79" t="s">
        <v>30</v>
      </c>
      <c r="O79" t="s">
        <v>91</v>
      </c>
      <c r="P79" t="s">
        <v>54</v>
      </c>
      <c r="Q79" t="s">
        <v>32</v>
      </c>
    </row>
    <row r="80" spans="1:17" x14ac:dyDescent="0.3">
      <c r="A80" t="s">
        <v>527</v>
      </c>
      <c r="B80" t="s">
        <v>528</v>
      </c>
      <c r="C80">
        <v>55</v>
      </c>
      <c r="D80" t="s">
        <v>529</v>
      </c>
      <c r="E80" t="s">
        <v>95</v>
      </c>
      <c r="F80" s="86">
        <v>44504</v>
      </c>
      <c r="G80" t="s">
        <v>530</v>
      </c>
      <c r="H80">
        <v>2</v>
      </c>
      <c r="I80" t="s">
        <v>52</v>
      </c>
      <c r="J80" s="86">
        <v>45451</v>
      </c>
      <c r="K80">
        <v>160.26</v>
      </c>
      <c r="L80">
        <v>8</v>
      </c>
      <c r="M80">
        <v>44</v>
      </c>
      <c r="N80" t="s">
        <v>68</v>
      </c>
      <c r="O80" t="s">
        <v>157</v>
      </c>
      <c r="P80" t="s">
        <v>68</v>
      </c>
      <c r="Q80" t="s">
        <v>32</v>
      </c>
    </row>
    <row r="81" spans="1:17" x14ac:dyDescent="0.3">
      <c r="A81" t="s">
        <v>532</v>
      </c>
      <c r="B81" t="s">
        <v>533</v>
      </c>
      <c r="C81">
        <v>54</v>
      </c>
      <c r="D81" t="s">
        <v>534</v>
      </c>
      <c r="E81" t="s">
        <v>88</v>
      </c>
      <c r="F81" s="86">
        <v>43961</v>
      </c>
      <c r="G81" t="s">
        <v>508</v>
      </c>
      <c r="H81">
        <v>5</v>
      </c>
      <c r="I81" t="s">
        <v>27</v>
      </c>
      <c r="J81" s="86">
        <v>45447</v>
      </c>
      <c r="K81">
        <v>154</v>
      </c>
      <c r="L81">
        <v>7</v>
      </c>
      <c r="M81">
        <v>21</v>
      </c>
      <c r="N81" t="s">
        <v>30</v>
      </c>
      <c r="O81" t="s">
        <v>536</v>
      </c>
      <c r="P81" t="s">
        <v>68</v>
      </c>
      <c r="Q81" t="s">
        <v>69</v>
      </c>
    </row>
    <row r="82" spans="1:17" x14ac:dyDescent="0.3">
      <c r="A82" t="s">
        <v>537</v>
      </c>
      <c r="B82" t="s">
        <v>538</v>
      </c>
      <c r="C82">
        <v>53</v>
      </c>
      <c r="D82" t="s">
        <v>539</v>
      </c>
      <c r="E82" t="s">
        <v>88</v>
      </c>
      <c r="F82" s="86">
        <v>44238</v>
      </c>
      <c r="G82" s="86">
        <v>45209</v>
      </c>
      <c r="H82">
        <v>0</v>
      </c>
      <c r="I82" t="s">
        <v>27</v>
      </c>
      <c r="J82" s="86">
        <v>45332</v>
      </c>
      <c r="K82">
        <v>119.16</v>
      </c>
      <c r="L82">
        <v>7</v>
      </c>
      <c r="M82">
        <v>4</v>
      </c>
      <c r="N82" t="s">
        <v>54</v>
      </c>
      <c r="O82" t="s">
        <v>142</v>
      </c>
      <c r="P82" t="s">
        <v>68</v>
      </c>
      <c r="Q82" t="s">
        <v>69</v>
      </c>
    </row>
    <row r="83" spans="1:17" x14ac:dyDescent="0.3">
      <c r="A83" t="s">
        <v>541</v>
      </c>
      <c r="B83" t="s">
        <v>542</v>
      </c>
      <c r="C83">
        <v>20</v>
      </c>
      <c r="D83" t="s">
        <v>543</v>
      </c>
      <c r="E83" t="s">
        <v>40</v>
      </c>
      <c r="F83" s="86">
        <v>44933</v>
      </c>
      <c r="G83" t="s">
        <v>544</v>
      </c>
      <c r="H83">
        <v>5</v>
      </c>
      <c r="I83" t="s">
        <v>27</v>
      </c>
      <c r="J83" t="s">
        <v>545</v>
      </c>
      <c r="K83">
        <v>68.209999999999994</v>
      </c>
      <c r="L83">
        <v>5</v>
      </c>
      <c r="M83">
        <v>8</v>
      </c>
      <c r="N83" t="s">
        <v>45</v>
      </c>
      <c r="O83" t="s">
        <v>44</v>
      </c>
      <c r="P83" t="s">
        <v>45</v>
      </c>
      <c r="Q83" t="s">
        <v>69</v>
      </c>
    </row>
    <row r="84" spans="1:17" x14ac:dyDescent="0.3">
      <c r="A84" t="s">
        <v>547</v>
      </c>
      <c r="B84" t="s">
        <v>548</v>
      </c>
      <c r="C84">
        <v>18</v>
      </c>
      <c r="D84" t="s">
        <v>549</v>
      </c>
      <c r="E84" t="s">
        <v>95</v>
      </c>
      <c r="F84" t="s">
        <v>550</v>
      </c>
      <c r="G84" t="s">
        <v>551</v>
      </c>
      <c r="H84">
        <v>0</v>
      </c>
      <c r="I84" t="s">
        <v>27</v>
      </c>
      <c r="J84" s="86">
        <v>45844</v>
      </c>
      <c r="K84">
        <v>112.63</v>
      </c>
      <c r="L84">
        <v>7</v>
      </c>
      <c r="M84">
        <v>20</v>
      </c>
      <c r="N84" t="s">
        <v>54</v>
      </c>
      <c r="O84" t="s">
        <v>128</v>
      </c>
      <c r="P84" t="s">
        <v>54</v>
      </c>
      <c r="Q84" t="s">
        <v>69</v>
      </c>
    </row>
    <row r="85" spans="1:17" x14ac:dyDescent="0.3">
      <c r="A85" t="s">
        <v>553</v>
      </c>
      <c r="B85" t="s">
        <v>554</v>
      </c>
      <c r="C85">
        <v>44</v>
      </c>
      <c r="D85" t="s">
        <v>555</v>
      </c>
      <c r="E85" t="s">
        <v>95</v>
      </c>
      <c r="F85" s="86">
        <v>44265</v>
      </c>
      <c r="G85" s="86">
        <v>45149</v>
      </c>
      <c r="H85">
        <v>0</v>
      </c>
      <c r="I85" t="s">
        <v>27</v>
      </c>
      <c r="J85" t="s">
        <v>556</v>
      </c>
      <c r="K85">
        <v>269.36</v>
      </c>
      <c r="L85">
        <v>6</v>
      </c>
      <c r="M85">
        <v>16</v>
      </c>
      <c r="N85" t="s">
        <v>68</v>
      </c>
      <c r="O85" t="s">
        <v>251</v>
      </c>
      <c r="P85" t="s">
        <v>30</v>
      </c>
      <c r="Q85" t="s">
        <v>32</v>
      </c>
    </row>
    <row r="86" spans="1:17" x14ac:dyDescent="0.3">
      <c r="A86" t="s">
        <v>558</v>
      </c>
      <c r="B86" t="s">
        <v>559</v>
      </c>
      <c r="C86">
        <v>20</v>
      </c>
      <c r="D86" t="s">
        <v>560</v>
      </c>
      <c r="E86" t="s">
        <v>51</v>
      </c>
      <c r="F86" s="86">
        <v>44239</v>
      </c>
      <c r="G86" t="s">
        <v>561</v>
      </c>
      <c r="H86">
        <v>0</v>
      </c>
      <c r="I86" t="s">
        <v>27</v>
      </c>
      <c r="J86" t="s">
        <v>107</v>
      </c>
      <c r="K86">
        <v>1032.49</v>
      </c>
      <c r="L86">
        <v>1</v>
      </c>
      <c r="M86">
        <v>1</v>
      </c>
      <c r="N86" t="s">
        <v>30</v>
      </c>
      <c r="O86" t="s">
        <v>194</v>
      </c>
      <c r="P86" t="s">
        <v>56</v>
      </c>
      <c r="Q86" t="s">
        <v>69</v>
      </c>
    </row>
    <row r="87" spans="1:17" x14ac:dyDescent="0.3">
      <c r="A87" t="s">
        <v>563</v>
      </c>
      <c r="B87" t="s">
        <v>564</v>
      </c>
      <c r="C87">
        <v>51</v>
      </c>
      <c r="D87" t="s">
        <v>565</v>
      </c>
      <c r="E87" t="s">
        <v>88</v>
      </c>
      <c r="F87" s="86">
        <v>44290</v>
      </c>
      <c r="G87" t="s">
        <v>566</v>
      </c>
      <c r="H87">
        <v>0</v>
      </c>
      <c r="I87" t="s">
        <v>27</v>
      </c>
      <c r="J87" s="86">
        <v>44570</v>
      </c>
      <c r="K87">
        <v>253.07</v>
      </c>
      <c r="L87">
        <v>2</v>
      </c>
      <c r="M87">
        <v>7</v>
      </c>
      <c r="N87" t="s">
        <v>30</v>
      </c>
      <c r="O87" t="s">
        <v>91</v>
      </c>
      <c r="P87" t="s">
        <v>54</v>
      </c>
      <c r="Q87" t="s">
        <v>32</v>
      </c>
    </row>
    <row r="88" spans="1:17" x14ac:dyDescent="0.3">
      <c r="A88" t="s">
        <v>568</v>
      </c>
      <c r="B88" t="s">
        <v>569</v>
      </c>
      <c r="C88">
        <v>55</v>
      </c>
      <c r="D88" t="s">
        <v>570</v>
      </c>
      <c r="E88" t="s">
        <v>88</v>
      </c>
      <c r="F88" t="s">
        <v>571</v>
      </c>
      <c r="G88" t="s">
        <v>572</v>
      </c>
      <c r="H88">
        <v>1</v>
      </c>
      <c r="I88" t="s">
        <v>27</v>
      </c>
      <c r="J88" t="s">
        <v>573</v>
      </c>
      <c r="K88">
        <v>189.41</v>
      </c>
      <c r="L88">
        <v>8</v>
      </c>
      <c r="M88">
        <v>3</v>
      </c>
      <c r="N88" t="s">
        <v>45</v>
      </c>
      <c r="O88" t="s">
        <v>245</v>
      </c>
      <c r="P88" t="s">
        <v>54</v>
      </c>
      <c r="Q88" t="s">
        <v>32</v>
      </c>
    </row>
    <row r="89" spans="1:17" x14ac:dyDescent="0.3">
      <c r="A89" t="s">
        <v>575</v>
      </c>
      <c r="B89" t="s">
        <v>576</v>
      </c>
      <c r="C89">
        <v>52</v>
      </c>
      <c r="D89" t="s">
        <v>577</v>
      </c>
      <c r="E89" t="s">
        <v>51</v>
      </c>
      <c r="F89" s="86">
        <v>44685</v>
      </c>
      <c r="G89" t="s">
        <v>578</v>
      </c>
      <c r="H89">
        <v>1</v>
      </c>
      <c r="I89" t="s">
        <v>52</v>
      </c>
      <c r="J89" t="s">
        <v>579</v>
      </c>
      <c r="K89">
        <v>1495.51</v>
      </c>
      <c r="L89">
        <v>1</v>
      </c>
      <c r="M89">
        <v>45</v>
      </c>
      <c r="N89" t="s">
        <v>45</v>
      </c>
      <c r="O89" t="s">
        <v>44</v>
      </c>
      <c r="P89" t="s">
        <v>45</v>
      </c>
      <c r="Q89" t="s">
        <v>32</v>
      </c>
    </row>
    <row r="90" spans="1:17" x14ac:dyDescent="0.3">
      <c r="A90" t="s">
        <v>581</v>
      </c>
      <c r="B90" t="s">
        <v>582</v>
      </c>
      <c r="C90">
        <v>31</v>
      </c>
      <c r="D90" t="s">
        <v>583</v>
      </c>
      <c r="E90" t="s">
        <v>88</v>
      </c>
      <c r="F90" t="s">
        <v>584</v>
      </c>
      <c r="G90" s="86">
        <v>44784</v>
      </c>
      <c r="H90">
        <v>4</v>
      </c>
      <c r="I90" t="s">
        <v>52</v>
      </c>
      <c r="J90" s="86">
        <v>45485</v>
      </c>
      <c r="K90">
        <v>384.7</v>
      </c>
      <c r="L90">
        <v>2</v>
      </c>
      <c r="M90">
        <v>38</v>
      </c>
      <c r="N90" t="s">
        <v>45</v>
      </c>
      <c r="O90" t="s">
        <v>373</v>
      </c>
      <c r="P90" t="s">
        <v>54</v>
      </c>
      <c r="Q90" t="s">
        <v>32</v>
      </c>
    </row>
    <row r="91" spans="1:17" x14ac:dyDescent="0.3">
      <c r="A91" t="s">
        <v>586</v>
      </c>
      <c r="B91" t="s">
        <v>587</v>
      </c>
      <c r="C91">
        <v>46</v>
      </c>
      <c r="D91" t="s">
        <v>588</v>
      </c>
      <c r="E91" t="s">
        <v>61</v>
      </c>
      <c r="F91" t="s">
        <v>589</v>
      </c>
      <c r="G91" s="86">
        <v>45116</v>
      </c>
      <c r="H91">
        <v>5</v>
      </c>
      <c r="I91" t="s">
        <v>27</v>
      </c>
      <c r="J91" t="s">
        <v>590</v>
      </c>
      <c r="K91">
        <v>256.39999999999998</v>
      </c>
      <c r="L91">
        <v>6</v>
      </c>
      <c r="M91">
        <v>29</v>
      </c>
      <c r="N91" t="s">
        <v>45</v>
      </c>
      <c r="O91" t="s">
        <v>238</v>
      </c>
      <c r="P91" t="s">
        <v>45</v>
      </c>
      <c r="Q91" t="s">
        <v>69</v>
      </c>
    </row>
    <row r="92" spans="1:17" x14ac:dyDescent="0.3">
      <c r="A92" t="s">
        <v>592</v>
      </c>
      <c r="B92" t="s">
        <v>593</v>
      </c>
      <c r="C92">
        <v>61</v>
      </c>
      <c r="D92" t="s">
        <v>594</v>
      </c>
      <c r="E92" t="s">
        <v>51</v>
      </c>
      <c r="F92" s="86">
        <v>45114</v>
      </c>
      <c r="G92" s="86">
        <v>45146</v>
      </c>
      <c r="H92">
        <v>0</v>
      </c>
      <c r="I92" t="s">
        <v>27</v>
      </c>
      <c r="J92" t="s">
        <v>595</v>
      </c>
      <c r="K92">
        <v>289.7</v>
      </c>
      <c r="L92">
        <v>4</v>
      </c>
      <c r="M92">
        <v>14</v>
      </c>
      <c r="N92" t="s">
        <v>56</v>
      </c>
      <c r="O92" t="s">
        <v>597</v>
      </c>
      <c r="P92" t="s">
        <v>45</v>
      </c>
      <c r="Q92" t="s">
        <v>32</v>
      </c>
    </row>
    <row r="93" spans="1:17" x14ac:dyDescent="0.3">
      <c r="A93" t="s">
        <v>598</v>
      </c>
      <c r="B93" t="s">
        <v>599</v>
      </c>
      <c r="C93">
        <v>30</v>
      </c>
      <c r="D93" t="s">
        <v>600</v>
      </c>
      <c r="E93" t="s">
        <v>25</v>
      </c>
      <c r="F93" t="s">
        <v>146</v>
      </c>
      <c r="G93" t="s">
        <v>601</v>
      </c>
      <c r="H93">
        <v>2</v>
      </c>
      <c r="I93" t="s">
        <v>27</v>
      </c>
      <c r="J93" t="s">
        <v>602</v>
      </c>
      <c r="K93">
        <v>27</v>
      </c>
      <c r="L93">
        <v>5</v>
      </c>
      <c r="M93">
        <v>8</v>
      </c>
      <c r="N93" t="s">
        <v>54</v>
      </c>
      <c r="O93" t="s">
        <v>604</v>
      </c>
      <c r="P93" t="s">
        <v>45</v>
      </c>
      <c r="Q93" t="s">
        <v>32</v>
      </c>
    </row>
    <row r="94" spans="1:17" x14ac:dyDescent="0.3">
      <c r="A94" t="s">
        <v>605</v>
      </c>
      <c r="B94" t="s">
        <v>606</v>
      </c>
      <c r="C94">
        <v>56</v>
      </c>
      <c r="D94" t="s">
        <v>607</v>
      </c>
      <c r="E94" t="s">
        <v>25</v>
      </c>
      <c r="F94" t="s">
        <v>608</v>
      </c>
      <c r="G94" t="s">
        <v>338</v>
      </c>
      <c r="H94">
        <v>2</v>
      </c>
      <c r="I94" t="s">
        <v>27</v>
      </c>
      <c r="J94" t="s">
        <v>113</v>
      </c>
      <c r="K94">
        <v>279.83</v>
      </c>
      <c r="L94">
        <v>3</v>
      </c>
      <c r="M94">
        <v>28</v>
      </c>
      <c r="N94" t="s">
        <v>56</v>
      </c>
      <c r="O94" t="s">
        <v>610</v>
      </c>
      <c r="P94" t="s">
        <v>68</v>
      </c>
      <c r="Q94" t="s">
        <v>32</v>
      </c>
    </row>
    <row r="95" spans="1:17" x14ac:dyDescent="0.3">
      <c r="A95" t="s">
        <v>611</v>
      </c>
      <c r="B95" t="s">
        <v>612</v>
      </c>
      <c r="C95">
        <v>24</v>
      </c>
      <c r="D95" t="s">
        <v>613</v>
      </c>
      <c r="E95" t="s">
        <v>25</v>
      </c>
      <c r="F95" t="s">
        <v>614</v>
      </c>
      <c r="G95" t="s">
        <v>615</v>
      </c>
      <c r="H95">
        <v>0</v>
      </c>
      <c r="I95" t="s">
        <v>64</v>
      </c>
      <c r="J95" t="s">
        <v>616</v>
      </c>
      <c r="K95">
        <v>290.29000000000002</v>
      </c>
      <c r="L95">
        <v>5</v>
      </c>
      <c r="M95">
        <v>30</v>
      </c>
      <c r="N95" t="s">
        <v>30</v>
      </c>
      <c r="O95" t="s">
        <v>128</v>
      </c>
      <c r="P95" t="s">
        <v>54</v>
      </c>
      <c r="Q95" t="s">
        <v>69</v>
      </c>
    </row>
    <row r="96" spans="1:17" x14ac:dyDescent="0.3">
      <c r="A96" t="s">
        <v>618</v>
      </c>
      <c r="B96" t="s">
        <v>619</v>
      </c>
      <c r="C96">
        <v>68</v>
      </c>
      <c r="D96" t="s">
        <v>620</v>
      </c>
      <c r="E96" t="s">
        <v>51</v>
      </c>
      <c r="F96" t="s">
        <v>621</v>
      </c>
      <c r="G96" t="s">
        <v>622</v>
      </c>
      <c r="H96">
        <v>2</v>
      </c>
      <c r="I96" t="s">
        <v>27</v>
      </c>
      <c r="J96" s="86">
        <v>45419</v>
      </c>
      <c r="K96">
        <v>259.26</v>
      </c>
      <c r="L96">
        <v>6</v>
      </c>
      <c r="M96">
        <v>38</v>
      </c>
      <c r="N96" t="s">
        <v>45</v>
      </c>
      <c r="O96" t="s">
        <v>624</v>
      </c>
      <c r="P96" t="s">
        <v>30</v>
      </c>
      <c r="Q96" t="s">
        <v>32</v>
      </c>
    </row>
    <row r="97" spans="1:17" x14ac:dyDescent="0.3">
      <c r="A97" t="s">
        <v>625</v>
      </c>
      <c r="B97" t="s">
        <v>626</v>
      </c>
      <c r="C97">
        <v>52</v>
      </c>
      <c r="D97" t="s">
        <v>627</v>
      </c>
      <c r="E97" t="s">
        <v>25</v>
      </c>
      <c r="F97" t="s">
        <v>502</v>
      </c>
      <c r="G97" s="86">
        <v>45607</v>
      </c>
      <c r="H97">
        <v>5</v>
      </c>
      <c r="I97" t="s">
        <v>52</v>
      </c>
      <c r="J97" s="86">
        <v>45907</v>
      </c>
      <c r="K97">
        <v>159.25</v>
      </c>
      <c r="L97">
        <v>5</v>
      </c>
      <c r="M97">
        <v>40</v>
      </c>
      <c r="N97" t="s">
        <v>30</v>
      </c>
      <c r="O97" t="s">
        <v>373</v>
      </c>
      <c r="P97" t="s">
        <v>54</v>
      </c>
      <c r="Q97" t="s">
        <v>69</v>
      </c>
    </row>
    <row r="98" spans="1:17" x14ac:dyDescent="0.3">
      <c r="A98" t="s">
        <v>629</v>
      </c>
      <c r="B98" t="s">
        <v>630</v>
      </c>
      <c r="C98">
        <v>43</v>
      </c>
      <c r="D98" t="s">
        <v>631</v>
      </c>
      <c r="E98" t="s">
        <v>40</v>
      </c>
      <c r="F98" t="s">
        <v>632</v>
      </c>
      <c r="G98" t="s">
        <v>633</v>
      </c>
      <c r="H98">
        <v>0</v>
      </c>
      <c r="I98" t="s">
        <v>27</v>
      </c>
      <c r="J98" t="s">
        <v>634</v>
      </c>
      <c r="K98">
        <v>62.41</v>
      </c>
      <c r="L98">
        <v>3</v>
      </c>
      <c r="M98">
        <v>30</v>
      </c>
      <c r="N98" t="s">
        <v>30</v>
      </c>
      <c r="O98" t="s">
        <v>231</v>
      </c>
      <c r="P98" t="s">
        <v>30</v>
      </c>
      <c r="Q98" t="s">
        <v>32</v>
      </c>
    </row>
    <row r="99" spans="1:17" x14ac:dyDescent="0.3">
      <c r="A99" t="s">
        <v>636</v>
      </c>
      <c r="B99" t="s">
        <v>637</v>
      </c>
      <c r="C99">
        <v>35</v>
      </c>
      <c r="D99" t="s">
        <v>638</v>
      </c>
      <c r="E99" t="s">
        <v>51</v>
      </c>
      <c r="F99" t="s">
        <v>639</v>
      </c>
      <c r="G99" t="s">
        <v>640</v>
      </c>
      <c r="H99">
        <v>4</v>
      </c>
      <c r="I99" t="s">
        <v>27</v>
      </c>
      <c r="J99" t="s">
        <v>338</v>
      </c>
      <c r="K99">
        <v>107.73</v>
      </c>
      <c r="L99">
        <v>5</v>
      </c>
      <c r="M99">
        <v>26</v>
      </c>
      <c r="N99" t="s">
        <v>45</v>
      </c>
      <c r="O99" t="s">
        <v>77</v>
      </c>
      <c r="P99" t="s">
        <v>54</v>
      </c>
      <c r="Q99" t="s">
        <v>69</v>
      </c>
    </row>
    <row r="100" spans="1:17" x14ac:dyDescent="0.3">
      <c r="A100" t="s">
        <v>642</v>
      </c>
      <c r="B100" t="s">
        <v>643</v>
      </c>
      <c r="C100">
        <v>66</v>
      </c>
      <c r="D100" t="s">
        <v>644</v>
      </c>
      <c r="E100" t="s">
        <v>88</v>
      </c>
      <c r="F100" t="s">
        <v>645</v>
      </c>
      <c r="G100" s="86">
        <v>44750</v>
      </c>
      <c r="H100">
        <v>5</v>
      </c>
      <c r="I100" t="s">
        <v>64</v>
      </c>
      <c r="J100" t="s">
        <v>646</v>
      </c>
      <c r="K100">
        <v>556.57000000000005</v>
      </c>
      <c r="L100">
        <v>2</v>
      </c>
      <c r="M100">
        <v>40</v>
      </c>
      <c r="N100" t="s">
        <v>30</v>
      </c>
      <c r="O100" t="s">
        <v>223</v>
      </c>
      <c r="P100" t="s">
        <v>56</v>
      </c>
      <c r="Q100" t="s">
        <v>69</v>
      </c>
    </row>
    <row r="101" spans="1:17" x14ac:dyDescent="0.3">
      <c r="A101" t="s">
        <v>648</v>
      </c>
      <c r="B101" t="s">
        <v>649</v>
      </c>
      <c r="C101">
        <v>32</v>
      </c>
      <c r="D101" t="s">
        <v>650</v>
      </c>
      <c r="E101" t="s">
        <v>95</v>
      </c>
      <c r="F101" t="s">
        <v>651</v>
      </c>
      <c r="G101" t="s">
        <v>652</v>
      </c>
      <c r="H101">
        <v>2</v>
      </c>
      <c r="I101" t="s">
        <v>27</v>
      </c>
      <c r="J101" t="s">
        <v>653</v>
      </c>
      <c r="K101">
        <v>990.57</v>
      </c>
      <c r="L101">
        <v>1</v>
      </c>
      <c r="M101">
        <v>5</v>
      </c>
      <c r="N101" t="s">
        <v>30</v>
      </c>
      <c r="O101" t="s">
        <v>128</v>
      </c>
      <c r="P101" t="s">
        <v>54</v>
      </c>
      <c r="Q101" t="s">
        <v>32</v>
      </c>
    </row>
    <row r="102" spans="1:17" x14ac:dyDescent="0.3">
      <c r="A102" t="s">
        <v>655</v>
      </c>
      <c r="B102" t="s">
        <v>656</v>
      </c>
      <c r="C102">
        <v>57</v>
      </c>
      <c r="D102" t="s">
        <v>657</v>
      </c>
      <c r="E102" t="s">
        <v>95</v>
      </c>
      <c r="F102" t="s">
        <v>658</v>
      </c>
      <c r="G102" t="s">
        <v>659</v>
      </c>
      <c r="H102">
        <v>2</v>
      </c>
      <c r="I102" t="s">
        <v>52</v>
      </c>
      <c r="J102" s="86">
        <v>44837</v>
      </c>
      <c r="K102">
        <v>140.71</v>
      </c>
      <c r="L102">
        <v>6</v>
      </c>
      <c r="M102">
        <v>26</v>
      </c>
      <c r="N102" t="s">
        <v>45</v>
      </c>
      <c r="O102" t="s">
        <v>109</v>
      </c>
      <c r="P102" t="s">
        <v>68</v>
      </c>
      <c r="Q102" t="s">
        <v>32</v>
      </c>
    </row>
    <row r="103" spans="1:17" x14ac:dyDescent="0.3">
      <c r="A103" t="s">
        <v>661</v>
      </c>
      <c r="B103" t="s">
        <v>662</v>
      </c>
      <c r="C103">
        <v>49</v>
      </c>
      <c r="D103" t="s">
        <v>663</v>
      </c>
      <c r="E103" t="s">
        <v>40</v>
      </c>
      <c r="F103" t="s">
        <v>652</v>
      </c>
      <c r="G103" t="s">
        <v>664</v>
      </c>
      <c r="H103">
        <v>2</v>
      </c>
      <c r="I103" t="s">
        <v>27</v>
      </c>
      <c r="J103" s="86">
        <v>45903</v>
      </c>
      <c r="K103">
        <v>38.590000000000003</v>
      </c>
      <c r="L103">
        <v>9</v>
      </c>
      <c r="M103">
        <v>48</v>
      </c>
      <c r="N103" t="s">
        <v>30</v>
      </c>
      <c r="O103" t="s">
        <v>624</v>
      </c>
      <c r="P103" t="s">
        <v>30</v>
      </c>
      <c r="Q103" t="s">
        <v>69</v>
      </c>
    </row>
    <row r="104" spans="1:17" x14ac:dyDescent="0.3">
      <c r="A104" t="s">
        <v>666</v>
      </c>
      <c r="B104" t="s">
        <v>667</v>
      </c>
      <c r="C104">
        <v>62</v>
      </c>
      <c r="D104" t="s">
        <v>668</v>
      </c>
      <c r="E104" t="s">
        <v>40</v>
      </c>
      <c r="F104" t="s">
        <v>669</v>
      </c>
      <c r="G104" s="86">
        <v>45511</v>
      </c>
      <c r="H104">
        <v>1</v>
      </c>
      <c r="I104" t="s">
        <v>27</v>
      </c>
      <c r="J104" t="s">
        <v>670</v>
      </c>
      <c r="K104">
        <v>196.79</v>
      </c>
      <c r="L104">
        <v>8</v>
      </c>
      <c r="M104">
        <v>35</v>
      </c>
      <c r="N104" t="s">
        <v>56</v>
      </c>
      <c r="O104" t="s">
        <v>610</v>
      </c>
      <c r="P104" t="s">
        <v>68</v>
      </c>
      <c r="Q104" t="s">
        <v>32</v>
      </c>
    </row>
    <row r="105" spans="1:17" x14ac:dyDescent="0.3">
      <c r="A105" t="s">
        <v>672</v>
      </c>
      <c r="B105" t="s">
        <v>673</v>
      </c>
      <c r="C105">
        <v>36</v>
      </c>
      <c r="D105" t="s">
        <v>674</v>
      </c>
      <c r="E105" t="s">
        <v>88</v>
      </c>
      <c r="F105" t="s">
        <v>675</v>
      </c>
      <c r="G105" s="86">
        <v>45812</v>
      </c>
      <c r="H105">
        <v>4</v>
      </c>
      <c r="I105" t="s">
        <v>27</v>
      </c>
      <c r="J105" t="s">
        <v>167</v>
      </c>
      <c r="K105">
        <v>84.34</v>
      </c>
      <c r="L105">
        <v>5</v>
      </c>
      <c r="M105">
        <v>41</v>
      </c>
      <c r="N105" t="s">
        <v>30</v>
      </c>
      <c r="O105" t="s">
        <v>251</v>
      </c>
      <c r="P105" t="s">
        <v>30</v>
      </c>
      <c r="Q105" t="s">
        <v>32</v>
      </c>
    </row>
    <row r="106" spans="1:17" x14ac:dyDescent="0.3">
      <c r="A106" t="s">
        <v>677</v>
      </c>
      <c r="B106" t="s">
        <v>678</v>
      </c>
      <c r="C106">
        <v>51</v>
      </c>
      <c r="D106" t="s">
        <v>679</v>
      </c>
      <c r="E106" t="s">
        <v>40</v>
      </c>
      <c r="F106" t="s">
        <v>680</v>
      </c>
      <c r="G106" t="s">
        <v>681</v>
      </c>
      <c r="H106">
        <v>2</v>
      </c>
      <c r="I106" t="s">
        <v>64</v>
      </c>
      <c r="J106" s="86">
        <v>45748</v>
      </c>
      <c r="K106">
        <v>760.96</v>
      </c>
      <c r="L106">
        <v>1</v>
      </c>
      <c r="M106">
        <v>13</v>
      </c>
      <c r="N106" t="s">
        <v>54</v>
      </c>
      <c r="O106" t="s">
        <v>536</v>
      </c>
      <c r="P106" t="s">
        <v>68</v>
      </c>
      <c r="Q106" t="s">
        <v>69</v>
      </c>
    </row>
    <row r="107" spans="1:17" x14ac:dyDescent="0.3">
      <c r="A107" t="s">
        <v>683</v>
      </c>
      <c r="B107" t="s">
        <v>684</v>
      </c>
      <c r="C107">
        <v>54</v>
      </c>
      <c r="D107" t="s">
        <v>685</v>
      </c>
      <c r="E107" t="s">
        <v>61</v>
      </c>
      <c r="F107" s="86">
        <v>44571</v>
      </c>
      <c r="G107" s="86">
        <v>45576</v>
      </c>
      <c r="H107">
        <v>4</v>
      </c>
      <c r="I107" t="s">
        <v>27</v>
      </c>
      <c r="J107" s="86">
        <v>45629</v>
      </c>
      <c r="K107">
        <v>716.3</v>
      </c>
      <c r="L107">
        <v>2</v>
      </c>
      <c r="M107">
        <v>24</v>
      </c>
      <c r="N107" t="s">
        <v>45</v>
      </c>
      <c r="O107" t="s">
        <v>199</v>
      </c>
      <c r="P107" t="s">
        <v>54</v>
      </c>
      <c r="Q107" t="s">
        <v>32</v>
      </c>
    </row>
    <row r="108" spans="1:17" x14ac:dyDescent="0.3">
      <c r="A108" t="s">
        <v>687</v>
      </c>
      <c r="B108" t="s">
        <v>688</v>
      </c>
      <c r="C108">
        <v>27</v>
      </c>
      <c r="D108" t="s">
        <v>689</v>
      </c>
      <c r="E108" t="s">
        <v>95</v>
      </c>
      <c r="F108" t="s">
        <v>690</v>
      </c>
      <c r="G108" t="s">
        <v>691</v>
      </c>
      <c r="H108">
        <v>0</v>
      </c>
      <c r="I108" t="s">
        <v>52</v>
      </c>
      <c r="J108" t="s">
        <v>692</v>
      </c>
      <c r="K108">
        <v>396.36</v>
      </c>
      <c r="L108">
        <v>5</v>
      </c>
      <c r="M108">
        <v>34</v>
      </c>
      <c r="N108" t="s">
        <v>30</v>
      </c>
      <c r="O108" t="s">
        <v>597</v>
      </c>
      <c r="P108" t="s">
        <v>45</v>
      </c>
      <c r="Q108" t="s">
        <v>32</v>
      </c>
    </row>
    <row r="109" spans="1:17" x14ac:dyDescent="0.3">
      <c r="A109" t="s">
        <v>694</v>
      </c>
      <c r="B109" t="s">
        <v>695</v>
      </c>
      <c r="C109">
        <v>42</v>
      </c>
      <c r="D109" t="s">
        <v>696</v>
      </c>
      <c r="E109" t="s">
        <v>88</v>
      </c>
      <c r="F109" t="s">
        <v>697</v>
      </c>
      <c r="G109" s="86">
        <v>44776</v>
      </c>
      <c r="H109">
        <v>0</v>
      </c>
      <c r="I109" t="s">
        <v>27</v>
      </c>
      <c r="J109" s="86">
        <v>44293</v>
      </c>
      <c r="K109">
        <v>805.84</v>
      </c>
      <c r="L109">
        <v>2</v>
      </c>
      <c r="M109">
        <v>39</v>
      </c>
      <c r="N109" t="s">
        <v>45</v>
      </c>
      <c r="O109" t="s">
        <v>149</v>
      </c>
      <c r="P109" t="s">
        <v>30</v>
      </c>
      <c r="Q109" t="s">
        <v>32</v>
      </c>
    </row>
    <row r="110" spans="1:17" x14ac:dyDescent="0.3">
      <c r="A110" t="s">
        <v>699</v>
      </c>
      <c r="B110" t="s">
        <v>700</v>
      </c>
      <c r="C110">
        <v>51</v>
      </c>
      <c r="D110" t="s">
        <v>701</v>
      </c>
      <c r="E110" t="s">
        <v>61</v>
      </c>
      <c r="F110" s="86">
        <v>44658</v>
      </c>
      <c r="G110" s="86">
        <v>45607</v>
      </c>
      <c r="H110">
        <v>3</v>
      </c>
      <c r="I110" t="s">
        <v>52</v>
      </c>
      <c r="J110" t="s">
        <v>702</v>
      </c>
      <c r="K110">
        <v>107.67</v>
      </c>
      <c r="L110">
        <v>4</v>
      </c>
      <c r="M110">
        <v>26</v>
      </c>
      <c r="N110" t="s">
        <v>56</v>
      </c>
      <c r="O110" t="s">
        <v>135</v>
      </c>
      <c r="P110" t="s">
        <v>45</v>
      </c>
      <c r="Q110" t="s">
        <v>322</v>
      </c>
    </row>
    <row r="111" spans="1:17" x14ac:dyDescent="0.3">
      <c r="A111" t="s">
        <v>704</v>
      </c>
      <c r="B111" t="s">
        <v>705</v>
      </c>
      <c r="C111">
        <v>39</v>
      </c>
      <c r="D111" t="s">
        <v>706</v>
      </c>
      <c r="E111" t="s">
        <v>61</v>
      </c>
      <c r="F111" s="86">
        <v>44723</v>
      </c>
      <c r="G111" s="86">
        <v>45416</v>
      </c>
      <c r="H111">
        <v>1</v>
      </c>
      <c r="I111" t="s">
        <v>52</v>
      </c>
      <c r="J111" t="s">
        <v>75</v>
      </c>
      <c r="K111">
        <v>233.34</v>
      </c>
      <c r="L111">
        <v>6</v>
      </c>
      <c r="M111">
        <v>44</v>
      </c>
      <c r="N111" t="s">
        <v>56</v>
      </c>
      <c r="O111" t="s">
        <v>142</v>
      </c>
      <c r="P111" t="s">
        <v>68</v>
      </c>
      <c r="Q111" t="s">
        <v>69</v>
      </c>
    </row>
    <row r="112" spans="1:17" x14ac:dyDescent="0.3">
      <c r="A112" t="s">
        <v>708</v>
      </c>
      <c r="B112" t="s">
        <v>709</v>
      </c>
      <c r="C112">
        <v>23</v>
      </c>
      <c r="D112" t="s">
        <v>710</v>
      </c>
      <c r="E112" t="s">
        <v>25</v>
      </c>
      <c r="F112" t="s">
        <v>711</v>
      </c>
      <c r="G112" t="s">
        <v>712</v>
      </c>
      <c r="H112">
        <v>1</v>
      </c>
      <c r="I112" t="s">
        <v>27</v>
      </c>
      <c r="J112" s="86">
        <v>45416</v>
      </c>
      <c r="K112">
        <v>353.8</v>
      </c>
      <c r="L112">
        <v>3</v>
      </c>
      <c r="M112">
        <v>11</v>
      </c>
      <c r="N112" t="s">
        <v>54</v>
      </c>
      <c r="O112" t="s">
        <v>142</v>
      </c>
      <c r="P112" t="s">
        <v>68</v>
      </c>
      <c r="Q112" t="s">
        <v>32</v>
      </c>
    </row>
    <row r="113" spans="1:17" x14ac:dyDescent="0.3">
      <c r="A113" t="s">
        <v>714</v>
      </c>
      <c r="B113" t="s">
        <v>715</v>
      </c>
      <c r="C113">
        <v>59</v>
      </c>
      <c r="D113" t="s">
        <v>716</v>
      </c>
      <c r="E113" t="s">
        <v>61</v>
      </c>
      <c r="F113" t="s">
        <v>717</v>
      </c>
      <c r="G113" t="s">
        <v>718</v>
      </c>
      <c r="H113">
        <v>0</v>
      </c>
      <c r="I113" t="s">
        <v>64</v>
      </c>
      <c r="J113" s="86">
        <v>45962</v>
      </c>
      <c r="K113">
        <v>221.28</v>
      </c>
      <c r="L113">
        <v>8</v>
      </c>
      <c r="M113">
        <v>41</v>
      </c>
      <c r="N113" t="s">
        <v>56</v>
      </c>
      <c r="O113" t="s">
        <v>418</v>
      </c>
      <c r="P113" t="s">
        <v>56</v>
      </c>
      <c r="Q113" t="s">
        <v>32</v>
      </c>
    </row>
    <row r="114" spans="1:17" x14ac:dyDescent="0.3">
      <c r="A114" t="s">
        <v>720</v>
      </c>
      <c r="B114" t="s">
        <v>721</v>
      </c>
      <c r="C114">
        <v>29</v>
      </c>
      <c r="D114" t="s">
        <v>722</v>
      </c>
      <c r="E114" t="s">
        <v>25</v>
      </c>
      <c r="F114" t="s">
        <v>723</v>
      </c>
      <c r="G114" s="86">
        <v>45056</v>
      </c>
      <c r="H114">
        <v>4</v>
      </c>
      <c r="I114" t="s">
        <v>64</v>
      </c>
      <c r="J114" t="s">
        <v>724</v>
      </c>
      <c r="K114">
        <v>247.78</v>
      </c>
      <c r="L114">
        <v>8</v>
      </c>
      <c r="M114">
        <v>28</v>
      </c>
      <c r="N114" t="s">
        <v>54</v>
      </c>
      <c r="O114" t="s">
        <v>211</v>
      </c>
      <c r="P114" t="s">
        <v>68</v>
      </c>
      <c r="Q114" t="s">
        <v>32</v>
      </c>
    </row>
    <row r="115" spans="1:17" x14ac:dyDescent="0.3">
      <c r="A115" t="s">
        <v>726</v>
      </c>
      <c r="B115" t="s">
        <v>727</v>
      </c>
      <c r="C115">
        <v>50</v>
      </c>
      <c r="D115" t="s">
        <v>728</v>
      </c>
      <c r="E115" t="s">
        <v>61</v>
      </c>
      <c r="F115" s="86">
        <v>45238</v>
      </c>
      <c r="G115" s="86">
        <v>45841</v>
      </c>
      <c r="H115">
        <v>0</v>
      </c>
      <c r="I115" t="s">
        <v>52</v>
      </c>
      <c r="J115" t="s">
        <v>729</v>
      </c>
      <c r="K115">
        <v>1810.76</v>
      </c>
      <c r="L115">
        <v>1</v>
      </c>
      <c r="M115">
        <v>13</v>
      </c>
      <c r="N115" t="s">
        <v>56</v>
      </c>
      <c r="O115" t="s">
        <v>624</v>
      </c>
      <c r="P115" t="s">
        <v>30</v>
      </c>
      <c r="Q115" t="s">
        <v>69</v>
      </c>
    </row>
    <row r="116" spans="1:17" x14ac:dyDescent="0.3">
      <c r="A116" t="s">
        <v>731</v>
      </c>
      <c r="B116" t="s">
        <v>732</v>
      </c>
      <c r="C116">
        <v>31</v>
      </c>
      <c r="D116" t="s">
        <v>733</v>
      </c>
      <c r="E116" t="s">
        <v>51</v>
      </c>
      <c r="F116" t="s">
        <v>734</v>
      </c>
      <c r="G116" t="s">
        <v>473</v>
      </c>
      <c r="H116">
        <v>3</v>
      </c>
      <c r="I116" t="s">
        <v>27</v>
      </c>
      <c r="J116" s="86">
        <v>44937</v>
      </c>
      <c r="K116">
        <v>164.62</v>
      </c>
      <c r="L116">
        <v>6</v>
      </c>
      <c r="M116">
        <v>15</v>
      </c>
      <c r="N116" t="s">
        <v>30</v>
      </c>
      <c r="O116" t="s">
        <v>238</v>
      </c>
      <c r="P116" t="s">
        <v>45</v>
      </c>
      <c r="Q116" t="s">
        <v>32</v>
      </c>
    </row>
    <row r="117" spans="1:17" x14ac:dyDescent="0.3">
      <c r="A117" t="s">
        <v>736</v>
      </c>
      <c r="B117" t="s">
        <v>737</v>
      </c>
      <c r="C117">
        <v>65</v>
      </c>
      <c r="D117" t="s">
        <v>738</v>
      </c>
      <c r="E117" t="s">
        <v>25</v>
      </c>
      <c r="F117" t="s">
        <v>739</v>
      </c>
      <c r="G117" s="86">
        <v>44571</v>
      </c>
      <c r="H117">
        <v>3</v>
      </c>
      <c r="I117" t="s">
        <v>27</v>
      </c>
      <c r="J117" t="s">
        <v>740</v>
      </c>
      <c r="K117">
        <v>57.48</v>
      </c>
      <c r="L117">
        <v>5</v>
      </c>
      <c r="M117">
        <v>42</v>
      </c>
      <c r="N117" t="s">
        <v>68</v>
      </c>
      <c r="O117" t="s">
        <v>91</v>
      </c>
      <c r="P117" t="s">
        <v>54</v>
      </c>
      <c r="Q117" t="s">
        <v>32</v>
      </c>
    </row>
    <row r="118" spans="1:17" x14ac:dyDescent="0.3">
      <c r="A118" t="s">
        <v>742</v>
      </c>
      <c r="B118" t="s">
        <v>743</v>
      </c>
      <c r="C118">
        <v>28</v>
      </c>
      <c r="D118" t="s">
        <v>744</v>
      </c>
      <c r="E118" t="s">
        <v>25</v>
      </c>
      <c r="F118" t="s">
        <v>745</v>
      </c>
      <c r="G118" t="s">
        <v>474</v>
      </c>
      <c r="H118">
        <v>0</v>
      </c>
      <c r="I118" t="s">
        <v>27</v>
      </c>
      <c r="J118" t="s">
        <v>746</v>
      </c>
      <c r="K118">
        <v>431.26</v>
      </c>
      <c r="L118">
        <v>3</v>
      </c>
      <c r="M118">
        <v>3</v>
      </c>
      <c r="N118" t="s">
        <v>54</v>
      </c>
      <c r="O118" t="s">
        <v>135</v>
      </c>
      <c r="P118" t="s">
        <v>45</v>
      </c>
      <c r="Q118" t="s">
        <v>32</v>
      </c>
    </row>
    <row r="119" spans="1:17" x14ac:dyDescent="0.3">
      <c r="A119" t="s">
        <v>748</v>
      </c>
      <c r="B119" t="s">
        <v>749</v>
      </c>
      <c r="C119">
        <v>31</v>
      </c>
      <c r="D119" t="s">
        <v>750</v>
      </c>
      <c r="E119" t="s">
        <v>88</v>
      </c>
      <c r="F119" t="s">
        <v>751</v>
      </c>
      <c r="G119" s="86">
        <v>44445</v>
      </c>
      <c r="H119">
        <v>0</v>
      </c>
      <c r="I119" t="s">
        <v>52</v>
      </c>
      <c r="J119" s="86">
        <v>44960</v>
      </c>
      <c r="K119">
        <v>205.69</v>
      </c>
      <c r="L119">
        <v>8</v>
      </c>
      <c r="M119">
        <v>7</v>
      </c>
      <c r="N119" t="s">
        <v>56</v>
      </c>
      <c r="O119" t="s">
        <v>194</v>
      </c>
      <c r="P119" t="s">
        <v>56</v>
      </c>
      <c r="Q119" t="s">
        <v>69</v>
      </c>
    </row>
    <row r="120" spans="1:17" x14ac:dyDescent="0.3">
      <c r="A120" t="s">
        <v>753</v>
      </c>
      <c r="B120" t="s">
        <v>754</v>
      </c>
      <c r="C120">
        <v>45</v>
      </c>
      <c r="D120" t="s">
        <v>755</v>
      </c>
      <c r="E120" t="s">
        <v>25</v>
      </c>
      <c r="F120" s="86">
        <v>44564</v>
      </c>
      <c r="G120" t="s">
        <v>756</v>
      </c>
      <c r="H120">
        <v>1</v>
      </c>
      <c r="I120" t="s">
        <v>27</v>
      </c>
      <c r="J120" t="s">
        <v>757</v>
      </c>
      <c r="K120">
        <v>338.72</v>
      </c>
      <c r="L120">
        <v>1</v>
      </c>
      <c r="M120">
        <v>22</v>
      </c>
      <c r="N120" t="s">
        <v>45</v>
      </c>
      <c r="O120" t="s">
        <v>55</v>
      </c>
      <c r="P120" t="s">
        <v>56</v>
      </c>
      <c r="Q120" t="s">
        <v>69</v>
      </c>
    </row>
    <row r="121" spans="1:17" x14ac:dyDescent="0.3">
      <c r="A121" t="s">
        <v>759</v>
      </c>
      <c r="B121" t="s">
        <v>760</v>
      </c>
      <c r="C121">
        <v>19</v>
      </c>
      <c r="D121" t="s">
        <v>761</v>
      </c>
      <c r="E121" t="s">
        <v>40</v>
      </c>
      <c r="F121" s="86">
        <v>44539</v>
      </c>
      <c r="G121" t="s">
        <v>615</v>
      </c>
      <c r="H121">
        <v>1</v>
      </c>
      <c r="I121" t="s">
        <v>27</v>
      </c>
      <c r="J121" t="s">
        <v>762</v>
      </c>
      <c r="K121">
        <v>174.49</v>
      </c>
      <c r="L121">
        <v>9</v>
      </c>
      <c r="M121">
        <v>25</v>
      </c>
      <c r="N121" t="s">
        <v>56</v>
      </c>
      <c r="O121" t="s">
        <v>211</v>
      </c>
      <c r="P121" t="s">
        <v>68</v>
      </c>
      <c r="Q121" t="s">
        <v>32</v>
      </c>
    </row>
    <row r="122" spans="1:17" x14ac:dyDescent="0.3">
      <c r="A122" t="s">
        <v>764</v>
      </c>
      <c r="B122" t="s">
        <v>765</v>
      </c>
      <c r="C122">
        <v>64</v>
      </c>
      <c r="D122" t="s">
        <v>766</v>
      </c>
      <c r="E122" t="s">
        <v>51</v>
      </c>
      <c r="F122" t="s">
        <v>456</v>
      </c>
      <c r="G122" s="86">
        <v>44720</v>
      </c>
      <c r="H122">
        <v>5</v>
      </c>
      <c r="I122" t="s">
        <v>52</v>
      </c>
      <c r="J122" s="86">
        <v>45450</v>
      </c>
      <c r="K122">
        <v>102.01</v>
      </c>
      <c r="L122">
        <v>6</v>
      </c>
      <c r="M122">
        <v>1</v>
      </c>
      <c r="N122" t="s">
        <v>54</v>
      </c>
      <c r="O122" t="s">
        <v>91</v>
      </c>
      <c r="P122" t="s">
        <v>54</v>
      </c>
      <c r="Q122" t="s">
        <v>69</v>
      </c>
    </row>
    <row r="123" spans="1:17" x14ac:dyDescent="0.3">
      <c r="A123" t="s">
        <v>768</v>
      </c>
      <c r="B123" t="s">
        <v>769</v>
      </c>
      <c r="C123">
        <v>23</v>
      </c>
      <c r="D123" t="s">
        <v>770</v>
      </c>
      <c r="E123" t="s">
        <v>95</v>
      </c>
      <c r="F123" t="s">
        <v>771</v>
      </c>
      <c r="G123" t="s">
        <v>772</v>
      </c>
      <c r="H123">
        <v>5</v>
      </c>
      <c r="I123" t="s">
        <v>27</v>
      </c>
      <c r="J123" t="s">
        <v>773</v>
      </c>
      <c r="K123">
        <v>389.99</v>
      </c>
      <c r="L123">
        <v>5</v>
      </c>
      <c r="M123">
        <v>3</v>
      </c>
      <c r="N123" t="s">
        <v>45</v>
      </c>
      <c r="O123" t="s">
        <v>269</v>
      </c>
      <c r="P123" t="s">
        <v>56</v>
      </c>
      <c r="Q123" t="s">
        <v>69</v>
      </c>
    </row>
    <row r="124" spans="1:17" x14ac:dyDescent="0.3">
      <c r="A124" t="s">
        <v>775</v>
      </c>
      <c r="B124" t="s">
        <v>776</v>
      </c>
      <c r="C124">
        <v>22</v>
      </c>
      <c r="D124" t="s">
        <v>777</v>
      </c>
      <c r="E124" t="s">
        <v>95</v>
      </c>
      <c r="F124" s="86">
        <v>44632</v>
      </c>
      <c r="G124" t="s">
        <v>778</v>
      </c>
      <c r="H124">
        <v>2</v>
      </c>
      <c r="I124" t="s">
        <v>52</v>
      </c>
      <c r="J124" s="86">
        <v>44754</v>
      </c>
      <c r="K124">
        <v>21.57</v>
      </c>
      <c r="L124">
        <v>6</v>
      </c>
      <c r="M124">
        <v>49</v>
      </c>
      <c r="N124" t="s">
        <v>30</v>
      </c>
      <c r="O124" t="s">
        <v>157</v>
      </c>
      <c r="P124" t="s">
        <v>68</v>
      </c>
      <c r="Q124" t="s">
        <v>69</v>
      </c>
    </row>
    <row r="125" spans="1:17" x14ac:dyDescent="0.3">
      <c r="A125" t="s">
        <v>780</v>
      </c>
      <c r="B125" t="s">
        <v>781</v>
      </c>
      <c r="C125">
        <v>68</v>
      </c>
      <c r="D125" t="s">
        <v>782</v>
      </c>
      <c r="E125" t="s">
        <v>40</v>
      </c>
      <c r="F125" t="s">
        <v>783</v>
      </c>
      <c r="G125" t="s">
        <v>784</v>
      </c>
      <c r="H125">
        <v>1</v>
      </c>
      <c r="I125" t="s">
        <v>52</v>
      </c>
      <c r="J125" t="s">
        <v>785</v>
      </c>
      <c r="K125">
        <v>649.17999999999995</v>
      </c>
      <c r="L125">
        <v>2</v>
      </c>
      <c r="M125">
        <v>38</v>
      </c>
      <c r="N125" t="s">
        <v>54</v>
      </c>
      <c r="O125" t="s">
        <v>373</v>
      </c>
      <c r="P125" t="s">
        <v>54</v>
      </c>
      <c r="Q125" t="s">
        <v>69</v>
      </c>
    </row>
    <row r="126" spans="1:17" x14ac:dyDescent="0.3">
      <c r="A126" t="s">
        <v>787</v>
      </c>
      <c r="B126" t="s">
        <v>788</v>
      </c>
      <c r="C126">
        <v>61</v>
      </c>
      <c r="D126" t="s">
        <v>789</v>
      </c>
      <c r="E126" t="s">
        <v>25</v>
      </c>
      <c r="F126" t="s">
        <v>790</v>
      </c>
      <c r="G126" t="s">
        <v>791</v>
      </c>
      <c r="H126">
        <v>3</v>
      </c>
      <c r="I126" t="s">
        <v>52</v>
      </c>
      <c r="J126" t="s">
        <v>792</v>
      </c>
      <c r="K126">
        <v>964.88</v>
      </c>
      <c r="L126">
        <v>2</v>
      </c>
      <c r="M126">
        <v>5</v>
      </c>
      <c r="N126" t="s">
        <v>56</v>
      </c>
      <c r="O126" t="s">
        <v>425</v>
      </c>
      <c r="P126" t="s">
        <v>30</v>
      </c>
      <c r="Q126" t="s">
        <v>32</v>
      </c>
    </row>
    <row r="127" spans="1:17" x14ac:dyDescent="0.3">
      <c r="A127" t="s">
        <v>794</v>
      </c>
      <c r="B127" t="s">
        <v>795</v>
      </c>
      <c r="C127">
        <v>52</v>
      </c>
      <c r="D127" t="s">
        <v>796</v>
      </c>
      <c r="E127" t="s">
        <v>95</v>
      </c>
      <c r="F127" t="s">
        <v>797</v>
      </c>
      <c r="G127" s="86">
        <v>45506</v>
      </c>
      <c r="H127">
        <v>0</v>
      </c>
      <c r="I127" t="s">
        <v>27</v>
      </c>
      <c r="J127" s="86">
        <v>45966</v>
      </c>
      <c r="K127">
        <v>201.06</v>
      </c>
      <c r="L127">
        <v>8</v>
      </c>
      <c r="M127">
        <v>28</v>
      </c>
      <c r="N127" t="s">
        <v>45</v>
      </c>
      <c r="O127" t="s">
        <v>354</v>
      </c>
      <c r="P127" t="s">
        <v>45</v>
      </c>
      <c r="Q127" t="s">
        <v>69</v>
      </c>
    </row>
    <row r="128" spans="1:17" x14ac:dyDescent="0.3">
      <c r="A128" t="s">
        <v>799</v>
      </c>
      <c r="B128" t="s">
        <v>800</v>
      </c>
      <c r="C128">
        <v>35</v>
      </c>
      <c r="D128" t="s">
        <v>801</v>
      </c>
      <c r="E128" t="s">
        <v>95</v>
      </c>
      <c r="F128" s="86">
        <v>44445</v>
      </c>
      <c r="G128" t="s">
        <v>802</v>
      </c>
      <c r="H128">
        <v>1</v>
      </c>
      <c r="I128" t="s">
        <v>27</v>
      </c>
      <c r="J128" t="s">
        <v>803</v>
      </c>
      <c r="K128">
        <v>178.81</v>
      </c>
      <c r="L128">
        <v>1</v>
      </c>
      <c r="M128">
        <v>41</v>
      </c>
      <c r="N128" t="s">
        <v>54</v>
      </c>
      <c r="O128" t="s">
        <v>77</v>
      </c>
      <c r="P128" t="s">
        <v>54</v>
      </c>
      <c r="Q128" t="s">
        <v>32</v>
      </c>
    </row>
    <row r="129" spans="1:17" x14ac:dyDescent="0.3">
      <c r="A129" t="s">
        <v>805</v>
      </c>
      <c r="B129" t="s">
        <v>806</v>
      </c>
      <c r="C129">
        <v>45</v>
      </c>
      <c r="D129" t="s">
        <v>807</v>
      </c>
      <c r="E129" t="s">
        <v>88</v>
      </c>
      <c r="F129" t="s">
        <v>808</v>
      </c>
      <c r="G129" t="s">
        <v>409</v>
      </c>
      <c r="H129">
        <v>2</v>
      </c>
      <c r="I129" t="s">
        <v>52</v>
      </c>
      <c r="J129" t="s">
        <v>809</v>
      </c>
      <c r="K129">
        <v>167.69</v>
      </c>
      <c r="L129">
        <v>5</v>
      </c>
      <c r="M129">
        <v>49</v>
      </c>
      <c r="N129" t="s">
        <v>54</v>
      </c>
      <c r="O129" t="s">
        <v>128</v>
      </c>
      <c r="P129" t="s">
        <v>54</v>
      </c>
      <c r="Q129" t="s">
        <v>32</v>
      </c>
    </row>
    <row r="130" spans="1:17" x14ac:dyDescent="0.3">
      <c r="A130" t="s">
        <v>811</v>
      </c>
      <c r="B130" t="s">
        <v>812</v>
      </c>
      <c r="C130">
        <v>49</v>
      </c>
      <c r="D130" t="s">
        <v>813</v>
      </c>
      <c r="E130" t="s">
        <v>88</v>
      </c>
      <c r="F130" t="s">
        <v>814</v>
      </c>
      <c r="G130" s="86">
        <v>44905</v>
      </c>
      <c r="H130">
        <v>2</v>
      </c>
      <c r="I130" t="s">
        <v>27</v>
      </c>
      <c r="J130" s="86">
        <v>45354</v>
      </c>
      <c r="K130">
        <v>19.559999999999999</v>
      </c>
      <c r="L130">
        <v>6</v>
      </c>
      <c r="M130">
        <v>43</v>
      </c>
      <c r="N130" t="s">
        <v>68</v>
      </c>
      <c r="O130" t="s">
        <v>366</v>
      </c>
      <c r="P130" t="s">
        <v>54</v>
      </c>
      <c r="Q130" t="s">
        <v>32</v>
      </c>
    </row>
    <row r="131" spans="1:17" x14ac:dyDescent="0.3">
      <c r="A131" t="s">
        <v>816</v>
      </c>
      <c r="B131" t="s">
        <v>817</v>
      </c>
      <c r="C131">
        <v>31</v>
      </c>
      <c r="D131" t="s">
        <v>818</v>
      </c>
      <c r="E131" t="s">
        <v>95</v>
      </c>
      <c r="F131" t="s">
        <v>819</v>
      </c>
      <c r="G131" s="86">
        <v>45566</v>
      </c>
      <c r="H131">
        <v>0</v>
      </c>
      <c r="I131" t="s">
        <v>27</v>
      </c>
      <c r="J131" s="86">
        <v>45024</v>
      </c>
      <c r="K131">
        <v>170.27</v>
      </c>
      <c r="L131">
        <v>3</v>
      </c>
      <c r="M131">
        <v>34</v>
      </c>
      <c r="N131" t="s">
        <v>54</v>
      </c>
      <c r="O131" t="s">
        <v>821</v>
      </c>
      <c r="P131" t="s">
        <v>68</v>
      </c>
      <c r="Q131" t="s">
        <v>69</v>
      </c>
    </row>
    <row r="132" spans="1:17" x14ac:dyDescent="0.3">
      <c r="A132" t="s">
        <v>822</v>
      </c>
      <c r="B132" t="s">
        <v>823</v>
      </c>
      <c r="C132">
        <v>33</v>
      </c>
      <c r="D132" t="s">
        <v>824</v>
      </c>
      <c r="E132" t="s">
        <v>88</v>
      </c>
      <c r="F132" t="s">
        <v>502</v>
      </c>
      <c r="G132" s="86">
        <v>45481</v>
      </c>
      <c r="H132">
        <v>3</v>
      </c>
      <c r="I132" t="s">
        <v>52</v>
      </c>
      <c r="J132" t="s">
        <v>825</v>
      </c>
      <c r="K132">
        <v>968.05</v>
      </c>
      <c r="L132">
        <v>2</v>
      </c>
      <c r="M132">
        <v>3</v>
      </c>
      <c r="N132" t="s">
        <v>56</v>
      </c>
      <c r="O132" t="s">
        <v>77</v>
      </c>
      <c r="P132" t="s">
        <v>54</v>
      </c>
      <c r="Q132" t="s">
        <v>69</v>
      </c>
    </row>
    <row r="133" spans="1:17" x14ac:dyDescent="0.3">
      <c r="A133" t="s">
        <v>827</v>
      </c>
      <c r="B133" t="s">
        <v>828</v>
      </c>
      <c r="C133">
        <v>21</v>
      </c>
      <c r="D133" t="s">
        <v>829</v>
      </c>
      <c r="E133" t="s">
        <v>95</v>
      </c>
      <c r="F133" s="86">
        <v>44419</v>
      </c>
      <c r="G133" t="s">
        <v>634</v>
      </c>
      <c r="H133">
        <v>0</v>
      </c>
      <c r="I133" t="s">
        <v>52</v>
      </c>
      <c r="J133" t="s">
        <v>830</v>
      </c>
      <c r="K133">
        <v>184.34</v>
      </c>
      <c r="L133">
        <v>6</v>
      </c>
      <c r="M133">
        <v>13</v>
      </c>
      <c r="N133" t="s">
        <v>45</v>
      </c>
      <c r="O133" t="s">
        <v>91</v>
      </c>
      <c r="P133" t="s">
        <v>54</v>
      </c>
      <c r="Q133" t="s">
        <v>32</v>
      </c>
    </row>
    <row r="134" spans="1:17" x14ac:dyDescent="0.3">
      <c r="A134" t="s">
        <v>832</v>
      </c>
      <c r="B134" t="s">
        <v>833</v>
      </c>
      <c r="C134">
        <v>59</v>
      </c>
      <c r="D134" t="s">
        <v>834</v>
      </c>
      <c r="E134" t="s">
        <v>40</v>
      </c>
      <c r="F134" t="s">
        <v>835</v>
      </c>
      <c r="G134" s="86">
        <v>45266</v>
      </c>
      <c r="H134">
        <v>3</v>
      </c>
      <c r="I134" t="s">
        <v>27</v>
      </c>
      <c r="J134" s="86">
        <v>45877</v>
      </c>
      <c r="K134">
        <v>332.14</v>
      </c>
      <c r="L134">
        <v>4</v>
      </c>
      <c r="M134">
        <v>3</v>
      </c>
      <c r="N134" t="s">
        <v>54</v>
      </c>
      <c r="O134" t="s">
        <v>837</v>
      </c>
      <c r="P134" t="s">
        <v>56</v>
      </c>
      <c r="Q134" t="s">
        <v>32</v>
      </c>
    </row>
    <row r="135" spans="1:17" x14ac:dyDescent="0.3">
      <c r="A135" t="s">
        <v>838</v>
      </c>
      <c r="B135" t="s">
        <v>839</v>
      </c>
      <c r="C135">
        <v>46</v>
      </c>
      <c r="D135" t="s">
        <v>840</v>
      </c>
      <c r="E135" t="s">
        <v>88</v>
      </c>
      <c r="F135" t="s">
        <v>841</v>
      </c>
      <c r="G135" s="86">
        <v>44662</v>
      </c>
      <c r="H135">
        <v>2</v>
      </c>
      <c r="I135" t="s">
        <v>27</v>
      </c>
      <c r="J135" s="86">
        <v>45694</v>
      </c>
      <c r="K135">
        <v>42.65</v>
      </c>
      <c r="L135">
        <v>5</v>
      </c>
      <c r="M135">
        <v>34</v>
      </c>
      <c r="N135" t="s">
        <v>45</v>
      </c>
      <c r="O135" t="s">
        <v>231</v>
      </c>
      <c r="P135" t="s">
        <v>30</v>
      </c>
      <c r="Q135" t="s">
        <v>32</v>
      </c>
    </row>
    <row r="136" spans="1:17" x14ac:dyDescent="0.3">
      <c r="A136" t="s">
        <v>843</v>
      </c>
      <c r="B136" t="s">
        <v>844</v>
      </c>
      <c r="C136">
        <v>35</v>
      </c>
      <c r="D136" t="s">
        <v>845</v>
      </c>
      <c r="E136" t="s">
        <v>95</v>
      </c>
      <c r="F136" s="86">
        <v>44325</v>
      </c>
      <c r="G136" t="s">
        <v>846</v>
      </c>
      <c r="H136">
        <v>1</v>
      </c>
      <c r="I136" t="s">
        <v>27</v>
      </c>
      <c r="J136" t="s">
        <v>847</v>
      </c>
      <c r="K136">
        <v>21.3</v>
      </c>
      <c r="L136">
        <v>9</v>
      </c>
      <c r="M136">
        <v>43</v>
      </c>
      <c r="N136" t="s">
        <v>68</v>
      </c>
      <c r="O136" t="s">
        <v>149</v>
      </c>
      <c r="P136" t="s">
        <v>30</v>
      </c>
      <c r="Q136" t="s">
        <v>69</v>
      </c>
    </row>
    <row r="137" spans="1:17" x14ac:dyDescent="0.3">
      <c r="A137" t="s">
        <v>849</v>
      </c>
      <c r="B137" t="s">
        <v>850</v>
      </c>
      <c r="C137">
        <v>51</v>
      </c>
      <c r="D137" t="s">
        <v>851</v>
      </c>
      <c r="E137" t="s">
        <v>40</v>
      </c>
      <c r="F137" t="s">
        <v>797</v>
      </c>
      <c r="G137" t="s">
        <v>852</v>
      </c>
      <c r="H137">
        <v>5</v>
      </c>
      <c r="I137" t="s">
        <v>52</v>
      </c>
      <c r="J137" t="s">
        <v>853</v>
      </c>
      <c r="K137">
        <v>111.78</v>
      </c>
      <c r="L137">
        <v>7</v>
      </c>
      <c r="M137">
        <v>28</v>
      </c>
      <c r="N137" t="s">
        <v>56</v>
      </c>
      <c r="O137" t="s">
        <v>855</v>
      </c>
      <c r="P137" t="s">
        <v>45</v>
      </c>
      <c r="Q137" t="s">
        <v>69</v>
      </c>
    </row>
    <row r="138" spans="1:17" x14ac:dyDescent="0.3">
      <c r="A138" t="s">
        <v>856</v>
      </c>
      <c r="B138" t="s">
        <v>857</v>
      </c>
      <c r="C138">
        <v>51</v>
      </c>
      <c r="D138" t="s">
        <v>858</v>
      </c>
      <c r="E138" t="s">
        <v>61</v>
      </c>
      <c r="F138" s="86">
        <v>44835</v>
      </c>
      <c r="G138" s="86">
        <v>44780</v>
      </c>
      <c r="H138">
        <v>1</v>
      </c>
      <c r="I138" t="s">
        <v>27</v>
      </c>
      <c r="J138" s="86">
        <v>45081</v>
      </c>
      <c r="K138">
        <v>103.26</v>
      </c>
      <c r="L138">
        <v>7</v>
      </c>
      <c r="M138">
        <v>25</v>
      </c>
      <c r="N138" t="s">
        <v>68</v>
      </c>
      <c r="O138" t="s">
        <v>157</v>
      </c>
      <c r="P138" t="s">
        <v>68</v>
      </c>
      <c r="Q138" t="s">
        <v>32</v>
      </c>
    </row>
    <row r="139" spans="1:17" x14ac:dyDescent="0.3">
      <c r="A139" t="s">
        <v>860</v>
      </c>
      <c r="B139" t="s">
        <v>861</v>
      </c>
      <c r="C139">
        <v>39</v>
      </c>
      <c r="D139" t="s">
        <v>862</v>
      </c>
      <c r="E139" t="s">
        <v>40</v>
      </c>
      <c r="F139" s="86">
        <v>44232</v>
      </c>
      <c r="G139" s="86">
        <v>45603</v>
      </c>
      <c r="H139">
        <v>3</v>
      </c>
      <c r="I139" t="s">
        <v>27</v>
      </c>
      <c r="J139" t="s">
        <v>863</v>
      </c>
      <c r="K139">
        <v>5.48</v>
      </c>
      <c r="L139">
        <v>9</v>
      </c>
      <c r="M139">
        <v>11</v>
      </c>
      <c r="N139" t="s">
        <v>54</v>
      </c>
      <c r="O139" t="s">
        <v>128</v>
      </c>
      <c r="P139" t="s">
        <v>54</v>
      </c>
      <c r="Q139" t="s">
        <v>32</v>
      </c>
    </row>
    <row r="140" spans="1:17" x14ac:dyDescent="0.3">
      <c r="A140" t="s">
        <v>865</v>
      </c>
      <c r="B140" t="s">
        <v>866</v>
      </c>
      <c r="C140">
        <v>36</v>
      </c>
      <c r="D140" t="s">
        <v>867</v>
      </c>
      <c r="E140" t="s">
        <v>88</v>
      </c>
      <c r="F140" s="86">
        <v>45111</v>
      </c>
      <c r="G140" s="86">
        <v>45174</v>
      </c>
      <c r="H140">
        <v>3</v>
      </c>
      <c r="I140" t="s">
        <v>27</v>
      </c>
      <c r="J140" s="86">
        <v>45968</v>
      </c>
      <c r="K140">
        <v>151.96</v>
      </c>
      <c r="L140">
        <v>5</v>
      </c>
      <c r="M140">
        <v>16</v>
      </c>
      <c r="N140" t="s">
        <v>30</v>
      </c>
      <c r="O140" t="s">
        <v>149</v>
      </c>
      <c r="P140" t="s">
        <v>30</v>
      </c>
      <c r="Q140" t="s">
        <v>32</v>
      </c>
    </row>
    <row r="141" spans="1:17" x14ac:dyDescent="0.3">
      <c r="A141" t="s">
        <v>869</v>
      </c>
      <c r="B141" t="s">
        <v>870</v>
      </c>
      <c r="C141">
        <v>49</v>
      </c>
      <c r="D141" t="s">
        <v>871</v>
      </c>
      <c r="E141" t="s">
        <v>51</v>
      </c>
      <c r="F141" s="86">
        <v>45113</v>
      </c>
      <c r="G141" t="s">
        <v>872</v>
      </c>
      <c r="H141">
        <v>3</v>
      </c>
      <c r="I141" t="s">
        <v>27</v>
      </c>
      <c r="J141" t="s">
        <v>873</v>
      </c>
      <c r="K141">
        <v>152.78</v>
      </c>
      <c r="L141">
        <v>9</v>
      </c>
      <c r="M141">
        <v>12</v>
      </c>
      <c r="N141" t="s">
        <v>54</v>
      </c>
      <c r="O141" t="s">
        <v>175</v>
      </c>
      <c r="P141" t="s">
        <v>56</v>
      </c>
      <c r="Q141" t="s">
        <v>32</v>
      </c>
    </row>
    <row r="142" spans="1:17" x14ac:dyDescent="0.3">
      <c r="A142" t="s">
        <v>875</v>
      </c>
      <c r="B142" t="s">
        <v>876</v>
      </c>
      <c r="C142">
        <v>55</v>
      </c>
      <c r="D142" t="s">
        <v>877</v>
      </c>
      <c r="E142" t="s">
        <v>95</v>
      </c>
      <c r="F142" t="s">
        <v>878</v>
      </c>
      <c r="G142" t="s">
        <v>602</v>
      </c>
      <c r="H142">
        <v>2</v>
      </c>
      <c r="I142" t="s">
        <v>27</v>
      </c>
      <c r="J142" s="86">
        <v>45424</v>
      </c>
      <c r="K142">
        <v>179.86</v>
      </c>
      <c r="L142">
        <v>7</v>
      </c>
      <c r="M142">
        <v>3</v>
      </c>
      <c r="N142" t="s">
        <v>56</v>
      </c>
      <c r="O142" t="s">
        <v>149</v>
      </c>
      <c r="P142" t="s">
        <v>30</v>
      </c>
      <c r="Q142" t="s">
        <v>69</v>
      </c>
    </row>
    <row r="143" spans="1:17" x14ac:dyDescent="0.3">
      <c r="A143" t="s">
        <v>880</v>
      </c>
      <c r="B143" t="s">
        <v>881</v>
      </c>
      <c r="C143">
        <v>19</v>
      </c>
      <c r="D143" t="s">
        <v>882</v>
      </c>
      <c r="E143" t="s">
        <v>88</v>
      </c>
      <c r="F143" t="s">
        <v>883</v>
      </c>
      <c r="G143" s="86">
        <v>45362</v>
      </c>
      <c r="H143">
        <v>4</v>
      </c>
      <c r="I143" t="s">
        <v>52</v>
      </c>
      <c r="J143" t="s">
        <v>884</v>
      </c>
      <c r="K143">
        <v>218.72</v>
      </c>
      <c r="L143">
        <v>8</v>
      </c>
      <c r="M143">
        <v>9</v>
      </c>
      <c r="N143" t="s">
        <v>56</v>
      </c>
      <c r="O143" t="s">
        <v>175</v>
      </c>
      <c r="P143" t="s">
        <v>56</v>
      </c>
      <c r="Q143" t="s">
        <v>32</v>
      </c>
    </row>
    <row r="144" spans="1:17" x14ac:dyDescent="0.3">
      <c r="A144" t="s">
        <v>886</v>
      </c>
      <c r="B144" t="s">
        <v>887</v>
      </c>
      <c r="C144">
        <v>47</v>
      </c>
      <c r="D144" t="s">
        <v>888</v>
      </c>
      <c r="E144" t="s">
        <v>95</v>
      </c>
      <c r="F144" s="86">
        <v>44963</v>
      </c>
      <c r="G144" t="s">
        <v>313</v>
      </c>
      <c r="H144">
        <v>0</v>
      </c>
      <c r="I144" t="s">
        <v>52</v>
      </c>
      <c r="J144" t="s">
        <v>889</v>
      </c>
      <c r="K144">
        <v>177.72</v>
      </c>
      <c r="L144">
        <v>4</v>
      </c>
      <c r="M144">
        <v>46</v>
      </c>
      <c r="N144" t="s">
        <v>56</v>
      </c>
      <c r="O144" t="s">
        <v>223</v>
      </c>
      <c r="P144" t="s">
        <v>56</v>
      </c>
      <c r="Q144" t="s">
        <v>32</v>
      </c>
    </row>
    <row r="145" spans="1:17" x14ac:dyDescent="0.3">
      <c r="A145" t="s">
        <v>891</v>
      </c>
      <c r="B145" t="s">
        <v>892</v>
      </c>
      <c r="C145">
        <v>53</v>
      </c>
      <c r="D145" t="s">
        <v>893</v>
      </c>
      <c r="E145" t="s">
        <v>61</v>
      </c>
      <c r="F145" t="s">
        <v>894</v>
      </c>
      <c r="G145" t="s">
        <v>561</v>
      </c>
      <c r="H145">
        <v>5</v>
      </c>
      <c r="I145" t="s">
        <v>27</v>
      </c>
      <c r="J145" t="s">
        <v>895</v>
      </c>
      <c r="K145">
        <v>224.37</v>
      </c>
      <c r="L145">
        <v>4</v>
      </c>
      <c r="M145">
        <v>30</v>
      </c>
      <c r="N145" t="s">
        <v>54</v>
      </c>
      <c r="O145" t="s">
        <v>67</v>
      </c>
      <c r="P145" t="s">
        <v>68</v>
      </c>
      <c r="Q145" t="s">
        <v>32</v>
      </c>
    </row>
    <row r="146" spans="1:17" x14ac:dyDescent="0.3">
      <c r="A146" t="s">
        <v>897</v>
      </c>
      <c r="B146" t="s">
        <v>898</v>
      </c>
      <c r="C146">
        <v>46</v>
      </c>
      <c r="D146" t="s">
        <v>899</v>
      </c>
      <c r="E146" t="s">
        <v>61</v>
      </c>
      <c r="F146" s="86">
        <v>44480</v>
      </c>
      <c r="G146" t="s">
        <v>900</v>
      </c>
      <c r="H146">
        <v>3</v>
      </c>
      <c r="I146" t="s">
        <v>27</v>
      </c>
      <c r="J146" t="s">
        <v>901</v>
      </c>
      <c r="K146">
        <v>283.60000000000002</v>
      </c>
      <c r="L146">
        <v>7</v>
      </c>
      <c r="M146">
        <v>18</v>
      </c>
      <c r="N146" t="s">
        <v>54</v>
      </c>
      <c r="O146" t="s">
        <v>194</v>
      </c>
      <c r="P146" t="s">
        <v>56</v>
      </c>
      <c r="Q146" t="s">
        <v>32</v>
      </c>
    </row>
    <row r="147" spans="1:17" x14ac:dyDescent="0.3">
      <c r="A147" t="s">
        <v>903</v>
      </c>
      <c r="B147" t="s">
        <v>904</v>
      </c>
      <c r="C147">
        <v>48</v>
      </c>
      <c r="D147" t="s">
        <v>905</v>
      </c>
      <c r="E147" t="s">
        <v>88</v>
      </c>
      <c r="F147" s="86">
        <v>44385</v>
      </c>
      <c r="G147" s="86">
        <v>45421</v>
      </c>
      <c r="H147">
        <v>2</v>
      </c>
      <c r="I147" t="s">
        <v>52</v>
      </c>
      <c r="J147" s="86">
        <v>45084</v>
      </c>
      <c r="K147">
        <v>167</v>
      </c>
      <c r="L147">
        <v>9</v>
      </c>
      <c r="M147">
        <v>23</v>
      </c>
      <c r="N147" t="s">
        <v>56</v>
      </c>
      <c r="O147" t="s">
        <v>837</v>
      </c>
      <c r="P147" t="s">
        <v>56</v>
      </c>
      <c r="Q147" t="s">
        <v>69</v>
      </c>
    </row>
    <row r="148" spans="1:17" x14ac:dyDescent="0.3">
      <c r="A148" t="s">
        <v>907</v>
      </c>
      <c r="B148" t="s">
        <v>908</v>
      </c>
      <c r="C148">
        <v>47</v>
      </c>
      <c r="D148" t="s">
        <v>909</v>
      </c>
      <c r="E148" t="s">
        <v>40</v>
      </c>
      <c r="F148" t="s">
        <v>910</v>
      </c>
      <c r="G148" t="s">
        <v>911</v>
      </c>
      <c r="H148">
        <v>1</v>
      </c>
      <c r="I148" t="s">
        <v>27</v>
      </c>
      <c r="J148" t="s">
        <v>912</v>
      </c>
      <c r="K148">
        <v>121.06</v>
      </c>
      <c r="L148">
        <v>6</v>
      </c>
      <c r="M148">
        <v>24</v>
      </c>
      <c r="N148" t="s">
        <v>68</v>
      </c>
      <c r="O148" t="s">
        <v>418</v>
      </c>
      <c r="P148" t="s">
        <v>56</v>
      </c>
      <c r="Q148" t="s">
        <v>32</v>
      </c>
    </row>
    <row r="149" spans="1:17" x14ac:dyDescent="0.3">
      <c r="A149" t="s">
        <v>914</v>
      </c>
      <c r="B149" t="s">
        <v>915</v>
      </c>
      <c r="C149">
        <v>26</v>
      </c>
      <c r="D149" t="s">
        <v>916</v>
      </c>
      <c r="E149" t="s">
        <v>88</v>
      </c>
      <c r="F149" t="s">
        <v>917</v>
      </c>
      <c r="G149" t="s">
        <v>918</v>
      </c>
      <c r="H149">
        <v>5</v>
      </c>
      <c r="I149" t="s">
        <v>27</v>
      </c>
      <c r="J149" t="s">
        <v>919</v>
      </c>
      <c r="K149">
        <v>433.59</v>
      </c>
      <c r="L149">
        <v>3</v>
      </c>
      <c r="M149">
        <v>28</v>
      </c>
      <c r="N149" t="s">
        <v>68</v>
      </c>
      <c r="O149" t="s">
        <v>128</v>
      </c>
      <c r="P149" t="s">
        <v>54</v>
      </c>
      <c r="Q149" t="s">
        <v>322</v>
      </c>
    </row>
    <row r="150" spans="1:17" x14ac:dyDescent="0.3">
      <c r="A150" t="s">
        <v>921</v>
      </c>
      <c r="B150" t="s">
        <v>922</v>
      </c>
      <c r="C150">
        <v>20</v>
      </c>
      <c r="D150" t="s">
        <v>923</v>
      </c>
      <c r="E150" t="s">
        <v>61</v>
      </c>
      <c r="F150" s="86">
        <v>44328</v>
      </c>
      <c r="G150" t="s">
        <v>924</v>
      </c>
      <c r="H150">
        <v>1</v>
      </c>
      <c r="I150" t="s">
        <v>27</v>
      </c>
      <c r="J150" t="s">
        <v>545</v>
      </c>
      <c r="K150">
        <v>230.28</v>
      </c>
      <c r="L150">
        <v>5</v>
      </c>
      <c r="M150">
        <v>17</v>
      </c>
      <c r="N150" t="s">
        <v>68</v>
      </c>
      <c r="O150" t="s">
        <v>354</v>
      </c>
      <c r="P150" t="s">
        <v>45</v>
      </c>
      <c r="Q150" t="s">
        <v>69</v>
      </c>
    </row>
    <row r="151" spans="1:17" x14ac:dyDescent="0.3">
      <c r="A151" t="s">
        <v>926</v>
      </c>
      <c r="B151" t="s">
        <v>927</v>
      </c>
      <c r="C151">
        <v>51</v>
      </c>
      <c r="D151" t="s">
        <v>928</v>
      </c>
      <c r="E151" t="s">
        <v>88</v>
      </c>
      <c r="F151" t="s">
        <v>550</v>
      </c>
      <c r="G151" s="86">
        <v>45414</v>
      </c>
      <c r="H151">
        <v>2</v>
      </c>
      <c r="I151" t="s">
        <v>52</v>
      </c>
      <c r="J151" t="s">
        <v>929</v>
      </c>
      <c r="K151">
        <v>8.24</v>
      </c>
      <c r="L151">
        <v>6</v>
      </c>
      <c r="M151">
        <v>37</v>
      </c>
      <c r="N151" t="s">
        <v>56</v>
      </c>
      <c r="O151" t="s">
        <v>109</v>
      </c>
      <c r="P151" t="s">
        <v>68</v>
      </c>
      <c r="Q151" t="s">
        <v>69</v>
      </c>
    </row>
    <row r="152" spans="1:17" x14ac:dyDescent="0.3">
      <c r="A152" t="s">
        <v>931</v>
      </c>
      <c r="B152" t="s">
        <v>932</v>
      </c>
      <c r="C152">
        <v>20</v>
      </c>
      <c r="D152" t="s">
        <v>933</v>
      </c>
      <c r="E152" t="s">
        <v>88</v>
      </c>
      <c r="F152" t="s">
        <v>934</v>
      </c>
      <c r="G152" s="86">
        <v>44752</v>
      </c>
      <c r="H152">
        <v>3</v>
      </c>
      <c r="I152" t="s">
        <v>52</v>
      </c>
      <c r="J152" s="86">
        <v>45417</v>
      </c>
      <c r="K152">
        <v>634.46</v>
      </c>
      <c r="L152">
        <v>3</v>
      </c>
      <c r="M152">
        <v>40</v>
      </c>
      <c r="N152" t="s">
        <v>56</v>
      </c>
      <c r="O152" t="s">
        <v>269</v>
      </c>
      <c r="P152" t="s">
        <v>56</v>
      </c>
      <c r="Q152" t="s">
        <v>69</v>
      </c>
    </row>
    <row r="153" spans="1:17" x14ac:dyDescent="0.3">
      <c r="A153" t="s">
        <v>936</v>
      </c>
      <c r="B153" t="s">
        <v>937</v>
      </c>
      <c r="C153">
        <v>49</v>
      </c>
      <c r="D153" t="s">
        <v>938</v>
      </c>
      <c r="E153" t="s">
        <v>40</v>
      </c>
      <c r="F153" t="s">
        <v>939</v>
      </c>
      <c r="G153" s="86">
        <v>44566</v>
      </c>
      <c r="H153">
        <v>3</v>
      </c>
      <c r="I153" t="s">
        <v>27</v>
      </c>
      <c r="J153" t="s">
        <v>940</v>
      </c>
      <c r="K153">
        <v>156.77000000000001</v>
      </c>
      <c r="L153">
        <v>8</v>
      </c>
      <c r="M153">
        <v>40</v>
      </c>
      <c r="N153" t="s">
        <v>30</v>
      </c>
      <c r="O153" t="s">
        <v>109</v>
      </c>
      <c r="P153" t="s">
        <v>68</v>
      </c>
      <c r="Q153" t="s">
        <v>32</v>
      </c>
    </row>
    <row r="154" spans="1:17" x14ac:dyDescent="0.3">
      <c r="A154" t="s">
        <v>942</v>
      </c>
      <c r="B154" t="s">
        <v>943</v>
      </c>
      <c r="C154">
        <v>27</v>
      </c>
      <c r="D154" t="s">
        <v>944</v>
      </c>
      <c r="E154" t="s">
        <v>51</v>
      </c>
      <c r="F154" s="86">
        <v>44450</v>
      </c>
      <c r="G154" t="s">
        <v>945</v>
      </c>
      <c r="H154">
        <v>5</v>
      </c>
      <c r="I154" t="s">
        <v>27</v>
      </c>
      <c r="J154" t="s">
        <v>946</v>
      </c>
      <c r="K154">
        <v>172.17</v>
      </c>
      <c r="L154">
        <v>7</v>
      </c>
      <c r="M154">
        <v>41</v>
      </c>
      <c r="N154" t="s">
        <v>45</v>
      </c>
      <c r="O154" t="s">
        <v>855</v>
      </c>
      <c r="P154" t="s">
        <v>45</v>
      </c>
      <c r="Q154" t="s">
        <v>32</v>
      </c>
    </row>
    <row r="155" spans="1:17" x14ac:dyDescent="0.3">
      <c r="A155" t="s">
        <v>948</v>
      </c>
      <c r="B155" t="s">
        <v>949</v>
      </c>
      <c r="C155">
        <v>52</v>
      </c>
      <c r="D155" t="s">
        <v>950</v>
      </c>
      <c r="E155" t="s">
        <v>61</v>
      </c>
      <c r="F155" t="s">
        <v>680</v>
      </c>
      <c r="G155" s="86">
        <v>45511</v>
      </c>
      <c r="H155">
        <v>2</v>
      </c>
      <c r="I155" t="s">
        <v>27</v>
      </c>
      <c r="J155" t="s">
        <v>690</v>
      </c>
      <c r="K155">
        <v>1308.29</v>
      </c>
      <c r="L155">
        <v>1</v>
      </c>
      <c r="M155">
        <v>18</v>
      </c>
      <c r="N155" t="s">
        <v>56</v>
      </c>
      <c r="O155" t="s">
        <v>99</v>
      </c>
      <c r="P155" t="s">
        <v>56</v>
      </c>
      <c r="Q155" t="s">
        <v>32</v>
      </c>
    </row>
    <row r="156" spans="1:17" x14ac:dyDescent="0.3">
      <c r="A156" t="s">
        <v>952</v>
      </c>
      <c r="B156" t="s">
        <v>953</v>
      </c>
      <c r="C156">
        <v>24</v>
      </c>
      <c r="D156" t="s">
        <v>954</v>
      </c>
      <c r="E156" t="s">
        <v>95</v>
      </c>
      <c r="F156" t="s">
        <v>955</v>
      </c>
      <c r="G156" t="s">
        <v>956</v>
      </c>
      <c r="H156">
        <v>1</v>
      </c>
      <c r="I156" t="s">
        <v>52</v>
      </c>
      <c r="J156" t="s">
        <v>910</v>
      </c>
      <c r="K156">
        <v>773</v>
      </c>
      <c r="L156">
        <v>2</v>
      </c>
      <c r="M156">
        <v>42</v>
      </c>
      <c r="N156" t="s">
        <v>45</v>
      </c>
      <c r="O156" t="s">
        <v>157</v>
      </c>
      <c r="P156" t="s">
        <v>68</v>
      </c>
      <c r="Q156" t="s">
        <v>322</v>
      </c>
    </row>
    <row r="157" spans="1:17" x14ac:dyDescent="0.3">
      <c r="A157" t="s">
        <v>958</v>
      </c>
      <c r="B157" t="s">
        <v>959</v>
      </c>
      <c r="C157">
        <v>54</v>
      </c>
      <c r="D157" t="s">
        <v>960</v>
      </c>
      <c r="E157" t="s">
        <v>95</v>
      </c>
      <c r="F157" t="s">
        <v>961</v>
      </c>
      <c r="G157" t="s">
        <v>962</v>
      </c>
      <c r="H157">
        <v>1</v>
      </c>
      <c r="I157" t="s">
        <v>52</v>
      </c>
      <c r="J157" t="s">
        <v>963</v>
      </c>
      <c r="K157">
        <v>37.35</v>
      </c>
      <c r="L157">
        <v>1</v>
      </c>
      <c r="M157">
        <v>7</v>
      </c>
      <c r="N157" t="s">
        <v>45</v>
      </c>
      <c r="O157" t="s">
        <v>175</v>
      </c>
      <c r="P157" t="s">
        <v>56</v>
      </c>
      <c r="Q157" t="s">
        <v>32</v>
      </c>
    </row>
    <row r="158" spans="1:17" x14ac:dyDescent="0.3">
      <c r="A158" t="s">
        <v>965</v>
      </c>
      <c r="B158" t="s">
        <v>966</v>
      </c>
      <c r="C158">
        <v>42</v>
      </c>
      <c r="D158" t="s">
        <v>967</v>
      </c>
      <c r="E158" t="s">
        <v>51</v>
      </c>
      <c r="F158" s="86">
        <v>44357</v>
      </c>
      <c r="G158" s="86">
        <v>45634</v>
      </c>
      <c r="H158">
        <v>0</v>
      </c>
      <c r="I158" t="s">
        <v>27</v>
      </c>
      <c r="J158" t="s">
        <v>968</v>
      </c>
      <c r="K158">
        <v>210.51</v>
      </c>
      <c r="L158">
        <v>2</v>
      </c>
      <c r="M158">
        <v>1</v>
      </c>
      <c r="N158" t="s">
        <v>45</v>
      </c>
      <c r="O158" t="s">
        <v>99</v>
      </c>
      <c r="P158" t="s">
        <v>56</v>
      </c>
      <c r="Q158" t="s">
        <v>69</v>
      </c>
    </row>
    <row r="159" spans="1:17" x14ac:dyDescent="0.3">
      <c r="A159" t="s">
        <v>970</v>
      </c>
      <c r="B159" t="s">
        <v>971</v>
      </c>
      <c r="C159">
        <v>55</v>
      </c>
      <c r="D159" t="s">
        <v>972</v>
      </c>
      <c r="E159" t="s">
        <v>25</v>
      </c>
      <c r="F159" t="s">
        <v>973</v>
      </c>
      <c r="G159" s="86">
        <v>45475</v>
      </c>
      <c r="H159">
        <v>4</v>
      </c>
      <c r="I159" t="s">
        <v>52</v>
      </c>
      <c r="J159" t="s">
        <v>974</v>
      </c>
      <c r="K159">
        <v>184.94</v>
      </c>
      <c r="L159">
        <v>7</v>
      </c>
      <c r="M159">
        <v>45</v>
      </c>
      <c r="N159" t="s">
        <v>45</v>
      </c>
      <c r="O159" t="s">
        <v>55</v>
      </c>
      <c r="P159" t="s">
        <v>56</v>
      </c>
      <c r="Q159" t="s">
        <v>69</v>
      </c>
    </row>
    <row r="160" spans="1:17" x14ac:dyDescent="0.3">
      <c r="A160" t="s">
        <v>976</v>
      </c>
      <c r="B160" t="s">
        <v>977</v>
      </c>
      <c r="C160">
        <v>35</v>
      </c>
      <c r="D160" t="s">
        <v>978</v>
      </c>
      <c r="E160" t="s">
        <v>51</v>
      </c>
      <c r="F160" t="s">
        <v>979</v>
      </c>
      <c r="G160" t="s">
        <v>980</v>
      </c>
      <c r="H160">
        <v>4</v>
      </c>
      <c r="I160" t="s">
        <v>27</v>
      </c>
      <c r="J160" s="86">
        <v>44443</v>
      </c>
      <c r="K160">
        <v>34.880000000000003</v>
      </c>
      <c r="L160">
        <v>5</v>
      </c>
      <c r="M160">
        <v>24</v>
      </c>
      <c r="N160" t="s">
        <v>68</v>
      </c>
      <c r="O160" t="s">
        <v>354</v>
      </c>
      <c r="P160" t="s">
        <v>45</v>
      </c>
      <c r="Q160" t="s">
        <v>32</v>
      </c>
    </row>
    <row r="161" spans="1:17" x14ac:dyDescent="0.3">
      <c r="A161" t="s">
        <v>982</v>
      </c>
      <c r="B161" t="s">
        <v>983</v>
      </c>
      <c r="C161">
        <v>31</v>
      </c>
      <c r="D161" t="s">
        <v>984</v>
      </c>
      <c r="E161" t="s">
        <v>51</v>
      </c>
      <c r="F161" s="86">
        <v>44808</v>
      </c>
      <c r="G161" s="86">
        <v>45543</v>
      </c>
      <c r="H161">
        <v>3</v>
      </c>
      <c r="I161" t="s">
        <v>27</v>
      </c>
      <c r="J161" t="s">
        <v>852</v>
      </c>
      <c r="K161">
        <v>23.82</v>
      </c>
      <c r="L161">
        <v>9</v>
      </c>
      <c r="M161">
        <v>1</v>
      </c>
      <c r="N161" t="s">
        <v>56</v>
      </c>
      <c r="O161" t="s">
        <v>536</v>
      </c>
      <c r="P161" t="s">
        <v>68</v>
      </c>
      <c r="Q161" t="s">
        <v>69</v>
      </c>
    </row>
    <row r="162" spans="1:17" x14ac:dyDescent="0.3">
      <c r="A162" t="s">
        <v>986</v>
      </c>
      <c r="B162" t="s">
        <v>987</v>
      </c>
      <c r="C162">
        <v>21</v>
      </c>
      <c r="D162" t="s">
        <v>988</v>
      </c>
      <c r="E162" t="s">
        <v>88</v>
      </c>
      <c r="F162" t="s">
        <v>338</v>
      </c>
      <c r="G162" s="86">
        <v>44603</v>
      </c>
      <c r="H162">
        <v>1</v>
      </c>
      <c r="I162" t="s">
        <v>27</v>
      </c>
      <c r="J162" s="86">
        <v>44750</v>
      </c>
      <c r="K162">
        <v>241.3</v>
      </c>
      <c r="L162">
        <v>6</v>
      </c>
      <c r="M162">
        <v>21</v>
      </c>
      <c r="N162" t="s">
        <v>56</v>
      </c>
      <c r="O162" t="s">
        <v>624</v>
      </c>
      <c r="P162" t="s">
        <v>30</v>
      </c>
      <c r="Q162" t="s">
        <v>69</v>
      </c>
    </row>
    <row r="163" spans="1:17" x14ac:dyDescent="0.3">
      <c r="A163" t="s">
        <v>990</v>
      </c>
      <c r="B163" t="s">
        <v>991</v>
      </c>
      <c r="C163">
        <v>65</v>
      </c>
      <c r="D163" t="s">
        <v>992</v>
      </c>
      <c r="E163" t="s">
        <v>25</v>
      </c>
      <c r="F163" t="s">
        <v>993</v>
      </c>
      <c r="G163" t="s">
        <v>994</v>
      </c>
      <c r="H163">
        <v>5</v>
      </c>
      <c r="I163" t="s">
        <v>27</v>
      </c>
      <c r="J163" t="s">
        <v>995</v>
      </c>
      <c r="K163">
        <v>292.25</v>
      </c>
      <c r="L163">
        <v>3</v>
      </c>
      <c r="M163">
        <v>24</v>
      </c>
      <c r="N163" t="s">
        <v>68</v>
      </c>
      <c r="O163" t="s">
        <v>231</v>
      </c>
      <c r="P163" t="s">
        <v>30</v>
      </c>
      <c r="Q163" t="s">
        <v>32</v>
      </c>
    </row>
    <row r="164" spans="1:17" x14ac:dyDescent="0.3">
      <c r="A164" t="s">
        <v>997</v>
      </c>
      <c r="B164" t="s">
        <v>998</v>
      </c>
      <c r="C164">
        <v>30</v>
      </c>
      <c r="D164" t="s">
        <v>999</v>
      </c>
      <c r="E164" t="s">
        <v>25</v>
      </c>
      <c r="F164" t="s">
        <v>1000</v>
      </c>
      <c r="G164" t="s">
        <v>423</v>
      </c>
      <c r="H164">
        <v>4</v>
      </c>
      <c r="I164" t="s">
        <v>52</v>
      </c>
      <c r="J164" s="86">
        <v>44654</v>
      </c>
      <c r="K164">
        <v>139.58000000000001</v>
      </c>
      <c r="L164">
        <v>6</v>
      </c>
      <c r="M164">
        <v>44</v>
      </c>
      <c r="N164" t="s">
        <v>56</v>
      </c>
      <c r="O164" t="s">
        <v>293</v>
      </c>
      <c r="P164" t="s">
        <v>45</v>
      </c>
      <c r="Q164" t="s">
        <v>32</v>
      </c>
    </row>
    <row r="165" spans="1:17" x14ac:dyDescent="0.3">
      <c r="A165" t="s">
        <v>1002</v>
      </c>
      <c r="B165" t="s">
        <v>1003</v>
      </c>
      <c r="C165">
        <v>38</v>
      </c>
      <c r="D165" t="s">
        <v>1004</v>
      </c>
      <c r="E165" t="s">
        <v>51</v>
      </c>
      <c r="F165" s="86">
        <v>44964</v>
      </c>
      <c r="G165" t="s">
        <v>1005</v>
      </c>
      <c r="H165">
        <v>4</v>
      </c>
      <c r="I165" t="s">
        <v>52</v>
      </c>
      <c r="J165" t="s">
        <v>1006</v>
      </c>
      <c r="K165">
        <v>400.08</v>
      </c>
      <c r="L165">
        <v>4</v>
      </c>
      <c r="M165">
        <v>38</v>
      </c>
      <c r="N165" t="s">
        <v>56</v>
      </c>
      <c r="O165" t="s">
        <v>425</v>
      </c>
      <c r="P165" t="s">
        <v>30</v>
      </c>
      <c r="Q165" t="s">
        <v>32</v>
      </c>
    </row>
    <row r="166" spans="1:17" x14ac:dyDescent="0.3">
      <c r="A166" t="s">
        <v>1008</v>
      </c>
      <c r="B166" t="s">
        <v>1009</v>
      </c>
      <c r="C166">
        <v>64</v>
      </c>
      <c r="D166" t="s">
        <v>1010</v>
      </c>
      <c r="E166" t="s">
        <v>88</v>
      </c>
      <c r="F166" t="s">
        <v>1011</v>
      </c>
      <c r="G166" t="s">
        <v>410</v>
      </c>
      <c r="H166">
        <v>3</v>
      </c>
      <c r="I166" t="s">
        <v>64</v>
      </c>
      <c r="J166" s="86">
        <v>44934</v>
      </c>
      <c r="K166">
        <v>901.2</v>
      </c>
      <c r="L166">
        <v>2</v>
      </c>
      <c r="M166">
        <v>34</v>
      </c>
      <c r="N166" t="s">
        <v>54</v>
      </c>
      <c r="O166" t="s">
        <v>135</v>
      </c>
      <c r="P166" t="s">
        <v>45</v>
      </c>
      <c r="Q166" t="s">
        <v>69</v>
      </c>
    </row>
    <row r="167" spans="1:17" x14ac:dyDescent="0.3">
      <c r="A167" t="s">
        <v>1013</v>
      </c>
      <c r="B167" t="s">
        <v>1014</v>
      </c>
      <c r="C167">
        <v>45</v>
      </c>
      <c r="D167" t="s">
        <v>1015</v>
      </c>
      <c r="E167" t="s">
        <v>88</v>
      </c>
      <c r="F167" s="86">
        <v>45265</v>
      </c>
      <c r="G167" s="86">
        <v>45573</v>
      </c>
      <c r="H167">
        <v>5</v>
      </c>
      <c r="I167" t="s">
        <v>27</v>
      </c>
      <c r="J167" s="86">
        <v>45967</v>
      </c>
      <c r="K167">
        <v>597.66999999999996</v>
      </c>
      <c r="L167">
        <v>3</v>
      </c>
      <c r="M167">
        <v>9</v>
      </c>
      <c r="N167" t="s">
        <v>54</v>
      </c>
      <c r="O167" t="s">
        <v>293</v>
      </c>
      <c r="P167" t="s">
        <v>45</v>
      </c>
      <c r="Q167" t="s">
        <v>69</v>
      </c>
    </row>
    <row r="168" spans="1:17" x14ac:dyDescent="0.3">
      <c r="A168" t="s">
        <v>1017</v>
      </c>
      <c r="B168" t="s">
        <v>1018</v>
      </c>
      <c r="C168">
        <v>41</v>
      </c>
      <c r="D168" t="s">
        <v>1019</v>
      </c>
      <c r="E168" t="s">
        <v>95</v>
      </c>
      <c r="F168" s="86">
        <v>44264</v>
      </c>
      <c r="G168" t="s">
        <v>1020</v>
      </c>
      <c r="H168">
        <v>2</v>
      </c>
      <c r="I168" t="s">
        <v>52</v>
      </c>
      <c r="J168" s="86">
        <v>45018</v>
      </c>
      <c r="K168">
        <v>77.760000000000005</v>
      </c>
      <c r="L168">
        <v>3</v>
      </c>
      <c r="M168">
        <v>3</v>
      </c>
      <c r="N168" t="s">
        <v>54</v>
      </c>
      <c r="O168" t="s">
        <v>425</v>
      </c>
      <c r="P168" t="s">
        <v>30</v>
      </c>
      <c r="Q168" t="s">
        <v>69</v>
      </c>
    </row>
    <row r="169" spans="1:17" x14ac:dyDescent="0.3">
      <c r="A169" t="s">
        <v>1022</v>
      </c>
      <c r="B169" t="s">
        <v>1023</v>
      </c>
      <c r="C169">
        <v>38</v>
      </c>
      <c r="D169" t="s">
        <v>1024</v>
      </c>
      <c r="E169" t="s">
        <v>51</v>
      </c>
      <c r="F169" t="s">
        <v>1025</v>
      </c>
      <c r="G169" t="s">
        <v>1026</v>
      </c>
      <c r="H169">
        <v>1</v>
      </c>
      <c r="I169" t="s">
        <v>52</v>
      </c>
      <c r="J169" s="86">
        <v>44604</v>
      </c>
      <c r="K169">
        <v>15.8</v>
      </c>
      <c r="L169">
        <v>6</v>
      </c>
      <c r="M169">
        <v>8</v>
      </c>
      <c r="N169" t="s">
        <v>45</v>
      </c>
      <c r="O169" t="s">
        <v>169</v>
      </c>
      <c r="P169" t="s">
        <v>30</v>
      </c>
      <c r="Q169" t="s">
        <v>69</v>
      </c>
    </row>
    <row r="170" spans="1:17" x14ac:dyDescent="0.3">
      <c r="A170" t="s">
        <v>1028</v>
      </c>
      <c r="B170" t="s">
        <v>1029</v>
      </c>
      <c r="C170">
        <v>62</v>
      </c>
      <c r="D170" t="s">
        <v>1030</v>
      </c>
      <c r="E170" t="s">
        <v>88</v>
      </c>
      <c r="F170" t="s">
        <v>1031</v>
      </c>
      <c r="G170" s="86">
        <v>45017</v>
      </c>
      <c r="H170">
        <v>2</v>
      </c>
      <c r="I170" t="s">
        <v>27</v>
      </c>
      <c r="J170" s="86">
        <v>45177</v>
      </c>
      <c r="K170">
        <v>151.97999999999999</v>
      </c>
      <c r="L170">
        <v>5</v>
      </c>
      <c r="M170">
        <v>36</v>
      </c>
      <c r="N170" t="s">
        <v>45</v>
      </c>
      <c r="O170" t="s">
        <v>425</v>
      </c>
      <c r="P170" t="s">
        <v>30</v>
      </c>
      <c r="Q170" t="s">
        <v>322</v>
      </c>
    </row>
    <row r="171" spans="1:17" x14ac:dyDescent="0.3">
      <c r="A171" t="s">
        <v>1033</v>
      </c>
      <c r="B171" t="s">
        <v>1034</v>
      </c>
      <c r="C171">
        <v>47</v>
      </c>
      <c r="D171" t="s">
        <v>1035</v>
      </c>
      <c r="E171" t="s">
        <v>61</v>
      </c>
      <c r="F171" s="86">
        <v>44232</v>
      </c>
      <c r="G171" t="s">
        <v>1036</v>
      </c>
      <c r="H171">
        <v>5</v>
      </c>
      <c r="I171" t="s">
        <v>27</v>
      </c>
      <c r="J171" t="s">
        <v>940</v>
      </c>
      <c r="K171">
        <v>35.32</v>
      </c>
      <c r="L171">
        <v>6</v>
      </c>
      <c r="M171">
        <v>49</v>
      </c>
      <c r="N171" t="s">
        <v>30</v>
      </c>
      <c r="O171" t="s">
        <v>269</v>
      </c>
      <c r="P171" t="s">
        <v>56</v>
      </c>
      <c r="Q171" t="s">
        <v>69</v>
      </c>
    </row>
    <row r="172" spans="1:17" x14ac:dyDescent="0.3">
      <c r="A172" t="s">
        <v>1038</v>
      </c>
      <c r="B172" t="s">
        <v>1039</v>
      </c>
      <c r="C172">
        <v>65</v>
      </c>
      <c r="D172" t="s">
        <v>1040</v>
      </c>
      <c r="E172" t="s">
        <v>95</v>
      </c>
      <c r="F172" s="86">
        <v>44444</v>
      </c>
      <c r="G172" s="86">
        <v>45296</v>
      </c>
      <c r="H172">
        <v>5</v>
      </c>
      <c r="I172" t="s">
        <v>27</v>
      </c>
      <c r="J172" t="s">
        <v>1041</v>
      </c>
      <c r="K172">
        <v>161.03</v>
      </c>
      <c r="L172">
        <v>9</v>
      </c>
      <c r="M172">
        <v>47</v>
      </c>
      <c r="N172" t="s">
        <v>54</v>
      </c>
      <c r="O172" t="s">
        <v>251</v>
      </c>
      <c r="P172" t="s">
        <v>30</v>
      </c>
      <c r="Q172" t="s">
        <v>32</v>
      </c>
    </row>
    <row r="173" spans="1:17" x14ac:dyDescent="0.3">
      <c r="A173" t="s">
        <v>1043</v>
      </c>
      <c r="B173" t="s">
        <v>1044</v>
      </c>
      <c r="C173">
        <v>36</v>
      </c>
      <c r="D173" t="s">
        <v>1045</v>
      </c>
      <c r="E173" t="s">
        <v>95</v>
      </c>
      <c r="F173" t="s">
        <v>1046</v>
      </c>
      <c r="G173" s="86">
        <v>45632</v>
      </c>
      <c r="H173">
        <v>1</v>
      </c>
      <c r="I173" t="s">
        <v>52</v>
      </c>
      <c r="J173" t="s">
        <v>1047</v>
      </c>
      <c r="K173">
        <v>621.16999999999996</v>
      </c>
      <c r="L173">
        <v>2</v>
      </c>
      <c r="M173">
        <v>2</v>
      </c>
      <c r="N173" t="s">
        <v>45</v>
      </c>
      <c r="O173" t="s">
        <v>175</v>
      </c>
      <c r="P173" t="s">
        <v>56</v>
      </c>
      <c r="Q173" t="s">
        <v>32</v>
      </c>
    </row>
    <row r="174" spans="1:17" x14ac:dyDescent="0.3">
      <c r="A174" t="s">
        <v>1049</v>
      </c>
      <c r="B174" t="s">
        <v>1050</v>
      </c>
      <c r="C174">
        <v>64</v>
      </c>
      <c r="D174" t="s">
        <v>1051</v>
      </c>
      <c r="E174" t="s">
        <v>25</v>
      </c>
      <c r="F174" t="s">
        <v>1052</v>
      </c>
      <c r="G174" t="s">
        <v>1053</v>
      </c>
      <c r="H174">
        <v>0</v>
      </c>
      <c r="I174" t="s">
        <v>52</v>
      </c>
      <c r="J174" t="s">
        <v>1054</v>
      </c>
      <c r="K174">
        <v>261.64999999999998</v>
      </c>
      <c r="L174">
        <v>5</v>
      </c>
      <c r="M174">
        <v>28</v>
      </c>
      <c r="N174" t="s">
        <v>30</v>
      </c>
      <c r="O174" t="s">
        <v>837</v>
      </c>
      <c r="P174" t="s">
        <v>56</v>
      </c>
      <c r="Q174" t="s">
        <v>32</v>
      </c>
    </row>
    <row r="175" spans="1:17" x14ac:dyDescent="0.3">
      <c r="A175" t="s">
        <v>1056</v>
      </c>
      <c r="B175" t="s">
        <v>1057</v>
      </c>
      <c r="C175">
        <v>38</v>
      </c>
      <c r="D175" t="s">
        <v>1058</v>
      </c>
      <c r="E175" t="s">
        <v>51</v>
      </c>
      <c r="F175" s="86">
        <v>44900</v>
      </c>
      <c r="G175" s="86">
        <v>45334</v>
      </c>
      <c r="H175">
        <v>5</v>
      </c>
      <c r="I175" t="s">
        <v>52</v>
      </c>
      <c r="J175" s="86">
        <v>45966</v>
      </c>
      <c r="K175">
        <v>332.86</v>
      </c>
      <c r="L175">
        <v>5</v>
      </c>
      <c r="M175">
        <v>42</v>
      </c>
      <c r="N175" t="s">
        <v>68</v>
      </c>
      <c r="O175" t="s">
        <v>354</v>
      </c>
      <c r="P175" t="s">
        <v>45</v>
      </c>
      <c r="Q175" t="s">
        <v>69</v>
      </c>
    </row>
    <row r="176" spans="1:17" x14ac:dyDescent="0.3">
      <c r="A176" t="s">
        <v>1060</v>
      </c>
      <c r="B176" t="s">
        <v>1061</v>
      </c>
      <c r="C176">
        <v>51</v>
      </c>
      <c r="D176" t="s">
        <v>1062</v>
      </c>
      <c r="E176" t="s">
        <v>88</v>
      </c>
      <c r="F176" t="s">
        <v>1063</v>
      </c>
      <c r="G176" t="s">
        <v>1064</v>
      </c>
      <c r="H176">
        <v>4</v>
      </c>
      <c r="I176" t="s">
        <v>27</v>
      </c>
      <c r="J176" s="86">
        <v>45905</v>
      </c>
      <c r="K176">
        <v>68.45</v>
      </c>
      <c r="L176">
        <v>3</v>
      </c>
      <c r="M176">
        <v>39</v>
      </c>
      <c r="N176" t="s">
        <v>68</v>
      </c>
      <c r="O176" t="s">
        <v>821</v>
      </c>
      <c r="P176" t="s">
        <v>68</v>
      </c>
      <c r="Q176" t="s">
        <v>69</v>
      </c>
    </row>
    <row r="177" spans="1:17" x14ac:dyDescent="0.3">
      <c r="A177" t="s">
        <v>1066</v>
      </c>
      <c r="B177" t="s">
        <v>1067</v>
      </c>
      <c r="C177">
        <v>62</v>
      </c>
      <c r="D177" t="s">
        <v>1068</v>
      </c>
      <c r="E177" t="s">
        <v>51</v>
      </c>
      <c r="F177" t="s">
        <v>645</v>
      </c>
      <c r="G177" t="s">
        <v>1069</v>
      </c>
      <c r="H177">
        <v>5</v>
      </c>
      <c r="I177" t="s">
        <v>27</v>
      </c>
      <c r="J177" t="s">
        <v>664</v>
      </c>
      <c r="K177">
        <v>274.95999999999998</v>
      </c>
      <c r="L177">
        <v>4</v>
      </c>
      <c r="M177">
        <v>26</v>
      </c>
      <c r="N177" t="s">
        <v>30</v>
      </c>
      <c r="O177" t="s">
        <v>199</v>
      </c>
      <c r="P177" t="s">
        <v>54</v>
      </c>
      <c r="Q177" t="s">
        <v>69</v>
      </c>
    </row>
    <row r="178" spans="1:17" x14ac:dyDescent="0.3">
      <c r="A178" t="s">
        <v>1071</v>
      </c>
      <c r="B178" t="s">
        <v>1072</v>
      </c>
      <c r="C178">
        <v>20</v>
      </c>
      <c r="D178" t="s">
        <v>1073</v>
      </c>
      <c r="E178" t="s">
        <v>51</v>
      </c>
      <c r="F178" s="86">
        <v>45237</v>
      </c>
      <c r="G178" t="s">
        <v>1074</v>
      </c>
      <c r="H178">
        <v>3</v>
      </c>
      <c r="I178" t="s">
        <v>52</v>
      </c>
      <c r="J178" t="s">
        <v>1075</v>
      </c>
      <c r="K178">
        <v>859.4</v>
      </c>
      <c r="L178">
        <v>2</v>
      </c>
      <c r="M178">
        <v>17</v>
      </c>
      <c r="N178" t="s">
        <v>30</v>
      </c>
      <c r="O178" t="s">
        <v>366</v>
      </c>
      <c r="P178" t="s">
        <v>54</v>
      </c>
      <c r="Q178" t="s">
        <v>69</v>
      </c>
    </row>
    <row r="179" spans="1:17" x14ac:dyDescent="0.3">
      <c r="A179" t="s">
        <v>1077</v>
      </c>
      <c r="B179" t="s">
        <v>1078</v>
      </c>
      <c r="C179">
        <v>21</v>
      </c>
      <c r="D179" t="s">
        <v>1079</v>
      </c>
      <c r="E179" t="s">
        <v>25</v>
      </c>
      <c r="F179" t="s">
        <v>1080</v>
      </c>
      <c r="G179" s="86">
        <v>44662</v>
      </c>
      <c r="H179">
        <v>4</v>
      </c>
      <c r="I179" t="s">
        <v>64</v>
      </c>
      <c r="J179" t="s">
        <v>1036</v>
      </c>
      <c r="K179">
        <v>103.64</v>
      </c>
      <c r="L179">
        <v>9</v>
      </c>
      <c r="M179">
        <v>34</v>
      </c>
      <c r="N179" t="s">
        <v>30</v>
      </c>
      <c r="O179" t="s">
        <v>169</v>
      </c>
      <c r="P179" t="s">
        <v>30</v>
      </c>
      <c r="Q179" t="s">
        <v>32</v>
      </c>
    </row>
    <row r="180" spans="1:17" x14ac:dyDescent="0.3">
      <c r="A180" t="s">
        <v>1082</v>
      </c>
      <c r="B180" t="s">
        <v>1083</v>
      </c>
      <c r="C180">
        <v>45</v>
      </c>
      <c r="D180" t="s">
        <v>1084</v>
      </c>
      <c r="E180" t="s">
        <v>25</v>
      </c>
      <c r="F180" t="s">
        <v>1085</v>
      </c>
      <c r="G180" t="s">
        <v>312</v>
      </c>
      <c r="H180">
        <v>3</v>
      </c>
      <c r="I180" t="s">
        <v>52</v>
      </c>
      <c r="J180" s="86">
        <v>45086</v>
      </c>
      <c r="K180">
        <v>993.48</v>
      </c>
      <c r="L180">
        <v>2</v>
      </c>
      <c r="M180">
        <v>18</v>
      </c>
      <c r="N180" t="s">
        <v>68</v>
      </c>
      <c r="O180" t="s">
        <v>142</v>
      </c>
      <c r="P180" t="s">
        <v>68</v>
      </c>
      <c r="Q180" t="s">
        <v>32</v>
      </c>
    </row>
    <row r="181" spans="1:17" x14ac:dyDescent="0.3">
      <c r="A181" t="s">
        <v>1087</v>
      </c>
      <c r="B181" t="s">
        <v>1088</v>
      </c>
      <c r="C181">
        <v>48</v>
      </c>
      <c r="D181" t="s">
        <v>1089</v>
      </c>
      <c r="E181" t="s">
        <v>88</v>
      </c>
      <c r="F181" t="s">
        <v>1090</v>
      </c>
      <c r="G181" s="86">
        <v>44357</v>
      </c>
      <c r="H181">
        <v>2</v>
      </c>
      <c r="I181" t="s">
        <v>27</v>
      </c>
      <c r="J181" s="86">
        <v>44838</v>
      </c>
      <c r="K181">
        <v>348.34</v>
      </c>
      <c r="L181">
        <v>2</v>
      </c>
      <c r="M181">
        <v>15</v>
      </c>
      <c r="N181" t="s">
        <v>30</v>
      </c>
      <c r="O181" t="s">
        <v>211</v>
      </c>
      <c r="P181" t="s">
        <v>68</v>
      </c>
      <c r="Q181" t="s">
        <v>69</v>
      </c>
    </row>
    <row r="182" spans="1:17" x14ac:dyDescent="0.3">
      <c r="A182" t="s">
        <v>1092</v>
      </c>
      <c r="B182" t="s">
        <v>1093</v>
      </c>
      <c r="C182">
        <v>48</v>
      </c>
      <c r="D182" t="s">
        <v>1094</v>
      </c>
      <c r="E182" t="s">
        <v>51</v>
      </c>
      <c r="F182" s="86">
        <v>45203</v>
      </c>
      <c r="G182" s="86">
        <v>45296</v>
      </c>
      <c r="H182">
        <v>0</v>
      </c>
      <c r="I182" t="s">
        <v>27</v>
      </c>
      <c r="J182" t="s">
        <v>1095</v>
      </c>
      <c r="K182">
        <v>18.7</v>
      </c>
      <c r="L182">
        <v>6</v>
      </c>
      <c r="M182">
        <v>33</v>
      </c>
      <c r="N182" t="s">
        <v>68</v>
      </c>
      <c r="O182" t="s">
        <v>855</v>
      </c>
      <c r="P182" t="s">
        <v>45</v>
      </c>
      <c r="Q182" t="s">
        <v>69</v>
      </c>
    </row>
    <row r="183" spans="1:17" x14ac:dyDescent="0.3">
      <c r="A183" t="s">
        <v>1097</v>
      </c>
      <c r="B183" t="s">
        <v>1098</v>
      </c>
      <c r="C183">
        <v>33</v>
      </c>
      <c r="D183" t="s">
        <v>1099</v>
      </c>
      <c r="E183" t="s">
        <v>51</v>
      </c>
      <c r="F183" t="s">
        <v>344</v>
      </c>
      <c r="G183" t="s">
        <v>1100</v>
      </c>
      <c r="H183">
        <v>3</v>
      </c>
      <c r="I183" t="s">
        <v>52</v>
      </c>
      <c r="J183" s="86">
        <v>45966</v>
      </c>
      <c r="K183">
        <v>1543.22</v>
      </c>
      <c r="L183">
        <v>1</v>
      </c>
      <c r="M183">
        <v>42</v>
      </c>
      <c r="N183" t="s">
        <v>30</v>
      </c>
      <c r="O183" t="s">
        <v>223</v>
      </c>
      <c r="P183" t="s">
        <v>56</v>
      </c>
      <c r="Q183" t="s">
        <v>69</v>
      </c>
    </row>
    <row r="184" spans="1:17" x14ac:dyDescent="0.3">
      <c r="A184" t="s">
        <v>1102</v>
      </c>
      <c r="B184" t="s">
        <v>1103</v>
      </c>
      <c r="C184">
        <v>37</v>
      </c>
      <c r="D184" t="s">
        <v>1104</v>
      </c>
      <c r="E184" t="s">
        <v>61</v>
      </c>
      <c r="F184" s="86">
        <v>44204</v>
      </c>
      <c r="G184" t="s">
        <v>1105</v>
      </c>
      <c r="H184">
        <v>0</v>
      </c>
      <c r="I184" t="s">
        <v>27</v>
      </c>
      <c r="J184" t="s">
        <v>1106</v>
      </c>
      <c r="K184">
        <v>183.2</v>
      </c>
      <c r="L184">
        <v>8</v>
      </c>
      <c r="M184">
        <v>5</v>
      </c>
      <c r="N184" t="s">
        <v>68</v>
      </c>
      <c r="O184" t="s">
        <v>128</v>
      </c>
      <c r="P184" t="s">
        <v>54</v>
      </c>
      <c r="Q184" t="s">
        <v>69</v>
      </c>
    </row>
    <row r="185" spans="1:17" x14ac:dyDescent="0.3">
      <c r="A185" t="s">
        <v>1108</v>
      </c>
      <c r="B185" t="s">
        <v>1109</v>
      </c>
      <c r="C185">
        <v>59</v>
      </c>
      <c r="D185" t="s">
        <v>1110</v>
      </c>
      <c r="E185" t="s">
        <v>25</v>
      </c>
      <c r="F185" t="s">
        <v>249</v>
      </c>
      <c r="G185" t="s">
        <v>1111</v>
      </c>
      <c r="H185">
        <v>2</v>
      </c>
      <c r="I185" t="s">
        <v>27</v>
      </c>
      <c r="J185" t="s">
        <v>1112</v>
      </c>
      <c r="K185">
        <v>215.88</v>
      </c>
      <c r="L185">
        <v>8</v>
      </c>
      <c r="M185">
        <v>23</v>
      </c>
      <c r="N185" t="s">
        <v>56</v>
      </c>
      <c r="O185" t="s">
        <v>77</v>
      </c>
      <c r="P185" t="s">
        <v>54</v>
      </c>
      <c r="Q185" t="s">
        <v>69</v>
      </c>
    </row>
    <row r="186" spans="1:17" x14ac:dyDescent="0.3">
      <c r="A186" t="s">
        <v>1114</v>
      </c>
      <c r="B186" t="s">
        <v>1115</v>
      </c>
      <c r="C186">
        <v>37</v>
      </c>
      <c r="D186" t="s">
        <v>1116</v>
      </c>
      <c r="E186" t="s">
        <v>40</v>
      </c>
      <c r="F186" s="86">
        <v>45176</v>
      </c>
      <c r="G186" s="86">
        <v>45841</v>
      </c>
      <c r="H186">
        <v>3</v>
      </c>
      <c r="I186" t="s">
        <v>27</v>
      </c>
      <c r="J186" t="s">
        <v>1117</v>
      </c>
      <c r="K186">
        <v>1071.1300000000001</v>
      </c>
      <c r="L186">
        <v>1</v>
      </c>
      <c r="M186">
        <v>33</v>
      </c>
      <c r="N186" t="s">
        <v>54</v>
      </c>
      <c r="O186" t="s">
        <v>425</v>
      </c>
      <c r="P186" t="s">
        <v>30</v>
      </c>
      <c r="Q186" t="s">
        <v>69</v>
      </c>
    </row>
    <row r="187" spans="1:17" x14ac:dyDescent="0.3">
      <c r="A187" t="s">
        <v>1119</v>
      </c>
      <c r="B187" t="s">
        <v>1120</v>
      </c>
      <c r="C187">
        <v>47</v>
      </c>
      <c r="D187" t="s">
        <v>1121</v>
      </c>
      <c r="E187" t="s">
        <v>25</v>
      </c>
      <c r="F187" t="s">
        <v>1122</v>
      </c>
      <c r="G187" t="s">
        <v>1123</v>
      </c>
      <c r="H187">
        <v>2</v>
      </c>
      <c r="I187" t="s">
        <v>27</v>
      </c>
      <c r="J187" t="s">
        <v>918</v>
      </c>
      <c r="K187">
        <v>22.07</v>
      </c>
      <c r="L187">
        <v>9</v>
      </c>
      <c r="M187">
        <v>9</v>
      </c>
      <c r="N187" t="s">
        <v>45</v>
      </c>
      <c r="O187" t="s">
        <v>169</v>
      </c>
      <c r="P187" t="s">
        <v>30</v>
      </c>
      <c r="Q187" t="s">
        <v>32</v>
      </c>
    </row>
    <row r="188" spans="1:17" x14ac:dyDescent="0.3">
      <c r="A188" t="s">
        <v>1125</v>
      </c>
      <c r="B188" t="s">
        <v>1126</v>
      </c>
      <c r="C188">
        <v>62</v>
      </c>
      <c r="D188" t="s">
        <v>1127</v>
      </c>
      <c r="E188" t="s">
        <v>25</v>
      </c>
      <c r="F188" s="86">
        <v>44416</v>
      </c>
      <c r="G188" s="86">
        <v>45998</v>
      </c>
      <c r="H188">
        <v>5</v>
      </c>
      <c r="I188" t="s">
        <v>27</v>
      </c>
      <c r="J188" t="s">
        <v>1111</v>
      </c>
      <c r="K188">
        <v>200.21</v>
      </c>
      <c r="L188">
        <v>4</v>
      </c>
      <c r="M188">
        <v>10</v>
      </c>
      <c r="N188" t="s">
        <v>68</v>
      </c>
      <c r="O188" t="s">
        <v>99</v>
      </c>
      <c r="P188" t="s">
        <v>56</v>
      </c>
      <c r="Q188" t="s">
        <v>32</v>
      </c>
    </row>
    <row r="189" spans="1:17" x14ac:dyDescent="0.3">
      <c r="A189" t="s">
        <v>1129</v>
      </c>
      <c r="B189" t="s">
        <v>1130</v>
      </c>
      <c r="C189">
        <v>26</v>
      </c>
      <c r="D189" t="s">
        <v>1131</v>
      </c>
      <c r="E189" t="s">
        <v>61</v>
      </c>
      <c r="F189" s="86">
        <v>45082</v>
      </c>
      <c r="G189" t="s">
        <v>1132</v>
      </c>
      <c r="H189">
        <v>1</v>
      </c>
      <c r="I189" t="s">
        <v>52</v>
      </c>
      <c r="J189" t="s">
        <v>830</v>
      </c>
      <c r="K189">
        <v>678.67</v>
      </c>
      <c r="L189">
        <v>2</v>
      </c>
      <c r="M189">
        <v>39</v>
      </c>
      <c r="N189" t="s">
        <v>45</v>
      </c>
      <c r="O189" t="s">
        <v>231</v>
      </c>
      <c r="P189" t="s">
        <v>30</v>
      </c>
      <c r="Q189" t="s">
        <v>32</v>
      </c>
    </row>
    <row r="190" spans="1:17" x14ac:dyDescent="0.3">
      <c r="A190" t="s">
        <v>1134</v>
      </c>
      <c r="B190" t="s">
        <v>1135</v>
      </c>
      <c r="C190">
        <v>20</v>
      </c>
      <c r="D190" t="s">
        <v>1136</v>
      </c>
      <c r="E190" t="s">
        <v>51</v>
      </c>
      <c r="F190" t="s">
        <v>1137</v>
      </c>
      <c r="G190" s="86">
        <v>45575</v>
      </c>
      <c r="H190">
        <v>0</v>
      </c>
      <c r="I190" t="s">
        <v>27</v>
      </c>
      <c r="J190" t="s">
        <v>75</v>
      </c>
      <c r="K190">
        <v>689.37</v>
      </c>
      <c r="L190">
        <v>2</v>
      </c>
      <c r="M190">
        <v>34</v>
      </c>
      <c r="N190" t="s">
        <v>68</v>
      </c>
      <c r="O190" t="s">
        <v>855</v>
      </c>
      <c r="P190" t="s">
        <v>45</v>
      </c>
      <c r="Q190" t="s">
        <v>32</v>
      </c>
    </row>
    <row r="191" spans="1:17" x14ac:dyDescent="0.3">
      <c r="A191" t="s">
        <v>1139</v>
      </c>
      <c r="B191" t="s">
        <v>1140</v>
      </c>
      <c r="C191">
        <v>40</v>
      </c>
      <c r="D191" t="s">
        <v>1141</v>
      </c>
      <c r="E191" t="s">
        <v>88</v>
      </c>
      <c r="F191" t="s">
        <v>1142</v>
      </c>
      <c r="G191" t="s">
        <v>1143</v>
      </c>
      <c r="H191">
        <v>5</v>
      </c>
      <c r="I191" t="s">
        <v>27</v>
      </c>
      <c r="J191" s="86">
        <v>45755</v>
      </c>
      <c r="K191">
        <v>180.98</v>
      </c>
      <c r="L191">
        <v>6</v>
      </c>
      <c r="M191">
        <v>40</v>
      </c>
      <c r="N191" t="s">
        <v>54</v>
      </c>
      <c r="O191" t="s">
        <v>837</v>
      </c>
      <c r="P191" t="s">
        <v>56</v>
      </c>
      <c r="Q191" t="s">
        <v>69</v>
      </c>
    </row>
    <row r="192" spans="1:17" x14ac:dyDescent="0.3">
      <c r="A192" t="s">
        <v>1145</v>
      </c>
      <c r="B192" t="s">
        <v>1146</v>
      </c>
      <c r="C192">
        <v>49</v>
      </c>
      <c r="D192" t="s">
        <v>1147</v>
      </c>
      <c r="E192" t="s">
        <v>51</v>
      </c>
      <c r="F192" t="s">
        <v>1148</v>
      </c>
      <c r="G192" s="86">
        <v>44958</v>
      </c>
      <c r="H192">
        <v>4</v>
      </c>
      <c r="I192" t="s">
        <v>52</v>
      </c>
      <c r="J192" s="86">
        <v>45753</v>
      </c>
      <c r="K192">
        <v>148.34</v>
      </c>
      <c r="L192">
        <v>5</v>
      </c>
      <c r="M192">
        <v>7</v>
      </c>
      <c r="N192" t="s">
        <v>54</v>
      </c>
      <c r="O192" t="s">
        <v>116</v>
      </c>
      <c r="P192" t="s">
        <v>54</v>
      </c>
      <c r="Q192" t="s">
        <v>32</v>
      </c>
    </row>
    <row r="193" spans="1:17" x14ac:dyDescent="0.3">
      <c r="A193" t="s">
        <v>1150</v>
      </c>
      <c r="B193" t="s">
        <v>1151</v>
      </c>
      <c r="C193">
        <v>33</v>
      </c>
      <c r="D193" t="s">
        <v>1152</v>
      </c>
      <c r="E193" t="s">
        <v>95</v>
      </c>
      <c r="F193" t="s">
        <v>1153</v>
      </c>
      <c r="G193" t="s">
        <v>1154</v>
      </c>
      <c r="H193">
        <v>4</v>
      </c>
      <c r="I193" t="s">
        <v>52</v>
      </c>
      <c r="J193" s="86">
        <v>44597</v>
      </c>
      <c r="K193">
        <v>127.83</v>
      </c>
      <c r="L193">
        <v>7</v>
      </c>
      <c r="M193">
        <v>9</v>
      </c>
      <c r="N193" t="s">
        <v>54</v>
      </c>
      <c r="O193" t="s">
        <v>366</v>
      </c>
      <c r="P193" t="s">
        <v>54</v>
      </c>
      <c r="Q193" t="s">
        <v>69</v>
      </c>
    </row>
    <row r="194" spans="1:17" x14ac:dyDescent="0.3">
      <c r="A194" t="s">
        <v>1156</v>
      </c>
      <c r="B194" t="s">
        <v>1157</v>
      </c>
      <c r="C194">
        <v>54</v>
      </c>
      <c r="D194" t="s">
        <v>1158</v>
      </c>
      <c r="E194" t="s">
        <v>51</v>
      </c>
      <c r="F194" s="86">
        <v>44265</v>
      </c>
      <c r="G194" t="s">
        <v>1159</v>
      </c>
      <c r="H194">
        <v>2</v>
      </c>
      <c r="I194" t="s">
        <v>27</v>
      </c>
      <c r="J194" s="86">
        <v>45689</v>
      </c>
      <c r="K194">
        <v>187.02</v>
      </c>
      <c r="L194">
        <v>8</v>
      </c>
      <c r="M194">
        <v>29</v>
      </c>
      <c r="N194" t="s">
        <v>56</v>
      </c>
      <c r="O194" t="s">
        <v>211</v>
      </c>
      <c r="P194" t="s">
        <v>68</v>
      </c>
      <c r="Q194" t="s">
        <v>322</v>
      </c>
    </row>
    <row r="195" spans="1:17" x14ac:dyDescent="0.3">
      <c r="A195" t="s">
        <v>1161</v>
      </c>
      <c r="B195" t="s">
        <v>1162</v>
      </c>
      <c r="C195">
        <v>28</v>
      </c>
      <c r="D195" t="s">
        <v>1163</v>
      </c>
      <c r="E195" t="s">
        <v>25</v>
      </c>
      <c r="F195" t="s">
        <v>1164</v>
      </c>
      <c r="G195" s="86">
        <v>44963</v>
      </c>
      <c r="H195">
        <v>5</v>
      </c>
      <c r="I195" t="s">
        <v>27</v>
      </c>
      <c r="J195" s="86">
        <v>45478</v>
      </c>
      <c r="K195">
        <v>175.71</v>
      </c>
      <c r="L195">
        <v>7</v>
      </c>
      <c r="M195">
        <v>26</v>
      </c>
      <c r="N195" t="s">
        <v>45</v>
      </c>
      <c r="O195" t="s">
        <v>223</v>
      </c>
      <c r="P195" t="s">
        <v>56</v>
      </c>
      <c r="Q195" t="s">
        <v>69</v>
      </c>
    </row>
    <row r="196" spans="1:17" x14ac:dyDescent="0.3">
      <c r="A196" t="s">
        <v>1166</v>
      </c>
      <c r="B196" t="s">
        <v>1167</v>
      </c>
      <c r="C196">
        <v>36</v>
      </c>
      <c r="D196" t="s">
        <v>1168</v>
      </c>
      <c r="E196" t="s">
        <v>25</v>
      </c>
      <c r="F196" s="86">
        <v>44474</v>
      </c>
      <c r="G196" t="s">
        <v>1169</v>
      </c>
      <c r="H196">
        <v>2</v>
      </c>
      <c r="I196" t="s">
        <v>52</v>
      </c>
      <c r="J196" s="86">
        <v>44203</v>
      </c>
      <c r="K196">
        <v>39.74</v>
      </c>
      <c r="L196">
        <v>9</v>
      </c>
      <c r="M196">
        <v>10</v>
      </c>
      <c r="N196" t="s">
        <v>45</v>
      </c>
      <c r="O196" t="s">
        <v>67</v>
      </c>
      <c r="P196" t="s">
        <v>68</v>
      </c>
      <c r="Q196" t="s">
        <v>32</v>
      </c>
    </row>
    <row r="197" spans="1:17" x14ac:dyDescent="0.3">
      <c r="A197" t="s">
        <v>1171</v>
      </c>
      <c r="B197" t="s">
        <v>1172</v>
      </c>
      <c r="C197">
        <v>57</v>
      </c>
      <c r="D197" t="s">
        <v>1173</v>
      </c>
      <c r="E197" t="s">
        <v>61</v>
      </c>
      <c r="F197" t="s">
        <v>872</v>
      </c>
      <c r="G197" t="s">
        <v>1174</v>
      </c>
      <c r="H197">
        <v>0</v>
      </c>
      <c r="I197" t="s">
        <v>27</v>
      </c>
      <c r="J197" t="s">
        <v>345</v>
      </c>
      <c r="K197">
        <v>199.73</v>
      </c>
      <c r="L197">
        <v>6</v>
      </c>
      <c r="M197">
        <v>46</v>
      </c>
      <c r="N197" t="s">
        <v>54</v>
      </c>
      <c r="O197" t="s">
        <v>122</v>
      </c>
      <c r="P197" t="s">
        <v>30</v>
      </c>
      <c r="Q197" t="s">
        <v>69</v>
      </c>
    </row>
    <row r="198" spans="1:17" x14ac:dyDescent="0.3">
      <c r="A198" t="s">
        <v>1176</v>
      </c>
      <c r="B198" t="s">
        <v>1177</v>
      </c>
      <c r="C198">
        <v>36</v>
      </c>
      <c r="D198" t="s">
        <v>1178</v>
      </c>
      <c r="E198" t="s">
        <v>61</v>
      </c>
      <c r="F198" s="86">
        <v>44022</v>
      </c>
      <c r="G198" t="s">
        <v>1179</v>
      </c>
      <c r="H198">
        <v>3</v>
      </c>
      <c r="I198" t="s">
        <v>27</v>
      </c>
      <c r="J198" t="s">
        <v>338</v>
      </c>
      <c r="K198">
        <v>30.76</v>
      </c>
      <c r="L198">
        <v>9</v>
      </c>
      <c r="M198">
        <v>49</v>
      </c>
      <c r="N198" t="s">
        <v>68</v>
      </c>
      <c r="O198" t="s">
        <v>418</v>
      </c>
      <c r="P198" t="s">
        <v>56</v>
      </c>
      <c r="Q198" t="s">
        <v>69</v>
      </c>
    </row>
    <row r="199" spans="1:17" x14ac:dyDescent="0.3">
      <c r="A199" t="s">
        <v>1181</v>
      </c>
      <c r="B199" t="s">
        <v>1182</v>
      </c>
      <c r="C199">
        <v>34</v>
      </c>
      <c r="D199" t="s">
        <v>1183</v>
      </c>
      <c r="E199" t="s">
        <v>40</v>
      </c>
      <c r="F199" s="86">
        <v>44571</v>
      </c>
      <c r="G199" s="86">
        <v>44988</v>
      </c>
      <c r="H199">
        <v>2</v>
      </c>
      <c r="I199" t="s">
        <v>27</v>
      </c>
      <c r="J199" t="s">
        <v>1184</v>
      </c>
      <c r="K199">
        <v>429.25</v>
      </c>
      <c r="L199">
        <v>4</v>
      </c>
      <c r="M199">
        <v>45</v>
      </c>
      <c r="N199" t="s">
        <v>54</v>
      </c>
      <c r="O199" t="s">
        <v>128</v>
      </c>
      <c r="P199" t="s">
        <v>54</v>
      </c>
      <c r="Q199" t="s">
        <v>69</v>
      </c>
    </row>
    <row r="200" spans="1:17" x14ac:dyDescent="0.3">
      <c r="A200" t="s">
        <v>1186</v>
      </c>
      <c r="B200" t="s">
        <v>1187</v>
      </c>
      <c r="C200">
        <v>39</v>
      </c>
      <c r="D200" t="s">
        <v>1188</v>
      </c>
      <c r="E200" t="s">
        <v>40</v>
      </c>
      <c r="F200" t="s">
        <v>1189</v>
      </c>
      <c r="G200" s="86">
        <v>45446</v>
      </c>
      <c r="H200">
        <v>4</v>
      </c>
      <c r="I200" t="s">
        <v>52</v>
      </c>
      <c r="J200" t="s">
        <v>1190</v>
      </c>
      <c r="K200">
        <v>122.72</v>
      </c>
      <c r="L200">
        <v>9</v>
      </c>
      <c r="M200">
        <v>35</v>
      </c>
      <c r="N200" t="s">
        <v>54</v>
      </c>
      <c r="O200" t="s">
        <v>269</v>
      </c>
      <c r="P200" t="s">
        <v>56</v>
      </c>
      <c r="Q200" t="s">
        <v>32</v>
      </c>
    </row>
    <row r="201" spans="1:17" x14ac:dyDescent="0.3">
      <c r="A201" t="s">
        <v>1192</v>
      </c>
      <c r="B201" t="s">
        <v>1193</v>
      </c>
      <c r="C201">
        <v>32</v>
      </c>
      <c r="D201" t="s">
        <v>1194</v>
      </c>
      <c r="E201" t="s">
        <v>51</v>
      </c>
      <c r="F201" s="86">
        <v>44875</v>
      </c>
      <c r="G201" t="s">
        <v>1195</v>
      </c>
      <c r="H201">
        <v>4</v>
      </c>
      <c r="I201" t="s">
        <v>27</v>
      </c>
      <c r="J201" s="86">
        <v>45417</v>
      </c>
      <c r="K201">
        <v>504.16</v>
      </c>
      <c r="L201">
        <v>3</v>
      </c>
      <c r="M201">
        <v>43</v>
      </c>
      <c r="N201" t="s">
        <v>54</v>
      </c>
      <c r="O201" t="s">
        <v>55</v>
      </c>
      <c r="P201" t="s">
        <v>56</v>
      </c>
      <c r="Q201" t="s">
        <v>69</v>
      </c>
    </row>
    <row r="202" spans="1:17" x14ac:dyDescent="0.3">
      <c r="A202" t="s">
        <v>1197</v>
      </c>
      <c r="B202" t="s">
        <v>1198</v>
      </c>
      <c r="C202">
        <v>69</v>
      </c>
      <c r="D202" t="s">
        <v>1199</v>
      </c>
      <c r="E202" t="s">
        <v>88</v>
      </c>
      <c r="F202" s="86">
        <v>44507</v>
      </c>
      <c r="G202" t="s">
        <v>1200</v>
      </c>
      <c r="H202">
        <v>2</v>
      </c>
      <c r="I202" t="s">
        <v>52</v>
      </c>
      <c r="J202" s="86">
        <v>44448</v>
      </c>
      <c r="K202">
        <v>483.12</v>
      </c>
      <c r="L202">
        <v>4</v>
      </c>
      <c r="M202">
        <v>23</v>
      </c>
      <c r="N202" t="s">
        <v>30</v>
      </c>
      <c r="O202" t="s">
        <v>821</v>
      </c>
      <c r="P202" t="s">
        <v>68</v>
      </c>
      <c r="Q202" t="s">
        <v>32</v>
      </c>
    </row>
    <row r="203" spans="1:17" x14ac:dyDescent="0.3">
      <c r="A203" t="s">
        <v>1202</v>
      </c>
      <c r="B203" t="s">
        <v>1203</v>
      </c>
      <c r="C203">
        <v>61</v>
      </c>
      <c r="D203" t="s">
        <v>1204</v>
      </c>
      <c r="E203" t="s">
        <v>61</v>
      </c>
      <c r="F203" t="s">
        <v>1195</v>
      </c>
      <c r="G203" s="86">
        <v>45694</v>
      </c>
      <c r="H203">
        <v>0</v>
      </c>
      <c r="I203" t="s">
        <v>52</v>
      </c>
      <c r="J203" t="s">
        <v>1205</v>
      </c>
      <c r="K203">
        <v>138.91999999999999</v>
      </c>
      <c r="L203">
        <v>6</v>
      </c>
      <c r="M203">
        <v>47</v>
      </c>
      <c r="N203" t="s">
        <v>54</v>
      </c>
      <c r="O203" t="s">
        <v>269</v>
      </c>
      <c r="P203" t="s">
        <v>56</v>
      </c>
      <c r="Q203" t="s">
        <v>69</v>
      </c>
    </row>
    <row r="204" spans="1:17" x14ac:dyDescent="0.3">
      <c r="A204" t="s">
        <v>1207</v>
      </c>
      <c r="B204" t="s">
        <v>1208</v>
      </c>
      <c r="C204">
        <v>68</v>
      </c>
      <c r="D204" t="s">
        <v>1209</v>
      </c>
      <c r="E204" t="s">
        <v>95</v>
      </c>
      <c r="F204" s="86">
        <v>44358</v>
      </c>
      <c r="G204" t="s">
        <v>1210</v>
      </c>
      <c r="H204">
        <v>4</v>
      </c>
      <c r="I204" t="s">
        <v>27</v>
      </c>
      <c r="J204" t="s">
        <v>487</v>
      </c>
      <c r="K204">
        <v>299.77999999999997</v>
      </c>
      <c r="L204">
        <v>6</v>
      </c>
      <c r="M204">
        <v>13</v>
      </c>
      <c r="N204" t="s">
        <v>45</v>
      </c>
      <c r="O204" t="s">
        <v>135</v>
      </c>
      <c r="P204" t="s">
        <v>45</v>
      </c>
      <c r="Q204" t="s">
        <v>32</v>
      </c>
    </row>
    <row r="205" spans="1:17" x14ac:dyDescent="0.3">
      <c r="A205" t="s">
        <v>1212</v>
      </c>
      <c r="B205" t="s">
        <v>1213</v>
      </c>
      <c r="C205">
        <v>61</v>
      </c>
      <c r="D205" t="s">
        <v>1214</v>
      </c>
      <c r="E205" t="s">
        <v>88</v>
      </c>
      <c r="F205" t="s">
        <v>1215</v>
      </c>
      <c r="G205" t="s">
        <v>1216</v>
      </c>
      <c r="H205">
        <v>4</v>
      </c>
      <c r="I205" t="s">
        <v>52</v>
      </c>
      <c r="J205" s="86">
        <v>44660</v>
      </c>
      <c r="K205">
        <v>296.68</v>
      </c>
      <c r="L205">
        <v>6</v>
      </c>
      <c r="M205">
        <v>6</v>
      </c>
      <c r="N205" t="s">
        <v>56</v>
      </c>
      <c r="O205" t="s">
        <v>194</v>
      </c>
      <c r="P205" t="s">
        <v>56</v>
      </c>
      <c r="Q205" t="s">
        <v>322</v>
      </c>
    </row>
    <row r="206" spans="1:17" x14ac:dyDescent="0.3">
      <c r="A206" t="s">
        <v>1218</v>
      </c>
      <c r="B206" t="s">
        <v>1219</v>
      </c>
      <c r="C206">
        <v>22</v>
      </c>
      <c r="D206" t="s">
        <v>1220</v>
      </c>
      <c r="E206" t="s">
        <v>40</v>
      </c>
      <c r="F206" s="86">
        <v>44535</v>
      </c>
      <c r="G206" t="s">
        <v>1221</v>
      </c>
      <c r="H206">
        <v>0</v>
      </c>
      <c r="I206" t="s">
        <v>27</v>
      </c>
      <c r="J206" s="86">
        <v>45452</v>
      </c>
      <c r="K206">
        <v>63.16</v>
      </c>
      <c r="L206">
        <v>2</v>
      </c>
      <c r="M206">
        <v>13</v>
      </c>
      <c r="N206" t="s">
        <v>56</v>
      </c>
      <c r="O206" t="s">
        <v>366</v>
      </c>
      <c r="P206" t="s">
        <v>54</v>
      </c>
      <c r="Q206" t="s">
        <v>32</v>
      </c>
    </row>
    <row r="207" spans="1:17" x14ac:dyDescent="0.3">
      <c r="A207" t="s">
        <v>1223</v>
      </c>
      <c r="B207" t="s">
        <v>1224</v>
      </c>
      <c r="C207">
        <v>58</v>
      </c>
      <c r="D207" t="s">
        <v>1225</v>
      </c>
      <c r="E207" t="s">
        <v>61</v>
      </c>
      <c r="F207" t="s">
        <v>1226</v>
      </c>
      <c r="G207" t="s">
        <v>274</v>
      </c>
      <c r="H207">
        <v>2</v>
      </c>
      <c r="I207" t="s">
        <v>52</v>
      </c>
      <c r="J207" t="s">
        <v>1227</v>
      </c>
      <c r="K207">
        <v>1484.8</v>
      </c>
      <c r="L207">
        <v>1</v>
      </c>
      <c r="M207">
        <v>13</v>
      </c>
      <c r="N207" t="s">
        <v>56</v>
      </c>
      <c r="O207" t="s">
        <v>128</v>
      </c>
      <c r="P207" t="s">
        <v>54</v>
      </c>
      <c r="Q207" t="s">
        <v>69</v>
      </c>
    </row>
    <row r="208" spans="1:17" x14ac:dyDescent="0.3">
      <c r="A208" t="s">
        <v>1229</v>
      </c>
      <c r="B208" t="s">
        <v>1230</v>
      </c>
      <c r="C208">
        <v>59</v>
      </c>
      <c r="D208" t="s">
        <v>1231</v>
      </c>
      <c r="E208" t="s">
        <v>88</v>
      </c>
      <c r="F208" t="s">
        <v>1232</v>
      </c>
      <c r="G208" s="86">
        <v>45242</v>
      </c>
      <c r="H208">
        <v>1</v>
      </c>
      <c r="I208" t="s">
        <v>27</v>
      </c>
      <c r="J208" s="86">
        <v>45510</v>
      </c>
      <c r="K208">
        <v>263.02</v>
      </c>
      <c r="L208">
        <v>6</v>
      </c>
      <c r="M208">
        <v>26</v>
      </c>
      <c r="N208" t="s">
        <v>68</v>
      </c>
      <c r="O208" t="s">
        <v>624</v>
      </c>
      <c r="P208" t="s">
        <v>30</v>
      </c>
      <c r="Q208" t="s">
        <v>32</v>
      </c>
    </row>
    <row r="209" spans="1:17" x14ac:dyDescent="0.3">
      <c r="A209" t="s">
        <v>1234</v>
      </c>
      <c r="B209" t="s">
        <v>1235</v>
      </c>
      <c r="C209">
        <v>32</v>
      </c>
      <c r="D209" t="s">
        <v>1236</v>
      </c>
      <c r="E209" t="s">
        <v>61</v>
      </c>
      <c r="F209" t="s">
        <v>1237</v>
      </c>
      <c r="G209" s="86">
        <v>44997</v>
      </c>
      <c r="H209">
        <v>1</v>
      </c>
      <c r="I209" t="s">
        <v>27</v>
      </c>
      <c r="J209" t="s">
        <v>1238</v>
      </c>
      <c r="K209">
        <v>1212.26</v>
      </c>
      <c r="L209">
        <v>1</v>
      </c>
      <c r="M209">
        <v>38</v>
      </c>
      <c r="N209" t="s">
        <v>56</v>
      </c>
      <c r="O209" t="s">
        <v>135</v>
      </c>
      <c r="P209" t="s">
        <v>45</v>
      </c>
      <c r="Q209" t="s">
        <v>69</v>
      </c>
    </row>
    <row r="210" spans="1:17" x14ac:dyDescent="0.3">
      <c r="A210" t="s">
        <v>1240</v>
      </c>
      <c r="B210" t="s">
        <v>1241</v>
      </c>
      <c r="C210">
        <v>37</v>
      </c>
      <c r="D210" t="s">
        <v>1242</v>
      </c>
      <c r="E210" t="s">
        <v>61</v>
      </c>
      <c r="F210" s="86">
        <v>44904</v>
      </c>
      <c r="G210" t="s">
        <v>1243</v>
      </c>
      <c r="H210">
        <v>0</v>
      </c>
      <c r="I210" t="s">
        <v>27</v>
      </c>
      <c r="J210" t="s">
        <v>773</v>
      </c>
      <c r="K210">
        <v>1790.4</v>
      </c>
      <c r="L210">
        <v>1</v>
      </c>
      <c r="M210">
        <v>33</v>
      </c>
      <c r="N210" t="s">
        <v>68</v>
      </c>
      <c r="O210" t="s">
        <v>269</v>
      </c>
      <c r="P210" t="s">
        <v>56</v>
      </c>
      <c r="Q210" t="s">
        <v>69</v>
      </c>
    </row>
    <row r="211" spans="1:17" x14ac:dyDescent="0.3">
      <c r="A211" t="s">
        <v>1245</v>
      </c>
      <c r="B211" t="s">
        <v>1246</v>
      </c>
      <c r="C211">
        <v>30</v>
      </c>
      <c r="D211" t="s">
        <v>1247</v>
      </c>
      <c r="E211" t="s">
        <v>51</v>
      </c>
      <c r="F211" s="86">
        <v>44899</v>
      </c>
      <c r="G211" t="s">
        <v>75</v>
      </c>
      <c r="H211">
        <v>2</v>
      </c>
      <c r="I211" t="s">
        <v>27</v>
      </c>
      <c r="J211" t="s">
        <v>847</v>
      </c>
      <c r="K211">
        <v>582.62</v>
      </c>
      <c r="L211">
        <v>2</v>
      </c>
      <c r="M211">
        <v>6</v>
      </c>
      <c r="N211" t="s">
        <v>56</v>
      </c>
      <c r="O211" t="s">
        <v>175</v>
      </c>
      <c r="P211" t="s">
        <v>56</v>
      </c>
      <c r="Q211" t="s">
        <v>69</v>
      </c>
    </row>
    <row r="212" spans="1:17" x14ac:dyDescent="0.3">
      <c r="A212" t="s">
        <v>1249</v>
      </c>
      <c r="B212" t="s">
        <v>1250</v>
      </c>
      <c r="C212">
        <v>30</v>
      </c>
      <c r="D212" t="s">
        <v>1251</v>
      </c>
      <c r="E212" t="s">
        <v>95</v>
      </c>
      <c r="F212" t="s">
        <v>1252</v>
      </c>
      <c r="G212" t="s">
        <v>1253</v>
      </c>
      <c r="H212">
        <v>0</v>
      </c>
      <c r="I212" t="s">
        <v>27</v>
      </c>
      <c r="J212" s="86">
        <v>44568</v>
      </c>
      <c r="K212">
        <v>181.32</v>
      </c>
      <c r="L212">
        <v>2</v>
      </c>
      <c r="M212">
        <v>40</v>
      </c>
      <c r="N212" t="s">
        <v>45</v>
      </c>
      <c r="O212" t="s">
        <v>610</v>
      </c>
      <c r="P212" t="s">
        <v>68</v>
      </c>
      <c r="Q212" t="s">
        <v>32</v>
      </c>
    </row>
    <row r="213" spans="1:17" x14ac:dyDescent="0.3">
      <c r="A213" t="s">
        <v>1255</v>
      </c>
      <c r="B213" t="s">
        <v>1256</v>
      </c>
      <c r="C213">
        <v>65</v>
      </c>
      <c r="D213" t="s">
        <v>1257</v>
      </c>
      <c r="E213" t="s">
        <v>95</v>
      </c>
      <c r="F213" s="86">
        <v>44776</v>
      </c>
      <c r="G213" t="s">
        <v>773</v>
      </c>
      <c r="H213">
        <v>2</v>
      </c>
      <c r="I213" t="s">
        <v>64</v>
      </c>
      <c r="J213" t="s">
        <v>1258</v>
      </c>
      <c r="K213">
        <v>174.87</v>
      </c>
      <c r="L213">
        <v>9</v>
      </c>
      <c r="M213">
        <v>34</v>
      </c>
      <c r="N213" t="s">
        <v>30</v>
      </c>
      <c r="O213" t="s">
        <v>169</v>
      </c>
      <c r="P213" t="s">
        <v>30</v>
      </c>
      <c r="Q213" t="s">
        <v>69</v>
      </c>
    </row>
    <row r="214" spans="1:17" x14ac:dyDescent="0.3">
      <c r="A214" t="s">
        <v>1260</v>
      </c>
      <c r="B214" t="s">
        <v>1261</v>
      </c>
      <c r="C214">
        <v>48</v>
      </c>
      <c r="D214" t="s">
        <v>1262</v>
      </c>
      <c r="E214" t="s">
        <v>25</v>
      </c>
      <c r="F214" t="s">
        <v>1263</v>
      </c>
      <c r="G214" s="86">
        <v>45598</v>
      </c>
      <c r="H214">
        <v>4</v>
      </c>
      <c r="I214" t="s">
        <v>52</v>
      </c>
      <c r="J214" s="86">
        <v>45266</v>
      </c>
      <c r="K214">
        <v>462.9</v>
      </c>
      <c r="L214">
        <v>3</v>
      </c>
      <c r="M214">
        <v>45</v>
      </c>
      <c r="N214" t="s">
        <v>56</v>
      </c>
      <c r="O214" t="s">
        <v>44</v>
      </c>
      <c r="P214" t="s">
        <v>45</v>
      </c>
      <c r="Q214" t="s">
        <v>32</v>
      </c>
    </row>
    <row r="215" spans="1:17" x14ac:dyDescent="0.3">
      <c r="A215" t="s">
        <v>1265</v>
      </c>
      <c r="B215" t="s">
        <v>1266</v>
      </c>
      <c r="C215">
        <v>56</v>
      </c>
      <c r="D215" t="s">
        <v>1267</v>
      </c>
      <c r="E215" t="s">
        <v>51</v>
      </c>
      <c r="F215" s="86">
        <v>44287</v>
      </c>
      <c r="G215" t="s">
        <v>1268</v>
      </c>
      <c r="H215">
        <v>2</v>
      </c>
      <c r="I215" t="s">
        <v>52</v>
      </c>
      <c r="J215" t="s">
        <v>830</v>
      </c>
      <c r="K215">
        <v>490.01</v>
      </c>
      <c r="L215">
        <v>3</v>
      </c>
      <c r="M215">
        <v>40</v>
      </c>
      <c r="N215" t="s">
        <v>30</v>
      </c>
      <c r="O215" t="s">
        <v>128</v>
      </c>
      <c r="P215" t="s">
        <v>54</v>
      </c>
      <c r="Q215" t="s">
        <v>32</v>
      </c>
    </row>
    <row r="216" spans="1:17" x14ac:dyDescent="0.3">
      <c r="A216" t="s">
        <v>1270</v>
      </c>
      <c r="B216" t="s">
        <v>1271</v>
      </c>
      <c r="C216">
        <v>29</v>
      </c>
      <c r="D216" t="s">
        <v>1272</v>
      </c>
      <c r="E216" t="s">
        <v>88</v>
      </c>
      <c r="F216" t="s">
        <v>1273</v>
      </c>
      <c r="G216" t="s">
        <v>107</v>
      </c>
      <c r="H216">
        <v>0</v>
      </c>
      <c r="I216" t="s">
        <v>52</v>
      </c>
      <c r="J216" t="s">
        <v>284</v>
      </c>
      <c r="K216">
        <v>1068.3399999999999</v>
      </c>
      <c r="L216">
        <v>1</v>
      </c>
      <c r="M216">
        <v>36</v>
      </c>
      <c r="N216" t="s">
        <v>45</v>
      </c>
      <c r="O216" t="s">
        <v>597</v>
      </c>
      <c r="P216" t="s">
        <v>45</v>
      </c>
      <c r="Q216" t="s">
        <v>32</v>
      </c>
    </row>
    <row r="217" spans="1:17" x14ac:dyDescent="0.3">
      <c r="A217" t="s">
        <v>1275</v>
      </c>
      <c r="B217" t="s">
        <v>1276</v>
      </c>
      <c r="C217">
        <v>64</v>
      </c>
      <c r="D217" t="s">
        <v>1277</v>
      </c>
      <c r="E217" t="s">
        <v>61</v>
      </c>
      <c r="F217" s="86">
        <v>44411</v>
      </c>
      <c r="G217" t="s">
        <v>1278</v>
      </c>
      <c r="H217">
        <v>4</v>
      </c>
      <c r="I217" t="s">
        <v>27</v>
      </c>
      <c r="J217" s="86">
        <v>45387</v>
      </c>
      <c r="K217">
        <v>151.03</v>
      </c>
      <c r="L217">
        <v>8</v>
      </c>
      <c r="M217">
        <v>30</v>
      </c>
      <c r="N217" t="s">
        <v>68</v>
      </c>
      <c r="O217" t="s">
        <v>199</v>
      </c>
      <c r="P217" t="s">
        <v>54</v>
      </c>
      <c r="Q217" t="s">
        <v>69</v>
      </c>
    </row>
    <row r="218" spans="1:17" x14ac:dyDescent="0.3">
      <c r="A218" t="s">
        <v>1280</v>
      </c>
      <c r="B218" t="s">
        <v>1281</v>
      </c>
      <c r="C218">
        <v>48</v>
      </c>
      <c r="D218" t="s">
        <v>1282</v>
      </c>
      <c r="E218" t="s">
        <v>51</v>
      </c>
      <c r="F218" s="86">
        <v>44723</v>
      </c>
      <c r="G218" t="s">
        <v>1283</v>
      </c>
      <c r="H218">
        <v>3</v>
      </c>
      <c r="I218" t="s">
        <v>27</v>
      </c>
      <c r="J218" s="86">
        <v>45177</v>
      </c>
      <c r="K218">
        <v>152.35</v>
      </c>
      <c r="L218">
        <v>8</v>
      </c>
      <c r="M218">
        <v>32</v>
      </c>
      <c r="N218" t="s">
        <v>30</v>
      </c>
      <c r="O218" t="s">
        <v>44</v>
      </c>
      <c r="P218" t="s">
        <v>45</v>
      </c>
      <c r="Q218" t="s">
        <v>32</v>
      </c>
    </row>
    <row r="219" spans="1:17" x14ac:dyDescent="0.3">
      <c r="A219" t="s">
        <v>1285</v>
      </c>
      <c r="B219" t="s">
        <v>1286</v>
      </c>
      <c r="C219">
        <v>59</v>
      </c>
      <c r="D219" t="s">
        <v>1287</v>
      </c>
      <c r="E219" t="s">
        <v>88</v>
      </c>
      <c r="F219" t="s">
        <v>1288</v>
      </c>
      <c r="G219" s="86">
        <v>45028</v>
      </c>
      <c r="H219">
        <v>5</v>
      </c>
      <c r="I219" t="s">
        <v>27</v>
      </c>
      <c r="J219" s="86">
        <v>45055</v>
      </c>
      <c r="K219">
        <v>277.17</v>
      </c>
      <c r="L219">
        <v>7</v>
      </c>
      <c r="M219">
        <v>3</v>
      </c>
      <c r="N219" t="s">
        <v>54</v>
      </c>
      <c r="O219" t="s">
        <v>211</v>
      </c>
      <c r="P219" t="s">
        <v>68</v>
      </c>
      <c r="Q219" t="s">
        <v>69</v>
      </c>
    </row>
    <row r="220" spans="1:17" x14ac:dyDescent="0.3">
      <c r="A220" t="s">
        <v>1290</v>
      </c>
      <c r="B220" t="s">
        <v>1291</v>
      </c>
      <c r="C220">
        <v>36</v>
      </c>
      <c r="D220" t="s">
        <v>1292</v>
      </c>
      <c r="E220" t="s">
        <v>25</v>
      </c>
      <c r="F220" s="86">
        <v>44568</v>
      </c>
      <c r="G220" t="s">
        <v>918</v>
      </c>
      <c r="H220">
        <v>5</v>
      </c>
      <c r="I220" t="s">
        <v>27</v>
      </c>
      <c r="J220" t="s">
        <v>1293</v>
      </c>
      <c r="K220">
        <v>90.95</v>
      </c>
      <c r="L220">
        <v>1</v>
      </c>
      <c r="M220">
        <v>30</v>
      </c>
      <c r="N220" t="s">
        <v>30</v>
      </c>
      <c r="O220" t="s">
        <v>610</v>
      </c>
      <c r="P220" t="s">
        <v>68</v>
      </c>
      <c r="Q220" t="s">
        <v>32</v>
      </c>
    </row>
    <row r="221" spans="1:17" x14ac:dyDescent="0.3">
      <c r="A221" t="s">
        <v>1295</v>
      </c>
      <c r="B221" t="s">
        <v>1296</v>
      </c>
      <c r="C221">
        <v>20</v>
      </c>
      <c r="D221" t="s">
        <v>1297</v>
      </c>
      <c r="E221" t="s">
        <v>25</v>
      </c>
      <c r="F221" t="s">
        <v>1298</v>
      </c>
      <c r="G221" t="s">
        <v>530</v>
      </c>
      <c r="H221">
        <v>4</v>
      </c>
      <c r="I221" t="s">
        <v>27</v>
      </c>
      <c r="J221" s="86">
        <v>45875</v>
      </c>
      <c r="K221">
        <v>813.9</v>
      </c>
      <c r="L221">
        <v>2</v>
      </c>
      <c r="M221">
        <v>38</v>
      </c>
      <c r="N221" t="s">
        <v>30</v>
      </c>
      <c r="O221" t="s">
        <v>169</v>
      </c>
      <c r="P221" t="s">
        <v>30</v>
      </c>
      <c r="Q221" t="s">
        <v>32</v>
      </c>
    </row>
    <row r="222" spans="1:17" x14ac:dyDescent="0.3">
      <c r="A222" t="s">
        <v>1300</v>
      </c>
      <c r="B222" t="s">
        <v>1301</v>
      </c>
      <c r="C222">
        <v>51</v>
      </c>
      <c r="D222" t="s">
        <v>1302</v>
      </c>
      <c r="E222" t="s">
        <v>51</v>
      </c>
      <c r="F222" s="86">
        <v>44718</v>
      </c>
      <c r="G222" s="86">
        <v>45267</v>
      </c>
      <c r="H222">
        <v>3</v>
      </c>
      <c r="I222" t="s">
        <v>64</v>
      </c>
      <c r="J222" t="s">
        <v>1105</v>
      </c>
      <c r="K222">
        <v>262.87</v>
      </c>
      <c r="L222">
        <v>3</v>
      </c>
      <c r="M222">
        <v>27</v>
      </c>
      <c r="N222" t="s">
        <v>45</v>
      </c>
      <c r="O222" t="s">
        <v>821</v>
      </c>
      <c r="P222" t="s">
        <v>68</v>
      </c>
      <c r="Q222" t="s">
        <v>32</v>
      </c>
    </row>
    <row r="223" spans="1:17" x14ac:dyDescent="0.3">
      <c r="A223" t="s">
        <v>1304</v>
      </c>
      <c r="B223" t="s">
        <v>1305</v>
      </c>
      <c r="C223">
        <v>49</v>
      </c>
      <c r="D223" t="s">
        <v>1306</v>
      </c>
      <c r="E223" t="s">
        <v>40</v>
      </c>
      <c r="F223" s="86">
        <v>43840</v>
      </c>
      <c r="G223" t="s">
        <v>1307</v>
      </c>
      <c r="H223">
        <v>2</v>
      </c>
      <c r="I223" t="s">
        <v>27</v>
      </c>
      <c r="J223" s="86">
        <v>45112</v>
      </c>
      <c r="K223">
        <v>173.2</v>
      </c>
      <c r="L223">
        <v>8</v>
      </c>
      <c r="M223">
        <v>45</v>
      </c>
      <c r="N223" t="s">
        <v>30</v>
      </c>
      <c r="O223" t="s">
        <v>425</v>
      </c>
      <c r="P223" t="s">
        <v>30</v>
      </c>
      <c r="Q223" t="s">
        <v>32</v>
      </c>
    </row>
    <row r="224" spans="1:17" x14ac:dyDescent="0.3">
      <c r="A224" t="s">
        <v>1309</v>
      </c>
      <c r="B224" t="s">
        <v>1310</v>
      </c>
      <c r="C224">
        <v>46</v>
      </c>
      <c r="D224" t="s">
        <v>1311</v>
      </c>
      <c r="E224" t="s">
        <v>25</v>
      </c>
      <c r="F224" t="s">
        <v>1263</v>
      </c>
      <c r="G224" t="s">
        <v>1312</v>
      </c>
      <c r="H224">
        <v>1</v>
      </c>
      <c r="I224" t="s">
        <v>27</v>
      </c>
      <c r="J224" t="s">
        <v>1313</v>
      </c>
      <c r="K224">
        <v>398.18</v>
      </c>
      <c r="L224">
        <v>5</v>
      </c>
      <c r="M224">
        <v>12</v>
      </c>
      <c r="N224" t="s">
        <v>30</v>
      </c>
      <c r="O224" t="s">
        <v>142</v>
      </c>
      <c r="P224" t="s">
        <v>68</v>
      </c>
      <c r="Q224" t="s">
        <v>32</v>
      </c>
    </row>
    <row r="225" spans="1:17" x14ac:dyDescent="0.3">
      <c r="A225" t="s">
        <v>1315</v>
      </c>
      <c r="B225" t="s">
        <v>1316</v>
      </c>
      <c r="C225">
        <v>25</v>
      </c>
      <c r="D225" t="s">
        <v>1317</v>
      </c>
      <c r="E225" t="s">
        <v>51</v>
      </c>
      <c r="F225" s="86">
        <v>45047</v>
      </c>
      <c r="G225" t="s">
        <v>1318</v>
      </c>
      <c r="H225">
        <v>0</v>
      </c>
      <c r="I225" t="s">
        <v>27</v>
      </c>
      <c r="J225" s="86">
        <v>44931</v>
      </c>
      <c r="K225">
        <v>211.82</v>
      </c>
      <c r="L225">
        <v>8</v>
      </c>
      <c r="M225">
        <v>32</v>
      </c>
      <c r="N225" t="s">
        <v>45</v>
      </c>
      <c r="O225" t="s">
        <v>610</v>
      </c>
      <c r="P225" t="s">
        <v>68</v>
      </c>
      <c r="Q225" t="s">
        <v>32</v>
      </c>
    </row>
    <row r="226" spans="1:17" x14ac:dyDescent="0.3">
      <c r="A226" t="s">
        <v>1320</v>
      </c>
      <c r="B226" t="s">
        <v>1321</v>
      </c>
      <c r="C226">
        <v>19</v>
      </c>
      <c r="D226" t="s">
        <v>1322</v>
      </c>
      <c r="E226" t="s">
        <v>40</v>
      </c>
      <c r="F226" t="s">
        <v>1323</v>
      </c>
      <c r="G226" s="86">
        <v>45546</v>
      </c>
      <c r="H226">
        <v>1</v>
      </c>
      <c r="I226" t="s">
        <v>27</v>
      </c>
      <c r="J226" t="s">
        <v>1324</v>
      </c>
      <c r="K226">
        <v>255.77</v>
      </c>
      <c r="L226">
        <v>6</v>
      </c>
      <c r="M226">
        <v>21</v>
      </c>
      <c r="N226" t="s">
        <v>68</v>
      </c>
      <c r="O226" t="s">
        <v>122</v>
      </c>
      <c r="P226" t="s">
        <v>30</v>
      </c>
      <c r="Q226" t="s">
        <v>32</v>
      </c>
    </row>
    <row r="227" spans="1:17" x14ac:dyDescent="0.3">
      <c r="A227" t="s">
        <v>1326</v>
      </c>
      <c r="B227" t="s">
        <v>1327</v>
      </c>
      <c r="C227">
        <v>62</v>
      </c>
      <c r="D227" t="s">
        <v>1328</v>
      </c>
      <c r="E227" t="s">
        <v>95</v>
      </c>
      <c r="F227" t="s">
        <v>409</v>
      </c>
      <c r="G227" s="86">
        <v>45331</v>
      </c>
      <c r="H227">
        <v>5</v>
      </c>
      <c r="I227" t="s">
        <v>27</v>
      </c>
      <c r="J227" s="86">
        <v>45509</v>
      </c>
      <c r="K227">
        <v>63.52</v>
      </c>
      <c r="L227">
        <v>8</v>
      </c>
      <c r="M227">
        <v>7</v>
      </c>
      <c r="N227" t="s">
        <v>68</v>
      </c>
      <c r="O227" t="s">
        <v>122</v>
      </c>
      <c r="P227" t="s">
        <v>30</v>
      </c>
      <c r="Q227" t="s">
        <v>32</v>
      </c>
    </row>
    <row r="228" spans="1:17" x14ac:dyDescent="0.3">
      <c r="A228" t="s">
        <v>1330</v>
      </c>
      <c r="B228" t="s">
        <v>1331</v>
      </c>
      <c r="C228">
        <v>52</v>
      </c>
      <c r="D228" t="s">
        <v>1332</v>
      </c>
      <c r="E228" t="s">
        <v>88</v>
      </c>
      <c r="F228" t="s">
        <v>1333</v>
      </c>
      <c r="G228" s="86">
        <v>44904</v>
      </c>
      <c r="H228">
        <v>2</v>
      </c>
      <c r="I228" t="s">
        <v>27</v>
      </c>
      <c r="J228" s="86">
        <v>45079</v>
      </c>
      <c r="K228">
        <v>317.31</v>
      </c>
      <c r="L228">
        <v>5</v>
      </c>
      <c r="M228">
        <v>45</v>
      </c>
      <c r="N228" t="s">
        <v>54</v>
      </c>
      <c r="O228" t="s">
        <v>169</v>
      </c>
      <c r="P228" t="s">
        <v>30</v>
      </c>
      <c r="Q228" t="s">
        <v>32</v>
      </c>
    </row>
    <row r="229" spans="1:17" x14ac:dyDescent="0.3">
      <c r="A229" t="s">
        <v>1335</v>
      </c>
      <c r="B229" t="s">
        <v>1336</v>
      </c>
      <c r="C229">
        <v>52</v>
      </c>
      <c r="D229" t="s">
        <v>1337</v>
      </c>
      <c r="E229" t="s">
        <v>88</v>
      </c>
      <c r="F229" t="s">
        <v>166</v>
      </c>
      <c r="G229" t="s">
        <v>1338</v>
      </c>
      <c r="H229">
        <v>5</v>
      </c>
      <c r="I229" t="s">
        <v>27</v>
      </c>
      <c r="J229" t="s">
        <v>1339</v>
      </c>
      <c r="K229">
        <v>436.16</v>
      </c>
      <c r="L229">
        <v>2</v>
      </c>
      <c r="M229">
        <v>11</v>
      </c>
      <c r="N229" t="s">
        <v>30</v>
      </c>
      <c r="O229" t="s">
        <v>149</v>
      </c>
      <c r="P229" t="s">
        <v>30</v>
      </c>
      <c r="Q229" t="s">
        <v>322</v>
      </c>
    </row>
    <row r="230" spans="1:17" x14ac:dyDescent="0.3">
      <c r="A230" t="s">
        <v>1341</v>
      </c>
      <c r="B230" t="s">
        <v>1342</v>
      </c>
      <c r="C230">
        <v>47</v>
      </c>
      <c r="D230" t="s">
        <v>1343</v>
      </c>
      <c r="E230" t="s">
        <v>88</v>
      </c>
      <c r="F230" t="s">
        <v>1344</v>
      </c>
      <c r="G230" t="s">
        <v>790</v>
      </c>
      <c r="H230">
        <v>0</v>
      </c>
      <c r="I230" t="s">
        <v>27</v>
      </c>
      <c r="J230" t="s">
        <v>614</v>
      </c>
      <c r="K230">
        <v>366.64</v>
      </c>
      <c r="L230">
        <v>4</v>
      </c>
      <c r="M230">
        <v>13</v>
      </c>
      <c r="N230" t="s">
        <v>30</v>
      </c>
      <c r="O230" t="s">
        <v>149</v>
      </c>
      <c r="P230" t="s">
        <v>30</v>
      </c>
      <c r="Q230" t="s">
        <v>32</v>
      </c>
    </row>
    <row r="231" spans="1:17" x14ac:dyDescent="0.3">
      <c r="A231" t="s">
        <v>1346</v>
      </c>
      <c r="B231" t="s">
        <v>1347</v>
      </c>
      <c r="C231">
        <v>46</v>
      </c>
      <c r="D231" t="s">
        <v>1348</v>
      </c>
      <c r="E231" t="s">
        <v>95</v>
      </c>
      <c r="F231" t="s">
        <v>808</v>
      </c>
      <c r="G231" t="s">
        <v>1349</v>
      </c>
      <c r="H231">
        <v>2</v>
      </c>
      <c r="I231" t="s">
        <v>27</v>
      </c>
      <c r="J231" t="s">
        <v>320</v>
      </c>
      <c r="K231">
        <v>347.76</v>
      </c>
      <c r="L231">
        <v>4</v>
      </c>
      <c r="M231">
        <v>27</v>
      </c>
      <c r="N231" t="s">
        <v>68</v>
      </c>
      <c r="O231" t="s">
        <v>269</v>
      </c>
      <c r="P231" t="s">
        <v>56</v>
      </c>
      <c r="Q231" t="s">
        <v>69</v>
      </c>
    </row>
    <row r="232" spans="1:17" x14ac:dyDescent="0.3">
      <c r="A232" t="s">
        <v>1351</v>
      </c>
      <c r="B232" t="s">
        <v>1352</v>
      </c>
      <c r="C232">
        <v>18</v>
      </c>
      <c r="D232" t="s">
        <v>1353</v>
      </c>
      <c r="E232" t="s">
        <v>61</v>
      </c>
      <c r="F232" t="s">
        <v>1354</v>
      </c>
      <c r="G232" t="s">
        <v>1355</v>
      </c>
      <c r="H232">
        <v>1</v>
      </c>
      <c r="I232" t="s">
        <v>27</v>
      </c>
      <c r="J232" t="s">
        <v>1356</v>
      </c>
      <c r="K232">
        <v>220.93</v>
      </c>
      <c r="L232">
        <v>8</v>
      </c>
      <c r="M232">
        <v>38</v>
      </c>
      <c r="N232" t="s">
        <v>45</v>
      </c>
      <c r="O232" t="s">
        <v>251</v>
      </c>
      <c r="P232" t="s">
        <v>30</v>
      </c>
      <c r="Q232" t="s">
        <v>32</v>
      </c>
    </row>
    <row r="233" spans="1:17" x14ac:dyDescent="0.3">
      <c r="A233" t="s">
        <v>1358</v>
      </c>
      <c r="B233" t="s">
        <v>1359</v>
      </c>
      <c r="C233">
        <v>66</v>
      </c>
      <c r="D233" t="s">
        <v>1360</v>
      </c>
      <c r="E233" t="s">
        <v>51</v>
      </c>
      <c r="F233" s="86">
        <v>45261</v>
      </c>
      <c r="G233" s="86">
        <v>45663</v>
      </c>
      <c r="H233">
        <v>5</v>
      </c>
      <c r="I233" t="s">
        <v>27</v>
      </c>
      <c r="J233" s="86">
        <v>45844</v>
      </c>
      <c r="K233">
        <v>1331.03</v>
      </c>
      <c r="L233">
        <v>1</v>
      </c>
      <c r="M233">
        <v>33</v>
      </c>
      <c r="N233" t="s">
        <v>30</v>
      </c>
      <c r="O233" t="s">
        <v>238</v>
      </c>
      <c r="P233" t="s">
        <v>45</v>
      </c>
      <c r="Q233" t="s">
        <v>32</v>
      </c>
    </row>
    <row r="234" spans="1:17" x14ac:dyDescent="0.3">
      <c r="A234" t="s">
        <v>1362</v>
      </c>
      <c r="B234" t="s">
        <v>1363</v>
      </c>
      <c r="C234">
        <v>54</v>
      </c>
      <c r="D234" t="s">
        <v>1364</v>
      </c>
      <c r="E234" t="s">
        <v>95</v>
      </c>
      <c r="F234" t="s">
        <v>621</v>
      </c>
      <c r="G234" s="86">
        <v>45087</v>
      </c>
      <c r="H234">
        <v>4</v>
      </c>
      <c r="I234" t="s">
        <v>52</v>
      </c>
      <c r="J234" s="86">
        <v>45600</v>
      </c>
      <c r="K234">
        <v>134.4</v>
      </c>
      <c r="L234">
        <v>5</v>
      </c>
      <c r="M234">
        <v>30</v>
      </c>
      <c r="N234" t="s">
        <v>54</v>
      </c>
      <c r="O234" t="s">
        <v>597</v>
      </c>
      <c r="P234" t="s">
        <v>45</v>
      </c>
      <c r="Q234" t="s">
        <v>322</v>
      </c>
    </row>
    <row r="235" spans="1:17" x14ac:dyDescent="0.3">
      <c r="A235" t="s">
        <v>1366</v>
      </c>
      <c r="B235" t="s">
        <v>1367</v>
      </c>
      <c r="C235">
        <v>35</v>
      </c>
      <c r="D235" t="s">
        <v>1368</v>
      </c>
      <c r="E235" t="s">
        <v>61</v>
      </c>
      <c r="F235" s="86">
        <v>44746</v>
      </c>
      <c r="G235" s="86">
        <v>45328</v>
      </c>
      <c r="H235">
        <v>1</v>
      </c>
      <c r="I235" t="s">
        <v>27</v>
      </c>
      <c r="J235" t="s">
        <v>1369</v>
      </c>
      <c r="K235">
        <v>133.25</v>
      </c>
      <c r="L235">
        <v>9</v>
      </c>
      <c r="M235">
        <v>26</v>
      </c>
      <c r="N235" t="s">
        <v>54</v>
      </c>
      <c r="O235" t="s">
        <v>238</v>
      </c>
      <c r="P235" t="s">
        <v>45</v>
      </c>
      <c r="Q235" t="s">
        <v>32</v>
      </c>
    </row>
    <row r="236" spans="1:17" x14ac:dyDescent="0.3">
      <c r="A236" t="s">
        <v>1371</v>
      </c>
      <c r="B236" t="s">
        <v>1372</v>
      </c>
      <c r="C236">
        <v>65</v>
      </c>
      <c r="D236" t="s">
        <v>1373</v>
      </c>
      <c r="E236" t="s">
        <v>40</v>
      </c>
      <c r="F236" t="s">
        <v>1374</v>
      </c>
      <c r="G236" s="86">
        <v>45778</v>
      </c>
      <c r="H236">
        <v>1</v>
      </c>
      <c r="I236" t="s">
        <v>52</v>
      </c>
      <c r="J236" t="s">
        <v>1375</v>
      </c>
      <c r="K236">
        <v>210.26</v>
      </c>
      <c r="L236">
        <v>9</v>
      </c>
      <c r="M236">
        <v>15</v>
      </c>
      <c r="N236" t="s">
        <v>30</v>
      </c>
      <c r="O236" t="s">
        <v>149</v>
      </c>
      <c r="P236" t="s">
        <v>30</v>
      </c>
      <c r="Q236" t="s">
        <v>69</v>
      </c>
    </row>
    <row r="237" spans="1:17" x14ac:dyDescent="0.3">
      <c r="A237" t="s">
        <v>1377</v>
      </c>
      <c r="B237" t="s">
        <v>1378</v>
      </c>
      <c r="C237">
        <v>22</v>
      </c>
      <c r="D237" t="s">
        <v>1379</v>
      </c>
      <c r="E237" t="s">
        <v>51</v>
      </c>
      <c r="F237" t="s">
        <v>1380</v>
      </c>
      <c r="G237" t="s">
        <v>825</v>
      </c>
      <c r="H237">
        <v>0</v>
      </c>
      <c r="I237" t="s">
        <v>52</v>
      </c>
      <c r="J237" t="s">
        <v>1381</v>
      </c>
      <c r="K237">
        <v>80.209999999999994</v>
      </c>
      <c r="L237">
        <v>8</v>
      </c>
      <c r="M237">
        <v>47</v>
      </c>
      <c r="N237" t="s">
        <v>56</v>
      </c>
      <c r="O237" t="s">
        <v>135</v>
      </c>
      <c r="P237" t="s">
        <v>45</v>
      </c>
      <c r="Q237" t="s">
        <v>32</v>
      </c>
    </row>
    <row r="238" spans="1:17" x14ac:dyDescent="0.3">
      <c r="A238" t="s">
        <v>1383</v>
      </c>
      <c r="B238" t="s">
        <v>1384</v>
      </c>
      <c r="C238">
        <v>60</v>
      </c>
      <c r="D238" t="s">
        <v>1385</v>
      </c>
      <c r="E238" t="s">
        <v>51</v>
      </c>
      <c r="F238" t="s">
        <v>550</v>
      </c>
      <c r="G238" t="s">
        <v>1386</v>
      </c>
      <c r="H238">
        <v>2</v>
      </c>
      <c r="I238" t="s">
        <v>27</v>
      </c>
      <c r="J238" s="86">
        <v>45239</v>
      </c>
      <c r="K238">
        <v>133.84</v>
      </c>
      <c r="L238">
        <v>4</v>
      </c>
      <c r="M238">
        <v>11</v>
      </c>
      <c r="N238" t="s">
        <v>45</v>
      </c>
      <c r="O238" t="s">
        <v>223</v>
      </c>
      <c r="P238" t="s">
        <v>56</v>
      </c>
      <c r="Q238" t="s">
        <v>32</v>
      </c>
    </row>
    <row r="239" spans="1:17" x14ac:dyDescent="0.3">
      <c r="A239" t="s">
        <v>1388</v>
      </c>
      <c r="B239" t="s">
        <v>1389</v>
      </c>
      <c r="C239">
        <v>57</v>
      </c>
      <c r="D239" t="s">
        <v>1390</v>
      </c>
      <c r="E239" t="s">
        <v>88</v>
      </c>
      <c r="F239" s="86">
        <v>45200</v>
      </c>
      <c r="G239" s="86">
        <v>45117</v>
      </c>
      <c r="H239">
        <v>1</v>
      </c>
      <c r="I239" t="s">
        <v>52</v>
      </c>
      <c r="J239" t="s">
        <v>1391</v>
      </c>
      <c r="K239">
        <v>286.69</v>
      </c>
      <c r="L239">
        <v>4</v>
      </c>
      <c r="M239">
        <v>28</v>
      </c>
      <c r="N239" t="s">
        <v>54</v>
      </c>
      <c r="O239" t="s">
        <v>142</v>
      </c>
      <c r="P239" t="s">
        <v>68</v>
      </c>
      <c r="Q239" t="s">
        <v>32</v>
      </c>
    </row>
    <row r="240" spans="1:17" x14ac:dyDescent="0.3">
      <c r="A240" t="s">
        <v>1393</v>
      </c>
      <c r="B240" t="s">
        <v>1394</v>
      </c>
      <c r="C240">
        <v>37</v>
      </c>
      <c r="D240" t="s">
        <v>1395</v>
      </c>
      <c r="E240" t="s">
        <v>25</v>
      </c>
      <c r="F240" t="s">
        <v>1396</v>
      </c>
      <c r="G240" t="s">
        <v>1397</v>
      </c>
      <c r="H240">
        <v>2</v>
      </c>
      <c r="I240" t="s">
        <v>27</v>
      </c>
      <c r="J240" t="s">
        <v>382</v>
      </c>
      <c r="K240">
        <v>55.18</v>
      </c>
      <c r="L240">
        <v>8</v>
      </c>
      <c r="M240">
        <v>3</v>
      </c>
      <c r="N240" t="s">
        <v>54</v>
      </c>
      <c r="O240" t="s">
        <v>199</v>
      </c>
      <c r="P240" t="s">
        <v>54</v>
      </c>
      <c r="Q240" t="s">
        <v>32</v>
      </c>
    </row>
    <row r="241" spans="1:17" x14ac:dyDescent="0.3">
      <c r="A241" t="s">
        <v>1399</v>
      </c>
      <c r="B241" t="s">
        <v>1400</v>
      </c>
      <c r="C241">
        <v>50</v>
      </c>
      <c r="D241" t="s">
        <v>1401</v>
      </c>
      <c r="E241" t="s">
        <v>40</v>
      </c>
      <c r="F241" t="s">
        <v>1210</v>
      </c>
      <c r="G241" t="s">
        <v>1402</v>
      </c>
      <c r="H241">
        <v>5</v>
      </c>
      <c r="I241" t="s">
        <v>27</v>
      </c>
      <c r="J241" s="86">
        <v>45749</v>
      </c>
      <c r="K241">
        <v>25.75</v>
      </c>
      <c r="L241">
        <v>7</v>
      </c>
      <c r="M241">
        <v>8</v>
      </c>
      <c r="N241" t="s">
        <v>56</v>
      </c>
      <c r="O241" t="s">
        <v>231</v>
      </c>
      <c r="P241" t="s">
        <v>30</v>
      </c>
      <c r="Q241" t="s">
        <v>32</v>
      </c>
    </row>
    <row r="242" spans="1:17" x14ac:dyDescent="0.3">
      <c r="A242" t="s">
        <v>1404</v>
      </c>
      <c r="B242" t="s">
        <v>1405</v>
      </c>
      <c r="C242">
        <v>22</v>
      </c>
      <c r="D242" t="s">
        <v>1406</v>
      </c>
      <c r="E242" t="s">
        <v>88</v>
      </c>
      <c r="F242" t="s">
        <v>1407</v>
      </c>
      <c r="G242" s="86">
        <v>45173</v>
      </c>
      <c r="H242">
        <v>5</v>
      </c>
      <c r="I242" t="s">
        <v>27</v>
      </c>
      <c r="J242" t="s">
        <v>1408</v>
      </c>
      <c r="K242">
        <v>7.42</v>
      </c>
      <c r="L242">
        <v>6</v>
      </c>
      <c r="M242">
        <v>22</v>
      </c>
      <c r="N242" t="s">
        <v>54</v>
      </c>
      <c r="O242" t="s">
        <v>354</v>
      </c>
      <c r="P242" t="s">
        <v>45</v>
      </c>
      <c r="Q242" t="s">
        <v>32</v>
      </c>
    </row>
    <row r="243" spans="1:17" x14ac:dyDescent="0.3">
      <c r="A243" t="s">
        <v>1410</v>
      </c>
      <c r="B243" t="s">
        <v>1411</v>
      </c>
      <c r="C243">
        <v>46</v>
      </c>
      <c r="D243" t="s">
        <v>1412</v>
      </c>
      <c r="E243" t="s">
        <v>25</v>
      </c>
      <c r="F243" t="s">
        <v>1413</v>
      </c>
      <c r="G243" t="s">
        <v>1414</v>
      </c>
      <c r="H243">
        <v>0</v>
      </c>
      <c r="I243" t="s">
        <v>27</v>
      </c>
      <c r="J243" t="s">
        <v>1415</v>
      </c>
      <c r="K243">
        <v>430.28</v>
      </c>
      <c r="L243">
        <v>4</v>
      </c>
      <c r="M243">
        <v>39</v>
      </c>
      <c r="N243" t="s">
        <v>30</v>
      </c>
      <c r="O243" t="s">
        <v>418</v>
      </c>
      <c r="P243" t="s">
        <v>56</v>
      </c>
      <c r="Q243" t="s">
        <v>32</v>
      </c>
    </row>
    <row r="244" spans="1:17" x14ac:dyDescent="0.3">
      <c r="A244" t="s">
        <v>1417</v>
      </c>
      <c r="B244" t="s">
        <v>1418</v>
      </c>
      <c r="C244">
        <v>59</v>
      </c>
      <c r="D244" t="s">
        <v>1419</v>
      </c>
      <c r="E244" t="s">
        <v>61</v>
      </c>
      <c r="F244" s="86">
        <v>44444</v>
      </c>
      <c r="G244" s="86">
        <v>45721</v>
      </c>
      <c r="H244">
        <v>2</v>
      </c>
      <c r="I244" t="s">
        <v>27</v>
      </c>
      <c r="J244" t="s">
        <v>1420</v>
      </c>
      <c r="K244">
        <v>307.95</v>
      </c>
      <c r="L244">
        <v>3</v>
      </c>
      <c r="M244">
        <v>40</v>
      </c>
      <c r="N244" t="s">
        <v>56</v>
      </c>
      <c r="O244" t="s">
        <v>366</v>
      </c>
      <c r="P244" t="s">
        <v>54</v>
      </c>
      <c r="Q244" t="s">
        <v>69</v>
      </c>
    </row>
    <row r="245" spans="1:17" x14ac:dyDescent="0.3">
      <c r="A245" t="s">
        <v>1422</v>
      </c>
      <c r="B245" t="s">
        <v>1423</v>
      </c>
      <c r="C245">
        <v>53</v>
      </c>
      <c r="D245" t="s">
        <v>1424</v>
      </c>
      <c r="E245" t="s">
        <v>88</v>
      </c>
      <c r="F245" t="s">
        <v>1425</v>
      </c>
      <c r="G245" s="86">
        <v>44902</v>
      </c>
      <c r="H245">
        <v>2</v>
      </c>
      <c r="I245" t="s">
        <v>27</v>
      </c>
      <c r="J245" t="s">
        <v>339</v>
      </c>
      <c r="K245">
        <v>235.7</v>
      </c>
      <c r="L245">
        <v>1</v>
      </c>
      <c r="M245">
        <v>5</v>
      </c>
      <c r="N245" t="s">
        <v>68</v>
      </c>
      <c r="O245" t="s">
        <v>211</v>
      </c>
      <c r="P245" t="s">
        <v>68</v>
      </c>
      <c r="Q245" t="s">
        <v>32</v>
      </c>
    </row>
    <row r="246" spans="1:17" x14ac:dyDescent="0.3">
      <c r="A246" t="s">
        <v>1427</v>
      </c>
      <c r="B246" t="s">
        <v>1428</v>
      </c>
      <c r="C246">
        <v>40</v>
      </c>
      <c r="D246" t="s">
        <v>1429</v>
      </c>
      <c r="E246" t="s">
        <v>40</v>
      </c>
      <c r="F246" t="s">
        <v>1430</v>
      </c>
      <c r="G246" t="s">
        <v>1431</v>
      </c>
      <c r="H246">
        <v>5</v>
      </c>
      <c r="I246" t="s">
        <v>27</v>
      </c>
      <c r="J246" s="86">
        <v>44989</v>
      </c>
      <c r="K246">
        <v>174.95</v>
      </c>
      <c r="L246">
        <v>8</v>
      </c>
      <c r="M246">
        <v>23</v>
      </c>
      <c r="N246" t="s">
        <v>45</v>
      </c>
      <c r="O246" t="s">
        <v>149</v>
      </c>
      <c r="P246" t="s">
        <v>30</v>
      </c>
      <c r="Q246" t="s">
        <v>32</v>
      </c>
    </row>
    <row r="247" spans="1:17" x14ac:dyDescent="0.3">
      <c r="A247" t="s">
        <v>1433</v>
      </c>
      <c r="B247" t="s">
        <v>1434</v>
      </c>
      <c r="C247">
        <v>67</v>
      </c>
      <c r="D247" t="s">
        <v>1435</v>
      </c>
      <c r="E247" t="s">
        <v>95</v>
      </c>
      <c r="F247" t="s">
        <v>1436</v>
      </c>
      <c r="G247" t="s">
        <v>352</v>
      </c>
      <c r="H247">
        <v>0</v>
      </c>
      <c r="I247" t="s">
        <v>27</v>
      </c>
      <c r="J247" s="86">
        <v>45815</v>
      </c>
      <c r="K247">
        <v>232.39</v>
      </c>
      <c r="L247">
        <v>4</v>
      </c>
      <c r="M247">
        <v>40</v>
      </c>
      <c r="N247" t="s">
        <v>68</v>
      </c>
      <c r="O247" t="s">
        <v>67</v>
      </c>
      <c r="P247" t="s">
        <v>68</v>
      </c>
      <c r="Q247" t="s">
        <v>32</v>
      </c>
    </row>
    <row r="248" spans="1:17" x14ac:dyDescent="0.3">
      <c r="A248" t="s">
        <v>1438</v>
      </c>
      <c r="B248" t="s">
        <v>1439</v>
      </c>
      <c r="C248">
        <v>26</v>
      </c>
      <c r="D248" t="s">
        <v>1440</v>
      </c>
      <c r="E248" t="s">
        <v>88</v>
      </c>
      <c r="F248" t="s">
        <v>1441</v>
      </c>
      <c r="G248" t="s">
        <v>1442</v>
      </c>
      <c r="H248">
        <v>2</v>
      </c>
      <c r="I248" t="s">
        <v>27</v>
      </c>
      <c r="J248" s="86">
        <v>45356</v>
      </c>
      <c r="K248">
        <v>266.75</v>
      </c>
      <c r="L248">
        <v>4</v>
      </c>
      <c r="M248">
        <v>23</v>
      </c>
      <c r="N248" t="s">
        <v>54</v>
      </c>
      <c r="O248" t="s">
        <v>135</v>
      </c>
      <c r="P248" t="s">
        <v>45</v>
      </c>
      <c r="Q248" t="s">
        <v>69</v>
      </c>
    </row>
    <row r="249" spans="1:17" x14ac:dyDescent="0.3">
      <c r="A249" t="s">
        <v>1444</v>
      </c>
      <c r="B249" t="s">
        <v>1445</v>
      </c>
      <c r="C249">
        <v>67</v>
      </c>
      <c r="D249" t="s">
        <v>1446</v>
      </c>
      <c r="E249" t="s">
        <v>95</v>
      </c>
      <c r="F249" t="s">
        <v>1447</v>
      </c>
      <c r="G249" t="s">
        <v>873</v>
      </c>
      <c r="H249">
        <v>5</v>
      </c>
      <c r="I249" t="s">
        <v>27</v>
      </c>
      <c r="J249" t="s">
        <v>423</v>
      </c>
      <c r="K249">
        <v>32.82</v>
      </c>
      <c r="L249">
        <v>2</v>
      </c>
      <c r="M249">
        <v>39</v>
      </c>
      <c r="N249" t="s">
        <v>68</v>
      </c>
      <c r="O249" t="s">
        <v>373</v>
      </c>
      <c r="P249" t="s">
        <v>54</v>
      </c>
      <c r="Q249" t="s">
        <v>32</v>
      </c>
    </row>
    <row r="250" spans="1:17" x14ac:dyDescent="0.3">
      <c r="A250" t="s">
        <v>1449</v>
      </c>
      <c r="B250" t="s">
        <v>1450</v>
      </c>
      <c r="C250">
        <v>23</v>
      </c>
      <c r="D250" t="s">
        <v>1451</v>
      </c>
      <c r="E250" t="s">
        <v>40</v>
      </c>
      <c r="F250" t="s">
        <v>1452</v>
      </c>
      <c r="G250" t="s">
        <v>1453</v>
      </c>
      <c r="H250">
        <v>2</v>
      </c>
      <c r="I250" t="s">
        <v>64</v>
      </c>
      <c r="J250" t="s">
        <v>1454</v>
      </c>
      <c r="K250">
        <v>597.36</v>
      </c>
      <c r="L250">
        <v>3</v>
      </c>
      <c r="M250">
        <v>11</v>
      </c>
      <c r="N250" t="s">
        <v>54</v>
      </c>
      <c r="O250" t="s">
        <v>67</v>
      </c>
      <c r="P250" t="s">
        <v>68</v>
      </c>
      <c r="Q250" t="s">
        <v>69</v>
      </c>
    </row>
    <row r="251" spans="1:17" x14ac:dyDescent="0.3">
      <c r="A251" t="s">
        <v>1456</v>
      </c>
      <c r="B251" t="s">
        <v>1457</v>
      </c>
      <c r="C251">
        <v>51</v>
      </c>
      <c r="D251" t="s">
        <v>1458</v>
      </c>
      <c r="E251" t="s">
        <v>61</v>
      </c>
      <c r="F251" t="s">
        <v>1459</v>
      </c>
      <c r="G251" s="86">
        <v>45485</v>
      </c>
      <c r="H251">
        <v>1</v>
      </c>
      <c r="I251" t="s">
        <v>52</v>
      </c>
      <c r="J251" t="s">
        <v>75</v>
      </c>
      <c r="K251">
        <v>147.44999999999999</v>
      </c>
      <c r="L251">
        <v>8</v>
      </c>
      <c r="M251">
        <v>18</v>
      </c>
      <c r="N251" t="s">
        <v>68</v>
      </c>
      <c r="O251" t="s">
        <v>67</v>
      </c>
      <c r="P251" t="s">
        <v>68</v>
      </c>
      <c r="Q251" t="s">
        <v>32</v>
      </c>
    </row>
    <row r="252" spans="1:17" x14ac:dyDescent="0.3">
      <c r="A252" t="s">
        <v>1461</v>
      </c>
      <c r="B252" t="s">
        <v>1462</v>
      </c>
      <c r="C252">
        <v>64</v>
      </c>
      <c r="D252" t="s">
        <v>1463</v>
      </c>
      <c r="E252" t="s">
        <v>61</v>
      </c>
      <c r="F252" t="s">
        <v>1464</v>
      </c>
      <c r="G252" t="s">
        <v>1465</v>
      </c>
      <c r="H252">
        <v>2</v>
      </c>
      <c r="I252" t="s">
        <v>27</v>
      </c>
      <c r="J252" s="86">
        <v>44896</v>
      </c>
      <c r="K252">
        <v>91.92</v>
      </c>
      <c r="L252">
        <v>7</v>
      </c>
      <c r="M252">
        <v>39</v>
      </c>
      <c r="N252" t="s">
        <v>54</v>
      </c>
      <c r="O252" t="s">
        <v>425</v>
      </c>
      <c r="P252" t="s">
        <v>30</v>
      </c>
      <c r="Q252" t="s">
        <v>32</v>
      </c>
    </row>
    <row r="253" spans="1:17" x14ac:dyDescent="0.3">
      <c r="A253" t="s">
        <v>1467</v>
      </c>
      <c r="B253" t="s">
        <v>1468</v>
      </c>
      <c r="C253">
        <v>42</v>
      </c>
      <c r="D253" t="s">
        <v>1469</v>
      </c>
      <c r="E253" t="s">
        <v>88</v>
      </c>
      <c r="F253" t="s">
        <v>797</v>
      </c>
      <c r="G253" s="86">
        <v>45515</v>
      </c>
      <c r="H253">
        <v>2</v>
      </c>
      <c r="I253" t="s">
        <v>27</v>
      </c>
      <c r="J253" s="86">
        <v>45179</v>
      </c>
      <c r="K253">
        <v>89.68</v>
      </c>
      <c r="L253">
        <v>6</v>
      </c>
      <c r="M253">
        <v>39</v>
      </c>
      <c r="N253" t="s">
        <v>45</v>
      </c>
      <c r="O253" t="s">
        <v>837</v>
      </c>
      <c r="P253" t="s">
        <v>56</v>
      </c>
      <c r="Q253" t="s">
        <v>32</v>
      </c>
    </row>
    <row r="254" spans="1:17" x14ac:dyDescent="0.3">
      <c r="A254" t="s">
        <v>1471</v>
      </c>
      <c r="B254" t="s">
        <v>1472</v>
      </c>
      <c r="C254">
        <v>23</v>
      </c>
      <c r="D254" t="s">
        <v>1473</v>
      </c>
      <c r="E254" t="s">
        <v>51</v>
      </c>
      <c r="F254" t="s">
        <v>1474</v>
      </c>
      <c r="G254" t="s">
        <v>1100</v>
      </c>
      <c r="H254">
        <v>1</v>
      </c>
      <c r="I254" t="s">
        <v>64</v>
      </c>
      <c r="J254" s="86">
        <v>44594</v>
      </c>
      <c r="K254">
        <v>269.62</v>
      </c>
      <c r="L254">
        <v>5</v>
      </c>
      <c r="M254">
        <v>6</v>
      </c>
      <c r="N254" t="s">
        <v>30</v>
      </c>
      <c r="O254" t="s">
        <v>293</v>
      </c>
      <c r="P254" t="s">
        <v>45</v>
      </c>
      <c r="Q254" t="s">
        <v>69</v>
      </c>
    </row>
    <row r="255" spans="1:17" x14ac:dyDescent="0.3">
      <c r="A255" t="s">
        <v>1476</v>
      </c>
      <c r="B255" t="s">
        <v>1477</v>
      </c>
      <c r="C255">
        <v>57</v>
      </c>
      <c r="D255" t="s">
        <v>1478</v>
      </c>
      <c r="E255" t="s">
        <v>61</v>
      </c>
      <c r="F255" s="86">
        <v>44532</v>
      </c>
      <c r="G255" s="86">
        <v>44505</v>
      </c>
      <c r="H255">
        <v>0</v>
      </c>
      <c r="I255" t="s">
        <v>27</v>
      </c>
      <c r="J255" s="86">
        <v>44846</v>
      </c>
      <c r="K255">
        <v>214.01</v>
      </c>
      <c r="L255">
        <v>1</v>
      </c>
      <c r="M255">
        <v>37</v>
      </c>
      <c r="N255" t="s">
        <v>56</v>
      </c>
      <c r="O255" t="s">
        <v>418</v>
      </c>
      <c r="P255" t="s">
        <v>56</v>
      </c>
      <c r="Q255" t="s">
        <v>32</v>
      </c>
    </row>
    <row r="256" spans="1:17" x14ac:dyDescent="0.3">
      <c r="A256" t="s">
        <v>1480</v>
      </c>
      <c r="B256" t="s">
        <v>1481</v>
      </c>
      <c r="C256">
        <v>29</v>
      </c>
      <c r="D256" t="s">
        <v>1482</v>
      </c>
      <c r="E256" t="s">
        <v>61</v>
      </c>
      <c r="F256" s="86">
        <v>44904</v>
      </c>
      <c r="G256" t="s">
        <v>313</v>
      </c>
      <c r="H256">
        <v>0</v>
      </c>
      <c r="I256" t="s">
        <v>27</v>
      </c>
      <c r="J256" s="86">
        <v>45415</v>
      </c>
      <c r="K256">
        <v>368.2</v>
      </c>
      <c r="L256">
        <v>2</v>
      </c>
      <c r="M256">
        <v>24</v>
      </c>
      <c r="N256" t="s">
        <v>30</v>
      </c>
      <c r="O256" t="s">
        <v>128</v>
      </c>
      <c r="P256" t="s">
        <v>54</v>
      </c>
      <c r="Q256" t="s">
        <v>69</v>
      </c>
    </row>
    <row r="257" spans="1:17" x14ac:dyDescent="0.3">
      <c r="A257" t="s">
        <v>1484</v>
      </c>
      <c r="B257" t="s">
        <v>1485</v>
      </c>
      <c r="C257">
        <v>60</v>
      </c>
      <c r="D257" t="s">
        <v>1486</v>
      </c>
      <c r="E257" t="s">
        <v>40</v>
      </c>
      <c r="F257" s="86">
        <v>45171</v>
      </c>
      <c r="G257" t="s">
        <v>544</v>
      </c>
      <c r="H257">
        <v>5</v>
      </c>
      <c r="I257" t="s">
        <v>64</v>
      </c>
      <c r="J257" t="s">
        <v>371</v>
      </c>
      <c r="K257">
        <v>560.24</v>
      </c>
      <c r="L257">
        <v>2</v>
      </c>
      <c r="M257">
        <v>40</v>
      </c>
      <c r="N257" t="s">
        <v>56</v>
      </c>
      <c r="O257" t="s">
        <v>169</v>
      </c>
      <c r="P257" t="s">
        <v>30</v>
      </c>
      <c r="Q257" t="s">
        <v>32</v>
      </c>
    </row>
    <row r="258" spans="1:17" x14ac:dyDescent="0.3">
      <c r="A258" t="s">
        <v>1488</v>
      </c>
      <c r="B258" t="s">
        <v>1489</v>
      </c>
      <c r="C258">
        <v>22</v>
      </c>
      <c r="D258" t="s">
        <v>1490</v>
      </c>
      <c r="E258" t="s">
        <v>88</v>
      </c>
      <c r="F258" t="s">
        <v>1491</v>
      </c>
      <c r="G258" s="86">
        <v>45574</v>
      </c>
      <c r="H258">
        <v>2</v>
      </c>
      <c r="I258" t="s">
        <v>27</v>
      </c>
      <c r="J258" t="s">
        <v>1492</v>
      </c>
      <c r="K258">
        <v>262.89</v>
      </c>
      <c r="L258">
        <v>1</v>
      </c>
      <c r="M258">
        <v>44</v>
      </c>
      <c r="N258" t="s">
        <v>45</v>
      </c>
      <c r="O258" t="s">
        <v>122</v>
      </c>
      <c r="P258" t="s">
        <v>30</v>
      </c>
      <c r="Q258" t="s">
        <v>32</v>
      </c>
    </row>
    <row r="259" spans="1:17" x14ac:dyDescent="0.3">
      <c r="A259" t="s">
        <v>1494</v>
      </c>
      <c r="B259" t="s">
        <v>1495</v>
      </c>
      <c r="C259">
        <v>56</v>
      </c>
      <c r="D259" t="s">
        <v>1496</v>
      </c>
      <c r="E259" t="s">
        <v>25</v>
      </c>
      <c r="F259" t="s">
        <v>275</v>
      </c>
      <c r="G259" t="s">
        <v>1497</v>
      </c>
      <c r="H259">
        <v>2</v>
      </c>
      <c r="I259" t="s">
        <v>52</v>
      </c>
      <c r="J259" t="s">
        <v>1498</v>
      </c>
      <c r="K259">
        <v>113.52</v>
      </c>
      <c r="L259">
        <v>8</v>
      </c>
      <c r="M259">
        <v>14</v>
      </c>
      <c r="N259" t="s">
        <v>68</v>
      </c>
      <c r="O259" t="s">
        <v>31</v>
      </c>
      <c r="P259" t="s">
        <v>30</v>
      </c>
      <c r="Q259" t="s">
        <v>69</v>
      </c>
    </row>
    <row r="260" spans="1:17" x14ac:dyDescent="0.3">
      <c r="A260" t="s">
        <v>1500</v>
      </c>
      <c r="B260" t="s">
        <v>1501</v>
      </c>
      <c r="C260">
        <v>65</v>
      </c>
      <c r="D260" t="s">
        <v>1502</v>
      </c>
      <c r="E260" t="s">
        <v>61</v>
      </c>
      <c r="F260" s="86">
        <v>43870</v>
      </c>
      <c r="G260" t="s">
        <v>1503</v>
      </c>
      <c r="H260">
        <v>2</v>
      </c>
      <c r="I260" t="s">
        <v>27</v>
      </c>
      <c r="J260" t="s">
        <v>669</v>
      </c>
      <c r="K260">
        <v>78.709999999999994</v>
      </c>
      <c r="L260">
        <v>7</v>
      </c>
      <c r="M260">
        <v>35</v>
      </c>
      <c r="N260" t="s">
        <v>68</v>
      </c>
      <c r="O260" t="s">
        <v>604</v>
      </c>
      <c r="P260" t="s">
        <v>45</v>
      </c>
      <c r="Q260" t="s">
        <v>32</v>
      </c>
    </row>
    <row r="261" spans="1:17" x14ac:dyDescent="0.3">
      <c r="A261" t="s">
        <v>1505</v>
      </c>
      <c r="B261" t="s">
        <v>1506</v>
      </c>
      <c r="C261">
        <v>40</v>
      </c>
      <c r="D261" t="s">
        <v>1507</v>
      </c>
      <c r="E261" t="s">
        <v>40</v>
      </c>
      <c r="F261" t="s">
        <v>1508</v>
      </c>
      <c r="G261" t="s">
        <v>487</v>
      </c>
      <c r="H261">
        <v>0</v>
      </c>
      <c r="I261" t="s">
        <v>27</v>
      </c>
      <c r="J261" s="86">
        <v>44237</v>
      </c>
      <c r="K261">
        <v>283.52</v>
      </c>
      <c r="L261">
        <v>3</v>
      </c>
      <c r="M261">
        <v>48</v>
      </c>
      <c r="N261" t="s">
        <v>45</v>
      </c>
      <c r="O261" t="s">
        <v>199</v>
      </c>
      <c r="P261" t="s">
        <v>54</v>
      </c>
      <c r="Q261" t="s">
        <v>69</v>
      </c>
    </row>
    <row r="262" spans="1:17" x14ac:dyDescent="0.3">
      <c r="A262" t="s">
        <v>1510</v>
      </c>
      <c r="B262" t="s">
        <v>1511</v>
      </c>
      <c r="C262">
        <v>34</v>
      </c>
      <c r="D262" t="s">
        <v>1512</v>
      </c>
      <c r="E262" t="s">
        <v>95</v>
      </c>
      <c r="F262" t="s">
        <v>1513</v>
      </c>
      <c r="G262" s="86">
        <v>45085</v>
      </c>
      <c r="H262">
        <v>1</v>
      </c>
      <c r="I262" t="s">
        <v>27</v>
      </c>
      <c r="J262" t="s">
        <v>1514</v>
      </c>
      <c r="K262">
        <v>174.45</v>
      </c>
      <c r="L262">
        <v>9</v>
      </c>
      <c r="M262">
        <v>14</v>
      </c>
      <c r="N262" t="s">
        <v>56</v>
      </c>
      <c r="O262" t="s">
        <v>128</v>
      </c>
      <c r="P262" t="s">
        <v>54</v>
      </c>
      <c r="Q262" t="s">
        <v>32</v>
      </c>
    </row>
    <row r="263" spans="1:17" x14ac:dyDescent="0.3">
      <c r="A263" t="s">
        <v>1516</v>
      </c>
      <c r="B263" t="s">
        <v>1517</v>
      </c>
      <c r="C263">
        <v>36</v>
      </c>
      <c r="D263" t="s">
        <v>1518</v>
      </c>
      <c r="E263" t="s">
        <v>95</v>
      </c>
      <c r="F263" s="86">
        <v>44601</v>
      </c>
      <c r="G263" s="86">
        <v>45665</v>
      </c>
      <c r="H263">
        <v>5</v>
      </c>
      <c r="I263" t="s">
        <v>64</v>
      </c>
      <c r="J263" t="s">
        <v>1519</v>
      </c>
      <c r="K263">
        <v>165.34</v>
      </c>
      <c r="L263">
        <v>6</v>
      </c>
      <c r="M263">
        <v>8</v>
      </c>
      <c r="N263" t="s">
        <v>45</v>
      </c>
      <c r="O263" t="s">
        <v>837</v>
      </c>
      <c r="P263" t="s">
        <v>56</v>
      </c>
      <c r="Q263" t="s">
        <v>32</v>
      </c>
    </row>
    <row r="264" spans="1:17" x14ac:dyDescent="0.3">
      <c r="A264" t="s">
        <v>1521</v>
      </c>
      <c r="B264" t="s">
        <v>1522</v>
      </c>
      <c r="C264">
        <v>46</v>
      </c>
      <c r="D264" t="s">
        <v>1523</v>
      </c>
      <c r="E264" t="s">
        <v>61</v>
      </c>
      <c r="F264" s="86">
        <v>44989</v>
      </c>
      <c r="G264" t="s">
        <v>1524</v>
      </c>
      <c r="H264">
        <v>1</v>
      </c>
      <c r="I264" t="s">
        <v>27</v>
      </c>
      <c r="J264" t="s">
        <v>852</v>
      </c>
      <c r="K264">
        <v>274.67</v>
      </c>
      <c r="L264">
        <v>4</v>
      </c>
      <c r="M264">
        <v>25</v>
      </c>
      <c r="N264" t="s">
        <v>45</v>
      </c>
      <c r="O264" t="s">
        <v>67</v>
      </c>
      <c r="P264" t="s">
        <v>68</v>
      </c>
      <c r="Q264" t="s">
        <v>32</v>
      </c>
    </row>
    <row r="265" spans="1:17" x14ac:dyDescent="0.3">
      <c r="A265" t="s">
        <v>1526</v>
      </c>
      <c r="B265" t="s">
        <v>1527</v>
      </c>
      <c r="C265">
        <v>65</v>
      </c>
      <c r="D265" t="s">
        <v>1528</v>
      </c>
      <c r="E265" t="s">
        <v>95</v>
      </c>
      <c r="F265" s="86">
        <v>43870</v>
      </c>
      <c r="G265" s="86">
        <v>45049</v>
      </c>
      <c r="H265">
        <v>5</v>
      </c>
      <c r="I265" t="s">
        <v>64</v>
      </c>
      <c r="J265" t="s">
        <v>1529</v>
      </c>
      <c r="K265">
        <v>73.91</v>
      </c>
      <c r="L265">
        <v>5</v>
      </c>
      <c r="M265">
        <v>28</v>
      </c>
      <c r="N265" t="s">
        <v>56</v>
      </c>
      <c r="O265" t="s">
        <v>77</v>
      </c>
      <c r="P265" t="s">
        <v>54</v>
      </c>
      <c r="Q265" t="s">
        <v>69</v>
      </c>
    </row>
    <row r="266" spans="1:17" x14ac:dyDescent="0.3">
      <c r="A266" t="s">
        <v>1531</v>
      </c>
      <c r="B266" t="s">
        <v>1532</v>
      </c>
      <c r="C266">
        <v>31</v>
      </c>
      <c r="D266" t="s">
        <v>1533</v>
      </c>
      <c r="E266" t="s">
        <v>51</v>
      </c>
      <c r="F266" t="s">
        <v>1534</v>
      </c>
      <c r="G266" t="s">
        <v>1535</v>
      </c>
      <c r="H266">
        <v>3</v>
      </c>
      <c r="I266" t="s">
        <v>52</v>
      </c>
      <c r="J266" t="s">
        <v>1536</v>
      </c>
      <c r="K266">
        <v>330.52</v>
      </c>
      <c r="L266">
        <v>2</v>
      </c>
      <c r="M266">
        <v>37</v>
      </c>
      <c r="N266" t="s">
        <v>56</v>
      </c>
      <c r="O266" t="s">
        <v>536</v>
      </c>
      <c r="P266" t="s">
        <v>68</v>
      </c>
      <c r="Q266" t="s">
        <v>32</v>
      </c>
    </row>
    <row r="267" spans="1:17" x14ac:dyDescent="0.3">
      <c r="A267" t="s">
        <v>1538</v>
      </c>
      <c r="B267" t="s">
        <v>1539</v>
      </c>
      <c r="C267">
        <v>57</v>
      </c>
      <c r="D267" t="s">
        <v>1540</v>
      </c>
      <c r="E267" t="s">
        <v>88</v>
      </c>
      <c r="F267" t="s">
        <v>409</v>
      </c>
      <c r="G267" t="s">
        <v>846</v>
      </c>
      <c r="H267">
        <v>3</v>
      </c>
      <c r="I267" t="s">
        <v>52</v>
      </c>
      <c r="J267" t="s">
        <v>1541</v>
      </c>
      <c r="K267">
        <v>1865.18</v>
      </c>
      <c r="L267">
        <v>1</v>
      </c>
      <c r="M267">
        <v>47</v>
      </c>
      <c r="N267" t="s">
        <v>54</v>
      </c>
      <c r="O267" t="s">
        <v>211</v>
      </c>
      <c r="P267" t="s">
        <v>68</v>
      </c>
      <c r="Q267" t="s">
        <v>32</v>
      </c>
    </row>
    <row r="268" spans="1:17" x14ac:dyDescent="0.3">
      <c r="A268" t="s">
        <v>1543</v>
      </c>
      <c r="B268" t="s">
        <v>1544</v>
      </c>
      <c r="C268">
        <v>32</v>
      </c>
      <c r="D268" t="s">
        <v>1545</v>
      </c>
      <c r="E268" t="s">
        <v>51</v>
      </c>
      <c r="F268" t="s">
        <v>783</v>
      </c>
      <c r="G268" s="86">
        <v>45476</v>
      </c>
      <c r="H268">
        <v>1</v>
      </c>
      <c r="I268" t="s">
        <v>64</v>
      </c>
      <c r="J268" t="s">
        <v>1546</v>
      </c>
      <c r="K268">
        <v>1624.53</v>
      </c>
      <c r="L268">
        <v>1</v>
      </c>
      <c r="M268">
        <v>16</v>
      </c>
      <c r="N268" t="s">
        <v>45</v>
      </c>
      <c r="O268" t="s">
        <v>837</v>
      </c>
      <c r="P268" t="s">
        <v>56</v>
      </c>
      <c r="Q268" t="s">
        <v>69</v>
      </c>
    </row>
    <row r="269" spans="1:17" x14ac:dyDescent="0.3">
      <c r="A269" t="s">
        <v>1548</v>
      </c>
      <c r="B269" t="s">
        <v>1549</v>
      </c>
      <c r="C269">
        <v>47</v>
      </c>
      <c r="D269" t="s">
        <v>1550</v>
      </c>
      <c r="E269" t="s">
        <v>61</v>
      </c>
      <c r="F269" t="s">
        <v>1551</v>
      </c>
      <c r="G269" t="s">
        <v>1552</v>
      </c>
      <c r="H269">
        <v>2</v>
      </c>
      <c r="I269" t="s">
        <v>27</v>
      </c>
      <c r="J269" t="s">
        <v>1553</v>
      </c>
      <c r="K269">
        <v>222.38</v>
      </c>
      <c r="L269">
        <v>3</v>
      </c>
      <c r="M269">
        <v>12</v>
      </c>
      <c r="N269" t="s">
        <v>30</v>
      </c>
      <c r="O269" t="s">
        <v>354</v>
      </c>
      <c r="P269" t="s">
        <v>45</v>
      </c>
      <c r="Q269" t="s">
        <v>69</v>
      </c>
    </row>
    <row r="270" spans="1:17" x14ac:dyDescent="0.3">
      <c r="A270" t="s">
        <v>1555</v>
      </c>
      <c r="B270" t="s">
        <v>1556</v>
      </c>
      <c r="C270">
        <v>28</v>
      </c>
      <c r="D270" t="s">
        <v>1557</v>
      </c>
      <c r="E270" t="s">
        <v>40</v>
      </c>
      <c r="F270" t="s">
        <v>711</v>
      </c>
      <c r="G270" s="86">
        <v>45691</v>
      </c>
      <c r="H270">
        <v>3</v>
      </c>
      <c r="I270" t="s">
        <v>27</v>
      </c>
      <c r="J270" s="86">
        <v>45181</v>
      </c>
      <c r="K270">
        <v>190.6</v>
      </c>
      <c r="L270">
        <v>8</v>
      </c>
      <c r="M270">
        <v>1</v>
      </c>
      <c r="N270" t="s">
        <v>56</v>
      </c>
      <c r="O270" t="s">
        <v>418</v>
      </c>
      <c r="P270" t="s">
        <v>56</v>
      </c>
      <c r="Q270" t="s">
        <v>69</v>
      </c>
    </row>
    <row r="271" spans="1:17" x14ac:dyDescent="0.3">
      <c r="A271" t="s">
        <v>1559</v>
      </c>
      <c r="B271" t="s">
        <v>1560</v>
      </c>
      <c r="C271">
        <v>58</v>
      </c>
      <c r="D271" t="s">
        <v>1561</v>
      </c>
      <c r="E271" t="s">
        <v>95</v>
      </c>
      <c r="F271" t="s">
        <v>1562</v>
      </c>
      <c r="G271" t="s">
        <v>1563</v>
      </c>
      <c r="H271">
        <v>3</v>
      </c>
      <c r="I271" t="s">
        <v>52</v>
      </c>
      <c r="J271" s="86">
        <v>45907</v>
      </c>
      <c r="K271">
        <v>157.4</v>
      </c>
      <c r="L271">
        <v>4</v>
      </c>
      <c r="M271">
        <v>45</v>
      </c>
      <c r="N271" t="s">
        <v>30</v>
      </c>
      <c r="O271" t="s">
        <v>293</v>
      </c>
      <c r="P271" t="s">
        <v>45</v>
      </c>
      <c r="Q271" t="s">
        <v>32</v>
      </c>
    </row>
    <row r="272" spans="1:17" x14ac:dyDescent="0.3">
      <c r="A272" t="s">
        <v>1565</v>
      </c>
      <c r="B272" t="s">
        <v>1566</v>
      </c>
      <c r="C272">
        <v>27</v>
      </c>
      <c r="D272" t="s">
        <v>1567</v>
      </c>
      <c r="E272" t="s">
        <v>88</v>
      </c>
      <c r="F272" s="86">
        <v>44291</v>
      </c>
      <c r="G272" t="s">
        <v>440</v>
      </c>
      <c r="H272">
        <v>1</v>
      </c>
      <c r="I272" t="s">
        <v>52</v>
      </c>
      <c r="J272" s="86">
        <v>44692</v>
      </c>
      <c r="K272">
        <v>97.56</v>
      </c>
      <c r="L272">
        <v>7</v>
      </c>
      <c r="M272">
        <v>17</v>
      </c>
      <c r="N272" t="s">
        <v>54</v>
      </c>
      <c r="O272" t="s">
        <v>194</v>
      </c>
      <c r="P272" t="s">
        <v>56</v>
      </c>
      <c r="Q272" t="s">
        <v>32</v>
      </c>
    </row>
    <row r="273" spans="1:17" x14ac:dyDescent="0.3">
      <c r="A273" t="s">
        <v>1569</v>
      </c>
      <c r="B273" t="s">
        <v>1570</v>
      </c>
      <c r="C273">
        <v>52</v>
      </c>
      <c r="D273" t="s">
        <v>1571</v>
      </c>
      <c r="E273" t="s">
        <v>61</v>
      </c>
      <c r="F273" s="86">
        <v>44358</v>
      </c>
      <c r="G273" s="86">
        <v>45780</v>
      </c>
      <c r="H273">
        <v>4</v>
      </c>
      <c r="I273" t="s">
        <v>64</v>
      </c>
      <c r="J273" t="s">
        <v>1572</v>
      </c>
      <c r="K273">
        <v>43.76</v>
      </c>
      <c r="L273">
        <v>8</v>
      </c>
      <c r="M273">
        <v>38</v>
      </c>
      <c r="N273" t="s">
        <v>30</v>
      </c>
      <c r="O273" t="s">
        <v>837</v>
      </c>
      <c r="P273" t="s">
        <v>56</v>
      </c>
      <c r="Q273" t="s">
        <v>32</v>
      </c>
    </row>
    <row r="274" spans="1:17" x14ac:dyDescent="0.3">
      <c r="A274" t="s">
        <v>1574</v>
      </c>
      <c r="B274" t="s">
        <v>1575</v>
      </c>
      <c r="C274">
        <v>28</v>
      </c>
      <c r="D274" t="s">
        <v>1576</v>
      </c>
      <c r="E274" t="s">
        <v>40</v>
      </c>
      <c r="F274" t="s">
        <v>825</v>
      </c>
      <c r="G274" t="s">
        <v>1577</v>
      </c>
      <c r="H274">
        <v>3</v>
      </c>
      <c r="I274" t="s">
        <v>27</v>
      </c>
      <c r="J274" s="86">
        <v>45478</v>
      </c>
      <c r="K274">
        <v>238.3</v>
      </c>
      <c r="L274">
        <v>8</v>
      </c>
      <c r="M274">
        <v>41</v>
      </c>
      <c r="N274" t="s">
        <v>56</v>
      </c>
      <c r="O274" t="s">
        <v>135</v>
      </c>
      <c r="P274" t="s">
        <v>45</v>
      </c>
      <c r="Q274" t="s">
        <v>32</v>
      </c>
    </row>
    <row r="275" spans="1:17" x14ac:dyDescent="0.3">
      <c r="A275" t="s">
        <v>1579</v>
      </c>
      <c r="B275" t="s">
        <v>1580</v>
      </c>
      <c r="C275">
        <v>53</v>
      </c>
      <c r="D275" t="s">
        <v>1581</v>
      </c>
      <c r="E275" t="s">
        <v>51</v>
      </c>
      <c r="F275" t="s">
        <v>1582</v>
      </c>
      <c r="G275" s="86">
        <v>45080</v>
      </c>
      <c r="H275">
        <v>1</v>
      </c>
      <c r="I275" t="s">
        <v>27</v>
      </c>
      <c r="J275" t="s">
        <v>1583</v>
      </c>
      <c r="K275">
        <v>247.28</v>
      </c>
      <c r="L275">
        <v>6</v>
      </c>
      <c r="M275">
        <v>49</v>
      </c>
      <c r="N275" t="s">
        <v>30</v>
      </c>
      <c r="O275" t="s">
        <v>610</v>
      </c>
      <c r="P275" t="s">
        <v>68</v>
      </c>
      <c r="Q275" t="s">
        <v>32</v>
      </c>
    </row>
    <row r="276" spans="1:17" x14ac:dyDescent="0.3">
      <c r="A276" t="s">
        <v>1585</v>
      </c>
      <c r="B276" t="s">
        <v>1586</v>
      </c>
      <c r="C276">
        <v>61</v>
      </c>
      <c r="D276" t="s">
        <v>1587</v>
      </c>
      <c r="E276" t="s">
        <v>40</v>
      </c>
      <c r="F276" t="s">
        <v>1588</v>
      </c>
      <c r="G276" t="s">
        <v>1169</v>
      </c>
      <c r="H276">
        <v>0</v>
      </c>
      <c r="I276" t="s">
        <v>27</v>
      </c>
      <c r="J276" t="s">
        <v>1589</v>
      </c>
      <c r="K276">
        <v>341.04</v>
      </c>
      <c r="L276">
        <v>3</v>
      </c>
      <c r="M276">
        <v>1</v>
      </c>
      <c r="N276" t="s">
        <v>68</v>
      </c>
      <c r="O276" t="s">
        <v>604</v>
      </c>
      <c r="P276" t="s">
        <v>45</v>
      </c>
      <c r="Q276" t="s">
        <v>32</v>
      </c>
    </row>
    <row r="277" spans="1:17" x14ac:dyDescent="0.3">
      <c r="A277" t="s">
        <v>1591</v>
      </c>
      <c r="B277" t="s">
        <v>1592</v>
      </c>
      <c r="C277">
        <v>53</v>
      </c>
      <c r="D277" t="s">
        <v>1593</v>
      </c>
      <c r="E277" t="s">
        <v>88</v>
      </c>
      <c r="F277" s="86">
        <v>44356</v>
      </c>
      <c r="G277" t="s">
        <v>1594</v>
      </c>
      <c r="H277">
        <v>3</v>
      </c>
      <c r="I277" t="s">
        <v>27</v>
      </c>
      <c r="J277" s="86">
        <v>44721</v>
      </c>
      <c r="K277">
        <v>730.44</v>
      </c>
      <c r="L277">
        <v>2</v>
      </c>
      <c r="M277">
        <v>46</v>
      </c>
      <c r="N277" t="s">
        <v>56</v>
      </c>
      <c r="O277" t="s">
        <v>610</v>
      </c>
      <c r="P277" t="s">
        <v>68</v>
      </c>
      <c r="Q277" t="s">
        <v>32</v>
      </c>
    </row>
    <row r="278" spans="1:17" x14ac:dyDescent="0.3">
      <c r="A278" t="s">
        <v>1596</v>
      </c>
      <c r="B278" t="s">
        <v>1597</v>
      </c>
      <c r="C278">
        <v>59</v>
      </c>
      <c r="D278" t="s">
        <v>1598</v>
      </c>
      <c r="E278" t="s">
        <v>95</v>
      </c>
      <c r="F278" t="s">
        <v>1599</v>
      </c>
      <c r="G278" t="s">
        <v>1600</v>
      </c>
      <c r="H278">
        <v>3</v>
      </c>
      <c r="I278" t="s">
        <v>52</v>
      </c>
      <c r="J278" t="s">
        <v>1601</v>
      </c>
      <c r="K278">
        <v>14.55</v>
      </c>
      <c r="L278">
        <v>8</v>
      </c>
      <c r="M278">
        <v>12</v>
      </c>
      <c r="N278" t="s">
        <v>45</v>
      </c>
      <c r="O278" t="s">
        <v>128</v>
      </c>
      <c r="P278" t="s">
        <v>54</v>
      </c>
      <c r="Q278" t="s">
        <v>32</v>
      </c>
    </row>
    <row r="279" spans="1:17" x14ac:dyDescent="0.3">
      <c r="A279" t="s">
        <v>1603</v>
      </c>
      <c r="B279" t="s">
        <v>1604</v>
      </c>
      <c r="C279">
        <v>33</v>
      </c>
      <c r="D279" t="s">
        <v>1605</v>
      </c>
      <c r="E279" t="s">
        <v>61</v>
      </c>
      <c r="F279" s="86">
        <v>44816</v>
      </c>
      <c r="G279" t="s">
        <v>1606</v>
      </c>
      <c r="H279">
        <v>4</v>
      </c>
      <c r="I279" t="s">
        <v>27</v>
      </c>
      <c r="J279" t="s">
        <v>1607</v>
      </c>
      <c r="K279">
        <v>224.89</v>
      </c>
      <c r="L279">
        <v>6</v>
      </c>
      <c r="M279">
        <v>30</v>
      </c>
      <c r="N279" t="s">
        <v>54</v>
      </c>
      <c r="O279" t="s">
        <v>604</v>
      </c>
      <c r="P279" t="s">
        <v>45</v>
      </c>
      <c r="Q279" t="s">
        <v>32</v>
      </c>
    </row>
    <row r="280" spans="1:17" x14ac:dyDescent="0.3">
      <c r="A280" t="s">
        <v>1609</v>
      </c>
      <c r="B280" t="s">
        <v>1610</v>
      </c>
      <c r="C280">
        <v>53</v>
      </c>
      <c r="D280" t="s">
        <v>1611</v>
      </c>
      <c r="E280" t="s">
        <v>95</v>
      </c>
      <c r="F280" s="86">
        <v>45082</v>
      </c>
      <c r="G280" t="s">
        <v>358</v>
      </c>
      <c r="H280">
        <v>0</v>
      </c>
      <c r="I280" t="s">
        <v>64</v>
      </c>
      <c r="J280" s="86">
        <v>45421</v>
      </c>
      <c r="K280">
        <v>244.49</v>
      </c>
      <c r="L280">
        <v>7</v>
      </c>
      <c r="M280">
        <v>41</v>
      </c>
      <c r="N280" t="s">
        <v>30</v>
      </c>
      <c r="O280" t="s">
        <v>366</v>
      </c>
      <c r="P280" t="s">
        <v>54</v>
      </c>
      <c r="Q280" t="s">
        <v>32</v>
      </c>
    </row>
    <row r="281" spans="1:17" x14ac:dyDescent="0.3">
      <c r="A281" t="s">
        <v>1613</v>
      </c>
      <c r="B281" t="s">
        <v>1614</v>
      </c>
      <c r="C281">
        <v>47</v>
      </c>
      <c r="D281" t="s">
        <v>1615</v>
      </c>
      <c r="E281" t="s">
        <v>88</v>
      </c>
      <c r="F281" t="s">
        <v>1616</v>
      </c>
      <c r="G281" s="86">
        <v>45178</v>
      </c>
      <c r="H281">
        <v>4</v>
      </c>
      <c r="I281" t="s">
        <v>52</v>
      </c>
      <c r="J281" t="s">
        <v>1617</v>
      </c>
      <c r="K281">
        <v>284.08999999999997</v>
      </c>
      <c r="L281">
        <v>2</v>
      </c>
      <c r="M281">
        <v>49</v>
      </c>
      <c r="N281" t="s">
        <v>30</v>
      </c>
      <c r="O281" t="s">
        <v>425</v>
      </c>
      <c r="P281" t="s">
        <v>30</v>
      </c>
      <c r="Q281" t="s">
        <v>69</v>
      </c>
    </row>
    <row r="282" spans="1:17" x14ac:dyDescent="0.3">
      <c r="A282" t="s">
        <v>1619</v>
      </c>
      <c r="B282" t="s">
        <v>1620</v>
      </c>
      <c r="C282">
        <v>52</v>
      </c>
      <c r="D282" t="s">
        <v>1621</v>
      </c>
      <c r="E282" t="s">
        <v>25</v>
      </c>
      <c r="F282" t="s">
        <v>502</v>
      </c>
      <c r="G282" s="86">
        <v>45052</v>
      </c>
      <c r="H282">
        <v>5</v>
      </c>
      <c r="I282" t="s">
        <v>27</v>
      </c>
      <c r="J282" t="s">
        <v>1622</v>
      </c>
      <c r="K282">
        <v>239.57</v>
      </c>
      <c r="L282">
        <v>4</v>
      </c>
      <c r="M282">
        <v>14</v>
      </c>
      <c r="N282" t="s">
        <v>56</v>
      </c>
      <c r="O282" t="s">
        <v>366</v>
      </c>
      <c r="P282" t="s">
        <v>54</v>
      </c>
      <c r="Q282" t="s">
        <v>69</v>
      </c>
    </row>
    <row r="283" spans="1:17" x14ac:dyDescent="0.3">
      <c r="A283" t="s">
        <v>1624</v>
      </c>
      <c r="B283" t="s">
        <v>1625</v>
      </c>
      <c r="C283">
        <v>59</v>
      </c>
      <c r="D283" t="s">
        <v>1626</v>
      </c>
      <c r="E283" t="s">
        <v>95</v>
      </c>
      <c r="F283" s="86">
        <v>44290</v>
      </c>
      <c r="G283" s="86">
        <v>44263</v>
      </c>
      <c r="H283">
        <v>0</v>
      </c>
      <c r="I283" t="s">
        <v>52</v>
      </c>
      <c r="J283" t="s">
        <v>388</v>
      </c>
      <c r="K283">
        <v>102.62</v>
      </c>
      <c r="L283">
        <v>3</v>
      </c>
      <c r="M283">
        <v>23</v>
      </c>
      <c r="N283" t="s">
        <v>45</v>
      </c>
      <c r="O283" t="s">
        <v>624</v>
      </c>
      <c r="P283" t="s">
        <v>30</v>
      </c>
      <c r="Q283" t="s">
        <v>32</v>
      </c>
    </row>
    <row r="284" spans="1:17" x14ac:dyDescent="0.3">
      <c r="A284" t="s">
        <v>1628</v>
      </c>
      <c r="B284" t="s">
        <v>1629</v>
      </c>
      <c r="C284">
        <v>63</v>
      </c>
      <c r="D284" t="s">
        <v>1630</v>
      </c>
      <c r="E284" t="s">
        <v>51</v>
      </c>
      <c r="F284" t="s">
        <v>220</v>
      </c>
      <c r="G284" s="86">
        <v>45908</v>
      </c>
      <c r="H284">
        <v>2</v>
      </c>
      <c r="I284" t="s">
        <v>27</v>
      </c>
      <c r="J284" s="86">
        <v>45266</v>
      </c>
      <c r="K284">
        <v>26.61</v>
      </c>
      <c r="L284">
        <v>8</v>
      </c>
      <c r="M284">
        <v>28</v>
      </c>
      <c r="N284" t="s">
        <v>30</v>
      </c>
      <c r="O284" t="s">
        <v>128</v>
      </c>
      <c r="P284" t="s">
        <v>54</v>
      </c>
      <c r="Q284" t="s">
        <v>69</v>
      </c>
    </row>
    <row r="285" spans="1:17" x14ac:dyDescent="0.3">
      <c r="A285" t="s">
        <v>1632</v>
      </c>
      <c r="B285" t="s">
        <v>1633</v>
      </c>
      <c r="C285">
        <v>29</v>
      </c>
      <c r="D285" t="s">
        <v>1634</v>
      </c>
      <c r="E285" t="s">
        <v>25</v>
      </c>
      <c r="F285" s="86">
        <v>44446</v>
      </c>
      <c r="G285" t="s">
        <v>1635</v>
      </c>
      <c r="H285">
        <v>4</v>
      </c>
      <c r="I285" t="s">
        <v>27</v>
      </c>
      <c r="J285" s="86">
        <v>45506</v>
      </c>
      <c r="K285">
        <v>281.70999999999998</v>
      </c>
      <c r="L285">
        <v>5</v>
      </c>
      <c r="M285">
        <v>28</v>
      </c>
      <c r="N285" t="s">
        <v>30</v>
      </c>
      <c r="O285" t="s">
        <v>116</v>
      </c>
      <c r="P285" t="s">
        <v>54</v>
      </c>
      <c r="Q285" t="s">
        <v>69</v>
      </c>
    </row>
    <row r="286" spans="1:17" x14ac:dyDescent="0.3">
      <c r="A286" t="s">
        <v>1637</v>
      </c>
      <c r="B286" t="s">
        <v>1638</v>
      </c>
      <c r="C286">
        <v>45</v>
      </c>
      <c r="D286" t="s">
        <v>1639</v>
      </c>
      <c r="E286" t="s">
        <v>88</v>
      </c>
      <c r="F286" s="86">
        <v>43993</v>
      </c>
      <c r="G286" s="86">
        <v>45938</v>
      </c>
      <c r="H286">
        <v>1</v>
      </c>
      <c r="I286" t="s">
        <v>64</v>
      </c>
      <c r="J286" s="86">
        <v>44256</v>
      </c>
      <c r="K286">
        <v>498.41</v>
      </c>
      <c r="L286">
        <v>3</v>
      </c>
      <c r="M286">
        <v>23</v>
      </c>
      <c r="N286" t="s">
        <v>56</v>
      </c>
      <c r="O286" t="s">
        <v>55</v>
      </c>
      <c r="P286" t="s">
        <v>56</v>
      </c>
      <c r="Q286" t="s">
        <v>69</v>
      </c>
    </row>
    <row r="287" spans="1:17" x14ac:dyDescent="0.3">
      <c r="A287" t="s">
        <v>1641</v>
      </c>
      <c r="B287" t="s">
        <v>1642</v>
      </c>
      <c r="C287">
        <v>54</v>
      </c>
      <c r="D287" t="s">
        <v>1643</v>
      </c>
      <c r="E287" t="s">
        <v>61</v>
      </c>
      <c r="F287" t="s">
        <v>1644</v>
      </c>
      <c r="G287" t="s">
        <v>614</v>
      </c>
      <c r="H287">
        <v>3</v>
      </c>
      <c r="I287" t="s">
        <v>52</v>
      </c>
      <c r="J287" s="86">
        <v>45179</v>
      </c>
      <c r="K287">
        <v>150.77000000000001</v>
      </c>
      <c r="L287">
        <v>7</v>
      </c>
      <c r="M287">
        <v>39</v>
      </c>
      <c r="N287" t="s">
        <v>56</v>
      </c>
      <c r="O287" t="s">
        <v>99</v>
      </c>
      <c r="P287" t="s">
        <v>56</v>
      </c>
      <c r="Q287" t="s">
        <v>32</v>
      </c>
    </row>
    <row r="288" spans="1:17" x14ac:dyDescent="0.3">
      <c r="A288" t="s">
        <v>1646</v>
      </c>
      <c r="B288" t="s">
        <v>1647</v>
      </c>
      <c r="C288">
        <v>28</v>
      </c>
      <c r="D288" t="s">
        <v>1648</v>
      </c>
      <c r="E288" t="s">
        <v>95</v>
      </c>
      <c r="F288" t="s">
        <v>1649</v>
      </c>
      <c r="G288" s="86">
        <v>45474</v>
      </c>
      <c r="H288">
        <v>2</v>
      </c>
      <c r="I288" t="s">
        <v>64</v>
      </c>
      <c r="J288" t="s">
        <v>1650</v>
      </c>
      <c r="K288">
        <v>112.52</v>
      </c>
      <c r="L288">
        <v>7</v>
      </c>
      <c r="M288">
        <v>24</v>
      </c>
      <c r="N288" t="s">
        <v>45</v>
      </c>
      <c r="O288" t="s">
        <v>99</v>
      </c>
      <c r="P288" t="s">
        <v>56</v>
      </c>
      <c r="Q288" t="s">
        <v>69</v>
      </c>
    </row>
    <row r="289" spans="1:17" x14ac:dyDescent="0.3">
      <c r="A289" t="s">
        <v>1652</v>
      </c>
      <c r="B289" t="s">
        <v>1653</v>
      </c>
      <c r="C289">
        <v>45</v>
      </c>
      <c r="D289" t="s">
        <v>1654</v>
      </c>
      <c r="E289" t="s">
        <v>95</v>
      </c>
      <c r="F289" s="86">
        <v>44808</v>
      </c>
      <c r="G289" t="s">
        <v>792</v>
      </c>
      <c r="H289">
        <v>3</v>
      </c>
      <c r="I289" t="s">
        <v>27</v>
      </c>
      <c r="J289" s="86">
        <v>44813</v>
      </c>
      <c r="K289">
        <v>194.81</v>
      </c>
      <c r="L289">
        <v>9</v>
      </c>
      <c r="M289">
        <v>15</v>
      </c>
      <c r="N289" t="s">
        <v>54</v>
      </c>
      <c r="O289" t="s">
        <v>135</v>
      </c>
      <c r="P289" t="s">
        <v>45</v>
      </c>
      <c r="Q289" t="s">
        <v>32</v>
      </c>
    </row>
    <row r="290" spans="1:17" x14ac:dyDescent="0.3">
      <c r="A290" t="s">
        <v>1656</v>
      </c>
      <c r="B290" t="s">
        <v>1657</v>
      </c>
      <c r="C290">
        <v>28</v>
      </c>
      <c r="D290" t="s">
        <v>1658</v>
      </c>
      <c r="E290" t="s">
        <v>51</v>
      </c>
      <c r="F290" s="86">
        <v>44897</v>
      </c>
      <c r="G290" s="86">
        <v>45477</v>
      </c>
      <c r="H290">
        <v>1</v>
      </c>
      <c r="I290" t="s">
        <v>27</v>
      </c>
      <c r="J290" s="86">
        <v>45962</v>
      </c>
      <c r="K290">
        <v>209.41</v>
      </c>
      <c r="L290">
        <v>5</v>
      </c>
      <c r="M290">
        <v>8</v>
      </c>
      <c r="N290" t="s">
        <v>30</v>
      </c>
      <c r="O290" t="s">
        <v>142</v>
      </c>
      <c r="P290" t="s">
        <v>68</v>
      </c>
      <c r="Q290" t="s">
        <v>69</v>
      </c>
    </row>
    <row r="291" spans="1:17" x14ac:dyDescent="0.3">
      <c r="A291" t="s">
        <v>1660</v>
      </c>
      <c r="B291" t="s">
        <v>1661</v>
      </c>
      <c r="C291">
        <v>29</v>
      </c>
      <c r="D291" t="s">
        <v>1662</v>
      </c>
      <c r="E291" t="s">
        <v>40</v>
      </c>
      <c r="F291" s="86">
        <v>44412</v>
      </c>
      <c r="G291" t="s">
        <v>1663</v>
      </c>
      <c r="H291">
        <v>0</v>
      </c>
      <c r="I291" t="s">
        <v>52</v>
      </c>
      <c r="J291" t="s">
        <v>1664</v>
      </c>
      <c r="K291">
        <v>494.41</v>
      </c>
      <c r="L291">
        <v>2</v>
      </c>
      <c r="M291">
        <v>22</v>
      </c>
      <c r="N291" t="s">
        <v>54</v>
      </c>
      <c r="O291" t="s">
        <v>821</v>
      </c>
      <c r="P291" t="s">
        <v>68</v>
      </c>
      <c r="Q291" t="s">
        <v>322</v>
      </c>
    </row>
    <row r="292" spans="1:17" x14ac:dyDescent="0.3">
      <c r="A292" t="s">
        <v>1666</v>
      </c>
      <c r="B292" t="s">
        <v>1667</v>
      </c>
      <c r="C292">
        <v>47</v>
      </c>
      <c r="D292" t="s">
        <v>1668</v>
      </c>
      <c r="E292" t="s">
        <v>51</v>
      </c>
      <c r="F292" t="s">
        <v>1669</v>
      </c>
      <c r="G292" s="86">
        <v>45781</v>
      </c>
      <c r="H292">
        <v>2</v>
      </c>
      <c r="I292" t="s">
        <v>27</v>
      </c>
      <c r="J292" s="86">
        <v>44930</v>
      </c>
      <c r="K292">
        <v>187.03</v>
      </c>
      <c r="L292">
        <v>5</v>
      </c>
      <c r="M292">
        <v>7</v>
      </c>
      <c r="N292" t="s">
        <v>68</v>
      </c>
      <c r="O292" t="s">
        <v>354</v>
      </c>
      <c r="P292" t="s">
        <v>45</v>
      </c>
      <c r="Q292" t="s">
        <v>69</v>
      </c>
    </row>
    <row r="293" spans="1:17" x14ac:dyDescent="0.3">
      <c r="A293" t="s">
        <v>1671</v>
      </c>
      <c r="B293" t="s">
        <v>1672</v>
      </c>
      <c r="C293">
        <v>41</v>
      </c>
      <c r="D293" t="s">
        <v>1673</v>
      </c>
      <c r="E293" t="s">
        <v>88</v>
      </c>
      <c r="F293" t="s">
        <v>1674</v>
      </c>
      <c r="G293" t="s">
        <v>963</v>
      </c>
      <c r="H293">
        <v>4</v>
      </c>
      <c r="I293" t="s">
        <v>27</v>
      </c>
      <c r="J293" t="s">
        <v>1675</v>
      </c>
      <c r="K293">
        <v>314.88</v>
      </c>
      <c r="L293">
        <v>4</v>
      </c>
      <c r="M293">
        <v>47</v>
      </c>
      <c r="N293" t="s">
        <v>30</v>
      </c>
      <c r="O293" t="s">
        <v>31</v>
      </c>
      <c r="P293" t="s">
        <v>30</v>
      </c>
      <c r="Q293" t="s">
        <v>32</v>
      </c>
    </row>
    <row r="294" spans="1:17" x14ac:dyDescent="0.3">
      <c r="A294" t="s">
        <v>1677</v>
      </c>
      <c r="B294" t="s">
        <v>1678</v>
      </c>
      <c r="C294">
        <v>37</v>
      </c>
      <c r="D294" t="s">
        <v>1679</v>
      </c>
      <c r="E294" t="s">
        <v>61</v>
      </c>
      <c r="F294" t="s">
        <v>1680</v>
      </c>
      <c r="G294" t="s">
        <v>734</v>
      </c>
      <c r="H294">
        <v>5</v>
      </c>
      <c r="I294" t="s">
        <v>52</v>
      </c>
      <c r="J294" s="86">
        <v>45298</v>
      </c>
      <c r="K294">
        <v>233.87</v>
      </c>
      <c r="L294">
        <v>5</v>
      </c>
      <c r="M294">
        <v>19</v>
      </c>
      <c r="N294" t="s">
        <v>56</v>
      </c>
      <c r="O294" t="s">
        <v>245</v>
      </c>
      <c r="P294" t="s">
        <v>54</v>
      </c>
      <c r="Q294" t="s">
        <v>69</v>
      </c>
    </row>
    <row r="295" spans="1:17" x14ac:dyDescent="0.3">
      <c r="A295" t="s">
        <v>1682</v>
      </c>
      <c r="B295" t="s">
        <v>1683</v>
      </c>
      <c r="C295">
        <v>58</v>
      </c>
      <c r="D295" t="s">
        <v>1684</v>
      </c>
      <c r="E295" t="s">
        <v>95</v>
      </c>
      <c r="F295" s="86">
        <v>45047</v>
      </c>
      <c r="G295" t="s">
        <v>133</v>
      </c>
      <c r="H295">
        <v>4</v>
      </c>
      <c r="I295" t="s">
        <v>27</v>
      </c>
      <c r="J295" t="s">
        <v>1685</v>
      </c>
      <c r="K295">
        <v>171.07</v>
      </c>
      <c r="L295">
        <v>6</v>
      </c>
      <c r="M295">
        <v>6</v>
      </c>
      <c r="N295" t="s">
        <v>30</v>
      </c>
      <c r="O295" t="s">
        <v>149</v>
      </c>
      <c r="P295" t="s">
        <v>30</v>
      </c>
      <c r="Q295" t="s">
        <v>69</v>
      </c>
    </row>
    <row r="296" spans="1:17" x14ac:dyDescent="0.3">
      <c r="A296" t="s">
        <v>1687</v>
      </c>
      <c r="B296" t="s">
        <v>1688</v>
      </c>
      <c r="C296">
        <v>38</v>
      </c>
      <c r="D296" t="s">
        <v>1689</v>
      </c>
      <c r="E296" t="s">
        <v>25</v>
      </c>
      <c r="F296" s="86">
        <v>43961</v>
      </c>
      <c r="G296" s="86">
        <v>44417</v>
      </c>
      <c r="H296">
        <v>5</v>
      </c>
      <c r="I296" t="s">
        <v>27</v>
      </c>
      <c r="J296" t="s">
        <v>1690</v>
      </c>
      <c r="K296">
        <v>155.44</v>
      </c>
      <c r="L296">
        <v>5</v>
      </c>
      <c r="M296">
        <v>29</v>
      </c>
      <c r="N296" t="s">
        <v>54</v>
      </c>
      <c r="O296" t="s">
        <v>610</v>
      </c>
      <c r="P296" t="s">
        <v>68</v>
      </c>
      <c r="Q296" t="s">
        <v>69</v>
      </c>
    </row>
    <row r="297" spans="1:17" x14ac:dyDescent="0.3">
      <c r="A297" t="s">
        <v>1692</v>
      </c>
      <c r="B297" t="s">
        <v>1693</v>
      </c>
      <c r="C297">
        <v>68</v>
      </c>
      <c r="D297" t="s">
        <v>1694</v>
      </c>
      <c r="E297" t="s">
        <v>95</v>
      </c>
      <c r="F297" t="s">
        <v>1695</v>
      </c>
      <c r="G297" s="86">
        <v>45813</v>
      </c>
      <c r="H297">
        <v>0</v>
      </c>
      <c r="I297" t="s">
        <v>27</v>
      </c>
      <c r="J297" t="s">
        <v>1696</v>
      </c>
      <c r="K297">
        <v>789.5</v>
      </c>
      <c r="L297">
        <v>2</v>
      </c>
      <c r="M297">
        <v>14</v>
      </c>
      <c r="N297" t="s">
        <v>68</v>
      </c>
      <c r="O297" t="s">
        <v>821</v>
      </c>
      <c r="P297" t="s">
        <v>68</v>
      </c>
      <c r="Q297" t="s">
        <v>69</v>
      </c>
    </row>
    <row r="298" spans="1:17" x14ac:dyDescent="0.3">
      <c r="A298" t="s">
        <v>1698</v>
      </c>
      <c r="B298" t="s">
        <v>1699</v>
      </c>
      <c r="C298">
        <v>38</v>
      </c>
      <c r="D298" t="s">
        <v>1700</v>
      </c>
      <c r="E298" t="s">
        <v>95</v>
      </c>
      <c r="F298" s="86">
        <v>44810</v>
      </c>
      <c r="G298" s="86">
        <v>45906</v>
      </c>
      <c r="H298">
        <v>2</v>
      </c>
      <c r="I298" t="s">
        <v>27</v>
      </c>
      <c r="J298" t="s">
        <v>946</v>
      </c>
      <c r="K298">
        <v>232.75</v>
      </c>
      <c r="L298">
        <v>8</v>
      </c>
      <c r="M298">
        <v>5</v>
      </c>
      <c r="N298" t="s">
        <v>68</v>
      </c>
      <c r="O298" t="s">
        <v>77</v>
      </c>
      <c r="P298" t="s">
        <v>54</v>
      </c>
      <c r="Q298" t="s">
        <v>32</v>
      </c>
    </row>
    <row r="299" spans="1:17" x14ac:dyDescent="0.3">
      <c r="A299" t="s">
        <v>1702</v>
      </c>
      <c r="B299" t="s">
        <v>1703</v>
      </c>
      <c r="C299">
        <v>66</v>
      </c>
      <c r="D299" t="s">
        <v>1704</v>
      </c>
      <c r="E299" t="s">
        <v>51</v>
      </c>
      <c r="F299" s="86">
        <v>44411</v>
      </c>
      <c r="G299" t="s">
        <v>1174</v>
      </c>
      <c r="H299">
        <v>5</v>
      </c>
      <c r="I299" t="s">
        <v>64</v>
      </c>
      <c r="J299" t="s">
        <v>1705</v>
      </c>
      <c r="K299">
        <v>1786.22</v>
      </c>
      <c r="L299">
        <v>1</v>
      </c>
      <c r="M299">
        <v>2</v>
      </c>
      <c r="N299" t="s">
        <v>45</v>
      </c>
      <c r="O299" t="s">
        <v>194</v>
      </c>
      <c r="P299" t="s">
        <v>56</v>
      </c>
      <c r="Q299" t="s">
        <v>69</v>
      </c>
    </row>
    <row r="300" spans="1:17" x14ac:dyDescent="0.3">
      <c r="A300" t="s">
        <v>1707</v>
      </c>
      <c r="B300" t="s">
        <v>1708</v>
      </c>
      <c r="C300">
        <v>42</v>
      </c>
      <c r="D300" t="s">
        <v>1709</v>
      </c>
      <c r="E300" t="s">
        <v>40</v>
      </c>
      <c r="F300" s="86">
        <v>44199</v>
      </c>
      <c r="G300" s="86">
        <v>45265</v>
      </c>
      <c r="H300">
        <v>3</v>
      </c>
      <c r="I300" t="s">
        <v>52</v>
      </c>
      <c r="J300" s="86">
        <v>45177</v>
      </c>
      <c r="K300">
        <v>216.99</v>
      </c>
      <c r="L300">
        <v>8</v>
      </c>
      <c r="M300">
        <v>15</v>
      </c>
      <c r="N300" t="s">
        <v>56</v>
      </c>
      <c r="O300" t="s">
        <v>223</v>
      </c>
      <c r="P300" t="s">
        <v>56</v>
      </c>
      <c r="Q300" t="s">
        <v>32</v>
      </c>
    </row>
    <row r="301" spans="1:17" x14ac:dyDescent="0.3">
      <c r="A301" t="s">
        <v>1711</v>
      </c>
      <c r="B301" t="s">
        <v>1712</v>
      </c>
      <c r="C301">
        <v>45</v>
      </c>
      <c r="D301" t="s">
        <v>1713</v>
      </c>
      <c r="E301" t="s">
        <v>51</v>
      </c>
      <c r="F301" t="s">
        <v>1714</v>
      </c>
      <c r="G301" t="s">
        <v>1715</v>
      </c>
      <c r="H301">
        <v>5</v>
      </c>
      <c r="I301" t="s">
        <v>52</v>
      </c>
      <c r="J301" t="s">
        <v>1716</v>
      </c>
      <c r="K301">
        <v>10.88</v>
      </c>
      <c r="L301">
        <v>9</v>
      </c>
      <c r="M301">
        <v>38</v>
      </c>
      <c r="N301" t="s">
        <v>54</v>
      </c>
      <c r="O301" t="s">
        <v>116</v>
      </c>
      <c r="P301" t="s">
        <v>54</v>
      </c>
      <c r="Q301" t="s">
        <v>69</v>
      </c>
    </row>
    <row r="302" spans="1:17" x14ac:dyDescent="0.3">
      <c r="A302" t="s">
        <v>1718</v>
      </c>
      <c r="B302" t="s">
        <v>1719</v>
      </c>
      <c r="C302">
        <v>19</v>
      </c>
      <c r="D302" t="s">
        <v>1720</v>
      </c>
      <c r="E302" t="s">
        <v>25</v>
      </c>
      <c r="F302" t="s">
        <v>669</v>
      </c>
      <c r="G302" s="86">
        <v>45333</v>
      </c>
      <c r="H302">
        <v>1</v>
      </c>
      <c r="I302" t="s">
        <v>27</v>
      </c>
      <c r="J302" s="86">
        <v>45057</v>
      </c>
      <c r="K302">
        <v>1226.18</v>
      </c>
      <c r="L302">
        <v>1</v>
      </c>
      <c r="M302">
        <v>25</v>
      </c>
      <c r="N302" t="s">
        <v>30</v>
      </c>
      <c r="O302" t="s">
        <v>67</v>
      </c>
      <c r="P302" t="s">
        <v>68</v>
      </c>
      <c r="Q302" t="s">
        <v>32</v>
      </c>
    </row>
    <row r="303" spans="1:17" x14ac:dyDescent="0.3">
      <c r="A303" t="s">
        <v>1722</v>
      </c>
      <c r="B303" t="s">
        <v>1723</v>
      </c>
      <c r="C303">
        <v>65</v>
      </c>
      <c r="D303" t="s">
        <v>1724</v>
      </c>
      <c r="E303" t="s">
        <v>40</v>
      </c>
      <c r="F303" s="86">
        <v>45146</v>
      </c>
      <c r="G303" t="s">
        <v>1725</v>
      </c>
      <c r="H303">
        <v>2</v>
      </c>
      <c r="I303" t="s">
        <v>27</v>
      </c>
      <c r="J303" t="s">
        <v>1726</v>
      </c>
      <c r="K303">
        <v>460.02</v>
      </c>
      <c r="L303">
        <v>4</v>
      </c>
      <c r="M303">
        <v>7</v>
      </c>
      <c r="N303" t="s">
        <v>54</v>
      </c>
      <c r="O303" t="s">
        <v>238</v>
      </c>
      <c r="P303" t="s">
        <v>45</v>
      </c>
      <c r="Q303" t="s">
        <v>32</v>
      </c>
    </row>
    <row r="304" spans="1:17" x14ac:dyDescent="0.3">
      <c r="A304" t="s">
        <v>1728</v>
      </c>
      <c r="B304" t="s">
        <v>1729</v>
      </c>
      <c r="C304">
        <v>55</v>
      </c>
      <c r="D304" t="s">
        <v>1730</v>
      </c>
      <c r="E304" t="s">
        <v>40</v>
      </c>
      <c r="F304" t="s">
        <v>963</v>
      </c>
      <c r="G304" t="s">
        <v>1731</v>
      </c>
      <c r="H304">
        <v>3</v>
      </c>
      <c r="I304" t="s">
        <v>64</v>
      </c>
      <c r="J304" t="s">
        <v>1732</v>
      </c>
      <c r="K304">
        <v>217.3</v>
      </c>
      <c r="L304">
        <v>7</v>
      </c>
      <c r="M304">
        <v>21</v>
      </c>
      <c r="N304" t="s">
        <v>45</v>
      </c>
      <c r="O304" t="s">
        <v>169</v>
      </c>
      <c r="P304" t="s">
        <v>30</v>
      </c>
      <c r="Q304" t="s">
        <v>32</v>
      </c>
    </row>
    <row r="305" spans="1:17" x14ac:dyDescent="0.3">
      <c r="A305" t="s">
        <v>1734</v>
      </c>
      <c r="B305" t="s">
        <v>1735</v>
      </c>
      <c r="C305">
        <v>45</v>
      </c>
      <c r="D305" t="s">
        <v>1736</v>
      </c>
      <c r="E305" t="s">
        <v>88</v>
      </c>
      <c r="F305" s="86">
        <v>44904</v>
      </c>
      <c r="G305" t="s">
        <v>615</v>
      </c>
      <c r="H305">
        <v>1</v>
      </c>
      <c r="I305" t="s">
        <v>52</v>
      </c>
      <c r="J305" t="s">
        <v>1737</v>
      </c>
      <c r="K305">
        <v>120.62</v>
      </c>
      <c r="L305">
        <v>5</v>
      </c>
      <c r="M305">
        <v>11</v>
      </c>
      <c r="N305" t="s">
        <v>54</v>
      </c>
      <c r="O305" t="s">
        <v>373</v>
      </c>
      <c r="P305" t="s">
        <v>54</v>
      </c>
      <c r="Q305" t="s">
        <v>32</v>
      </c>
    </row>
    <row r="306" spans="1:17" x14ac:dyDescent="0.3">
      <c r="A306" t="s">
        <v>1739</v>
      </c>
      <c r="B306" t="s">
        <v>1740</v>
      </c>
      <c r="C306">
        <v>35</v>
      </c>
      <c r="D306" t="s">
        <v>1741</v>
      </c>
      <c r="E306" t="s">
        <v>61</v>
      </c>
      <c r="F306" t="s">
        <v>980</v>
      </c>
      <c r="G306" s="86">
        <v>45144</v>
      </c>
      <c r="H306">
        <v>5</v>
      </c>
      <c r="I306" t="s">
        <v>27</v>
      </c>
      <c r="J306" t="s">
        <v>1742</v>
      </c>
      <c r="K306">
        <v>90.23</v>
      </c>
      <c r="L306">
        <v>4</v>
      </c>
      <c r="M306">
        <v>6</v>
      </c>
      <c r="N306" t="s">
        <v>54</v>
      </c>
      <c r="O306" t="s">
        <v>77</v>
      </c>
      <c r="P306" t="s">
        <v>54</v>
      </c>
      <c r="Q306" t="s">
        <v>69</v>
      </c>
    </row>
    <row r="307" spans="1:17" x14ac:dyDescent="0.3">
      <c r="A307" t="s">
        <v>1744</v>
      </c>
      <c r="B307" t="s">
        <v>1745</v>
      </c>
      <c r="C307">
        <v>26</v>
      </c>
      <c r="D307" t="s">
        <v>1746</v>
      </c>
      <c r="E307" t="s">
        <v>88</v>
      </c>
      <c r="F307" t="s">
        <v>1747</v>
      </c>
      <c r="G307" t="s">
        <v>771</v>
      </c>
      <c r="H307">
        <v>3</v>
      </c>
      <c r="I307" t="s">
        <v>27</v>
      </c>
      <c r="J307" t="s">
        <v>1748</v>
      </c>
      <c r="K307">
        <v>737.62</v>
      </c>
      <c r="L307">
        <v>2</v>
      </c>
      <c r="M307">
        <v>31</v>
      </c>
      <c r="N307" t="s">
        <v>30</v>
      </c>
      <c r="O307" t="s">
        <v>77</v>
      </c>
      <c r="P307" t="s">
        <v>54</v>
      </c>
      <c r="Q307" t="s">
        <v>69</v>
      </c>
    </row>
    <row r="308" spans="1:17" x14ac:dyDescent="0.3">
      <c r="A308" t="s">
        <v>1750</v>
      </c>
      <c r="B308" t="s">
        <v>1751</v>
      </c>
      <c r="C308">
        <v>56</v>
      </c>
      <c r="D308" t="s">
        <v>1752</v>
      </c>
      <c r="E308" t="s">
        <v>40</v>
      </c>
      <c r="F308" t="s">
        <v>1753</v>
      </c>
      <c r="G308" t="s">
        <v>1754</v>
      </c>
      <c r="H308">
        <v>4</v>
      </c>
      <c r="I308" t="s">
        <v>27</v>
      </c>
      <c r="J308" t="s">
        <v>1755</v>
      </c>
      <c r="K308">
        <v>658.94</v>
      </c>
      <c r="L308">
        <v>2</v>
      </c>
      <c r="M308">
        <v>47</v>
      </c>
      <c r="N308" t="s">
        <v>54</v>
      </c>
      <c r="O308" t="s">
        <v>199</v>
      </c>
      <c r="P308" t="s">
        <v>54</v>
      </c>
      <c r="Q308" t="s">
        <v>32</v>
      </c>
    </row>
    <row r="309" spans="1:17" x14ac:dyDescent="0.3">
      <c r="A309" t="s">
        <v>1757</v>
      </c>
      <c r="B309" t="s">
        <v>1758</v>
      </c>
      <c r="C309">
        <v>40</v>
      </c>
      <c r="D309" t="s">
        <v>1759</v>
      </c>
      <c r="E309" t="s">
        <v>25</v>
      </c>
      <c r="F309" t="s">
        <v>236</v>
      </c>
      <c r="G309" s="86">
        <v>44687</v>
      </c>
      <c r="H309">
        <v>0</v>
      </c>
      <c r="I309" t="s">
        <v>64</v>
      </c>
      <c r="J309" t="s">
        <v>1174</v>
      </c>
      <c r="K309">
        <v>121.19</v>
      </c>
      <c r="L309">
        <v>3</v>
      </c>
      <c r="M309">
        <v>20</v>
      </c>
      <c r="N309" t="s">
        <v>56</v>
      </c>
      <c r="O309" t="s">
        <v>157</v>
      </c>
      <c r="P309" t="s">
        <v>68</v>
      </c>
      <c r="Q309" t="s">
        <v>69</v>
      </c>
    </row>
    <row r="310" spans="1:17" x14ac:dyDescent="0.3">
      <c r="A310" t="s">
        <v>1761</v>
      </c>
      <c r="B310" t="s">
        <v>1762</v>
      </c>
      <c r="C310">
        <v>57</v>
      </c>
      <c r="D310" t="s">
        <v>1763</v>
      </c>
      <c r="E310" t="s">
        <v>88</v>
      </c>
      <c r="F310" s="86">
        <v>44412</v>
      </c>
      <c r="G310" t="s">
        <v>1764</v>
      </c>
      <c r="H310">
        <v>4</v>
      </c>
      <c r="I310" t="s">
        <v>27</v>
      </c>
      <c r="J310" s="86">
        <v>45292</v>
      </c>
      <c r="K310">
        <v>583.41</v>
      </c>
      <c r="L310">
        <v>3</v>
      </c>
      <c r="M310">
        <v>49</v>
      </c>
      <c r="N310" t="s">
        <v>45</v>
      </c>
      <c r="O310" t="s">
        <v>122</v>
      </c>
      <c r="P310" t="s">
        <v>30</v>
      </c>
      <c r="Q310" t="s">
        <v>69</v>
      </c>
    </row>
    <row r="311" spans="1:17" x14ac:dyDescent="0.3">
      <c r="A311" t="s">
        <v>1766</v>
      </c>
      <c r="B311" t="s">
        <v>1767</v>
      </c>
      <c r="C311">
        <v>57</v>
      </c>
      <c r="D311" t="s">
        <v>1768</v>
      </c>
      <c r="E311" t="s">
        <v>95</v>
      </c>
      <c r="F311" t="s">
        <v>1769</v>
      </c>
      <c r="G311" t="s">
        <v>1553</v>
      </c>
      <c r="H311">
        <v>3</v>
      </c>
      <c r="I311" t="s">
        <v>27</v>
      </c>
      <c r="J311" t="s">
        <v>1754</v>
      </c>
      <c r="K311">
        <v>242.39</v>
      </c>
      <c r="L311">
        <v>6</v>
      </c>
      <c r="M311">
        <v>20</v>
      </c>
      <c r="N311" t="s">
        <v>56</v>
      </c>
      <c r="O311" t="s">
        <v>169</v>
      </c>
      <c r="P311" t="s">
        <v>30</v>
      </c>
      <c r="Q311" t="s">
        <v>32</v>
      </c>
    </row>
    <row r="312" spans="1:17" x14ac:dyDescent="0.3">
      <c r="A312" t="s">
        <v>1771</v>
      </c>
      <c r="B312" t="s">
        <v>1772</v>
      </c>
      <c r="C312">
        <v>21</v>
      </c>
      <c r="D312" t="s">
        <v>1773</v>
      </c>
      <c r="E312" t="s">
        <v>88</v>
      </c>
      <c r="F312" t="s">
        <v>1774</v>
      </c>
      <c r="G312" t="s">
        <v>1775</v>
      </c>
      <c r="H312">
        <v>4</v>
      </c>
      <c r="I312" t="s">
        <v>52</v>
      </c>
      <c r="J312" t="s">
        <v>1006</v>
      </c>
      <c r="K312">
        <v>84.73</v>
      </c>
      <c r="L312">
        <v>7</v>
      </c>
      <c r="M312">
        <v>6</v>
      </c>
      <c r="N312" t="s">
        <v>30</v>
      </c>
      <c r="O312" t="s">
        <v>116</v>
      </c>
      <c r="P312" t="s">
        <v>54</v>
      </c>
      <c r="Q312" t="s">
        <v>32</v>
      </c>
    </row>
    <row r="313" spans="1:17" x14ac:dyDescent="0.3">
      <c r="A313" t="s">
        <v>1777</v>
      </c>
      <c r="B313" t="s">
        <v>1778</v>
      </c>
      <c r="C313">
        <v>31</v>
      </c>
      <c r="D313" t="s">
        <v>1779</v>
      </c>
      <c r="E313" t="s">
        <v>88</v>
      </c>
      <c r="F313" t="s">
        <v>1780</v>
      </c>
      <c r="G313" t="s">
        <v>589</v>
      </c>
      <c r="H313">
        <v>3</v>
      </c>
      <c r="I313" t="s">
        <v>64</v>
      </c>
      <c r="J313" t="s">
        <v>572</v>
      </c>
      <c r="K313">
        <v>399.32</v>
      </c>
      <c r="L313">
        <v>4</v>
      </c>
      <c r="M313">
        <v>25</v>
      </c>
      <c r="N313" t="s">
        <v>30</v>
      </c>
      <c r="O313" t="s">
        <v>169</v>
      </c>
      <c r="P313" t="s">
        <v>30</v>
      </c>
      <c r="Q313" t="s">
        <v>32</v>
      </c>
    </row>
    <row r="314" spans="1:17" x14ac:dyDescent="0.3">
      <c r="A314" t="s">
        <v>1782</v>
      </c>
      <c r="B314" t="s">
        <v>1783</v>
      </c>
      <c r="C314">
        <v>52</v>
      </c>
      <c r="D314" t="s">
        <v>1784</v>
      </c>
      <c r="E314" t="s">
        <v>95</v>
      </c>
      <c r="F314" s="86">
        <v>43842</v>
      </c>
      <c r="G314" t="s">
        <v>180</v>
      </c>
      <c r="H314">
        <v>0</v>
      </c>
      <c r="I314" t="s">
        <v>27</v>
      </c>
      <c r="J314" s="86">
        <v>45055</v>
      </c>
      <c r="K314">
        <v>96.56</v>
      </c>
      <c r="L314">
        <v>7</v>
      </c>
      <c r="M314">
        <v>49</v>
      </c>
      <c r="N314" t="s">
        <v>45</v>
      </c>
      <c r="O314" t="s">
        <v>855</v>
      </c>
      <c r="P314" t="s">
        <v>45</v>
      </c>
      <c r="Q314" t="s">
        <v>32</v>
      </c>
    </row>
    <row r="315" spans="1:17" x14ac:dyDescent="0.3">
      <c r="A315" t="s">
        <v>1786</v>
      </c>
      <c r="B315" t="s">
        <v>1787</v>
      </c>
      <c r="C315">
        <v>27</v>
      </c>
      <c r="D315" t="s">
        <v>1788</v>
      </c>
      <c r="E315" t="s">
        <v>51</v>
      </c>
      <c r="F315" t="s">
        <v>1789</v>
      </c>
      <c r="G315" t="s">
        <v>1790</v>
      </c>
      <c r="H315">
        <v>4</v>
      </c>
      <c r="I315" t="s">
        <v>27</v>
      </c>
      <c r="J315" t="s">
        <v>1791</v>
      </c>
      <c r="K315">
        <v>211.81</v>
      </c>
      <c r="L315">
        <v>6</v>
      </c>
      <c r="M315">
        <v>30</v>
      </c>
      <c r="N315" t="s">
        <v>56</v>
      </c>
      <c r="O315" t="s">
        <v>269</v>
      </c>
      <c r="P315" t="s">
        <v>56</v>
      </c>
      <c r="Q315" t="s">
        <v>322</v>
      </c>
    </row>
    <row r="316" spans="1:17" x14ac:dyDescent="0.3">
      <c r="A316" t="s">
        <v>1793</v>
      </c>
      <c r="B316" t="s">
        <v>1794</v>
      </c>
      <c r="C316">
        <v>32</v>
      </c>
      <c r="D316" t="s">
        <v>1795</v>
      </c>
      <c r="E316" t="s">
        <v>25</v>
      </c>
      <c r="F316" s="86">
        <v>44409</v>
      </c>
      <c r="G316" s="86">
        <v>45718</v>
      </c>
      <c r="H316">
        <v>1</v>
      </c>
      <c r="I316" t="s">
        <v>27</v>
      </c>
      <c r="J316" t="s">
        <v>1796</v>
      </c>
      <c r="K316">
        <v>227.67</v>
      </c>
      <c r="L316">
        <v>5</v>
      </c>
      <c r="M316">
        <v>15</v>
      </c>
      <c r="N316" t="s">
        <v>56</v>
      </c>
      <c r="O316" t="s">
        <v>77</v>
      </c>
      <c r="P316" t="s">
        <v>54</v>
      </c>
      <c r="Q316" t="s">
        <v>69</v>
      </c>
    </row>
    <row r="317" spans="1:17" x14ac:dyDescent="0.3">
      <c r="A317" t="s">
        <v>1798</v>
      </c>
      <c r="B317" t="s">
        <v>1799</v>
      </c>
      <c r="C317">
        <v>55</v>
      </c>
      <c r="D317" t="s">
        <v>1800</v>
      </c>
      <c r="E317" t="s">
        <v>51</v>
      </c>
      <c r="F317" s="86">
        <v>44235</v>
      </c>
      <c r="G317" t="s">
        <v>1801</v>
      </c>
      <c r="H317">
        <v>5</v>
      </c>
      <c r="I317" t="s">
        <v>52</v>
      </c>
      <c r="J317" t="s">
        <v>1210</v>
      </c>
      <c r="K317">
        <v>65.36</v>
      </c>
      <c r="L317">
        <v>3</v>
      </c>
      <c r="M317">
        <v>49</v>
      </c>
      <c r="N317" t="s">
        <v>56</v>
      </c>
      <c r="O317" t="s">
        <v>142</v>
      </c>
      <c r="P317" t="s">
        <v>68</v>
      </c>
      <c r="Q317" t="s">
        <v>69</v>
      </c>
    </row>
    <row r="318" spans="1:17" x14ac:dyDescent="0.3">
      <c r="A318" t="s">
        <v>1803</v>
      </c>
      <c r="B318" t="s">
        <v>1804</v>
      </c>
      <c r="C318">
        <v>37</v>
      </c>
      <c r="D318" t="s">
        <v>1805</v>
      </c>
      <c r="E318" t="s">
        <v>25</v>
      </c>
      <c r="F318" s="86">
        <v>44595</v>
      </c>
      <c r="G318" t="s">
        <v>1806</v>
      </c>
      <c r="H318">
        <v>2</v>
      </c>
      <c r="I318" t="s">
        <v>52</v>
      </c>
      <c r="J318" t="s">
        <v>968</v>
      </c>
      <c r="K318">
        <v>51.02</v>
      </c>
      <c r="L318">
        <v>6</v>
      </c>
      <c r="M318">
        <v>32</v>
      </c>
      <c r="N318" t="s">
        <v>30</v>
      </c>
      <c r="O318" t="s">
        <v>109</v>
      </c>
      <c r="P318" t="s">
        <v>68</v>
      </c>
      <c r="Q318" t="s">
        <v>32</v>
      </c>
    </row>
    <row r="319" spans="1:17" x14ac:dyDescent="0.3">
      <c r="A319" t="s">
        <v>1808</v>
      </c>
      <c r="B319" t="s">
        <v>1809</v>
      </c>
      <c r="C319">
        <v>19</v>
      </c>
      <c r="D319" t="s">
        <v>1810</v>
      </c>
      <c r="E319" t="s">
        <v>88</v>
      </c>
      <c r="F319" s="86">
        <v>45143</v>
      </c>
      <c r="G319" t="s">
        <v>1811</v>
      </c>
      <c r="H319">
        <v>4</v>
      </c>
      <c r="I319" t="s">
        <v>27</v>
      </c>
      <c r="J319" t="s">
        <v>1812</v>
      </c>
      <c r="K319">
        <v>462.3</v>
      </c>
      <c r="L319">
        <v>2</v>
      </c>
      <c r="M319">
        <v>6</v>
      </c>
      <c r="N319" t="s">
        <v>30</v>
      </c>
      <c r="O319" t="s">
        <v>293</v>
      </c>
      <c r="P319" t="s">
        <v>45</v>
      </c>
      <c r="Q319" t="s">
        <v>32</v>
      </c>
    </row>
    <row r="320" spans="1:17" x14ac:dyDescent="0.3">
      <c r="A320" t="s">
        <v>1814</v>
      </c>
      <c r="B320" t="s">
        <v>1815</v>
      </c>
      <c r="C320">
        <v>59</v>
      </c>
      <c r="D320" t="s">
        <v>1816</v>
      </c>
      <c r="E320" t="s">
        <v>40</v>
      </c>
      <c r="F320" s="86">
        <v>44877</v>
      </c>
      <c r="G320" s="86">
        <v>45181</v>
      </c>
      <c r="H320">
        <v>1</v>
      </c>
      <c r="I320" t="s">
        <v>52</v>
      </c>
      <c r="J320" t="s">
        <v>1288</v>
      </c>
      <c r="K320">
        <v>126.46</v>
      </c>
      <c r="L320">
        <v>9</v>
      </c>
      <c r="M320">
        <v>48</v>
      </c>
      <c r="N320" t="s">
        <v>30</v>
      </c>
      <c r="O320" t="s">
        <v>142</v>
      </c>
      <c r="P320" t="s">
        <v>68</v>
      </c>
      <c r="Q320" t="s">
        <v>32</v>
      </c>
    </row>
    <row r="321" spans="1:17" x14ac:dyDescent="0.3">
      <c r="A321" t="s">
        <v>1818</v>
      </c>
      <c r="B321" t="s">
        <v>1819</v>
      </c>
      <c r="C321">
        <v>67</v>
      </c>
      <c r="D321" t="s">
        <v>1820</v>
      </c>
      <c r="E321" t="s">
        <v>61</v>
      </c>
      <c r="F321" t="s">
        <v>1298</v>
      </c>
      <c r="G321" t="s">
        <v>1821</v>
      </c>
      <c r="H321">
        <v>4</v>
      </c>
      <c r="I321" t="s">
        <v>52</v>
      </c>
      <c r="J321" t="s">
        <v>180</v>
      </c>
      <c r="K321">
        <v>65.2</v>
      </c>
      <c r="L321">
        <v>5</v>
      </c>
      <c r="M321">
        <v>32</v>
      </c>
      <c r="N321" t="s">
        <v>30</v>
      </c>
      <c r="O321" t="s">
        <v>604</v>
      </c>
      <c r="P321" t="s">
        <v>45</v>
      </c>
      <c r="Q321" t="s">
        <v>69</v>
      </c>
    </row>
    <row r="322" spans="1:17" x14ac:dyDescent="0.3">
      <c r="A322" t="s">
        <v>1823</v>
      </c>
      <c r="B322" t="s">
        <v>1824</v>
      </c>
      <c r="C322">
        <v>31</v>
      </c>
      <c r="D322" t="s">
        <v>1825</v>
      </c>
      <c r="E322" t="s">
        <v>88</v>
      </c>
      <c r="F322" s="86">
        <v>45110</v>
      </c>
      <c r="G322" t="s">
        <v>1826</v>
      </c>
      <c r="H322">
        <v>2</v>
      </c>
      <c r="I322" t="s">
        <v>64</v>
      </c>
      <c r="J322" t="s">
        <v>1827</v>
      </c>
      <c r="K322">
        <v>116.64</v>
      </c>
      <c r="L322">
        <v>4</v>
      </c>
      <c r="M322">
        <v>46</v>
      </c>
      <c r="N322" t="s">
        <v>56</v>
      </c>
      <c r="O322" t="s">
        <v>169</v>
      </c>
      <c r="P322" t="s">
        <v>30</v>
      </c>
      <c r="Q322" t="s">
        <v>32</v>
      </c>
    </row>
    <row r="323" spans="1:17" x14ac:dyDescent="0.3">
      <c r="A323" t="s">
        <v>1829</v>
      </c>
      <c r="B323" t="s">
        <v>1830</v>
      </c>
      <c r="C323">
        <v>19</v>
      </c>
      <c r="D323" t="s">
        <v>1831</v>
      </c>
      <c r="E323" t="s">
        <v>40</v>
      </c>
      <c r="F323" s="86">
        <v>45111</v>
      </c>
      <c r="G323" s="86">
        <v>45422</v>
      </c>
      <c r="H323">
        <v>0</v>
      </c>
      <c r="I323" t="s">
        <v>27</v>
      </c>
      <c r="J323" s="86">
        <v>44938</v>
      </c>
      <c r="K323">
        <v>140.63</v>
      </c>
      <c r="L323">
        <v>6</v>
      </c>
      <c r="M323">
        <v>23</v>
      </c>
      <c r="N323" t="s">
        <v>54</v>
      </c>
      <c r="O323" t="s">
        <v>855</v>
      </c>
      <c r="P323" t="s">
        <v>45</v>
      </c>
      <c r="Q323" t="s">
        <v>69</v>
      </c>
    </row>
    <row r="324" spans="1:17" x14ac:dyDescent="0.3">
      <c r="A324" t="s">
        <v>1833</v>
      </c>
      <c r="B324" t="s">
        <v>1834</v>
      </c>
      <c r="C324">
        <v>41</v>
      </c>
      <c r="D324" t="s">
        <v>1835</v>
      </c>
      <c r="E324" t="s">
        <v>61</v>
      </c>
      <c r="F324" t="s">
        <v>1836</v>
      </c>
      <c r="G324" s="86">
        <v>44663</v>
      </c>
      <c r="H324">
        <v>5</v>
      </c>
      <c r="I324" t="s">
        <v>52</v>
      </c>
      <c r="J324" s="86">
        <v>45720</v>
      </c>
      <c r="K324">
        <v>152.53</v>
      </c>
      <c r="L324">
        <v>4</v>
      </c>
      <c r="M324">
        <v>49</v>
      </c>
      <c r="N324" t="s">
        <v>56</v>
      </c>
      <c r="O324" t="s">
        <v>366</v>
      </c>
      <c r="P324" t="s">
        <v>54</v>
      </c>
      <c r="Q324" t="s">
        <v>32</v>
      </c>
    </row>
    <row r="325" spans="1:17" x14ac:dyDescent="0.3">
      <c r="A325" t="s">
        <v>1838</v>
      </c>
      <c r="B325" t="s">
        <v>1839</v>
      </c>
      <c r="C325">
        <v>59</v>
      </c>
      <c r="D325" t="s">
        <v>1840</v>
      </c>
      <c r="E325" t="s">
        <v>51</v>
      </c>
      <c r="F325" t="s">
        <v>1841</v>
      </c>
      <c r="G325" t="s">
        <v>1737</v>
      </c>
      <c r="H325">
        <v>3</v>
      </c>
      <c r="I325" t="s">
        <v>27</v>
      </c>
      <c r="J325" t="s">
        <v>1842</v>
      </c>
      <c r="K325">
        <v>285.44</v>
      </c>
      <c r="L325">
        <v>7</v>
      </c>
      <c r="M325">
        <v>46</v>
      </c>
      <c r="N325" t="s">
        <v>45</v>
      </c>
      <c r="O325" t="s">
        <v>122</v>
      </c>
      <c r="P325" t="s">
        <v>30</v>
      </c>
      <c r="Q325" t="s">
        <v>32</v>
      </c>
    </row>
    <row r="326" spans="1:17" x14ac:dyDescent="0.3">
      <c r="A326" t="s">
        <v>1844</v>
      </c>
      <c r="B326" t="s">
        <v>1845</v>
      </c>
      <c r="C326">
        <v>61</v>
      </c>
      <c r="D326" t="s">
        <v>1846</v>
      </c>
      <c r="E326" t="s">
        <v>61</v>
      </c>
      <c r="F326" t="s">
        <v>1847</v>
      </c>
      <c r="G326" t="s">
        <v>1298</v>
      </c>
      <c r="H326">
        <v>5</v>
      </c>
      <c r="I326" t="s">
        <v>27</v>
      </c>
      <c r="J326" s="86">
        <v>45597</v>
      </c>
      <c r="K326">
        <v>136.30000000000001</v>
      </c>
      <c r="L326">
        <v>3</v>
      </c>
      <c r="M326">
        <v>29</v>
      </c>
      <c r="N326" t="s">
        <v>68</v>
      </c>
      <c r="O326" t="s">
        <v>142</v>
      </c>
      <c r="P326" t="s">
        <v>68</v>
      </c>
      <c r="Q326" t="s">
        <v>69</v>
      </c>
    </row>
    <row r="327" spans="1:17" x14ac:dyDescent="0.3">
      <c r="A327" t="s">
        <v>1849</v>
      </c>
      <c r="B327" t="s">
        <v>1850</v>
      </c>
      <c r="C327">
        <v>46</v>
      </c>
      <c r="D327" t="s">
        <v>1851</v>
      </c>
      <c r="E327" t="s">
        <v>25</v>
      </c>
      <c r="F327" s="86">
        <v>44113</v>
      </c>
      <c r="G327" s="86">
        <v>45301</v>
      </c>
      <c r="H327">
        <v>4</v>
      </c>
      <c r="I327" t="s">
        <v>52</v>
      </c>
      <c r="J327" t="s">
        <v>1852</v>
      </c>
      <c r="K327">
        <v>556.70000000000005</v>
      </c>
      <c r="L327">
        <v>2</v>
      </c>
      <c r="M327">
        <v>39</v>
      </c>
      <c r="N327" t="s">
        <v>56</v>
      </c>
      <c r="O327" t="s">
        <v>373</v>
      </c>
      <c r="P327" t="s">
        <v>54</v>
      </c>
      <c r="Q327" t="s">
        <v>322</v>
      </c>
    </row>
    <row r="328" spans="1:17" x14ac:dyDescent="0.3">
      <c r="A328" t="s">
        <v>1854</v>
      </c>
      <c r="B328" t="s">
        <v>1855</v>
      </c>
      <c r="C328">
        <v>19</v>
      </c>
      <c r="D328" t="s">
        <v>1856</v>
      </c>
      <c r="E328" t="s">
        <v>95</v>
      </c>
      <c r="F328" s="86">
        <v>44510</v>
      </c>
      <c r="G328" t="s">
        <v>1553</v>
      </c>
      <c r="H328">
        <v>2</v>
      </c>
      <c r="I328" t="s">
        <v>27</v>
      </c>
      <c r="J328" s="86">
        <v>45360</v>
      </c>
      <c r="K328">
        <v>231.25</v>
      </c>
      <c r="L328">
        <v>6</v>
      </c>
      <c r="M328">
        <v>39</v>
      </c>
      <c r="N328" t="s">
        <v>54</v>
      </c>
      <c r="O328" t="s">
        <v>418</v>
      </c>
      <c r="P328" t="s">
        <v>56</v>
      </c>
      <c r="Q328" t="s">
        <v>32</v>
      </c>
    </row>
    <row r="329" spans="1:17" x14ac:dyDescent="0.3">
      <c r="A329" t="s">
        <v>1858</v>
      </c>
      <c r="B329" t="s">
        <v>1859</v>
      </c>
      <c r="C329">
        <v>44</v>
      </c>
      <c r="D329" t="s">
        <v>1860</v>
      </c>
      <c r="E329" t="s">
        <v>51</v>
      </c>
      <c r="F329" s="86">
        <v>44238</v>
      </c>
      <c r="G329" t="s">
        <v>1861</v>
      </c>
      <c r="H329">
        <v>4</v>
      </c>
      <c r="I329" t="s">
        <v>27</v>
      </c>
      <c r="J329" t="s">
        <v>1862</v>
      </c>
      <c r="K329">
        <v>105.05</v>
      </c>
      <c r="L329">
        <v>6</v>
      </c>
      <c r="M329">
        <v>15</v>
      </c>
      <c r="N329" t="s">
        <v>30</v>
      </c>
      <c r="O329" t="s">
        <v>821</v>
      </c>
      <c r="P329" t="s">
        <v>68</v>
      </c>
      <c r="Q329" t="s">
        <v>32</v>
      </c>
    </row>
    <row r="330" spans="1:17" x14ac:dyDescent="0.3">
      <c r="A330" t="s">
        <v>1864</v>
      </c>
      <c r="B330" t="s">
        <v>1865</v>
      </c>
      <c r="C330">
        <v>64</v>
      </c>
      <c r="D330" t="s">
        <v>1866</v>
      </c>
      <c r="E330" t="s">
        <v>51</v>
      </c>
      <c r="F330" t="s">
        <v>1867</v>
      </c>
      <c r="G330" t="s">
        <v>1868</v>
      </c>
      <c r="H330">
        <v>1</v>
      </c>
      <c r="I330" t="s">
        <v>27</v>
      </c>
      <c r="J330" t="s">
        <v>82</v>
      </c>
      <c r="K330">
        <v>11.73</v>
      </c>
      <c r="L330">
        <v>5</v>
      </c>
      <c r="M330">
        <v>49</v>
      </c>
      <c r="N330" t="s">
        <v>45</v>
      </c>
      <c r="O330" t="s">
        <v>77</v>
      </c>
      <c r="P330" t="s">
        <v>54</v>
      </c>
      <c r="Q330" t="s">
        <v>69</v>
      </c>
    </row>
    <row r="331" spans="1:17" x14ac:dyDescent="0.3">
      <c r="A331" t="s">
        <v>1870</v>
      </c>
      <c r="B331" t="s">
        <v>1871</v>
      </c>
      <c r="C331">
        <v>66</v>
      </c>
      <c r="D331" t="s">
        <v>1872</v>
      </c>
      <c r="E331" t="s">
        <v>61</v>
      </c>
      <c r="F331" s="86">
        <v>44539</v>
      </c>
      <c r="G331" t="s">
        <v>1873</v>
      </c>
      <c r="H331">
        <v>0</v>
      </c>
      <c r="I331" t="s">
        <v>27</v>
      </c>
      <c r="J331" t="s">
        <v>1874</v>
      </c>
      <c r="K331">
        <v>230.61</v>
      </c>
      <c r="L331">
        <v>8</v>
      </c>
      <c r="M331">
        <v>9</v>
      </c>
      <c r="N331" t="s">
        <v>54</v>
      </c>
      <c r="O331" t="s">
        <v>251</v>
      </c>
      <c r="P331" t="s">
        <v>30</v>
      </c>
      <c r="Q331" t="s">
        <v>32</v>
      </c>
    </row>
    <row r="332" spans="1:17" x14ac:dyDescent="0.3">
      <c r="A332" t="s">
        <v>1876</v>
      </c>
      <c r="B332" t="s">
        <v>1877</v>
      </c>
      <c r="C332">
        <v>60</v>
      </c>
      <c r="D332" t="s">
        <v>1878</v>
      </c>
      <c r="E332" t="s">
        <v>88</v>
      </c>
      <c r="F332" s="86">
        <v>44420</v>
      </c>
      <c r="G332" s="86">
        <v>45142</v>
      </c>
      <c r="H332">
        <v>2</v>
      </c>
      <c r="I332" t="s">
        <v>27</v>
      </c>
      <c r="J332" t="s">
        <v>1879</v>
      </c>
      <c r="K332">
        <v>188.23</v>
      </c>
      <c r="L332">
        <v>8</v>
      </c>
      <c r="M332">
        <v>13</v>
      </c>
      <c r="N332" t="s">
        <v>45</v>
      </c>
      <c r="O332" t="s">
        <v>91</v>
      </c>
      <c r="P332" t="s">
        <v>54</v>
      </c>
      <c r="Q332" t="s">
        <v>32</v>
      </c>
    </row>
    <row r="333" spans="1:17" x14ac:dyDescent="0.3">
      <c r="A333" t="s">
        <v>1881</v>
      </c>
      <c r="B333" t="s">
        <v>1882</v>
      </c>
      <c r="C333">
        <v>36</v>
      </c>
      <c r="D333" t="s">
        <v>1883</v>
      </c>
      <c r="E333" t="s">
        <v>25</v>
      </c>
      <c r="F333" t="s">
        <v>646</v>
      </c>
      <c r="G333" t="s">
        <v>1884</v>
      </c>
      <c r="H333">
        <v>0</v>
      </c>
      <c r="I333" t="s">
        <v>27</v>
      </c>
      <c r="J333" s="86">
        <v>45547</v>
      </c>
      <c r="K333">
        <v>28.65</v>
      </c>
      <c r="L333">
        <v>6</v>
      </c>
      <c r="M333">
        <v>27</v>
      </c>
      <c r="N333" t="s">
        <v>56</v>
      </c>
      <c r="O333" t="s">
        <v>135</v>
      </c>
      <c r="P333" t="s">
        <v>45</v>
      </c>
      <c r="Q333" t="s">
        <v>32</v>
      </c>
    </row>
    <row r="334" spans="1:17" x14ac:dyDescent="0.3">
      <c r="A334" t="s">
        <v>1886</v>
      </c>
      <c r="B334" t="s">
        <v>1887</v>
      </c>
      <c r="C334">
        <v>49</v>
      </c>
      <c r="D334" t="s">
        <v>1888</v>
      </c>
      <c r="E334" t="s">
        <v>25</v>
      </c>
      <c r="F334" s="86">
        <v>44842</v>
      </c>
      <c r="G334" s="86">
        <v>45516</v>
      </c>
      <c r="H334">
        <v>2</v>
      </c>
      <c r="I334" t="s">
        <v>27</v>
      </c>
      <c r="J334" t="s">
        <v>1889</v>
      </c>
      <c r="K334">
        <v>175.42</v>
      </c>
      <c r="L334">
        <v>8</v>
      </c>
      <c r="M334">
        <v>2</v>
      </c>
      <c r="N334" t="s">
        <v>45</v>
      </c>
      <c r="O334" t="s">
        <v>77</v>
      </c>
      <c r="P334" t="s">
        <v>54</v>
      </c>
      <c r="Q334" t="s">
        <v>69</v>
      </c>
    </row>
    <row r="335" spans="1:17" x14ac:dyDescent="0.3">
      <c r="A335" t="s">
        <v>1891</v>
      </c>
      <c r="B335" t="s">
        <v>1892</v>
      </c>
      <c r="C335">
        <v>45</v>
      </c>
      <c r="D335" t="s">
        <v>1893</v>
      </c>
      <c r="E335" t="s">
        <v>51</v>
      </c>
      <c r="F335" s="86">
        <v>45237</v>
      </c>
      <c r="G335" t="s">
        <v>1894</v>
      </c>
      <c r="H335">
        <v>4</v>
      </c>
      <c r="I335" t="s">
        <v>27</v>
      </c>
      <c r="J335" t="s">
        <v>1298</v>
      </c>
      <c r="K335">
        <v>180.09</v>
      </c>
      <c r="L335">
        <v>8</v>
      </c>
      <c r="M335">
        <v>25</v>
      </c>
      <c r="N335" t="s">
        <v>68</v>
      </c>
      <c r="O335" t="s">
        <v>536</v>
      </c>
      <c r="P335" t="s">
        <v>68</v>
      </c>
      <c r="Q335" t="s">
        <v>32</v>
      </c>
    </row>
    <row r="336" spans="1:17" x14ac:dyDescent="0.3">
      <c r="A336" t="s">
        <v>1896</v>
      </c>
      <c r="B336" t="s">
        <v>1897</v>
      </c>
      <c r="C336">
        <v>54</v>
      </c>
      <c r="D336" t="s">
        <v>1898</v>
      </c>
      <c r="E336" t="s">
        <v>95</v>
      </c>
      <c r="F336" s="86">
        <v>44410</v>
      </c>
      <c r="G336" t="s">
        <v>1899</v>
      </c>
      <c r="H336">
        <v>4</v>
      </c>
      <c r="I336" t="s">
        <v>27</v>
      </c>
      <c r="J336" s="86">
        <v>45813</v>
      </c>
      <c r="K336">
        <v>284.73</v>
      </c>
      <c r="L336">
        <v>7</v>
      </c>
      <c r="M336">
        <v>47</v>
      </c>
      <c r="N336" t="s">
        <v>45</v>
      </c>
      <c r="O336" t="s">
        <v>293</v>
      </c>
      <c r="P336" t="s">
        <v>45</v>
      </c>
      <c r="Q336" t="s">
        <v>69</v>
      </c>
    </row>
    <row r="337" spans="1:17" x14ac:dyDescent="0.3">
      <c r="A337" t="s">
        <v>1901</v>
      </c>
      <c r="B337" t="s">
        <v>1902</v>
      </c>
      <c r="C337">
        <v>22</v>
      </c>
      <c r="D337" t="s">
        <v>1903</v>
      </c>
      <c r="E337" t="s">
        <v>88</v>
      </c>
      <c r="F337" t="s">
        <v>114</v>
      </c>
      <c r="G337" t="s">
        <v>1375</v>
      </c>
      <c r="H337">
        <v>0</v>
      </c>
      <c r="I337" t="s">
        <v>52</v>
      </c>
      <c r="J337" s="86">
        <v>45723</v>
      </c>
      <c r="K337">
        <v>231.43</v>
      </c>
      <c r="L337">
        <v>3</v>
      </c>
      <c r="M337">
        <v>38</v>
      </c>
      <c r="N337" t="s">
        <v>30</v>
      </c>
      <c r="O337" t="s">
        <v>251</v>
      </c>
      <c r="P337" t="s">
        <v>30</v>
      </c>
      <c r="Q337" t="s">
        <v>32</v>
      </c>
    </row>
    <row r="338" spans="1:17" x14ac:dyDescent="0.3">
      <c r="A338" t="s">
        <v>1905</v>
      </c>
      <c r="B338" t="s">
        <v>1906</v>
      </c>
      <c r="C338">
        <v>22</v>
      </c>
      <c r="D338" t="s">
        <v>1907</v>
      </c>
      <c r="E338" t="s">
        <v>95</v>
      </c>
      <c r="F338" t="s">
        <v>1908</v>
      </c>
      <c r="G338" s="86">
        <v>45870</v>
      </c>
      <c r="H338">
        <v>5</v>
      </c>
      <c r="I338" t="s">
        <v>27</v>
      </c>
      <c r="J338" s="86">
        <v>45116</v>
      </c>
      <c r="K338">
        <v>137.29</v>
      </c>
      <c r="L338">
        <v>7</v>
      </c>
      <c r="M338">
        <v>2</v>
      </c>
      <c r="N338" t="s">
        <v>56</v>
      </c>
      <c r="O338" t="s">
        <v>169</v>
      </c>
      <c r="P338" t="s">
        <v>30</v>
      </c>
      <c r="Q338" t="s">
        <v>32</v>
      </c>
    </row>
    <row r="339" spans="1:17" x14ac:dyDescent="0.3">
      <c r="A339" t="s">
        <v>1910</v>
      </c>
      <c r="B339" t="s">
        <v>1911</v>
      </c>
      <c r="C339">
        <v>22</v>
      </c>
      <c r="D339" t="s">
        <v>1912</v>
      </c>
      <c r="E339" t="s">
        <v>40</v>
      </c>
      <c r="F339" t="s">
        <v>872</v>
      </c>
      <c r="G339" s="86">
        <v>45394</v>
      </c>
      <c r="H339">
        <v>0</v>
      </c>
      <c r="I339" t="s">
        <v>64</v>
      </c>
      <c r="J339" t="s">
        <v>691</v>
      </c>
      <c r="K339">
        <v>210.01</v>
      </c>
      <c r="L339">
        <v>7</v>
      </c>
      <c r="M339">
        <v>9</v>
      </c>
      <c r="N339" t="s">
        <v>45</v>
      </c>
      <c r="O339" t="s">
        <v>269</v>
      </c>
      <c r="P339" t="s">
        <v>56</v>
      </c>
      <c r="Q339" t="s">
        <v>32</v>
      </c>
    </row>
    <row r="340" spans="1:17" x14ac:dyDescent="0.3">
      <c r="A340" t="s">
        <v>1914</v>
      </c>
      <c r="B340" t="s">
        <v>1915</v>
      </c>
      <c r="C340">
        <v>45</v>
      </c>
      <c r="D340" t="s">
        <v>1916</v>
      </c>
      <c r="E340" t="s">
        <v>95</v>
      </c>
      <c r="F340" t="s">
        <v>1917</v>
      </c>
      <c r="G340" t="s">
        <v>1918</v>
      </c>
      <c r="H340">
        <v>3</v>
      </c>
      <c r="I340" t="s">
        <v>64</v>
      </c>
      <c r="J340" s="86">
        <v>45999</v>
      </c>
      <c r="K340">
        <v>348.76</v>
      </c>
      <c r="L340">
        <v>4</v>
      </c>
      <c r="M340">
        <v>16</v>
      </c>
      <c r="N340" t="s">
        <v>30</v>
      </c>
      <c r="O340" t="s">
        <v>373</v>
      </c>
      <c r="P340" t="s">
        <v>54</v>
      </c>
      <c r="Q340" t="s">
        <v>32</v>
      </c>
    </row>
    <row r="341" spans="1:17" x14ac:dyDescent="0.3">
      <c r="A341" t="s">
        <v>1920</v>
      </c>
      <c r="B341" t="s">
        <v>1921</v>
      </c>
      <c r="C341">
        <v>40</v>
      </c>
      <c r="D341" t="s">
        <v>1922</v>
      </c>
      <c r="E341" t="s">
        <v>95</v>
      </c>
      <c r="F341" t="s">
        <v>1923</v>
      </c>
      <c r="G341" s="86">
        <v>45210</v>
      </c>
      <c r="H341">
        <v>2</v>
      </c>
      <c r="I341" t="s">
        <v>27</v>
      </c>
      <c r="J341" t="s">
        <v>1924</v>
      </c>
      <c r="K341">
        <v>219.21</v>
      </c>
      <c r="L341">
        <v>4</v>
      </c>
      <c r="M341">
        <v>23</v>
      </c>
      <c r="N341" t="s">
        <v>45</v>
      </c>
      <c r="O341" t="s">
        <v>245</v>
      </c>
      <c r="P341" t="s">
        <v>54</v>
      </c>
      <c r="Q341" t="s">
        <v>32</v>
      </c>
    </row>
    <row r="342" spans="1:17" x14ac:dyDescent="0.3">
      <c r="A342" t="s">
        <v>1926</v>
      </c>
      <c r="B342" t="s">
        <v>1927</v>
      </c>
      <c r="C342">
        <v>21</v>
      </c>
      <c r="D342" t="s">
        <v>1928</v>
      </c>
      <c r="E342" t="s">
        <v>25</v>
      </c>
      <c r="F342" t="s">
        <v>1216</v>
      </c>
      <c r="G342" t="s">
        <v>1929</v>
      </c>
      <c r="H342">
        <v>1</v>
      </c>
      <c r="I342" t="s">
        <v>27</v>
      </c>
      <c r="J342" s="86">
        <v>45086</v>
      </c>
      <c r="K342">
        <v>104.03</v>
      </c>
      <c r="L342">
        <v>7</v>
      </c>
      <c r="M342">
        <v>27</v>
      </c>
      <c r="N342" t="s">
        <v>30</v>
      </c>
      <c r="O342" t="s">
        <v>135</v>
      </c>
      <c r="P342" t="s">
        <v>45</v>
      </c>
      <c r="Q342" t="s">
        <v>32</v>
      </c>
    </row>
    <row r="343" spans="1:17" x14ac:dyDescent="0.3">
      <c r="A343" t="s">
        <v>1931</v>
      </c>
      <c r="B343" t="s">
        <v>1932</v>
      </c>
      <c r="C343">
        <v>27</v>
      </c>
      <c r="D343" t="s">
        <v>1933</v>
      </c>
      <c r="E343" t="s">
        <v>51</v>
      </c>
      <c r="F343" s="86">
        <v>44418</v>
      </c>
      <c r="G343" t="s">
        <v>1408</v>
      </c>
      <c r="H343">
        <v>2</v>
      </c>
      <c r="I343" t="s">
        <v>27</v>
      </c>
      <c r="J343" t="s">
        <v>1934</v>
      </c>
      <c r="K343">
        <v>360.74</v>
      </c>
      <c r="L343">
        <v>5</v>
      </c>
      <c r="M343">
        <v>10</v>
      </c>
      <c r="N343" t="s">
        <v>68</v>
      </c>
      <c r="O343" t="s">
        <v>157</v>
      </c>
      <c r="P343" t="s">
        <v>68</v>
      </c>
      <c r="Q343" t="s">
        <v>69</v>
      </c>
    </row>
    <row r="344" spans="1:17" x14ac:dyDescent="0.3">
      <c r="A344" t="s">
        <v>1936</v>
      </c>
      <c r="B344" t="s">
        <v>1937</v>
      </c>
      <c r="C344">
        <v>57</v>
      </c>
      <c r="D344" t="s">
        <v>1938</v>
      </c>
      <c r="E344" t="s">
        <v>25</v>
      </c>
      <c r="F344" s="86">
        <v>44440</v>
      </c>
      <c r="G344" t="s">
        <v>1939</v>
      </c>
      <c r="H344">
        <v>1</v>
      </c>
      <c r="I344" t="s">
        <v>27</v>
      </c>
      <c r="J344" t="s">
        <v>1273</v>
      </c>
      <c r="K344">
        <v>208.01</v>
      </c>
      <c r="L344">
        <v>8</v>
      </c>
      <c r="M344">
        <v>44</v>
      </c>
      <c r="N344" t="s">
        <v>45</v>
      </c>
      <c r="O344" t="s">
        <v>293</v>
      </c>
      <c r="P344" t="s">
        <v>45</v>
      </c>
      <c r="Q344" t="s">
        <v>69</v>
      </c>
    </row>
    <row r="345" spans="1:17" x14ac:dyDescent="0.3">
      <c r="A345" t="s">
        <v>1941</v>
      </c>
      <c r="B345" t="s">
        <v>1942</v>
      </c>
      <c r="C345">
        <v>59</v>
      </c>
      <c r="D345" t="s">
        <v>1943</v>
      </c>
      <c r="E345" t="s">
        <v>25</v>
      </c>
      <c r="F345" t="s">
        <v>1944</v>
      </c>
      <c r="G345" t="s">
        <v>62</v>
      </c>
      <c r="H345">
        <v>5</v>
      </c>
      <c r="I345" t="s">
        <v>27</v>
      </c>
      <c r="J345" s="86">
        <v>44991</v>
      </c>
      <c r="K345">
        <v>235.36</v>
      </c>
      <c r="L345">
        <v>5</v>
      </c>
      <c r="M345">
        <v>30</v>
      </c>
      <c r="N345" t="s">
        <v>68</v>
      </c>
      <c r="O345" t="s">
        <v>116</v>
      </c>
      <c r="P345" t="s">
        <v>54</v>
      </c>
      <c r="Q345" t="s">
        <v>69</v>
      </c>
    </row>
    <row r="346" spans="1:17" x14ac:dyDescent="0.3">
      <c r="A346" t="s">
        <v>1946</v>
      </c>
      <c r="B346" t="s">
        <v>1947</v>
      </c>
      <c r="C346">
        <v>21</v>
      </c>
      <c r="D346" t="s">
        <v>1948</v>
      </c>
      <c r="E346" t="s">
        <v>40</v>
      </c>
      <c r="F346" t="s">
        <v>1949</v>
      </c>
      <c r="G346" t="s">
        <v>1950</v>
      </c>
      <c r="H346">
        <v>0</v>
      </c>
      <c r="I346" t="s">
        <v>27</v>
      </c>
      <c r="J346" t="s">
        <v>595</v>
      </c>
      <c r="K346">
        <v>6.45</v>
      </c>
      <c r="L346">
        <v>7</v>
      </c>
      <c r="M346">
        <v>37</v>
      </c>
      <c r="N346" t="s">
        <v>56</v>
      </c>
      <c r="O346" t="s">
        <v>67</v>
      </c>
      <c r="P346" t="s">
        <v>68</v>
      </c>
      <c r="Q346" t="s">
        <v>69</v>
      </c>
    </row>
    <row r="347" spans="1:17" x14ac:dyDescent="0.3">
      <c r="A347" t="s">
        <v>1952</v>
      </c>
      <c r="B347" t="s">
        <v>1953</v>
      </c>
      <c r="C347">
        <v>35</v>
      </c>
      <c r="D347" t="s">
        <v>1954</v>
      </c>
      <c r="E347" t="s">
        <v>95</v>
      </c>
      <c r="F347" t="s">
        <v>1955</v>
      </c>
      <c r="G347" s="86">
        <v>44816</v>
      </c>
      <c r="H347">
        <v>4</v>
      </c>
      <c r="I347" t="s">
        <v>27</v>
      </c>
      <c r="J347" t="s">
        <v>884</v>
      </c>
      <c r="K347">
        <v>205.55</v>
      </c>
      <c r="L347">
        <v>2</v>
      </c>
      <c r="M347">
        <v>15</v>
      </c>
      <c r="N347" t="s">
        <v>54</v>
      </c>
      <c r="O347" t="s">
        <v>245</v>
      </c>
      <c r="P347" t="s">
        <v>54</v>
      </c>
      <c r="Q347" t="s">
        <v>69</v>
      </c>
    </row>
    <row r="348" spans="1:17" x14ac:dyDescent="0.3">
      <c r="A348" t="s">
        <v>1957</v>
      </c>
      <c r="B348" t="s">
        <v>1958</v>
      </c>
      <c r="C348">
        <v>37</v>
      </c>
      <c r="D348" t="s">
        <v>1959</v>
      </c>
      <c r="E348" t="s">
        <v>88</v>
      </c>
      <c r="F348" t="s">
        <v>980</v>
      </c>
      <c r="G348" s="86">
        <v>44693</v>
      </c>
      <c r="H348">
        <v>2</v>
      </c>
      <c r="I348" t="s">
        <v>27</v>
      </c>
      <c r="J348" t="s">
        <v>1960</v>
      </c>
      <c r="K348">
        <v>224.15</v>
      </c>
      <c r="L348">
        <v>1</v>
      </c>
      <c r="M348">
        <v>7</v>
      </c>
      <c r="N348" t="s">
        <v>45</v>
      </c>
      <c r="O348" t="s">
        <v>77</v>
      </c>
      <c r="P348" t="s">
        <v>54</v>
      </c>
      <c r="Q348" t="s">
        <v>32</v>
      </c>
    </row>
    <row r="349" spans="1:17" x14ac:dyDescent="0.3">
      <c r="A349" t="s">
        <v>1962</v>
      </c>
      <c r="B349" t="s">
        <v>1963</v>
      </c>
      <c r="C349">
        <v>26</v>
      </c>
      <c r="D349" t="s">
        <v>1964</v>
      </c>
      <c r="E349" t="s">
        <v>51</v>
      </c>
      <c r="F349" s="86">
        <v>44175</v>
      </c>
      <c r="G349" s="86">
        <v>45323</v>
      </c>
      <c r="H349">
        <v>1</v>
      </c>
      <c r="I349" t="s">
        <v>27</v>
      </c>
      <c r="J349" t="s">
        <v>1263</v>
      </c>
      <c r="K349">
        <v>115.98</v>
      </c>
      <c r="L349">
        <v>2</v>
      </c>
      <c r="M349">
        <v>4</v>
      </c>
      <c r="N349" t="s">
        <v>56</v>
      </c>
      <c r="O349" t="s">
        <v>293</v>
      </c>
      <c r="P349" t="s">
        <v>45</v>
      </c>
      <c r="Q349" t="s">
        <v>32</v>
      </c>
    </row>
    <row r="350" spans="1:17" x14ac:dyDescent="0.3">
      <c r="A350" t="s">
        <v>1966</v>
      </c>
      <c r="B350" t="s">
        <v>1967</v>
      </c>
      <c r="C350">
        <v>41</v>
      </c>
      <c r="D350" t="s">
        <v>1968</v>
      </c>
      <c r="E350" t="s">
        <v>88</v>
      </c>
      <c r="F350" t="s">
        <v>1969</v>
      </c>
      <c r="G350" t="s">
        <v>1970</v>
      </c>
      <c r="H350">
        <v>0</v>
      </c>
      <c r="I350" t="s">
        <v>52</v>
      </c>
      <c r="J350" t="s">
        <v>1971</v>
      </c>
      <c r="K350">
        <v>26.33</v>
      </c>
      <c r="L350">
        <v>1</v>
      </c>
      <c r="M350">
        <v>11</v>
      </c>
      <c r="N350" t="s">
        <v>30</v>
      </c>
      <c r="O350" t="s">
        <v>245</v>
      </c>
      <c r="P350" t="s">
        <v>54</v>
      </c>
      <c r="Q350" t="s">
        <v>69</v>
      </c>
    </row>
    <row r="351" spans="1:17" x14ac:dyDescent="0.3">
      <c r="A351" t="s">
        <v>1973</v>
      </c>
      <c r="B351" t="s">
        <v>1974</v>
      </c>
      <c r="C351">
        <v>43</v>
      </c>
      <c r="D351" t="s">
        <v>1975</v>
      </c>
      <c r="E351" t="s">
        <v>25</v>
      </c>
      <c r="F351" s="86">
        <v>44931</v>
      </c>
      <c r="G351" t="s">
        <v>1976</v>
      </c>
      <c r="H351">
        <v>1</v>
      </c>
      <c r="I351" t="s">
        <v>27</v>
      </c>
      <c r="J351" t="s">
        <v>1977</v>
      </c>
      <c r="K351">
        <v>172.3</v>
      </c>
      <c r="L351">
        <v>6</v>
      </c>
      <c r="M351">
        <v>8</v>
      </c>
      <c r="N351" t="s">
        <v>54</v>
      </c>
      <c r="O351" t="s">
        <v>251</v>
      </c>
      <c r="P351" t="s">
        <v>30</v>
      </c>
      <c r="Q351" t="s">
        <v>69</v>
      </c>
    </row>
    <row r="352" spans="1:17" x14ac:dyDescent="0.3">
      <c r="A352" t="s">
        <v>1979</v>
      </c>
      <c r="B352" t="s">
        <v>1980</v>
      </c>
      <c r="C352">
        <v>61</v>
      </c>
      <c r="D352" t="s">
        <v>1981</v>
      </c>
      <c r="E352" t="s">
        <v>95</v>
      </c>
      <c r="F352" t="s">
        <v>1982</v>
      </c>
      <c r="G352" t="s">
        <v>1889</v>
      </c>
      <c r="H352">
        <v>3</v>
      </c>
      <c r="I352" t="s">
        <v>27</v>
      </c>
      <c r="J352" t="s">
        <v>1983</v>
      </c>
      <c r="K352">
        <v>374.37</v>
      </c>
      <c r="L352">
        <v>5</v>
      </c>
      <c r="M352">
        <v>36</v>
      </c>
      <c r="N352" t="s">
        <v>54</v>
      </c>
      <c r="O352" t="s">
        <v>293</v>
      </c>
      <c r="P352" t="s">
        <v>45</v>
      </c>
      <c r="Q352" t="s">
        <v>32</v>
      </c>
    </row>
    <row r="353" spans="1:17" x14ac:dyDescent="0.3">
      <c r="A353" t="s">
        <v>1985</v>
      </c>
      <c r="B353" t="s">
        <v>1986</v>
      </c>
      <c r="C353">
        <v>51</v>
      </c>
      <c r="D353" t="s">
        <v>1987</v>
      </c>
      <c r="E353" t="s">
        <v>51</v>
      </c>
      <c r="F353" t="s">
        <v>1988</v>
      </c>
      <c r="G353" t="s">
        <v>297</v>
      </c>
      <c r="H353">
        <v>0</v>
      </c>
      <c r="I353" t="s">
        <v>52</v>
      </c>
      <c r="J353" t="s">
        <v>1989</v>
      </c>
      <c r="K353">
        <v>296.70999999999998</v>
      </c>
      <c r="L353">
        <v>6</v>
      </c>
      <c r="M353">
        <v>2</v>
      </c>
      <c r="N353" t="s">
        <v>68</v>
      </c>
      <c r="O353" t="s">
        <v>418</v>
      </c>
      <c r="P353" t="s">
        <v>56</v>
      </c>
      <c r="Q353" t="s">
        <v>32</v>
      </c>
    </row>
    <row r="354" spans="1:17" x14ac:dyDescent="0.3">
      <c r="A354" t="s">
        <v>1991</v>
      </c>
      <c r="B354" t="s">
        <v>1992</v>
      </c>
      <c r="C354">
        <v>57</v>
      </c>
      <c r="D354" t="s">
        <v>1993</v>
      </c>
      <c r="E354" t="s">
        <v>40</v>
      </c>
      <c r="F354" t="s">
        <v>1994</v>
      </c>
      <c r="G354" t="s">
        <v>1989</v>
      </c>
      <c r="H354">
        <v>4</v>
      </c>
      <c r="I354" t="s">
        <v>52</v>
      </c>
      <c r="J354" t="s">
        <v>113</v>
      </c>
      <c r="K354">
        <v>575.91999999999996</v>
      </c>
      <c r="L354">
        <v>3</v>
      </c>
      <c r="M354">
        <v>14</v>
      </c>
      <c r="N354" t="s">
        <v>56</v>
      </c>
      <c r="O354" t="s">
        <v>837</v>
      </c>
      <c r="P354" t="s">
        <v>56</v>
      </c>
      <c r="Q354" t="s">
        <v>32</v>
      </c>
    </row>
    <row r="355" spans="1:17" x14ac:dyDescent="0.3">
      <c r="A355" t="s">
        <v>1996</v>
      </c>
      <c r="B355" t="s">
        <v>1997</v>
      </c>
      <c r="C355">
        <v>34</v>
      </c>
      <c r="D355" t="s">
        <v>1998</v>
      </c>
      <c r="E355" t="s">
        <v>88</v>
      </c>
      <c r="F355" t="s">
        <v>1999</v>
      </c>
      <c r="G355" s="86">
        <v>44813</v>
      </c>
      <c r="H355">
        <v>2</v>
      </c>
      <c r="I355" t="s">
        <v>52</v>
      </c>
      <c r="J355" t="s">
        <v>2000</v>
      </c>
      <c r="K355">
        <v>214.73</v>
      </c>
      <c r="L355">
        <v>7</v>
      </c>
      <c r="M355">
        <v>49</v>
      </c>
      <c r="N355" t="s">
        <v>54</v>
      </c>
      <c r="O355" t="s">
        <v>91</v>
      </c>
      <c r="P355" t="s">
        <v>54</v>
      </c>
      <c r="Q355" t="s">
        <v>32</v>
      </c>
    </row>
    <row r="356" spans="1:17" x14ac:dyDescent="0.3">
      <c r="A356" t="s">
        <v>2002</v>
      </c>
      <c r="B356" t="s">
        <v>2003</v>
      </c>
      <c r="C356">
        <v>22</v>
      </c>
      <c r="D356" t="s">
        <v>2004</v>
      </c>
      <c r="E356" t="s">
        <v>95</v>
      </c>
      <c r="F356" t="s">
        <v>1459</v>
      </c>
      <c r="G356" s="86">
        <v>45572</v>
      </c>
      <c r="H356">
        <v>4</v>
      </c>
      <c r="I356" t="s">
        <v>52</v>
      </c>
      <c r="J356" t="s">
        <v>2005</v>
      </c>
      <c r="K356">
        <v>416.03</v>
      </c>
      <c r="L356">
        <v>3</v>
      </c>
      <c r="M356">
        <v>8</v>
      </c>
      <c r="N356" t="s">
        <v>68</v>
      </c>
      <c r="O356" t="s">
        <v>604</v>
      </c>
      <c r="P356" t="s">
        <v>45</v>
      </c>
      <c r="Q356" t="s">
        <v>32</v>
      </c>
    </row>
    <row r="357" spans="1:17" x14ac:dyDescent="0.3">
      <c r="A357" t="s">
        <v>2007</v>
      </c>
      <c r="B357" t="s">
        <v>2008</v>
      </c>
      <c r="C357">
        <v>50</v>
      </c>
      <c r="D357" t="s">
        <v>2009</v>
      </c>
      <c r="E357" t="s">
        <v>51</v>
      </c>
      <c r="F357" t="s">
        <v>1080</v>
      </c>
      <c r="G357" t="s">
        <v>847</v>
      </c>
      <c r="H357">
        <v>0</v>
      </c>
      <c r="I357" t="s">
        <v>52</v>
      </c>
      <c r="J357" t="s">
        <v>2010</v>
      </c>
      <c r="K357">
        <v>219.47</v>
      </c>
      <c r="L357">
        <v>6</v>
      </c>
      <c r="M357">
        <v>38</v>
      </c>
      <c r="N357" t="s">
        <v>54</v>
      </c>
      <c r="O357" t="s">
        <v>31</v>
      </c>
      <c r="P357" t="s">
        <v>30</v>
      </c>
      <c r="Q357" t="s">
        <v>69</v>
      </c>
    </row>
    <row r="358" spans="1:17" x14ac:dyDescent="0.3">
      <c r="A358" t="s">
        <v>2012</v>
      </c>
      <c r="B358" t="s">
        <v>2013</v>
      </c>
      <c r="C358">
        <v>66</v>
      </c>
      <c r="D358" t="s">
        <v>2014</v>
      </c>
      <c r="E358" t="s">
        <v>95</v>
      </c>
      <c r="F358" s="86">
        <v>43901</v>
      </c>
      <c r="G358" s="86">
        <v>45964</v>
      </c>
      <c r="H358">
        <v>0</v>
      </c>
      <c r="I358" t="s">
        <v>27</v>
      </c>
      <c r="J358" s="86">
        <v>45539</v>
      </c>
      <c r="K358">
        <v>34.42</v>
      </c>
      <c r="L358">
        <v>7</v>
      </c>
      <c r="M358">
        <v>29</v>
      </c>
      <c r="N358" t="s">
        <v>54</v>
      </c>
      <c r="O358" t="s">
        <v>211</v>
      </c>
      <c r="P358" t="s">
        <v>68</v>
      </c>
      <c r="Q358" t="s">
        <v>32</v>
      </c>
    </row>
    <row r="359" spans="1:17" x14ac:dyDescent="0.3">
      <c r="A359" t="s">
        <v>2016</v>
      </c>
      <c r="B359" t="s">
        <v>2017</v>
      </c>
      <c r="C359">
        <v>66</v>
      </c>
      <c r="D359" t="s">
        <v>2018</v>
      </c>
      <c r="E359" t="s">
        <v>95</v>
      </c>
      <c r="F359" t="s">
        <v>2019</v>
      </c>
      <c r="G359" t="s">
        <v>1063</v>
      </c>
      <c r="H359">
        <v>3</v>
      </c>
      <c r="I359" t="s">
        <v>27</v>
      </c>
      <c r="J359" t="s">
        <v>2020</v>
      </c>
      <c r="K359">
        <v>128.99</v>
      </c>
      <c r="L359">
        <v>9</v>
      </c>
      <c r="M359">
        <v>29</v>
      </c>
      <c r="N359" t="s">
        <v>68</v>
      </c>
      <c r="O359" t="s">
        <v>293</v>
      </c>
      <c r="P359" t="s">
        <v>45</v>
      </c>
      <c r="Q359" t="s">
        <v>69</v>
      </c>
    </row>
    <row r="360" spans="1:17" x14ac:dyDescent="0.3">
      <c r="A360" t="s">
        <v>2022</v>
      </c>
      <c r="B360" t="s">
        <v>2023</v>
      </c>
      <c r="C360">
        <v>47</v>
      </c>
      <c r="D360" t="s">
        <v>2024</v>
      </c>
      <c r="E360" t="s">
        <v>25</v>
      </c>
      <c r="F360" s="86">
        <v>44174</v>
      </c>
      <c r="G360" t="s">
        <v>1253</v>
      </c>
      <c r="H360">
        <v>0</v>
      </c>
      <c r="I360" t="s">
        <v>27</v>
      </c>
      <c r="J360" t="s">
        <v>702</v>
      </c>
      <c r="K360">
        <v>148.19</v>
      </c>
      <c r="L360">
        <v>8</v>
      </c>
      <c r="M360">
        <v>26</v>
      </c>
      <c r="N360" t="s">
        <v>30</v>
      </c>
      <c r="O360" t="s">
        <v>194</v>
      </c>
      <c r="P360" t="s">
        <v>56</v>
      </c>
      <c r="Q360" t="s">
        <v>32</v>
      </c>
    </row>
    <row r="361" spans="1:17" x14ac:dyDescent="0.3">
      <c r="A361" t="s">
        <v>2026</v>
      </c>
      <c r="B361" t="s">
        <v>2027</v>
      </c>
      <c r="C361">
        <v>39</v>
      </c>
      <c r="D361" t="s">
        <v>2028</v>
      </c>
      <c r="E361" t="s">
        <v>61</v>
      </c>
      <c r="F361" s="86">
        <v>44359</v>
      </c>
      <c r="G361" t="s">
        <v>382</v>
      </c>
      <c r="H361">
        <v>5</v>
      </c>
      <c r="I361" t="s">
        <v>52</v>
      </c>
      <c r="J361" t="s">
        <v>2029</v>
      </c>
      <c r="K361">
        <v>343.33</v>
      </c>
      <c r="L361">
        <v>5</v>
      </c>
      <c r="M361">
        <v>44</v>
      </c>
      <c r="N361" t="s">
        <v>68</v>
      </c>
      <c r="O361" t="s">
        <v>425</v>
      </c>
      <c r="P361" t="s">
        <v>30</v>
      </c>
      <c r="Q361" t="s">
        <v>32</v>
      </c>
    </row>
    <row r="362" spans="1:17" x14ac:dyDescent="0.3">
      <c r="A362" t="s">
        <v>2031</v>
      </c>
      <c r="B362" t="s">
        <v>2032</v>
      </c>
      <c r="C362">
        <v>48</v>
      </c>
      <c r="D362" t="s">
        <v>2033</v>
      </c>
      <c r="E362" t="s">
        <v>61</v>
      </c>
      <c r="F362" s="86">
        <v>44934</v>
      </c>
      <c r="G362" t="s">
        <v>2034</v>
      </c>
      <c r="H362">
        <v>5</v>
      </c>
      <c r="I362" t="s">
        <v>27</v>
      </c>
      <c r="J362" t="s">
        <v>2035</v>
      </c>
      <c r="K362">
        <v>146.28</v>
      </c>
      <c r="L362">
        <v>4</v>
      </c>
      <c r="M362">
        <v>36</v>
      </c>
      <c r="N362" t="s">
        <v>68</v>
      </c>
      <c r="O362" t="s">
        <v>175</v>
      </c>
      <c r="P362" t="s">
        <v>56</v>
      </c>
      <c r="Q362" t="s">
        <v>32</v>
      </c>
    </row>
    <row r="363" spans="1:17" x14ac:dyDescent="0.3">
      <c r="A363" t="s">
        <v>2037</v>
      </c>
      <c r="B363" t="s">
        <v>2038</v>
      </c>
      <c r="C363">
        <v>23</v>
      </c>
      <c r="D363" t="s">
        <v>2039</v>
      </c>
      <c r="E363" t="s">
        <v>61</v>
      </c>
      <c r="F363" s="86">
        <v>44689</v>
      </c>
      <c r="G363" t="s">
        <v>771</v>
      </c>
      <c r="H363">
        <v>1</v>
      </c>
      <c r="I363" t="s">
        <v>52</v>
      </c>
      <c r="J363" t="s">
        <v>1006</v>
      </c>
      <c r="K363">
        <v>165.06</v>
      </c>
      <c r="L363">
        <v>9</v>
      </c>
      <c r="M363">
        <v>48</v>
      </c>
      <c r="N363" t="s">
        <v>68</v>
      </c>
      <c r="O363" t="s">
        <v>175</v>
      </c>
      <c r="P363" t="s">
        <v>56</v>
      </c>
      <c r="Q363" t="s">
        <v>69</v>
      </c>
    </row>
    <row r="364" spans="1:17" x14ac:dyDescent="0.3">
      <c r="A364" t="s">
        <v>2041</v>
      </c>
      <c r="B364" t="s">
        <v>2042</v>
      </c>
      <c r="C364">
        <v>18</v>
      </c>
      <c r="D364" t="s">
        <v>2043</v>
      </c>
      <c r="E364" t="s">
        <v>88</v>
      </c>
      <c r="F364" s="86">
        <v>44506</v>
      </c>
      <c r="G364" t="s">
        <v>2044</v>
      </c>
      <c r="H364">
        <v>1</v>
      </c>
      <c r="I364" t="s">
        <v>27</v>
      </c>
      <c r="J364" t="s">
        <v>215</v>
      </c>
      <c r="K364">
        <v>222.3</v>
      </c>
      <c r="L364">
        <v>8</v>
      </c>
      <c r="M364">
        <v>3</v>
      </c>
      <c r="N364" t="s">
        <v>54</v>
      </c>
      <c r="O364" t="s">
        <v>135</v>
      </c>
      <c r="P364" t="s">
        <v>45</v>
      </c>
      <c r="Q364" t="s">
        <v>32</v>
      </c>
    </row>
    <row r="365" spans="1:17" x14ac:dyDescent="0.3">
      <c r="A365" t="s">
        <v>2046</v>
      </c>
      <c r="B365" t="s">
        <v>2047</v>
      </c>
      <c r="C365">
        <v>29</v>
      </c>
      <c r="D365" t="s">
        <v>2048</v>
      </c>
      <c r="E365" t="s">
        <v>95</v>
      </c>
      <c r="F365" t="s">
        <v>633</v>
      </c>
      <c r="G365" t="s">
        <v>2049</v>
      </c>
      <c r="H365">
        <v>4</v>
      </c>
      <c r="I365" t="s">
        <v>52</v>
      </c>
      <c r="J365" t="s">
        <v>1889</v>
      </c>
      <c r="K365">
        <v>662.89</v>
      </c>
      <c r="L365">
        <v>3</v>
      </c>
      <c r="M365">
        <v>9</v>
      </c>
      <c r="N365" t="s">
        <v>30</v>
      </c>
      <c r="O365" t="s">
        <v>135</v>
      </c>
      <c r="P365" t="s">
        <v>45</v>
      </c>
      <c r="Q365" t="s">
        <v>32</v>
      </c>
    </row>
    <row r="366" spans="1:17" x14ac:dyDescent="0.3">
      <c r="A366" t="s">
        <v>2051</v>
      </c>
      <c r="B366" t="s">
        <v>2052</v>
      </c>
      <c r="C366">
        <v>21</v>
      </c>
      <c r="D366" t="s">
        <v>2053</v>
      </c>
      <c r="E366" t="s">
        <v>88</v>
      </c>
      <c r="F366" t="s">
        <v>2054</v>
      </c>
      <c r="G366" t="s">
        <v>2055</v>
      </c>
      <c r="H366">
        <v>5</v>
      </c>
      <c r="I366" t="s">
        <v>52</v>
      </c>
      <c r="J366" s="86">
        <v>44869</v>
      </c>
      <c r="K366">
        <v>134.18</v>
      </c>
      <c r="L366">
        <v>9</v>
      </c>
      <c r="M366">
        <v>41</v>
      </c>
      <c r="N366" t="s">
        <v>45</v>
      </c>
      <c r="O366" t="s">
        <v>821</v>
      </c>
      <c r="P366" t="s">
        <v>68</v>
      </c>
      <c r="Q366" t="s">
        <v>32</v>
      </c>
    </row>
    <row r="367" spans="1:17" x14ac:dyDescent="0.3">
      <c r="A367" t="s">
        <v>2057</v>
      </c>
      <c r="B367" t="s">
        <v>2058</v>
      </c>
      <c r="C367">
        <v>32</v>
      </c>
      <c r="D367" t="s">
        <v>2059</v>
      </c>
      <c r="E367" t="s">
        <v>51</v>
      </c>
      <c r="F367" s="86">
        <v>44198</v>
      </c>
      <c r="G367" t="s">
        <v>2060</v>
      </c>
      <c r="H367">
        <v>4</v>
      </c>
      <c r="I367" t="s">
        <v>27</v>
      </c>
      <c r="J367" t="s">
        <v>2061</v>
      </c>
      <c r="K367">
        <v>57.06</v>
      </c>
      <c r="L367">
        <v>4</v>
      </c>
      <c r="M367">
        <v>21</v>
      </c>
      <c r="N367" t="s">
        <v>68</v>
      </c>
      <c r="O367" t="s">
        <v>116</v>
      </c>
      <c r="P367" t="s">
        <v>54</v>
      </c>
      <c r="Q367" t="s">
        <v>69</v>
      </c>
    </row>
    <row r="368" spans="1:17" x14ac:dyDescent="0.3">
      <c r="A368" t="s">
        <v>2063</v>
      </c>
      <c r="B368" t="s">
        <v>2064</v>
      </c>
      <c r="C368">
        <v>60</v>
      </c>
      <c r="D368" t="s">
        <v>2065</v>
      </c>
      <c r="E368" t="s">
        <v>61</v>
      </c>
      <c r="F368" t="s">
        <v>2066</v>
      </c>
      <c r="G368" t="s">
        <v>2067</v>
      </c>
      <c r="H368">
        <v>3</v>
      </c>
      <c r="I368" t="s">
        <v>27</v>
      </c>
      <c r="J368" s="86">
        <v>44986</v>
      </c>
      <c r="K368">
        <v>668.04</v>
      </c>
      <c r="L368">
        <v>2</v>
      </c>
      <c r="M368">
        <v>17</v>
      </c>
      <c r="N368" t="s">
        <v>54</v>
      </c>
      <c r="O368" t="s">
        <v>199</v>
      </c>
      <c r="P368" t="s">
        <v>54</v>
      </c>
      <c r="Q368" t="s">
        <v>32</v>
      </c>
    </row>
    <row r="369" spans="1:17" x14ac:dyDescent="0.3">
      <c r="A369" t="s">
        <v>2069</v>
      </c>
      <c r="B369" t="s">
        <v>2070</v>
      </c>
      <c r="C369">
        <v>27</v>
      </c>
      <c r="D369" t="s">
        <v>2071</v>
      </c>
      <c r="E369" t="s">
        <v>51</v>
      </c>
      <c r="F369" s="86">
        <v>44532</v>
      </c>
      <c r="G369" t="s">
        <v>702</v>
      </c>
      <c r="H369">
        <v>3</v>
      </c>
      <c r="I369" t="s">
        <v>27</v>
      </c>
      <c r="J369" t="s">
        <v>2072</v>
      </c>
      <c r="K369">
        <v>348.12</v>
      </c>
      <c r="L369">
        <v>4</v>
      </c>
      <c r="M369">
        <v>24</v>
      </c>
      <c r="N369" t="s">
        <v>68</v>
      </c>
      <c r="O369" t="s">
        <v>354</v>
      </c>
      <c r="P369" t="s">
        <v>45</v>
      </c>
      <c r="Q369" t="s">
        <v>32</v>
      </c>
    </row>
    <row r="370" spans="1:17" x14ac:dyDescent="0.3">
      <c r="A370" t="s">
        <v>2074</v>
      </c>
      <c r="B370" t="s">
        <v>2075</v>
      </c>
      <c r="C370">
        <v>66</v>
      </c>
      <c r="D370" t="s">
        <v>2076</v>
      </c>
      <c r="E370" t="s">
        <v>40</v>
      </c>
      <c r="F370" s="86">
        <v>45082</v>
      </c>
      <c r="G370" t="s">
        <v>2077</v>
      </c>
      <c r="H370">
        <v>3</v>
      </c>
      <c r="I370" t="s">
        <v>52</v>
      </c>
      <c r="J370" t="s">
        <v>284</v>
      </c>
      <c r="K370">
        <v>76.13</v>
      </c>
      <c r="L370">
        <v>7</v>
      </c>
      <c r="M370">
        <v>7</v>
      </c>
      <c r="N370" t="s">
        <v>68</v>
      </c>
      <c r="O370" t="s">
        <v>837</v>
      </c>
      <c r="P370" t="s">
        <v>56</v>
      </c>
      <c r="Q370" t="s">
        <v>69</v>
      </c>
    </row>
    <row r="371" spans="1:17" x14ac:dyDescent="0.3">
      <c r="A371" t="s">
        <v>2079</v>
      </c>
      <c r="B371" t="s">
        <v>2080</v>
      </c>
      <c r="C371">
        <v>27</v>
      </c>
      <c r="D371" t="s">
        <v>2081</v>
      </c>
      <c r="E371" t="s">
        <v>40</v>
      </c>
      <c r="F371" s="86">
        <v>44444</v>
      </c>
      <c r="G371" t="s">
        <v>2082</v>
      </c>
      <c r="H371">
        <v>4</v>
      </c>
      <c r="I371" t="s">
        <v>27</v>
      </c>
      <c r="J371" s="86">
        <v>45474</v>
      </c>
      <c r="K371">
        <v>89.75</v>
      </c>
      <c r="L371">
        <v>7</v>
      </c>
      <c r="M371">
        <v>22</v>
      </c>
      <c r="N371" t="s">
        <v>56</v>
      </c>
      <c r="O371" t="s">
        <v>175</v>
      </c>
      <c r="P371" t="s">
        <v>56</v>
      </c>
      <c r="Q371" t="s">
        <v>32</v>
      </c>
    </row>
    <row r="372" spans="1:17" x14ac:dyDescent="0.3">
      <c r="A372" t="s">
        <v>2084</v>
      </c>
      <c r="B372" t="s">
        <v>2085</v>
      </c>
      <c r="C372">
        <v>37</v>
      </c>
      <c r="D372" t="s">
        <v>2086</v>
      </c>
      <c r="E372" t="s">
        <v>95</v>
      </c>
      <c r="F372" t="s">
        <v>2087</v>
      </c>
      <c r="G372" t="s">
        <v>2088</v>
      </c>
      <c r="H372">
        <v>1</v>
      </c>
      <c r="I372" t="s">
        <v>27</v>
      </c>
      <c r="J372" s="86">
        <v>45329</v>
      </c>
      <c r="K372">
        <v>390.53</v>
      </c>
      <c r="L372">
        <v>5</v>
      </c>
      <c r="M372">
        <v>16</v>
      </c>
      <c r="N372" t="s">
        <v>56</v>
      </c>
      <c r="O372" t="s">
        <v>251</v>
      </c>
      <c r="P372" t="s">
        <v>30</v>
      </c>
      <c r="Q372" t="s">
        <v>69</v>
      </c>
    </row>
    <row r="373" spans="1:17" x14ac:dyDescent="0.3">
      <c r="A373" t="s">
        <v>2090</v>
      </c>
      <c r="B373" t="s">
        <v>2091</v>
      </c>
      <c r="C373">
        <v>43</v>
      </c>
      <c r="D373" t="s">
        <v>2092</v>
      </c>
      <c r="E373" t="s">
        <v>25</v>
      </c>
      <c r="F373" t="s">
        <v>2093</v>
      </c>
      <c r="G373" t="s">
        <v>1690</v>
      </c>
      <c r="H373">
        <v>5</v>
      </c>
      <c r="I373" t="s">
        <v>27</v>
      </c>
      <c r="J373" s="86">
        <v>45693</v>
      </c>
      <c r="K373">
        <v>725.84</v>
      </c>
      <c r="L373">
        <v>2</v>
      </c>
      <c r="M373">
        <v>24</v>
      </c>
      <c r="N373" t="s">
        <v>56</v>
      </c>
      <c r="O373" t="s">
        <v>135</v>
      </c>
      <c r="P373" t="s">
        <v>45</v>
      </c>
      <c r="Q373" t="s">
        <v>32</v>
      </c>
    </row>
    <row r="374" spans="1:17" x14ac:dyDescent="0.3">
      <c r="A374" t="s">
        <v>2095</v>
      </c>
      <c r="B374" t="s">
        <v>2096</v>
      </c>
      <c r="C374">
        <v>63</v>
      </c>
      <c r="D374" t="s">
        <v>2097</v>
      </c>
      <c r="E374" t="s">
        <v>88</v>
      </c>
      <c r="F374" t="s">
        <v>2098</v>
      </c>
      <c r="G374" s="86">
        <v>45334</v>
      </c>
      <c r="H374">
        <v>4</v>
      </c>
      <c r="I374" t="s">
        <v>27</v>
      </c>
      <c r="J374" t="s">
        <v>790</v>
      </c>
      <c r="K374">
        <v>604.52</v>
      </c>
      <c r="L374">
        <v>3</v>
      </c>
      <c r="M374">
        <v>7</v>
      </c>
      <c r="N374" t="s">
        <v>30</v>
      </c>
      <c r="O374" t="s">
        <v>116</v>
      </c>
      <c r="P374" t="s">
        <v>54</v>
      </c>
      <c r="Q374" t="s">
        <v>69</v>
      </c>
    </row>
    <row r="375" spans="1:17" x14ac:dyDescent="0.3">
      <c r="A375" t="s">
        <v>2100</v>
      </c>
      <c r="B375" t="s">
        <v>2101</v>
      </c>
      <c r="C375">
        <v>64</v>
      </c>
      <c r="D375" t="s">
        <v>2102</v>
      </c>
      <c r="E375" t="s">
        <v>88</v>
      </c>
      <c r="F375" t="s">
        <v>894</v>
      </c>
      <c r="G375" t="s">
        <v>2103</v>
      </c>
      <c r="H375">
        <v>2</v>
      </c>
      <c r="I375" t="s">
        <v>27</v>
      </c>
      <c r="J375" t="s">
        <v>2104</v>
      </c>
      <c r="K375">
        <v>316.45999999999998</v>
      </c>
      <c r="L375">
        <v>6</v>
      </c>
      <c r="M375">
        <v>37</v>
      </c>
      <c r="N375" t="s">
        <v>30</v>
      </c>
      <c r="O375" t="s">
        <v>122</v>
      </c>
      <c r="P375" t="s">
        <v>30</v>
      </c>
      <c r="Q375" t="s">
        <v>32</v>
      </c>
    </row>
    <row r="376" spans="1:17" x14ac:dyDescent="0.3">
      <c r="A376" t="s">
        <v>2106</v>
      </c>
      <c r="B376" t="s">
        <v>2107</v>
      </c>
      <c r="C376">
        <v>19</v>
      </c>
      <c r="D376" t="s">
        <v>2108</v>
      </c>
      <c r="E376" t="s">
        <v>61</v>
      </c>
      <c r="F376" t="s">
        <v>1949</v>
      </c>
      <c r="G376" t="s">
        <v>1884</v>
      </c>
      <c r="H376">
        <v>4</v>
      </c>
      <c r="I376" t="s">
        <v>52</v>
      </c>
      <c r="J376" s="86">
        <v>44327</v>
      </c>
      <c r="K376">
        <v>75.209999999999994</v>
      </c>
      <c r="L376">
        <v>6</v>
      </c>
      <c r="M376">
        <v>38</v>
      </c>
      <c r="N376" t="s">
        <v>56</v>
      </c>
      <c r="O376" t="s">
        <v>855</v>
      </c>
      <c r="P376" t="s">
        <v>45</v>
      </c>
      <c r="Q376" t="s">
        <v>69</v>
      </c>
    </row>
    <row r="377" spans="1:17" x14ac:dyDescent="0.3">
      <c r="A377" t="s">
        <v>2110</v>
      </c>
      <c r="B377" t="s">
        <v>2111</v>
      </c>
      <c r="C377">
        <v>63</v>
      </c>
      <c r="D377" t="s">
        <v>2112</v>
      </c>
      <c r="E377" t="s">
        <v>88</v>
      </c>
      <c r="F377" t="s">
        <v>1599</v>
      </c>
      <c r="G377" s="86">
        <v>44935</v>
      </c>
      <c r="H377">
        <v>5</v>
      </c>
      <c r="I377" t="s">
        <v>64</v>
      </c>
      <c r="J377" t="s">
        <v>2113</v>
      </c>
      <c r="K377">
        <v>399.54</v>
      </c>
      <c r="L377">
        <v>4</v>
      </c>
      <c r="M377">
        <v>17</v>
      </c>
      <c r="N377" t="s">
        <v>68</v>
      </c>
      <c r="O377" t="s">
        <v>157</v>
      </c>
      <c r="P377" t="s">
        <v>68</v>
      </c>
      <c r="Q377" t="s">
        <v>69</v>
      </c>
    </row>
    <row r="378" spans="1:17" x14ac:dyDescent="0.3">
      <c r="A378" t="s">
        <v>2115</v>
      </c>
      <c r="B378" t="s">
        <v>2116</v>
      </c>
      <c r="C378">
        <v>56</v>
      </c>
      <c r="D378" t="s">
        <v>2117</v>
      </c>
      <c r="E378" t="s">
        <v>88</v>
      </c>
      <c r="F378" t="s">
        <v>2118</v>
      </c>
      <c r="G378" s="86">
        <v>45475</v>
      </c>
      <c r="H378">
        <v>5</v>
      </c>
      <c r="I378" t="s">
        <v>27</v>
      </c>
      <c r="J378" s="86">
        <v>44963</v>
      </c>
      <c r="K378">
        <v>12.03</v>
      </c>
      <c r="L378">
        <v>7</v>
      </c>
      <c r="M378">
        <v>42</v>
      </c>
      <c r="N378" t="s">
        <v>68</v>
      </c>
      <c r="O378" t="s">
        <v>223</v>
      </c>
      <c r="P378" t="s">
        <v>56</v>
      </c>
      <c r="Q378" t="s">
        <v>32</v>
      </c>
    </row>
    <row r="379" spans="1:17" x14ac:dyDescent="0.3">
      <c r="A379" t="s">
        <v>2120</v>
      </c>
      <c r="B379" t="s">
        <v>2121</v>
      </c>
      <c r="C379">
        <v>33</v>
      </c>
      <c r="D379" t="s">
        <v>2122</v>
      </c>
      <c r="E379" t="s">
        <v>88</v>
      </c>
      <c r="F379" t="s">
        <v>1747</v>
      </c>
      <c r="G379" s="86">
        <v>45514</v>
      </c>
      <c r="H379">
        <v>3</v>
      </c>
      <c r="I379" t="s">
        <v>27</v>
      </c>
      <c r="J379" t="s">
        <v>1674</v>
      </c>
      <c r="K379">
        <v>54.72</v>
      </c>
      <c r="L379">
        <v>4</v>
      </c>
      <c r="M379">
        <v>34</v>
      </c>
      <c r="N379" t="s">
        <v>30</v>
      </c>
      <c r="O379" t="s">
        <v>604</v>
      </c>
      <c r="P379" t="s">
        <v>45</v>
      </c>
      <c r="Q379" t="s">
        <v>69</v>
      </c>
    </row>
    <row r="380" spans="1:17" x14ac:dyDescent="0.3">
      <c r="A380" t="s">
        <v>2124</v>
      </c>
      <c r="B380" t="s">
        <v>2125</v>
      </c>
      <c r="C380">
        <v>48</v>
      </c>
      <c r="D380" t="s">
        <v>2126</v>
      </c>
      <c r="E380" t="s">
        <v>25</v>
      </c>
      <c r="F380" s="86">
        <v>44838</v>
      </c>
      <c r="G380" s="86">
        <v>45363</v>
      </c>
      <c r="H380">
        <v>1</v>
      </c>
      <c r="I380" t="s">
        <v>27</v>
      </c>
      <c r="J380" s="86">
        <v>45507</v>
      </c>
      <c r="K380">
        <v>122.74</v>
      </c>
      <c r="L380">
        <v>5</v>
      </c>
      <c r="M380">
        <v>40</v>
      </c>
      <c r="N380" t="s">
        <v>30</v>
      </c>
      <c r="O380" t="s">
        <v>91</v>
      </c>
      <c r="P380" t="s">
        <v>54</v>
      </c>
      <c r="Q380" t="s">
        <v>69</v>
      </c>
    </row>
    <row r="381" spans="1:17" x14ac:dyDescent="0.3">
      <c r="A381" t="s">
        <v>2128</v>
      </c>
      <c r="B381" t="s">
        <v>2129</v>
      </c>
      <c r="C381">
        <v>47</v>
      </c>
      <c r="D381" t="s">
        <v>2130</v>
      </c>
      <c r="E381" t="s">
        <v>88</v>
      </c>
      <c r="F381" t="s">
        <v>1764</v>
      </c>
      <c r="G381" s="86">
        <v>44929</v>
      </c>
      <c r="H381">
        <v>1</v>
      </c>
      <c r="I381" t="s">
        <v>64</v>
      </c>
      <c r="J381" s="86">
        <v>44778</v>
      </c>
      <c r="K381">
        <v>23.7</v>
      </c>
      <c r="L381">
        <v>6</v>
      </c>
      <c r="M381">
        <v>48</v>
      </c>
      <c r="N381" t="s">
        <v>54</v>
      </c>
      <c r="O381" t="s">
        <v>128</v>
      </c>
      <c r="P381" t="s">
        <v>54</v>
      </c>
      <c r="Q381" t="s">
        <v>32</v>
      </c>
    </row>
    <row r="382" spans="1:17" x14ac:dyDescent="0.3">
      <c r="A382" t="s">
        <v>2132</v>
      </c>
      <c r="B382" t="s">
        <v>2133</v>
      </c>
      <c r="C382">
        <v>46</v>
      </c>
      <c r="D382" t="s">
        <v>2134</v>
      </c>
      <c r="E382" t="s">
        <v>61</v>
      </c>
      <c r="F382" s="86">
        <v>45206</v>
      </c>
      <c r="G382" s="86">
        <v>45148</v>
      </c>
      <c r="H382">
        <v>1</v>
      </c>
      <c r="I382" t="s">
        <v>64</v>
      </c>
      <c r="J382" t="s">
        <v>2135</v>
      </c>
      <c r="K382">
        <v>181.5</v>
      </c>
      <c r="L382">
        <v>3</v>
      </c>
      <c r="M382">
        <v>20</v>
      </c>
      <c r="N382" t="s">
        <v>68</v>
      </c>
      <c r="O382" t="s">
        <v>44</v>
      </c>
      <c r="P382" t="s">
        <v>45</v>
      </c>
      <c r="Q382" t="s">
        <v>69</v>
      </c>
    </row>
    <row r="383" spans="1:17" x14ac:dyDescent="0.3">
      <c r="A383" t="s">
        <v>2137</v>
      </c>
      <c r="B383" t="s">
        <v>2138</v>
      </c>
      <c r="C383">
        <v>66</v>
      </c>
      <c r="D383" t="s">
        <v>2139</v>
      </c>
      <c r="E383" t="s">
        <v>88</v>
      </c>
      <c r="F383" t="s">
        <v>256</v>
      </c>
      <c r="G383" t="s">
        <v>1105</v>
      </c>
      <c r="H383">
        <v>3</v>
      </c>
      <c r="I383" t="s">
        <v>27</v>
      </c>
      <c r="J383" s="86">
        <v>45660</v>
      </c>
      <c r="K383">
        <v>195.6</v>
      </c>
      <c r="L383">
        <v>2</v>
      </c>
      <c r="M383">
        <v>45</v>
      </c>
      <c r="N383" t="s">
        <v>56</v>
      </c>
      <c r="O383" t="s">
        <v>67</v>
      </c>
      <c r="P383" t="s">
        <v>68</v>
      </c>
      <c r="Q383" t="s">
        <v>32</v>
      </c>
    </row>
    <row r="384" spans="1:17" x14ac:dyDescent="0.3">
      <c r="A384" t="s">
        <v>2141</v>
      </c>
      <c r="B384" t="s">
        <v>2142</v>
      </c>
      <c r="C384">
        <v>60</v>
      </c>
      <c r="D384" t="s">
        <v>2143</v>
      </c>
      <c r="E384" t="s">
        <v>51</v>
      </c>
      <c r="F384" t="s">
        <v>1441</v>
      </c>
      <c r="G384" t="s">
        <v>1258</v>
      </c>
      <c r="H384">
        <v>5</v>
      </c>
      <c r="I384" t="s">
        <v>52</v>
      </c>
      <c r="J384" s="86">
        <v>44512</v>
      </c>
      <c r="K384">
        <v>107.92</v>
      </c>
      <c r="L384">
        <v>9</v>
      </c>
      <c r="M384">
        <v>14</v>
      </c>
      <c r="N384" t="s">
        <v>68</v>
      </c>
      <c r="O384" t="s">
        <v>211</v>
      </c>
      <c r="P384" t="s">
        <v>68</v>
      </c>
      <c r="Q384" t="s">
        <v>32</v>
      </c>
    </row>
    <row r="385" spans="1:17" x14ac:dyDescent="0.3">
      <c r="A385" t="s">
        <v>2145</v>
      </c>
      <c r="B385" t="s">
        <v>2146</v>
      </c>
      <c r="C385">
        <v>39</v>
      </c>
      <c r="D385" t="s">
        <v>2147</v>
      </c>
      <c r="E385" t="s">
        <v>95</v>
      </c>
      <c r="F385" t="s">
        <v>1355</v>
      </c>
      <c r="G385" t="s">
        <v>924</v>
      </c>
      <c r="H385">
        <v>2</v>
      </c>
      <c r="I385" t="s">
        <v>27</v>
      </c>
      <c r="J385" s="86">
        <v>44935</v>
      </c>
      <c r="K385">
        <v>577.66</v>
      </c>
      <c r="L385">
        <v>3</v>
      </c>
      <c r="M385">
        <v>18</v>
      </c>
      <c r="N385" t="s">
        <v>30</v>
      </c>
      <c r="O385" t="s">
        <v>116</v>
      </c>
      <c r="P385" t="s">
        <v>54</v>
      </c>
      <c r="Q385" t="s">
        <v>32</v>
      </c>
    </row>
    <row r="386" spans="1:17" x14ac:dyDescent="0.3">
      <c r="A386" t="s">
        <v>2149</v>
      </c>
      <c r="B386" t="s">
        <v>2150</v>
      </c>
      <c r="C386">
        <v>31</v>
      </c>
      <c r="D386" t="s">
        <v>2151</v>
      </c>
      <c r="E386" t="s">
        <v>51</v>
      </c>
      <c r="F386" t="s">
        <v>2152</v>
      </c>
      <c r="G386" s="86">
        <v>45540</v>
      </c>
      <c r="H386">
        <v>5</v>
      </c>
      <c r="I386" t="s">
        <v>27</v>
      </c>
      <c r="J386" t="s">
        <v>1237</v>
      </c>
      <c r="K386">
        <v>81.150000000000006</v>
      </c>
      <c r="L386">
        <v>7</v>
      </c>
      <c r="M386">
        <v>41</v>
      </c>
      <c r="N386" t="s">
        <v>68</v>
      </c>
      <c r="O386" t="s">
        <v>251</v>
      </c>
      <c r="P386" t="s">
        <v>30</v>
      </c>
      <c r="Q386" t="s">
        <v>69</v>
      </c>
    </row>
    <row r="387" spans="1:17" x14ac:dyDescent="0.3">
      <c r="A387" t="s">
        <v>2154</v>
      </c>
      <c r="B387" t="s">
        <v>2155</v>
      </c>
      <c r="C387">
        <v>26</v>
      </c>
      <c r="D387" t="s">
        <v>2156</v>
      </c>
      <c r="E387" t="s">
        <v>95</v>
      </c>
      <c r="F387" s="86">
        <v>45051</v>
      </c>
      <c r="G387" s="86">
        <v>45385</v>
      </c>
      <c r="H387">
        <v>4</v>
      </c>
      <c r="I387" t="s">
        <v>64</v>
      </c>
      <c r="J387" t="s">
        <v>2010</v>
      </c>
      <c r="K387">
        <v>68.540000000000006</v>
      </c>
      <c r="L387">
        <v>8</v>
      </c>
      <c r="M387">
        <v>18</v>
      </c>
      <c r="N387" t="s">
        <v>30</v>
      </c>
      <c r="O387" t="s">
        <v>373</v>
      </c>
      <c r="P387" t="s">
        <v>54</v>
      </c>
      <c r="Q387" t="s">
        <v>32</v>
      </c>
    </row>
    <row r="388" spans="1:17" x14ac:dyDescent="0.3">
      <c r="A388" t="s">
        <v>2158</v>
      </c>
      <c r="B388" t="s">
        <v>2159</v>
      </c>
      <c r="C388">
        <v>34</v>
      </c>
      <c r="D388" t="s">
        <v>2160</v>
      </c>
      <c r="E388" t="s">
        <v>61</v>
      </c>
      <c r="F388" t="s">
        <v>2161</v>
      </c>
      <c r="G388" s="86">
        <v>44988</v>
      </c>
      <c r="H388">
        <v>3</v>
      </c>
      <c r="I388" t="s">
        <v>52</v>
      </c>
      <c r="J388" t="s">
        <v>2162</v>
      </c>
      <c r="K388">
        <v>193.43</v>
      </c>
      <c r="L388">
        <v>8</v>
      </c>
      <c r="M388">
        <v>23</v>
      </c>
      <c r="N388" t="s">
        <v>30</v>
      </c>
      <c r="O388" t="s">
        <v>425</v>
      </c>
      <c r="P388" t="s">
        <v>30</v>
      </c>
      <c r="Q388" t="s">
        <v>69</v>
      </c>
    </row>
    <row r="389" spans="1:17" x14ac:dyDescent="0.3">
      <c r="A389" t="s">
        <v>2164</v>
      </c>
      <c r="B389" t="s">
        <v>2165</v>
      </c>
      <c r="C389">
        <v>44</v>
      </c>
      <c r="D389" t="s">
        <v>2166</v>
      </c>
      <c r="E389" t="s">
        <v>95</v>
      </c>
      <c r="F389" t="s">
        <v>2167</v>
      </c>
      <c r="G389" t="s">
        <v>1375</v>
      </c>
      <c r="H389">
        <v>5</v>
      </c>
      <c r="I389" t="s">
        <v>27</v>
      </c>
      <c r="J389" t="s">
        <v>2168</v>
      </c>
      <c r="K389">
        <v>276.7</v>
      </c>
      <c r="L389">
        <v>6</v>
      </c>
      <c r="M389">
        <v>22</v>
      </c>
      <c r="N389" t="s">
        <v>45</v>
      </c>
      <c r="O389" t="s">
        <v>293</v>
      </c>
      <c r="P389" t="s">
        <v>45</v>
      </c>
      <c r="Q389" t="s">
        <v>69</v>
      </c>
    </row>
    <row r="390" spans="1:17" x14ac:dyDescent="0.3">
      <c r="A390" t="s">
        <v>2170</v>
      </c>
      <c r="B390" t="s">
        <v>2171</v>
      </c>
      <c r="C390">
        <v>61</v>
      </c>
      <c r="D390" t="s">
        <v>2172</v>
      </c>
      <c r="E390" t="s">
        <v>88</v>
      </c>
      <c r="F390" t="s">
        <v>153</v>
      </c>
      <c r="G390" t="s">
        <v>2173</v>
      </c>
      <c r="H390">
        <v>0</v>
      </c>
      <c r="I390" t="s">
        <v>52</v>
      </c>
      <c r="J390" t="s">
        <v>2174</v>
      </c>
      <c r="K390">
        <v>51.83</v>
      </c>
      <c r="L390">
        <v>2</v>
      </c>
      <c r="M390">
        <v>12</v>
      </c>
      <c r="N390" t="s">
        <v>54</v>
      </c>
      <c r="O390" t="s">
        <v>251</v>
      </c>
      <c r="P390" t="s">
        <v>30</v>
      </c>
      <c r="Q390" t="s">
        <v>69</v>
      </c>
    </row>
    <row r="391" spans="1:17" x14ac:dyDescent="0.3">
      <c r="A391" t="s">
        <v>2176</v>
      </c>
      <c r="B391" t="s">
        <v>2177</v>
      </c>
      <c r="C391">
        <v>46</v>
      </c>
      <c r="D391" t="s">
        <v>2178</v>
      </c>
      <c r="E391" t="s">
        <v>95</v>
      </c>
      <c r="F391" t="s">
        <v>2179</v>
      </c>
      <c r="G391" t="s">
        <v>639</v>
      </c>
      <c r="H391">
        <v>1</v>
      </c>
      <c r="I391" t="s">
        <v>27</v>
      </c>
      <c r="J391" t="s">
        <v>973</v>
      </c>
      <c r="K391">
        <v>133.72999999999999</v>
      </c>
      <c r="L391">
        <v>8</v>
      </c>
      <c r="M391">
        <v>33</v>
      </c>
      <c r="N391" t="s">
        <v>30</v>
      </c>
      <c r="O391" t="s">
        <v>135</v>
      </c>
      <c r="P391" t="s">
        <v>45</v>
      </c>
      <c r="Q391" t="s">
        <v>32</v>
      </c>
    </row>
    <row r="392" spans="1:17" x14ac:dyDescent="0.3">
      <c r="A392" t="s">
        <v>2181</v>
      </c>
      <c r="B392" t="s">
        <v>2182</v>
      </c>
      <c r="C392">
        <v>64</v>
      </c>
      <c r="D392" t="s">
        <v>2183</v>
      </c>
      <c r="E392" t="s">
        <v>95</v>
      </c>
      <c r="F392" s="86">
        <v>44774</v>
      </c>
      <c r="G392" s="86">
        <v>45783</v>
      </c>
      <c r="H392">
        <v>4</v>
      </c>
      <c r="I392" t="s">
        <v>64</v>
      </c>
      <c r="J392" s="86">
        <v>45241</v>
      </c>
      <c r="K392">
        <v>52.44</v>
      </c>
      <c r="L392">
        <v>4</v>
      </c>
      <c r="M392">
        <v>34</v>
      </c>
      <c r="N392" t="s">
        <v>56</v>
      </c>
      <c r="O392" t="s">
        <v>199</v>
      </c>
      <c r="P392" t="s">
        <v>54</v>
      </c>
      <c r="Q392" t="s">
        <v>69</v>
      </c>
    </row>
    <row r="393" spans="1:17" x14ac:dyDescent="0.3">
      <c r="A393" t="s">
        <v>2185</v>
      </c>
      <c r="B393" t="s">
        <v>2186</v>
      </c>
      <c r="C393">
        <v>60</v>
      </c>
      <c r="D393" t="s">
        <v>2187</v>
      </c>
      <c r="E393" t="s">
        <v>61</v>
      </c>
      <c r="F393" t="s">
        <v>2188</v>
      </c>
      <c r="G393" s="86">
        <v>45413</v>
      </c>
      <c r="H393">
        <v>0</v>
      </c>
      <c r="I393" t="s">
        <v>27</v>
      </c>
      <c r="J393" s="86">
        <v>45206</v>
      </c>
      <c r="K393">
        <v>1499.71</v>
      </c>
      <c r="L393">
        <v>1</v>
      </c>
      <c r="M393">
        <v>29</v>
      </c>
      <c r="N393" t="s">
        <v>56</v>
      </c>
      <c r="O393" t="s">
        <v>169</v>
      </c>
      <c r="P393" t="s">
        <v>30</v>
      </c>
      <c r="Q393" t="s">
        <v>32</v>
      </c>
    </row>
    <row r="394" spans="1:17" x14ac:dyDescent="0.3">
      <c r="A394" t="s">
        <v>2190</v>
      </c>
      <c r="B394" t="s">
        <v>2191</v>
      </c>
      <c r="C394">
        <v>66</v>
      </c>
      <c r="D394" t="s">
        <v>2192</v>
      </c>
      <c r="E394" t="s">
        <v>25</v>
      </c>
      <c r="F394" s="86">
        <v>44776</v>
      </c>
      <c r="G394" t="s">
        <v>393</v>
      </c>
      <c r="H394">
        <v>1</v>
      </c>
      <c r="I394" t="s">
        <v>64</v>
      </c>
      <c r="J394" t="s">
        <v>873</v>
      </c>
      <c r="K394">
        <v>562.84</v>
      </c>
      <c r="L394">
        <v>3</v>
      </c>
      <c r="M394">
        <v>26</v>
      </c>
      <c r="N394" t="s">
        <v>68</v>
      </c>
      <c r="O394" t="s">
        <v>536</v>
      </c>
      <c r="P394" t="s">
        <v>68</v>
      </c>
      <c r="Q394" t="s">
        <v>69</v>
      </c>
    </row>
    <row r="395" spans="1:17" x14ac:dyDescent="0.3">
      <c r="A395" t="s">
        <v>2194</v>
      </c>
      <c r="B395" t="s">
        <v>2195</v>
      </c>
      <c r="C395">
        <v>62</v>
      </c>
      <c r="D395" t="s">
        <v>2196</v>
      </c>
      <c r="E395" t="s">
        <v>61</v>
      </c>
      <c r="F395" s="86">
        <v>44231</v>
      </c>
      <c r="G395" t="s">
        <v>249</v>
      </c>
      <c r="H395">
        <v>0</v>
      </c>
      <c r="I395" t="s">
        <v>27</v>
      </c>
      <c r="J395" t="s">
        <v>659</v>
      </c>
      <c r="K395">
        <v>1366.86</v>
      </c>
      <c r="L395">
        <v>1</v>
      </c>
      <c r="M395">
        <v>45</v>
      </c>
      <c r="N395" t="s">
        <v>68</v>
      </c>
      <c r="O395" t="s">
        <v>354</v>
      </c>
      <c r="P395" t="s">
        <v>45</v>
      </c>
      <c r="Q395" t="s">
        <v>32</v>
      </c>
    </row>
    <row r="396" spans="1:17" x14ac:dyDescent="0.3">
      <c r="A396" t="s">
        <v>2198</v>
      </c>
      <c r="B396" t="s">
        <v>2199</v>
      </c>
      <c r="C396">
        <v>43</v>
      </c>
      <c r="D396" t="s">
        <v>2200</v>
      </c>
      <c r="E396" t="s">
        <v>40</v>
      </c>
      <c r="F396" t="s">
        <v>2201</v>
      </c>
      <c r="G396" t="s">
        <v>646</v>
      </c>
      <c r="H396">
        <v>3</v>
      </c>
      <c r="I396" t="s">
        <v>27</v>
      </c>
      <c r="J396" t="s">
        <v>2202</v>
      </c>
      <c r="K396">
        <v>290.27999999999997</v>
      </c>
      <c r="L396">
        <v>6</v>
      </c>
      <c r="M396">
        <v>38</v>
      </c>
      <c r="N396" t="s">
        <v>30</v>
      </c>
      <c r="O396" t="s">
        <v>199</v>
      </c>
      <c r="P396" t="s">
        <v>54</v>
      </c>
      <c r="Q396" t="s">
        <v>32</v>
      </c>
    </row>
    <row r="397" spans="1:17" x14ac:dyDescent="0.3">
      <c r="A397" t="s">
        <v>2204</v>
      </c>
      <c r="B397" t="s">
        <v>2205</v>
      </c>
      <c r="C397">
        <v>60</v>
      </c>
      <c r="D397" t="s">
        <v>2206</v>
      </c>
      <c r="E397" t="s">
        <v>61</v>
      </c>
      <c r="F397" t="s">
        <v>2207</v>
      </c>
      <c r="G397" t="s">
        <v>2208</v>
      </c>
      <c r="H397">
        <v>1</v>
      </c>
      <c r="I397" t="s">
        <v>27</v>
      </c>
      <c r="J397" s="86">
        <v>45326</v>
      </c>
      <c r="K397">
        <v>134.53</v>
      </c>
      <c r="L397">
        <v>9</v>
      </c>
      <c r="M397">
        <v>45</v>
      </c>
      <c r="N397" t="s">
        <v>54</v>
      </c>
      <c r="O397" t="s">
        <v>122</v>
      </c>
      <c r="P397" t="s">
        <v>30</v>
      </c>
      <c r="Q397" t="s">
        <v>69</v>
      </c>
    </row>
    <row r="398" spans="1:17" x14ac:dyDescent="0.3">
      <c r="A398" t="s">
        <v>2210</v>
      </c>
      <c r="B398" t="s">
        <v>2211</v>
      </c>
      <c r="C398">
        <v>52</v>
      </c>
      <c r="D398" t="s">
        <v>2212</v>
      </c>
      <c r="E398" t="s">
        <v>61</v>
      </c>
      <c r="F398" t="s">
        <v>2213</v>
      </c>
      <c r="G398" t="s">
        <v>1232</v>
      </c>
      <c r="H398">
        <v>0</v>
      </c>
      <c r="I398" t="s">
        <v>27</v>
      </c>
      <c r="J398" t="s">
        <v>1397</v>
      </c>
      <c r="K398">
        <v>434.16</v>
      </c>
      <c r="L398">
        <v>2</v>
      </c>
      <c r="M398">
        <v>43</v>
      </c>
      <c r="N398" t="s">
        <v>30</v>
      </c>
      <c r="O398" t="s">
        <v>122</v>
      </c>
      <c r="P398" t="s">
        <v>30</v>
      </c>
      <c r="Q398" t="s">
        <v>32</v>
      </c>
    </row>
    <row r="399" spans="1:17" x14ac:dyDescent="0.3">
      <c r="A399" t="s">
        <v>2215</v>
      </c>
      <c r="B399" t="s">
        <v>2216</v>
      </c>
      <c r="C399">
        <v>55</v>
      </c>
      <c r="D399" t="s">
        <v>2217</v>
      </c>
      <c r="E399" t="s">
        <v>25</v>
      </c>
      <c r="F399" t="s">
        <v>1031</v>
      </c>
      <c r="G399" t="s">
        <v>2218</v>
      </c>
      <c r="H399">
        <v>0</v>
      </c>
      <c r="I399" t="s">
        <v>64</v>
      </c>
      <c r="J399" t="s">
        <v>2219</v>
      </c>
      <c r="K399">
        <v>44.89</v>
      </c>
      <c r="L399">
        <v>7</v>
      </c>
      <c r="M399">
        <v>2</v>
      </c>
      <c r="N399" t="s">
        <v>56</v>
      </c>
      <c r="O399" t="s">
        <v>142</v>
      </c>
      <c r="P399" t="s">
        <v>68</v>
      </c>
      <c r="Q399" t="s">
        <v>32</v>
      </c>
    </row>
    <row r="400" spans="1:17" x14ac:dyDescent="0.3">
      <c r="A400" t="s">
        <v>2221</v>
      </c>
      <c r="B400" t="s">
        <v>2222</v>
      </c>
      <c r="C400">
        <v>63</v>
      </c>
      <c r="D400" t="s">
        <v>2223</v>
      </c>
      <c r="E400" t="s">
        <v>51</v>
      </c>
      <c r="F400" t="s">
        <v>2224</v>
      </c>
      <c r="G400" t="s">
        <v>2225</v>
      </c>
      <c r="H400">
        <v>0</v>
      </c>
      <c r="I400" t="s">
        <v>64</v>
      </c>
      <c r="J400" t="s">
        <v>2226</v>
      </c>
      <c r="K400">
        <v>158.19</v>
      </c>
      <c r="L400">
        <v>7</v>
      </c>
      <c r="M400">
        <v>15</v>
      </c>
      <c r="N400" t="s">
        <v>56</v>
      </c>
      <c r="O400" t="s">
        <v>157</v>
      </c>
      <c r="P400" t="s">
        <v>68</v>
      </c>
      <c r="Q400" t="s">
        <v>322</v>
      </c>
    </row>
    <row r="401" spans="1:17" x14ac:dyDescent="0.3">
      <c r="A401" t="s">
        <v>2228</v>
      </c>
      <c r="B401" t="s">
        <v>2229</v>
      </c>
      <c r="C401">
        <v>43</v>
      </c>
      <c r="D401" t="s">
        <v>2230</v>
      </c>
      <c r="E401" t="s">
        <v>51</v>
      </c>
      <c r="F401" s="86">
        <v>44630</v>
      </c>
      <c r="G401" t="s">
        <v>186</v>
      </c>
      <c r="H401">
        <v>3</v>
      </c>
      <c r="I401" t="s">
        <v>52</v>
      </c>
      <c r="J401" t="s">
        <v>2231</v>
      </c>
      <c r="K401">
        <v>130.46</v>
      </c>
      <c r="L401">
        <v>7</v>
      </c>
      <c r="M401">
        <v>17</v>
      </c>
      <c r="N401" t="s">
        <v>30</v>
      </c>
      <c r="O401" t="s">
        <v>624</v>
      </c>
      <c r="P401" t="s">
        <v>30</v>
      </c>
      <c r="Q401" t="s">
        <v>32</v>
      </c>
    </row>
    <row r="402" spans="1:17" x14ac:dyDescent="0.3">
      <c r="A402" t="s">
        <v>2233</v>
      </c>
      <c r="B402" t="s">
        <v>2234</v>
      </c>
      <c r="C402">
        <v>68</v>
      </c>
      <c r="D402" t="s">
        <v>2235</v>
      </c>
      <c r="E402" t="s">
        <v>88</v>
      </c>
      <c r="F402" s="86">
        <v>44267</v>
      </c>
      <c r="G402" t="s">
        <v>2236</v>
      </c>
      <c r="H402">
        <v>5</v>
      </c>
      <c r="I402" t="s">
        <v>27</v>
      </c>
      <c r="J402" t="s">
        <v>1732</v>
      </c>
      <c r="K402">
        <v>90.5</v>
      </c>
      <c r="L402">
        <v>4</v>
      </c>
      <c r="M402">
        <v>32</v>
      </c>
      <c r="N402" t="s">
        <v>68</v>
      </c>
      <c r="O402" t="s">
        <v>373</v>
      </c>
      <c r="P402" t="s">
        <v>54</v>
      </c>
      <c r="Q402" t="s">
        <v>32</v>
      </c>
    </row>
    <row r="403" spans="1:17" x14ac:dyDescent="0.3">
      <c r="A403" t="s">
        <v>2238</v>
      </c>
      <c r="B403" t="s">
        <v>2239</v>
      </c>
      <c r="C403">
        <v>60</v>
      </c>
      <c r="D403" t="s">
        <v>2240</v>
      </c>
      <c r="E403" t="s">
        <v>51</v>
      </c>
      <c r="F403" s="86">
        <v>45268</v>
      </c>
      <c r="G403" t="s">
        <v>2241</v>
      </c>
      <c r="H403">
        <v>0</v>
      </c>
      <c r="I403" t="s">
        <v>52</v>
      </c>
      <c r="J403" s="86">
        <v>45755</v>
      </c>
      <c r="K403">
        <v>132.55000000000001</v>
      </c>
      <c r="L403">
        <v>3</v>
      </c>
      <c r="M403">
        <v>25</v>
      </c>
      <c r="N403" t="s">
        <v>30</v>
      </c>
      <c r="O403" t="s">
        <v>175</v>
      </c>
      <c r="P403" t="s">
        <v>56</v>
      </c>
      <c r="Q403" t="s">
        <v>69</v>
      </c>
    </row>
    <row r="404" spans="1:17" x14ac:dyDescent="0.3">
      <c r="A404" t="s">
        <v>2243</v>
      </c>
      <c r="B404" t="s">
        <v>2244</v>
      </c>
      <c r="C404">
        <v>27</v>
      </c>
      <c r="D404" t="s">
        <v>2245</v>
      </c>
      <c r="E404" t="s">
        <v>88</v>
      </c>
      <c r="F404" s="86">
        <v>44535</v>
      </c>
      <c r="G404" s="86">
        <v>45115</v>
      </c>
      <c r="H404">
        <v>2</v>
      </c>
      <c r="I404" t="s">
        <v>52</v>
      </c>
      <c r="J404" t="s">
        <v>961</v>
      </c>
      <c r="K404">
        <v>315</v>
      </c>
      <c r="L404">
        <v>2</v>
      </c>
      <c r="M404">
        <v>25</v>
      </c>
      <c r="N404" t="s">
        <v>68</v>
      </c>
      <c r="O404" t="s">
        <v>245</v>
      </c>
      <c r="P404" t="s">
        <v>54</v>
      </c>
      <c r="Q404" t="s">
        <v>32</v>
      </c>
    </row>
    <row r="405" spans="1:17" x14ac:dyDescent="0.3">
      <c r="A405" t="s">
        <v>2247</v>
      </c>
      <c r="B405" t="s">
        <v>2248</v>
      </c>
      <c r="C405">
        <v>31</v>
      </c>
      <c r="D405" t="s">
        <v>2249</v>
      </c>
      <c r="E405" t="s">
        <v>61</v>
      </c>
      <c r="F405" t="s">
        <v>2250</v>
      </c>
      <c r="G405" s="86">
        <v>44906</v>
      </c>
      <c r="H405">
        <v>0</v>
      </c>
      <c r="I405" t="s">
        <v>27</v>
      </c>
      <c r="J405" s="86">
        <v>45515</v>
      </c>
      <c r="K405">
        <v>19.5</v>
      </c>
      <c r="L405">
        <v>6</v>
      </c>
      <c r="M405">
        <v>14</v>
      </c>
      <c r="N405" t="s">
        <v>54</v>
      </c>
      <c r="O405" t="s">
        <v>855</v>
      </c>
      <c r="P405" t="s">
        <v>45</v>
      </c>
      <c r="Q405" t="s">
        <v>69</v>
      </c>
    </row>
    <row r="406" spans="1:17" x14ac:dyDescent="0.3">
      <c r="A406" t="s">
        <v>2252</v>
      </c>
      <c r="B406" t="s">
        <v>2253</v>
      </c>
      <c r="C406">
        <v>52</v>
      </c>
      <c r="D406" t="s">
        <v>2254</v>
      </c>
      <c r="E406" t="s">
        <v>61</v>
      </c>
      <c r="F406" s="86">
        <v>44875</v>
      </c>
      <c r="G406" t="s">
        <v>1200</v>
      </c>
      <c r="H406">
        <v>5</v>
      </c>
      <c r="I406" t="s">
        <v>27</v>
      </c>
      <c r="J406" t="s">
        <v>1132</v>
      </c>
      <c r="K406">
        <v>74.489999999999995</v>
      </c>
      <c r="L406">
        <v>7</v>
      </c>
      <c r="M406">
        <v>4</v>
      </c>
      <c r="N406" t="s">
        <v>45</v>
      </c>
      <c r="O406" t="s">
        <v>128</v>
      </c>
      <c r="P406" t="s">
        <v>54</v>
      </c>
      <c r="Q406" t="s">
        <v>32</v>
      </c>
    </row>
    <row r="407" spans="1:17" x14ac:dyDescent="0.3">
      <c r="A407" t="s">
        <v>2256</v>
      </c>
      <c r="B407" t="s">
        <v>2257</v>
      </c>
      <c r="C407">
        <v>40</v>
      </c>
      <c r="D407" t="s">
        <v>2258</v>
      </c>
      <c r="E407" t="s">
        <v>61</v>
      </c>
      <c r="F407" s="86">
        <v>43960</v>
      </c>
      <c r="G407" t="s">
        <v>900</v>
      </c>
      <c r="H407">
        <v>0</v>
      </c>
      <c r="I407" t="s">
        <v>64</v>
      </c>
      <c r="J407" t="s">
        <v>819</v>
      </c>
      <c r="K407">
        <v>539.41</v>
      </c>
      <c r="L407">
        <v>3</v>
      </c>
      <c r="M407">
        <v>33</v>
      </c>
      <c r="N407" t="s">
        <v>56</v>
      </c>
      <c r="O407" t="s">
        <v>837</v>
      </c>
      <c r="P407" t="s">
        <v>56</v>
      </c>
      <c r="Q407" t="s">
        <v>69</v>
      </c>
    </row>
    <row r="408" spans="1:17" x14ac:dyDescent="0.3">
      <c r="A408" t="s">
        <v>2260</v>
      </c>
      <c r="B408" t="s">
        <v>2261</v>
      </c>
      <c r="C408">
        <v>66</v>
      </c>
      <c r="D408" t="s">
        <v>2262</v>
      </c>
      <c r="E408" t="s">
        <v>40</v>
      </c>
      <c r="F408" s="86">
        <v>45238</v>
      </c>
      <c r="G408" s="86">
        <v>45750</v>
      </c>
      <c r="H408">
        <v>2</v>
      </c>
      <c r="I408" t="s">
        <v>27</v>
      </c>
      <c r="J408" s="86">
        <v>45600</v>
      </c>
      <c r="K408">
        <v>101.02</v>
      </c>
      <c r="L408">
        <v>7</v>
      </c>
      <c r="M408">
        <v>19</v>
      </c>
      <c r="N408" t="s">
        <v>45</v>
      </c>
      <c r="O408" t="s">
        <v>223</v>
      </c>
      <c r="P408" t="s">
        <v>56</v>
      </c>
      <c r="Q408" t="s">
        <v>32</v>
      </c>
    </row>
    <row r="409" spans="1:17" x14ac:dyDescent="0.3">
      <c r="A409" t="s">
        <v>2264</v>
      </c>
      <c r="B409" t="s">
        <v>2265</v>
      </c>
      <c r="C409">
        <v>22</v>
      </c>
      <c r="D409" t="s">
        <v>2266</v>
      </c>
      <c r="E409" t="s">
        <v>95</v>
      </c>
      <c r="F409" s="86">
        <v>44868</v>
      </c>
      <c r="G409" t="s">
        <v>2267</v>
      </c>
      <c r="H409">
        <v>2</v>
      </c>
      <c r="I409" t="s">
        <v>52</v>
      </c>
      <c r="J409" t="s">
        <v>797</v>
      </c>
      <c r="K409">
        <v>1263.8</v>
      </c>
      <c r="L409">
        <v>1</v>
      </c>
      <c r="M409">
        <v>6</v>
      </c>
      <c r="N409" t="s">
        <v>68</v>
      </c>
      <c r="O409" t="s">
        <v>211</v>
      </c>
      <c r="P409" t="s">
        <v>68</v>
      </c>
      <c r="Q409" t="s">
        <v>32</v>
      </c>
    </row>
    <row r="410" spans="1:17" x14ac:dyDescent="0.3">
      <c r="A410" t="s">
        <v>2269</v>
      </c>
      <c r="B410" t="s">
        <v>2270</v>
      </c>
      <c r="C410">
        <v>56</v>
      </c>
      <c r="D410" t="s">
        <v>2271</v>
      </c>
      <c r="E410" t="s">
        <v>40</v>
      </c>
      <c r="F410" s="86">
        <v>45080</v>
      </c>
      <c r="G410" t="s">
        <v>1268</v>
      </c>
      <c r="H410">
        <v>0</v>
      </c>
      <c r="I410" t="s">
        <v>27</v>
      </c>
      <c r="J410" t="s">
        <v>1696</v>
      </c>
      <c r="K410">
        <v>643.24</v>
      </c>
      <c r="L410">
        <v>3</v>
      </c>
      <c r="M410">
        <v>44</v>
      </c>
      <c r="N410" t="s">
        <v>45</v>
      </c>
      <c r="O410" t="s">
        <v>157</v>
      </c>
      <c r="P410" t="s">
        <v>68</v>
      </c>
      <c r="Q410" t="s">
        <v>69</v>
      </c>
    </row>
    <row r="411" spans="1:17" x14ac:dyDescent="0.3">
      <c r="A411" t="s">
        <v>2273</v>
      </c>
      <c r="B411" t="s">
        <v>2274</v>
      </c>
      <c r="C411">
        <v>61</v>
      </c>
      <c r="D411" t="s">
        <v>2275</v>
      </c>
      <c r="E411" t="s">
        <v>40</v>
      </c>
      <c r="F411" t="s">
        <v>2276</v>
      </c>
      <c r="G411" s="86">
        <v>45840</v>
      </c>
      <c r="H411">
        <v>5</v>
      </c>
      <c r="I411" t="s">
        <v>64</v>
      </c>
      <c r="J411" t="s">
        <v>467</v>
      </c>
      <c r="K411">
        <v>217.29</v>
      </c>
      <c r="L411">
        <v>8</v>
      </c>
      <c r="M411">
        <v>7</v>
      </c>
      <c r="N411" t="s">
        <v>54</v>
      </c>
      <c r="O411" t="s">
        <v>354</v>
      </c>
      <c r="P411" t="s">
        <v>45</v>
      </c>
      <c r="Q411" t="s">
        <v>32</v>
      </c>
    </row>
    <row r="412" spans="1:17" x14ac:dyDescent="0.3">
      <c r="A412" t="s">
        <v>2278</v>
      </c>
      <c r="B412" t="s">
        <v>2279</v>
      </c>
      <c r="C412">
        <v>61</v>
      </c>
      <c r="D412" t="s">
        <v>2280</v>
      </c>
      <c r="E412" t="s">
        <v>88</v>
      </c>
      <c r="F412" t="s">
        <v>1635</v>
      </c>
      <c r="G412" s="86">
        <v>44571</v>
      </c>
      <c r="H412">
        <v>5</v>
      </c>
      <c r="I412" t="s">
        <v>27</v>
      </c>
      <c r="J412" t="s">
        <v>2281</v>
      </c>
      <c r="K412">
        <v>94.79</v>
      </c>
      <c r="L412">
        <v>8</v>
      </c>
      <c r="M412">
        <v>1</v>
      </c>
      <c r="N412" t="s">
        <v>30</v>
      </c>
      <c r="O412" t="s">
        <v>610</v>
      </c>
      <c r="P412" t="s">
        <v>68</v>
      </c>
      <c r="Q412" t="s">
        <v>69</v>
      </c>
    </row>
    <row r="413" spans="1:17" x14ac:dyDescent="0.3">
      <c r="A413" t="s">
        <v>2283</v>
      </c>
      <c r="B413" t="s">
        <v>2284</v>
      </c>
      <c r="C413">
        <v>64</v>
      </c>
      <c r="D413" t="s">
        <v>2285</v>
      </c>
      <c r="E413" t="s">
        <v>88</v>
      </c>
      <c r="F413" t="s">
        <v>383</v>
      </c>
      <c r="G413" s="86">
        <v>45999</v>
      </c>
      <c r="H413">
        <v>0</v>
      </c>
      <c r="I413" t="s">
        <v>27</v>
      </c>
      <c r="J413" s="86">
        <v>45604</v>
      </c>
      <c r="K413">
        <v>305.8</v>
      </c>
      <c r="L413">
        <v>5</v>
      </c>
      <c r="M413">
        <v>23</v>
      </c>
      <c r="N413" t="s">
        <v>68</v>
      </c>
      <c r="O413" t="s">
        <v>91</v>
      </c>
      <c r="P413" t="s">
        <v>54</v>
      </c>
      <c r="Q413" t="s">
        <v>32</v>
      </c>
    </row>
    <row r="414" spans="1:17" x14ac:dyDescent="0.3">
      <c r="A414" t="s">
        <v>2287</v>
      </c>
      <c r="B414" t="s">
        <v>2288</v>
      </c>
      <c r="C414">
        <v>65</v>
      </c>
      <c r="D414" t="s">
        <v>2289</v>
      </c>
      <c r="E414" t="s">
        <v>51</v>
      </c>
      <c r="F414" s="86">
        <v>44144</v>
      </c>
      <c r="G414" s="86">
        <v>45846</v>
      </c>
      <c r="H414">
        <v>3</v>
      </c>
      <c r="I414" t="s">
        <v>27</v>
      </c>
      <c r="J414" t="s">
        <v>415</v>
      </c>
      <c r="K414">
        <v>41.08</v>
      </c>
      <c r="L414">
        <v>4</v>
      </c>
      <c r="M414">
        <v>18</v>
      </c>
      <c r="N414" t="s">
        <v>30</v>
      </c>
      <c r="O414" t="s">
        <v>128</v>
      </c>
      <c r="P414" t="s">
        <v>54</v>
      </c>
      <c r="Q414" t="s">
        <v>32</v>
      </c>
    </row>
    <row r="415" spans="1:17" x14ac:dyDescent="0.3">
      <c r="A415" t="s">
        <v>2291</v>
      </c>
      <c r="B415" t="s">
        <v>2292</v>
      </c>
      <c r="C415">
        <v>58</v>
      </c>
      <c r="D415" t="s">
        <v>2293</v>
      </c>
      <c r="E415" t="s">
        <v>61</v>
      </c>
      <c r="F415" t="s">
        <v>2294</v>
      </c>
      <c r="G415" s="86">
        <v>45393</v>
      </c>
      <c r="H415">
        <v>1</v>
      </c>
      <c r="I415" t="s">
        <v>27</v>
      </c>
      <c r="J415" s="86">
        <v>45234</v>
      </c>
      <c r="K415">
        <v>155.84</v>
      </c>
      <c r="L415">
        <v>8</v>
      </c>
      <c r="M415">
        <v>29</v>
      </c>
      <c r="N415" t="s">
        <v>30</v>
      </c>
      <c r="O415" t="s">
        <v>231</v>
      </c>
      <c r="P415" t="s">
        <v>30</v>
      </c>
      <c r="Q415" t="s">
        <v>69</v>
      </c>
    </row>
    <row r="416" spans="1:17" x14ac:dyDescent="0.3">
      <c r="A416" t="s">
        <v>2296</v>
      </c>
      <c r="B416" t="s">
        <v>2297</v>
      </c>
      <c r="C416">
        <v>33</v>
      </c>
      <c r="D416" t="s">
        <v>2298</v>
      </c>
      <c r="E416" t="s">
        <v>95</v>
      </c>
      <c r="F416" s="86">
        <v>45175</v>
      </c>
      <c r="G416" t="s">
        <v>2299</v>
      </c>
      <c r="H416">
        <v>2</v>
      </c>
      <c r="I416" t="s">
        <v>27</v>
      </c>
      <c r="J416" t="s">
        <v>2300</v>
      </c>
      <c r="K416">
        <v>410.16</v>
      </c>
      <c r="L416">
        <v>3</v>
      </c>
      <c r="M416">
        <v>31</v>
      </c>
      <c r="N416" t="s">
        <v>54</v>
      </c>
      <c r="O416" t="s">
        <v>99</v>
      </c>
      <c r="P416" t="s">
        <v>56</v>
      </c>
      <c r="Q416" t="s">
        <v>69</v>
      </c>
    </row>
    <row r="417" spans="1:17" x14ac:dyDescent="0.3">
      <c r="A417" t="s">
        <v>2302</v>
      </c>
      <c r="B417" t="s">
        <v>2303</v>
      </c>
      <c r="C417">
        <v>24</v>
      </c>
      <c r="D417" t="s">
        <v>2304</v>
      </c>
      <c r="E417" t="s">
        <v>88</v>
      </c>
      <c r="F417" s="86">
        <v>44839</v>
      </c>
      <c r="G417" s="86">
        <v>45602</v>
      </c>
      <c r="H417">
        <v>1</v>
      </c>
      <c r="I417" t="s">
        <v>27</v>
      </c>
      <c r="J417" s="86">
        <v>45211</v>
      </c>
      <c r="K417">
        <v>350.48</v>
      </c>
      <c r="L417">
        <v>3</v>
      </c>
      <c r="M417">
        <v>32</v>
      </c>
      <c r="N417" t="s">
        <v>56</v>
      </c>
      <c r="O417" t="s">
        <v>175</v>
      </c>
      <c r="P417" t="s">
        <v>56</v>
      </c>
      <c r="Q417" t="s">
        <v>32</v>
      </c>
    </row>
    <row r="418" spans="1:17" x14ac:dyDescent="0.3">
      <c r="A418" t="s">
        <v>2306</v>
      </c>
      <c r="B418" t="s">
        <v>2307</v>
      </c>
      <c r="C418">
        <v>62</v>
      </c>
      <c r="D418" t="s">
        <v>2308</v>
      </c>
      <c r="E418" t="s">
        <v>51</v>
      </c>
      <c r="F418" t="s">
        <v>1036</v>
      </c>
      <c r="G418" s="86">
        <v>45566</v>
      </c>
      <c r="H418">
        <v>0</v>
      </c>
      <c r="I418" t="s">
        <v>27</v>
      </c>
      <c r="J418" s="86">
        <v>45141</v>
      </c>
      <c r="K418">
        <v>216.64</v>
      </c>
      <c r="L418">
        <v>8</v>
      </c>
      <c r="M418">
        <v>32</v>
      </c>
      <c r="N418" t="s">
        <v>56</v>
      </c>
      <c r="O418" t="s">
        <v>157</v>
      </c>
      <c r="P418" t="s">
        <v>68</v>
      </c>
      <c r="Q418" t="s">
        <v>69</v>
      </c>
    </row>
    <row r="419" spans="1:17" x14ac:dyDescent="0.3">
      <c r="A419" t="s">
        <v>2310</v>
      </c>
      <c r="B419" t="s">
        <v>2311</v>
      </c>
      <c r="C419">
        <v>42</v>
      </c>
      <c r="D419" t="s">
        <v>2312</v>
      </c>
      <c r="E419" t="s">
        <v>61</v>
      </c>
      <c r="F419" t="s">
        <v>2313</v>
      </c>
      <c r="G419" s="86">
        <v>45907</v>
      </c>
      <c r="H419">
        <v>4</v>
      </c>
      <c r="I419" t="s">
        <v>27</v>
      </c>
      <c r="J419" t="s">
        <v>2314</v>
      </c>
      <c r="K419">
        <v>75.2</v>
      </c>
      <c r="L419">
        <v>6</v>
      </c>
      <c r="M419">
        <v>11</v>
      </c>
      <c r="N419" t="s">
        <v>68</v>
      </c>
      <c r="O419" t="s">
        <v>142</v>
      </c>
      <c r="P419" t="s">
        <v>68</v>
      </c>
      <c r="Q419" t="s">
        <v>69</v>
      </c>
    </row>
    <row r="420" spans="1:17" x14ac:dyDescent="0.3">
      <c r="A420" t="s">
        <v>2316</v>
      </c>
      <c r="B420" t="s">
        <v>2317</v>
      </c>
      <c r="C420">
        <v>22</v>
      </c>
      <c r="D420" t="s">
        <v>2318</v>
      </c>
      <c r="E420" t="s">
        <v>95</v>
      </c>
      <c r="F420" s="86">
        <v>45111</v>
      </c>
      <c r="G420" s="86">
        <v>45876</v>
      </c>
      <c r="H420">
        <v>3</v>
      </c>
      <c r="I420" t="s">
        <v>27</v>
      </c>
      <c r="J420" s="86">
        <v>45394</v>
      </c>
      <c r="K420">
        <v>17.09</v>
      </c>
      <c r="L420">
        <v>7</v>
      </c>
      <c r="M420">
        <v>4</v>
      </c>
      <c r="N420" t="s">
        <v>45</v>
      </c>
      <c r="O420" t="s">
        <v>821</v>
      </c>
      <c r="P420" t="s">
        <v>68</v>
      </c>
      <c r="Q420" t="s">
        <v>32</v>
      </c>
    </row>
    <row r="421" spans="1:17" x14ac:dyDescent="0.3">
      <c r="A421" t="s">
        <v>2320</v>
      </c>
      <c r="B421" t="s">
        <v>2321</v>
      </c>
      <c r="C421">
        <v>65</v>
      </c>
      <c r="D421" t="s">
        <v>2322</v>
      </c>
      <c r="E421" t="s">
        <v>25</v>
      </c>
      <c r="F421" s="86">
        <v>44715</v>
      </c>
      <c r="G421" t="s">
        <v>2323</v>
      </c>
      <c r="H421">
        <v>1</v>
      </c>
      <c r="I421" t="s">
        <v>64</v>
      </c>
      <c r="J421" s="86">
        <v>45872</v>
      </c>
      <c r="K421">
        <v>4.22</v>
      </c>
      <c r="L421">
        <v>9</v>
      </c>
      <c r="M421">
        <v>31</v>
      </c>
      <c r="N421" t="s">
        <v>45</v>
      </c>
      <c r="O421" t="s">
        <v>175</v>
      </c>
      <c r="P421" t="s">
        <v>56</v>
      </c>
      <c r="Q421" t="s">
        <v>32</v>
      </c>
    </row>
    <row r="422" spans="1:17" x14ac:dyDescent="0.3">
      <c r="A422" t="s">
        <v>2325</v>
      </c>
      <c r="B422" t="s">
        <v>2326</v>
      </c>
      <c r="C422">
        <v>39</v>
      </c>
      <c r="D422" t="s">
        <v>2327</v>
      </c>
      <c r="E422" t="s">
        <v>25</v>
      </c>
      <c r="F422" s="86">
        <v>44288</v>
      </c>
      <c r="G422" t="s">
        <v>1552</v>
      </c>
      <c r="H422">
        <v>4</v>
      </c>
      <c r="I422" t="s">
        <v>64</v>
      </c>
      <c r="J422" t="s">
        <v>2294</v>
      </c>
      <c r="K422">
        <v>89.67</v>
      </c>
      <c r="L422">
        <v>2</v>
      </c>
      <c r="M422">
        <v>35</v>
      </c>
      <c r="N422" t="s">
        <v>56</v>
      </c>
      <c r="O422" t="s">
        <v>211</v>
      </c>
      <c r="P422" t="s">
        <v>68</v>
      </c>
      <c r="Q422" t="s">
        <v>322</v>
      </c>
    </row>
    <row r="423" spans="1:17" x14ac:dyDescent="0.3">
      <c r="A423" t="s">
        <v>2329</v>
      </c>
      <c r="B423" t="s">
        <v>2330</v>
      </c>
      <c r="C423">
        <v>37</v>
      </c>
      <c r="D423" t="s">
        <v>2331</v>
      </c>
      <c r="E423" t="s">
        <v>40</v>
      </c>
      <c r="F423" t="s">
        <v>1375</v>
      </c>
      <c r="G423" t="s">
        <v>2332</v>
      </c>
      <c r="H423">
        <v>2</v>
      </c>
      <c r="I423" t="s">
        <v>27</v>
      </c>
      <c r="J423" t="s">
        <v>42</v>
      </c>
      <c r="K423">
        <v>57.72</v>
      </c>
      <c r="L423">
        <v>4</v>
      </c>
      <c r="M423">
        <v>11</v>
      </c>
      <c r="N423" t="s">
        <v>68</v>
      </c>
      <c r="O423" t="s">
        <v>135</v>
      </c>
      <c r="P423" t="s">
        <v>45</v>
      </c>
      <c r="Q423" t="s">
        <v>69</v>
      </c>
    </row>
    <row r="424" spans="1:17" x14ac:dyDescent="0.3">
      <c r="A424" t="s">
        <v>2334</v>
      </c>
      <c r="B424" t="s">
        <v>2335</v>
      </c>
      <c r="C424">
        <v>40</v>
      </c>
      <c r="D424" t="s">
        <v>2336</v>
      </c>
      <c r="E424" t="s">
        <v>88</v>
      </c>
      <c r="F424" s="86">
        <v>44748</v>
      </c>
      <c r="G424" t="s">
        <v>2337</v>
      </c>
      <c r="H424">
        <v>1</v>
      </c>
      <c r="I424" t="s">
        <v>27</v>
      </c>
      <c r="J424" s="86">
        <v>45179</v>
      </c>
      <c r="K424">
        <v>288.26</v>
      </c>
      <c r="L424">
        <v>5</v>
      </c>
      <c r="M424">
        <v>32</v>
      </c>
      <c r="N424" t="s">
        <v>56</v>
      </c>
      <c r="O424" t="s">
        <v>99</v>
      </c>
      <c r="P424" t="s">
        <v>56</v>
      </c>
      <c r="Q424" t="s">
        <v>32</v>
      </c>
    </row>
    <row r="425" spans="1:17" x14ac:dyDescent="0.3">
      <c r="A425" t="s">
        <v>2339</v>
      </c>
      <c r="B425" t="s">
        <v>2340</v>
      </c>
      <c r="C425">
        <v>21</v>
      </c>
      <c r="D425" t="s">
        <v>2341</v>
      </c>
      <c r="E425" t="s">
        <v>51</v>
      </c>
      <c r="F425" s="86">
        <v>45145</v>
      </c>
      <c r="G425" t="s">
        <v>2342</v>
      </c>
      <c r="H425">
        <v>2</v>
      </c>
      <c r="I425" t="s">
        <v>27</v>
      </c>
      <c r="J425" t="s">
        <v>1929</v>
      </c>
      <c r="K425">
        <v>37.130000000000003</v>
      </c>
      <c r="L425">
        <v>8</v>
      </c>
      <c r="M425">
        <v>9</v>
      </c>
      <c r="N425" t="s">
        <v>68</v>
      </c>
      <c r="O425" t="s">
        <v>837</v>
      </c>
      <c r="P425" t="s">
        <v>56</v>
      </c>
      <c r="Q425" t="s">
        <v>69</v>
      </c>
    </row>
    <row r="426" spans="1:17" x14ac:dyDescent="0.3">
      <c r="A426" t="s">
        <v>2344</v>
      </c>
      <c r="B426" t="s">
        <v>2345</v>
      </c>
      <c r="C426">
        <v>55</v>
      </c>
      <c r="D426" t="s">
        <v>2346</v>
      </c>
      <c r="E426" t="s">
        <v>25</v>
      </c>
      <c r="F426" s="86">
        <v>44447</v>
      </c>
      <c r="G426" t="s">
        <v>285</v>
      </c>
      <c r="H426">
        <v>5</v>
      </c>
      <c r="I426" t="s">
        <v>52</v>
      </c>
      <c r="J426" t="s">
        <v>2347</v>
      </c>
      <c r="K426">
        <v>1799.69</v>
      </c>
      <c r="L426">
        <v>1</v>
      </c>
      <c r="M426">
        <v>39</v>
      </c>
      <c r="N426" t="s">
        <v>30</v>
      </c>
      <c r="O426" t="s">
        <v>199</v>
      </c>
      <c r="P426" t="s">
        <v>54</v>
      </c>
      <c r="Q426" t="s">
        <v>32</v>
      </c>
    </row>
    <row r="427" spans="1:17" x14ac:dyDescent="0.3">
      <c r="A427" t="s">
        <v>2349</v>
      </c>
      <c r="B427" t="s">
        <v>2350</v>
      </c>
      <c r="C427">
        <v>26</v>
      </c>
      <c r="D427" t="s">
        <v>2351</v>
      </c>
      <c r="E427" t="s">
        <v>25</v>
      </c>
      <c r="F427" t="s">
        <v>2352</v>
      </c>
      <c r="G427" t="s">
        <v>2353</v>
      </c>
      <c r="H427">
        <v>1</v>
      </c>
      <c r="I427" t="s">
        <v>27</v>
      </c>
      <c r="J427" t="s">
        <v>2354</v>
      </c>
      <c r="K427">
        <v>367.19</v>
      </c>
      <c r="L427">
        <v>3</v>
      </c>
      <c r="M427">
        <v>49</v>
      </c>
      <c r="N427" t="s">
        <v>45</v>
      </c>
      <c r="O427" t="s">
        <v>128</v>
      </c>
      <c r="P427" t="s">
        <v>54</v>
      </c>
      <c r="Q427" t="s">
        <v>69</v>
      </c>
    </row>
    <row r="428" spans="1:17" x14ac:dyDescent="0.3">
      <c r="A428" t="s">
        <v>2356</v>
      </c>
      <c r="B428" t="s">
        <v>2357</v>
      </c>
      <c r="C428">
        <v>27</v>
      </c>
      <c r="D428" t="s">
        <v>2358</v>
      </c>
      <c r="E428" t="s">
        <v>95</v>
      </c>
      <c r="F428" s="86">
        <v>45143</v>
      </c>
      <c r="G428" t="s">
        <v>1546</v>
      </c>
      <c r="H428">
        <v>4</v>
      </c>
      <c r="I428" t="s">
        <v>64</v>
      </c>
      <c r="J428" s="86">
        <v>45604</v>
      </c>
      <c r="K428">
        <v>174.1</v>
      </c>
      <c r="L428">
        <v>7</v>
      </c>
      <c r="M428">
        <v>40</v>
      </c>
      <c r="N428" t="s">
        <v>45</v>
      </c>
      <c r="O428" t="s">
        <v>269</v>
      </c>
      <c r="P428" t="s">
        <v>56</v>
      </c>
      <c r="Q428" t="s">
        <v>32</v>
      </c>
    </row>
    <row r="429" spans="1:17" x14ac:dyDescent="0.3">
      <c r="A429" t="s">
        <v>2360</v>
      </c>
      <c r="B429" t="s">
        <v>2361</v>
      </c>
      <c r="C429">
        <v>35</v>
      </c>
      <c r="D429" t="s">
        <v>2362</v>
      </c>
      <c r="E429" t="s">
        <v>40</v>
      </c>
      <c r="F429" s="86">
        <v>44872</v>
      </c>
      <c r="G429" t="s">
        <v>2363</v>
      </c>
      <c r="H429">
        <v>3</v>
      </c>
      <c r="I429" t="s">
        <v>52</v>
      </c>
      <c r="J429" t="s">
        <v>1801</v>
      </c>
      <c r="K429">
        <v>208.23</v>
      </c>
      <c r="L429">
        <v>7</v>
      </c>
      <c r="M429">
        <v>3</v>
      </c>
      <c r="N429" t="s">
        <v>45</v>
      </c>
      <c r="O429" t="s">
        <v>245</v>
      </c>
      <c r="P429" t="s">
        <v>54</v>
      </c>
      <c r="Q429" t="s">
        <v>32</v>
      </c>
    </row>
    <row r="430" spans="1:17" x14ac:dyDescent="0.3">
      <c r="A430" t="s">
        <v>2365</v>
      </c>
      <c r="B430" t="s">
        <v>2366</v>
      </c>
      <c r="C430">
        <v>19</v>
      </c>
      <c r="D430" t="s">
        <v>2367</v>
      </c>
      <c r="E430" t="s">
        <v>40</v>
      </c>
      <c r="F430" s="86">
        <v>44658</v>
      </c>
      <c r="G430" t="s">
        <v>2368</v>
      </c>
      <c r="H430">
        <v>2</v>
      </c>
      <c r="I430" t="s">
        <v>27</v>
      </c>
      <c r="J430" t="s">
        <v>2369</v>
      </c>
      <c r="K430">
        <v>106.21</v>
      </c>
      <c r="L430">
        <v>8</v>
      </c>
      <c r="M430">
        <v>40</v>
      </c>
      <c r="N430" t="s">
        <v>68</v>
      </c>
      <c r="O430" t="s">
        <v>67</v>
      </c>
      <c r="P430" t="s">
        <v>68</v>
      </c>
      <c r="Q430" t="s">
        <v>69</v>
      </c>
    </row>
    <row r="431" spans="1:17" x14ac:dyDescent="0.3">
      <c r="A431" t="s">
        <v>2371</v>
      </c>
      <c r="B431" t="s">
        <v>2372</v>
      </c>
      <c r="C431">
        <v>54</v>
      </c>
      <c r="D431" t="s">
        <v>2373</v>
      </c>
      <c r="E431" t="s">
        <v>88</v>
      </c>
      <c r="F431" s="86">
        <v>45081</v>
      </c>
      <c r="G431" s="86">
        <v>45566</v>
      </c>
      <c r="H431">
        <v>5</v>
      </c>
      <c r="I431" t="s">
        <v>52</v>
      </c>
      <c r="J431" t="s">
        <v>2374</v>
      </c>
      <c r="K431">
        <v>93.51</v>
      </c>
      <c r="L431">
        <v>9</v>
      </c>
      <c r="M431">
        <v>19</v>
      </c>
      <c r="N431" t="s">
        <v>68</v>
      </c>
      <c r="O431" t="s">
        <v>610</v>
      </c>
      <c r="P431" t="s">
        <v>68</v>
      </c>
      <c r="Q431" t="s">
        <v>32</v>
      </c>
    </row>
    <row r="432" spans="1:17" x14ac:dyDescent="0.3">
      <c r="A432" t="s">
        <v>2376</v>
      </c>
      <c r="B432" t="s">
        <v>2377</v>
      </c>
      <c r="C432">
        <v>57</v>
      </c>
      <c r="D432" t="s">
        <v>2378</v>
      </c>
      <c r="E432" t="s">
        <v>61</v>
      </c>
      <c r="F432" t="s">
        <v>2379</v>
      </c>
      <c r="G432" t="s">
        <v>303</v>
      </c>
      <c r="H432">
        <v>0</v>
      </c>
      <c r="I432" t="s">
        <v>52</v>
      </c>
      <c r="J432" t="s">
        <v>2066</v>
      </c>
      <c r="K432">
        <v>409.61</v>
      </c>
      <c r="L432">
        <v>3</v>
      </c>
      <c r="M432">
        <v>41</v>
      </c>
      <c r="N432" t="s">
        <v>45</v>
      </c>
      <c r="O432" t="s">
        <v>251</v>
      </c>
      <c r="P432" t="s">
        <v>30</v>
      </c>
      <c r="Q432" t="s">
        <v>32</v>
      </c>
    </row>
    <row r="433" spans="1:17" x14ac:dyDescent="0.3">
      <c r="A433" t="s">
        <v>2381</v>
      </c>
      <c r="B433" t="s">
        <v>2382</v>
      </c>
      <c r="C433">
        <v>41</v>
      </c>
      <c r="D433" t="s">
        <v>2383</v>
      </c>
      <c r="E433" t="s">
        <v>95</v>
      </c>
      <c r="F433" t="s">
        <v>917</v>
      </c>
      <c r="G433" t="s">
        <v>2353</v>
      </c>
      <c r="H433">
        <v>5</v>
      </c>
      <c r="I433" t="s">
        <v>27</v>
      </c>
      <c r="J433" s="86">
        <v>44929</v>
      </c>
      <c r="K433">
        <v>397.5</v>
      </c>
      <c r="L433">
        <v>2</v>
      </c>
      <c r="M433">
        <v>23</v>
      </c>
      <c r="N433" t="s">
        <v>30</v>
      </c>
      <c r="O433" t="s">
        <v>610</v>
      </c>
      <c r="P433" t="s">
        <v>68</v>
      </c>
      <c r="Q433" t="s">
        <v>32</v>
      </c>
    </row>
    <row r="434" spans="1:17" x14ac:dyDescent="0.3">
      <c r="A434" t="s">
        <v>2385</v>
      </c>
      <c r="B434" t="s">
        <v>2386</v>
      </c>
      <c r="C434">
        <v>25</v>
      </c>
      <c r="D434" t="s">
        <v>2387</v>
      </c>
      <c r="E434" t="s">
        <v>61</v>
      </c>
      <c r="F434" t="s">
        <v>2388</v>
      </c>
      <c r="G434" s="86">
        <v>45113</v>
      </c>
      <c r="H434">
        <v>4</v>
      </c>
      <c r="I434" t="s">
        <v>52</v>
      </c>
      <c r="J434" s="86">
        <v>45630</v>
      </c>
      <c r="K434">
        <v>65.33</v>
      </c>
      <c r="L434">
        <v>6</v>
      </c>
      <c r="M434">
        <v>15</v>
      </c>
      <c r="N434" t="s">
        <v>54</v>
      </c>
      <c r="O434" t="s">
        <v>269</v>
      </c>
      <c r="P434" t="s">
        <v>56</v>
      </c>
      <c r="Q434" t="s">
        <v>69</v>
      </c>
    </row>
    <row r="435" spans="1:17" x14ac:dyDescent="0.3">
      <c r="A435" t="s">
        <v>2390</v>
      </c>
      <c r="B435" t="s">
        <v>2391</v>
      </c>
      <c r="C435">
        <v>48</v>
      </c>
      <c r="D435" t="s">
        <v>2392</v>
      </c>
      <c r="E435" t="s">
        <v>51</v>
      </c>
      <c r="F435" s="86">
        <v>44774</v>
      </c>
      <c r="G435" s="86">
        <v>44632</v>
      </c>
      <c r="H435">
        <v>3</v>
      </c>
      <c r="I435" t="s">
        <v>27</v>
      </c>
      <c r="J435" t="s">
        <v>2035</v>
      </c>
      <c r="K435">
        <v>83.72</v>
      </c>
      <c r="L435">
        <v>5</v>
      </c>
      <c r="M435">
        <v>40</v>
      </c>
      <c r="N435" t="s">
        <v>54</v>
      </c>
      <c r="O435" t="s">
        <v>122</v>
      </c>
      <c r="P435" t="s">
        <v>30</v>
      </c>
      <c r="Q435" t="s">
        <v>32</v>
      </c>
    </row>
    <row r="436" spans="1:17" x14ac:dyDescent="0.3">
      <c r="A436" t="s">
        <v>2394</v>
      </c>
      <c r="B436" t="s">
        <v>2395</v>
      </c>
      <c r="C436">
        <v>43</v>
      </c>
      <c r="D436" t="s">
        <v>2396</v>
      </c>
      <c r="E436" t="s">
        <v>88</v>
      </c>
      <c r="F436" t="s">
        <v>1452</v>
      </c>
      <c r="G436" t="s">
        <v>2397</v>
      </c>
      <c r="H436">
        <v>0</v>
      </c>
      <c r="I436" t="s">
        <v>52</v>
      </c>
      <c r="J436" s="86">
        <v>45658</v>
      </c>
      <c r="K436">
        <v>368.73</v>
      </c>
      <c r="L436">
        <v>3</v>
      </c>
      <c r="M436">
        <v>5</v>
      </c>
      <c r="N436" t="s">
        <v>30</v>
      </c>
      <c r="O436" t="s">
        <v>597</v>
      </c>
      <c r="P436" t="s">
        <v>45</v>
      </c>
      <c r="Q436" t="s">
        <v>69</v>
      </c>
    </row>
    <row r="437" spans="1:17" x14ac:dyDescent="0.3">
      <c r="A437" t="s">
        <v>2399</v>
      </c>
      <c r="B437" t="s">
        <v>2400</v>
      </c>
      <c r="C437">
        <v>54</v>
      </c>
      <c r="D437" t="s">
        <v>2401</v>
      </c>
      <c r="E437" t="s">
        <v>88</v>
      </c>
      <c r="F437" t="s">
        <v>2402</v>
      </c>
      <c r="G437" t="s">
        <v>2403</v>
      </c>
      <c r="H437">
        <v>5</v>
      </c>
      <c r="I437" t="s">
        <v>64</v>
      </c>
      <c r="J437" t="s">
        <v>96</v>
      </c>
      <c r="K437">
        <v>148.77000000000001</v>
      </c>
      <c r="L437">
        <v>9</v>
      </c>
      <c r="M437">
        <v>48</v>
      </c>
      <c r="N437" t="s">
        <v>68</v>
      </c>
      <c r="O437" t="s">
        <v>175</v>
      </c>
      <c r="P437" t="s">
        <v>56</v>
      </c>
      <c r="Q437" t="s">
        <v>69</v>
      </c>
    </row>
    <row r="438" spans="1:17" x14ac:dyDescent="0.3">
      <c r="A438" t="s">
        <v>2405</v>
      </c>
      <c r="B438" t="s">
        <v>2406</v>
      </c>
      <c r="C438">
        <v>50</v>
      </c>
      <c r="D438" t="s">
        <v>2407</v>
      </c>
      <c r="E438" t="s">
        <v>51</v>
      </c>
      <c r="F438" t="s">
        <v>2408</v>
      </c>
      <c r="G438" s="86">
        <v>45326</v>
      </c>
      <c r="H438">
        <v>1</v>
      </c>
      <c r="I438" t="s">
        <v>27</v>
      </c>
      <c r="J438" s="86">
        <v>45019</v>
      </c>
      <c r="K438">
        <v>302.58</v>
      </c>
      <c r="L438">
        <v>6</v>
      </c>
      <c r="M438">
        <v>37</v>
      </c>
      <c r="N438" t="s">
        <v>68</v>
      </c>
      <c r="O438" t="s">
        <v>821</v>
      </c>
      <c r="P438" t="s">
        <v>68</v>
      </c>
      <c r="Q438" t="s">
        <v>69</v>
      </c>
    </row>
    <row r="439" spans="1:17" x14ac:dyDescent="0.3">
      <c r="A439" t="s">
        <v>2410</v>
      </c>
      <c r="B439" t="s">
        <v>2411</v>
      </c>
      <c r="C439">
        <v>54</v>
      </c>
      <c r="D439" t="s">
        <v>2412</v>
      </c>
      <c r="E439" t="s">
        <v>51</v>
      </c>
      <c r="F439" s="86">
        <v>44624</v>
      </c>
      <c r="G439" s="86">
        <v>45572</v>
      </c>
      <c r="H439">
        <v>0</v>
      </c>
      <c r="I439" t="s">
        <v>27</v>
      </c>
      <c r="J439" t="s">
        <v>2236</v>
      </c>
      <c r="K439">
        <v>34.76</v>
      </c>
      <c r="L439">
        <v>8</v>
      </c>
      <c r="M439">
        <v>13</v>
      </c>
      <c r="N439" t="s">
        <v>68</v>
      </c>
      <c r="O439" t="s">
        <v>837</v>
      </c>
      <c r="P439" t="s">
        <v>56</v>
      </c>
      <c r="Q439" t="s">
        <v>32</v>
      </c>
    </row>
    <row r="440" spans="1:17" x14ac:dyDescent="0.3">
      <c r="A440" t="s">
        <v>2414</v>
      </c>
      <c r="B440" t="s">
        <v>2415</v>
      </c>
      <c r="C440">
        <v>59</v>
      </c>
      <c r="D440" t="s">
        <v>2416</v>
      </c>
      <c r="E440" t="s">
        <v>51</v>
      </c>
      <c r="F440" t="s">
        <v>1063</v>
      </c>
      <c r="G440" s="86">
        <v>45415</v>
      </c>
      <c r="H440">
        <v>3</v>
      </c>
      <c r="I440" t="s">
        <v>52</v>
      </c>
      <c r="J440" t="s">
        <v>1174</v>
      </c>
      <c r="K440">
        <v>347.58</v>
      </c>
      <c r="L440">
        <v>4</v>
      </c>
      <c r="M440">
        <v>11</v>
      </c>
      <c r="N440" t="s">
        <v>68</v>
      </c>
      <c r="O440" t="s">
        <v>610</v>
      </c>
      <c r="P440" t="s">
        <v>68</v>
      </c>
      <c r="Q440" t="s">
        <v>322</v>
      </c>
    </row>
    <row r="441" spans="1:17" x14ac:dyDescent="0.3">
      <c r="A441" t="s">
        <v>2418</v>
      </c>
      <c r="B441" t="s">
        <v>2419</v>
      </c>
      <c r="C441">
        <v>32</v>
      </c>
      <c r="D441" t="s">
        <v>2420</v>
      </c>
      <c r="E441" t="s">
        <v>40</v>
      </c>
      <c r="F441" t="s">
        <v>1386</v>
      </c>
      <c r="G441" t="s">
        <v>2072</v>
      </c>
      <c r="H441">
        <v>1</v>
      </c>
      <c r="I441" t="s">
        <v>27</v>
      </c>
      <c r="J441" t="s">
        <v>2421</v>
      </c>
      <c r="K441">
        <v>43.74</v>
      </c>
      <c r="L441">
        <v>4</v>
      </c>
      <c r="M441">
        <v>31</v>
      </c>
      <c r="N441" t="s">
        <v>45</v>
      </c>
      <c r="O441" t="s">
        <v>604</v>
      </c>
      <c r="P441" t="s">
        <v>45</v>
      </c>
      <c r="Q441" t="s">
        <v>69</v>
      </c>
    </row>
    <row r="442" spans="1:17" x14ac:dyDescent="0.3">
      <c r="A442" t="s">
        <v>2423</v>
      </c>
      <c r="B442" t="s">
        <v>2424</v>
      </c>
      <c r="C442">
        <v>34</v>
      </c>
      <c r="D442" t="s">
        <v>2425</v>
      </c>
      <c r="E442" t="s">
        <v>40</v>
      </c>
      <c r="F442" t="s">
        <v>1375</v>
      </c>
      <c r="G442" s="86">
        <v>45992</v>
      </c>
      <c r="H442">
        <v>5</v>
      </c>
      <c r="I442" t="s">
        <v>27</v>
      </c>
      <c r="J442" s="86">
        <v>45394</v>
      </c>
      <c r="K442">
        <v>123.64</v>
      </c>
      <c r="L442">
        <v>1</v>
      </c>
      <c r="M442">
        <v>36</v>
      </c>
      <c r="N442" t="s">
        <v>45</v>
      </c>
      <c r="O442" t="s">
        <v>837</v>
      </c>
      <c r="P442" t="s">
        <v>56</v>
      </c>
      <c r="Q442" t="s">
        <v>32</v>
      </c>
    </row>
    <row r="443" spans="1:17" x14ac:dyDescent="0.3">
      <c r="A443" t="s">
        <v>2427</v>
      </c>
      <c r="B443" t="s">
        <v>2428</v>
      </c>
      <c r="C443">
        <v>67</v>
      </c>
      <c r="D443" t="s">
        <v>2429</v>
      </c>
      <c r="E443" t="s">
        <v>61</v>
      </c>
      <c r="F443" t="s">
        <v>2430</v>
      </c>
      <c r="G443" t="s">
        <v>1063</v>
      </c>
      <c r="H443">
        <v>1</v>
      </c>
      <c r="I443" t="s">
        <v>27</v>
      </c>
      <c r="J443" t="s">
        <v>2431</v>
      </c>
      <c r="K443">
        <v>96.8</v>
      </c>
      <c r="L443">
        <v>6</v>
      </c>
      <c r="M443">
        <v>18</v>
      </c>
      <c r="N443" t="s">
        <v>68</v>
      </c>
      <c r="O443" t="s">
        <v>128</v>
      </c>
      <c r="P443" t="s">
        <v>54</v>
      </c>
      <c r="Q443" t="s">
        <v>69</v>
      </c>
    </row>
    <row r="444" spans="1:17" x14ac:dyDescent="0.3">
      <c r="A444" t="s">
        <v>2433</v>
      </c>
      <c r="B444" t="s">
        <v>2434</v>
      </c>
      <c r="C444">
        <v>67</v>
      </c>
      <c r="D444" t="s">
        <v>2435</v>
      </c>
      <c r="E444" t="s">
        <v>51</v>
      </c>
      <c r="F444" t="s">
        <v>2436</v>
      </c>
      <c r="G444" s="86">
        <v>45902</v>
      </c>
      <c r="H444">
        <v>2</v>
      </c>
      <c r="I444" t="s">
        <v>27</v>
      </c>
      <c r="J444" s="86">
        <v>45081</v>
      </c>
      <c r="K444">
        <v>64.180000000000007</v>
      </c>
      <c r="L444">
        <v>3</v>
      </c>
      <c r="M444">
        <v>10</v>
      </c>
      <c r="N444" t="s">
        <v>56</v>
      </c>
      <c r="O444" t="s">
        <v>128</v>
      </c>
      <c r="P444" t="s">
        <v>54</v>
      </c>
      <c r="Q444" t="s">
        <v>32</v>
      </c>
    </row>
    <row r="445" spans="1:17" x14ac:dyDescent="0.3">
      <c r="A445" t="s">
        <v>2438</v>
      </c>
      <c r="B445" t="s">
        <v>2439</v>
      </c>
      <c r="C445">
        <v>39</v>
      </c>
      <c r="D445" t="s">
        <v>2440</v>
      </c>
      <c r="E445" t="s">
        <v>95</v>
      </c>
      <c r="F445" s="86">
        <v>44931</v>
      </c>
      <c r="G445" t="s">
        <v>1243</v>
      </c>
      <c r="H445">
        <v>2</v>
      </c>
      <c r="I445" t="s">
        <v>27</v>
      </c>
      <c r="J445" t="s">
        <v>2441</v>
      </c>
      <c r="K445">
        <v>1409.68</v>
      </c>
      <c r="L445">
        <v>1</v>
      </c>
      <c r="M445">
        <v>20</v>
      </c>
      <c r="N445" t="s">
        <v>68</v>
      </c>
      <c r="O445" t="s">
        <v>425</v>
      </c>
      <c r="P445" t="s">
        <v>30</v>
      </c>
      <c r="Q445" t="s">
        <v>32</v>
      </c>
    </row>
    <row r="446" spans="1:17" x14ac:dyDescent="0.3">
      <c r="A446" t="s">
        <v>2443</v>
      </c>
      <c r="B446" t="s">
        <v>2444</v>
      </c>
      <c r="C446">
        <v>31</v>
      </c>
      <c r="D446" t="s">
        <v>2445</v>
      </c>
      <c r="E446" t="s">
        <v>61</v>
      </c>
      <c r="F446" s="86">
        <v>44988</v>
      </c>
      <c r="G446" s="86">
        <v>45931</v>
      </c>
      <c r="H446">
        <v>5</v>
      </c>
      <c r="I446" t="s">
        <v>27</v>
      </c>
      <c r="J446" t="s">
        <v>2446</v>
      </c>
      <c r="K446">
        <v>276.06</v>
      </c>
      <c r="L446">
        <v>6</v>
      </c>
      <c r="M446">
        <v>19</v>
      </c>
      <c r="N446" t="s">
        <v>45</v>
      </c>
      <c r="O446" t="s">
        <v>238</v>
      </c>
      <c r="P446" t="s">
        <v>45</v>
      </c>
      <c r="Q446" t="s">
        <v>69</v>
      </c>
    </row>
    <row r="447" spans="1:17" x14ac:dyDescent="0.3">
      <c r="A447" t="s">
        <v>2448</v>
      </c>
      <c r="B447" t="s">
        <v>2449</v>
      </c>
      <c r="C447">
        <v>56</v>
      </c>
      <c r="D447" t="s">
        <v>2450</v>
      </c>
      <c r="E447" t="s">
        <v>95</v>
      </c>
      <c r="F447" t="s">
        <v>1572</v>
      </c>
      <c r="G447" s="86">
        <v>45478</v>
      </c>
      <c r="H447">
        <v>0</v>
      </c>
      <c r="I447" t="s">
        <v>27</v>
      </c>
      <c r="J447" s="86">
        <v>45238</v>
      </c>
      <c r="K447">
        <v>104.88</v>
      </c>
      <c r="L447">
        <v>8</v>
      </c>
      <c r="M447">
        <v>49</v>
      </c>
      <c r="N447" t="s">
        <v>30</v>
      </c>
      <c r="O447" t="s">
        <v>116</v>
      </c>
      <c r="P447" t="s">
        <v>54</v>
      </c>
      <c r="Q447" t="s">
        <v>69</v>
      </c>
    </row>
    <row r="448" spans="1:17" x14ac:dyDescent="0.3">
      <c r="A448" t="s">
        <v>2452</v>
      </c>
      <c r="B448" t="s">
        <v>2453</v>
      </c>
      <c r="C448">
        <v>39</v>
      </c>
      <c r="D448" t="s">
        <v>2454</v>
      </c>
      <c r="E448" t="s">
        <v>51</v>
      </c>
      <c r="F448" s="86">
        <v>44934</v>
      </c>
      <c r="G448" s="86">
        <v>45116</v>
      </c>
      <c r="H448">
        <v>0</v>
      </c>
      <c r="I448" t="s">
        <v>52</v>
      </c>
      <c r="J448" t="s">
        <v>2455</v>
      </c>
      <c r="K448">
        <v>552.26</v>
      </c>
      <c r="L448">
        <v>1</v>
      </c>
      <c r="M448">
        <v>18</v>
      </c>
      <c r="N448" t="s">
        <v>68</v>
      </c>
      <c r="O448" t="s">
        <v>116</v>
      </c>
      <c r="P448" t="s">
        <v>54</v>
      </c>
      <c r="Q448" t="s">
        <v>32</v>
      </c>
    </row>
    <row r="449" spans="1:17" x14ac:dyDescent="0.3">
      <c r="A449" t="s">
        <v>2457</v>
      </c>
      <c r="B449" t="s">
        <v>2458</v>
      </c>
      <c r="C449">
        <v>61</v>
      </c>
      <c r="D449" t="s">
        <v>2459</v>
      </c>
      <c r="E449" t="s">
        <v>51</v>
      </c>
      <c r="F449" s="86">
        <v>44840</v>
      </c>
      <c r="G449" t="s">
        <v>711</v>
      </c>
      <c r="H449">
        <v>0</v>
      </c>
      <c r="I449" t="s">
        <v>27</v>
      </c>
      <c r="J449" s="86">
        <v>45172</v>
      </c>
      <c r="K449">
        <v>1510.04</v>
      </c>
      <c r="L449">
        <v>1</v>
      </c>
      <c r="M449">
        <v>30</v>
      </c>
      <c r="N449" t="s">
        <v>45</v>
      </c>
      <c r="O449" t="s">
        <v>293</v>
      </c>
      <c r="P449" t="s">
        <v>45</v>
      </c>
      <c r="Q449" t="s">
        <v>32</v>
      </c>
    </row>
    <row r="450" spans="1:17" x14ac:dyDescent="0.3">
      <c r="A450" t="s">
        <v>2461</v>
      </c>
      <c r="B450" t="s">
        <v>2462</v>
      </c>
      <c r="C450">
        <v>29</v>
      </c>
      <c r="D450" t="s">
        <v>2463</v>
      </c>
      <c r="E450" t="s">
        <v>88</v>
      </c>
      <c r="F450" t="s">
        <v>2464</v>
      </c>
      <c r="G450" s="86">
        <v>45454</v>
      </c>
      <c r="H450">
        <v>5</v>
      </c>
      <c r="I450" t="s">
        <v>27</v>
      </c>
      <c r="J450" t="s">
        <v>1143</v>
      </c>
      <c r="K450">
        <v>300.19</v>
      </c>
      <c r="L450">
        <v>3</v>
      </c>
      <c r="M450">
        <v>4</v>
      </c>
      <c r="N450" t="s">
        <v>30</v>
      </c>
      <c r="O450" t="s">
        <v>77</v>
      </c>
      <c r="P450" t="s">
        <v>54</v>
      </c>
      <c r="Q450" t="s">
        <v>32</v>
      </c>
    </row>
    <row r="451" spans="1:17" x14ac:dyDescent="0.3">
      <c r="A451" t="s">
        <v>2466</v>
      </c>
      <c r="B451" t="s">
        <v>2467</v>
      </c>
      <c r="C451">
        <v>38</v>
      </c>
      <c r="D451" t="s">
        <v>2468</v>
      </c>
      <c r="E451" t="s">
        <v>95</v>
      </c>
      <c r="F451" t="s">
        <v>2469</v>
      </c>
      <c r="G451" s="86">
        <v>45569</v>
      </c>
      <c r="H451">
        <v>3</v>
      </c>
      <c r="I451" t="s">
        <v>64</v>
      </c>
      <c r="J451" t="s">
        <v>2470</v>
      </c>
      <c r="K451">
        <v>90.89</v>
      </c>
      <c r="L451">
        <v>9</v>
      </c>
      <c r="M451">
        <v>32</v>
      </c>
      <c r="N451" t="s">
        <v>54</v>
      </c>
      <c r="O451" t="s">
        <v>169</v>
      </c>
      <c r="P451" t="s">
        <v>30</v>
      </c>
      <c r="Q451" t="s">
        <v>69</v>
      </c>
    </row>
    <row r="452" spans="1:17" x14ac:dyDescent="0.3">
      <c r="A452" t="s">
        <v>2472</v>
      </c>
      <c r="B452" t="s">
        <v>2473</v>
      </c>
      <c r="C452">
        <v>34</v>
      </c>
      <c r="D452" t="s">
        <v>2474</v>
      </c>
      <c r="E452" t="s">
        <v>88</v>
      </c>
      <c r="F452" s="86">
        <v>44719</v>
      </c>
      <c r="G452" s="86">
        <v>44905</v>
      </c>
      <c r="H452">
        <v>0</v>
      </c>
      <c r="I452" t="s">
        <v>27</v>
      </c>
      <c r="J452" t="s">
        <v>1283</v>
      </c>
      <c r="K452">
        <v>260.14999999999998</v>
      </c>
      <c r="L452">
        <v>1</v>
      </c>
      <c r="M452">
        <v>45</v>
      </c>
      <c r="N452" t="s">
        <v>56</v>
      </c>
      <c r="O452" t="s">
        <v>418</v>
      </c>
      <c r="P452" t="s">
        <v>56</v>
      </c>
      <c r="Q452" t="s">
        <v>69</v>
      </c>
    </row>
    <row r="453" spans="1:17" x14ac:dyDescent="0.3">
      <c r="A453" t="s">
        <v>2476</v>
      </c>
      <c r="B453" t="s">
        <v>2477</v>
      </c>
      <c r="C453">
        <v>25</v>
      </c>
      <c r="D453" t="s">
        <v>2478</v>
      </c>
      <c r="E453" t="s">
        <v>51</v>
      </c>
      <c r="F453" s="86">
        <v>45266</v>
      </c>
      <c r="G453" t="s">
        <v>2479</v>
      </c>
      <c r="H453">
        <v>1</v>
      </c>
      <c r="I453" t="s">
        <v>27</v>
      </c>
      <c r="J453" t="s">
        <v>956</v>
      </c>
      <c r="K453">
        <v>38.72</v>
      </c>
      <c r="L453">
        <v>8</v>
      </c>
      <c r="M453">
        <v>32</v>
      </c>
      <c r="N453" t="s">
        <v>54</v>
      </c>
      <c r="O453" t="s">
        <v>821</v>
      </c>
      <c r="P453" t="s">
        <v>68</v>
      </c>
      <c r="Q453" t="s">
        <v>69</v>
      </c>
    </row>
    <row r="454" spans="1:17" x14ac:dyDescent="0.3">
      <c r="A454" t="s">
        <v>2481</v>
      </c>
      <c r="B454" t="s">
        <v>2482</v>
      </c>
      <c r="C454">
        <v>22</v>
      </c>
      <c r="D454" t="s">
        <v>2483</v>
      </c>
      <c r="E454" t="s">
        <v>61</v>
      </c>
      <c r="F454" t="s">
        <v>2484</v>
      </c>
      <c r="G454" t="s">
        <v>2485</v>
      </c>
      <c r="H454">
        <v>4</v>
      </c>
      <c r="I454" t="s">
        <v>64</v>
      </c>
      <c r="J454" t="s">
        <v>2486</v>
      </c>
      <c r="K454">
        <v>178.02</v>
      </c>
      <c r="L454">
        <v>6</v>
      </c>
      <c r="M454">
        <v>48</v>
      </c>
      <c r="N454" t="s">
        <v>56</v>
      </c>
      <c r="O454" t="s">
        <v>597</v>
      </c>
      <c r="P454" t="s">
        <v>45</v>
      </c>
      <c r="Q454" t="s">
        <v>69</v>
      </c>
    </row>
    <row r="455" spans="1:17" x14ac:dyDescent="0.3">
      <c r="A455" t="s">
        <v>2488</v>
      </c>
      <c r="B455" t="s">
        <v>2489</v>
      </c>
      <c r="C455">
        <v>44</v>
      </c>
      <c r="D455" t="s">
        <v>2490</v>
      </c>
      <c r="E455" t="s">
        <v>88</v>
      </c>
      <c r="F455" s="86">
        <v>44661</v>
      </c>
      <c r="G455" s="86">
        <v>45603</v>
      </c>
      <c r="H455">
        <v>4</v>
      </c>
      <c r="I455" t="s">
        <v>64</v>
      </c>
      <c r="J455" t="s">
        <v>2353</v>
      </c>
      <c r="K455">
        <v>388.51</v>
      </c>
      <c r="L455">
        <v>2</v>
      </c>
      <c r="M455">
        <v>32</v>
      </c>
      <c r="N455" t="s">
        <v>68</v>
      </c>
      <c r="O455" t="s">
        <v>122</v>
      </c>
      <c r="P455" t="s">
        <v>30</v>
      </c>
      <c r="Q455" t="s">
        <v>32</v>
      </c>
    </row>
    <row r="456" spans="1:17" x14ac:dyDescent="0.3">
      <c r="A456" t="s">
        <v>2492</v>
      </c>
      <c r="B456" t="s">
        <v>2493</v>
      </c>
      <c r="C456">
        <v>45</v>
      </c>
      <c r="D456" t="s">
        <v>2494</v>
      </c>
      <c r="E456" t="s">
        <v>51</v>
      </c>
      <c r="F456" s="86">
        <v>44928</v>
      </c>
      <c r="G456" t="s">
        <v>1355</v>
      </c>
      <c r="H456">
        <v>2</v>
      </c>
      <c r="I456" t="s">
        <v>52</v>
      </c>
      <c r="J456" s="86">
        <v>45846</v>
      </c>
      <c r="K456">
        <v>191.94</v>
      </c>
      <c r="L456">
        <v>9</v>
      </c>
      <c r="M456">
        <v>40</v>
      </c>
      <c r="N456" t="s">
        <v>56</v>
      </c>
      <c r="O456" t="s">
        <v>293</v>
      </c>
      <c r="P456" t="s">
        <v>45</v>
      </c>
      <c r="Q456" t="s">
        <v>32</v>
      </c>
    </row>
    <row r="457" spans="1:17" x14ac:dyDescent="0.3">
      <c r="A457" t="s">
        <v>2496</v>
      </c>
      <c r="B457" t="s">
        <v>2497</v>
      </c>
      <c r="C457">
        <v>65</v>
      </c>
      <c r="D457" t="s">
        <v>2498</v>
      </c>
      <c r="E457" t="s">
        <v>61</v>
      </c>
      <c r="F457" t="s">
        <v>640</v>
      </c>
      <c r="G457" s="86">
        <v>45422</v>
      </c>
      <c r="H457">
        <v>4</v>
      </c>
      <c r="I457" t="s">
        <v>27</v>
      </c>
      <c r="J457" t="s">
        <v>2499</v>
      </c>
      <c r="K457">
        <v>48.2</v>
      </c>
      <c r="L457">
        <v>9</v>
      </c>
      <c r="M457">
        <v>32</v>
      </c>
      <c r="N457" t="s">
        <v>54</v>
      </c>
      <c r="O457" t="s">
        <v>269</v>
      </c>
      <c r="P457" t="s">
        <v>56</v>
      </c>
      <c r="Q457" t="s">
        <v>32</v>
      </c>
    </row>
    <row r="458" spans="1:17" x14ac:dyDescent="0.3">
      <c r="A458" t="s">
        <v>2501</v>
      </c>
      <c r="B458" t="s">
        <v>2502</v>
      </c>
      <c r="C458">
        <v>64</v>
      </c>
      <c r="D458" t="s">
        <v>2503</v>
      </c>
      <c r="E458" t="s">
        <v>61</v>
      </c>
      <c r="F458" t="s">
        <v>409</v>
      </c>
      <c r="G458" s="86">
        <v>45600</v>
      </c>
      <c r="H458">
        <v>2</v>
      </c>
      <c r="I458" t="s">
        <v>27</v>
      </c>
      <c r="J458" t="s">
        <v>712</v>
      </c>
      <c r="K458">
        <v>25.98</v>
      </c>
      <c r="L458">
        <v>6</v>
      </c>
      <c r="M458">
        <v>44</v>
      </c>
      <c r="N458" t="s">
        <v>56</v>
      </c>
      <c r="O458" t="s">
        <v>604</v>
      </c>
      <c r="P458" t="s">
        <v>45</v>
      </c>
      <c r="Q458" t="s">
        <v>32</v>
      </c>
    </row>
    <row r="459" spans="1:17" x14ac:dyDescent="0.3">
      <c r="A459" t="s">
        <v>2505</v>
      </c>
      <c r="B459" t="s">
        <v>2506</v>
      </c>
      <c r="C459">
        <v>52</v>
      </c>
      <c r="D459" t="s">
        <v>2507</v>
      </c>
      <c r="E459" t="s">
        <v>40</v>
      </c>
      <c r="F459" s="86">
        <v>44657</v>
      </c>
      <c r="G459" s="86">
        <v>45571</v>
      </c>
      <c r="H459">
        <v>2</v>
      </c>
      <c r="I459" t="s">
        <v>27</v>
      </c>
      <c r="J459" t="s">
        <v>1918</v>
      </c>
      <c r="K459">
        <v>391.53</v>
      </c>
      <c r="L459">
        <v>3</v>
      </c>
      <c r="M459">
        <v>2</v>
      </c>
      <c r="N459" t="s">
        <v>45</v>
      </c>
      <c r="O459" t="s">
        <v>109</v>
      </c>
      <c r="P459" t="s">
        <v>68</v>
      </c>
      <c r="Q459" t="s">
        <v>69</v>
      </c>
    </row>
    <row r="460" spans="1:17" x14ac:dyDescent="0.3">
      <c r="A460" t="s">
        <v>2509</v>
      </c>
      <c r="B460" t="s">
        <v>2510</v>
      </c>
      <c r="C460">
        <v>25</v>
      </c>
      <c r="D460" t="s">
        <v>2511</v>
      </c>
      <c r="E460" t="s">
        <v>51</v>
      </c>
      <c r="F460" t="s">
        <v>1026</v>
      </c>
      <c r="G460" t="s">
        <v>2512</v>
      </c>
      <c r="H460">
        <v>1</v>
      </c>
      <c r="I460" t="s">
        <v>27</v>
      </c>
      <c r="J460" s="86">
        <v>45570</v>
      </c>
      <c r="K460">
        <v>455.29</v>
      </c>
      <c r="L460">
        <v>3</v>
      </c>
      <c r="M460">
        <v>41</v>
      </c>
      <c r="N460" t="s">
        <v>68</v>
      </c>
      <c r="O460" t="s">
        <v>122</v>
      </c>
      <c r="P460" t="s">
        <v>30</v>
      </c>
      <c r="Q460" t="s">
        <v>32</v>
      </c>
    </row>
    <row r="461" spans="1:17" x14ac:dyDescent="0.3">
      <c r="A461" t="s">
        <v>2514</v>
      </c>
      <c r="B461" t="s">
        <v>2515</v>
      </c>
      <c r="C461">
        <v>50</v>
      </c>
      <c r="D461" t="s">
        <v>2516</v>
      </c>
      <c r="E461" t="s">
        <v>51</v>
      </c>
      <c r="F461" s="86">
        <v>44475</v>
      </c>
      <c r="G461" t="s">
        <v>2517</v>
      </c>
      <c r="H461">
        <v>2</v>
      </c>
      <c r="I461" t="s">
        <v>27</v>
      </c>
      <c r="J461" s="86">
        <v>45201</v>
      </c>
      <c r="K461">
        <v>1137.99</v>
      </c>
      <c r="L461">
        <v>1</v>
      </c>
      <c r="M461">
        <v>16</v>
      </c>
      <c r="N461" t="s">
        <v>68</v>
      </c>
      <c r="O461" t="s">
        <v>354</v>
      </c>
      <c r="P461" t="s">
        <v>45</v>
      </c>
      <c r="Q461" t="s">
        <v>32</v>
      </c>
    </row>
    <row r="462" spans="1:17" x14ac:dyDescent="0.3">
      <c r="A462" t="s">
        <v>2519</v>
      </c>
      <c r="B462" t="s">
        <v>2520</v>
      </c>
      <c r="C462">
        <v>66</v>
      </c>
      <c r="D462" t="s">
        <v>2521</v>
      </c>
      <c r="E462" t="s">
        <v>61</v>
      </c>
      <c r="F462" t="s">
        <v>2522</v>
      </c>
      <c r="G462" s="86">
        <v>45415</v>
      </c>
      <c r="H462">
        <v>4</v>
      </c>
      <c r="I462" t="s">
        <v>27</v>
      </c>
      <c r="J462" t="s">
        <v>2523</v>
      </c>
      <c r="K462">
        <v>207.28</v>
      </c>
      <c r="L462">
        <v>8</v>
      </c>
      <c r="M462">
        <v>14</v>
      </c>
      <c r="N462" t="s">
        <v>68</v>
      </c>
      <c r="O462" t="s">
        <v>536</v>
      </c>
      <c r="P462" t="s">
        <v>68</v>
      </c>
      <c r="Q462" t="s">
        <v>32</v>
      </c>
    </row>
    <row r="463" spans="1:17" x14ac:dyDescent="0.3">
      <c r="A463" t="s">
        <v>2525</v>
      </c>
      <c r="B463" t="s">
        <v>2526</v>
      </c>
      <c r="C463">
        <v>66</v>
      </c>
      <c r="D463" t="s">
        <v>2527</v>
      </c>
      <c r="E463" t="s">
        <v>61</v>
      </c>
      <c r="F463" t="s">
        <v>1874</v>
      </c>
      <c r="G463" t="s">
        <v>746</v>
      </c>
      <c r="H463">
        <v>5</v>
      </c>
      <c r="I463" t="s">
        <v>52</v>
      </c>
      <c r="J463" s="86">
        <v>45145</v>
      </c>
      <c r="K463">
        <v>324.54000000000002</v>
      </c>
      <c r="L463">
        <v>6</v>
      </c>
      <c r="M463">
        <v>40</v>
      </c>
      <c r="N463" t="s">
        <v>54</v>
      </c>
      <c r="O463" t="s">
        <v>44</v>
      </c>
      <c r="P463" t="s">
        <v>45</v>
      </c>
      <c r="Q463" t="s">
        <v>32</v>
      </c>
    </row>
    <row r="464" spans="1:17" x14ac:dyDescent="0.3">
      <c r="A464" t="s">
        <v>2529</v>
      </c>
      <c r="B464" t="s">
        <v>2530</v>
      </c>
      <c r="C464">
        <v>24</v>
      </c>
      <c r="D464" t="s">
        <v>2531</v>
      </c>
      <c r="E464" t="s">
        <v>25</v>
      </c>
      <c r="F464" t="s">
        <v>2532</v>
      </c>
      <c r="G464" t="s">
        <v>2533</v>
      </c>
      <c r="H464">
        <v>0</v>
      </c>
      <c r="I464" t="s">
        <v>27</v>
      </c>
      <c r="J464" t="s">
        <v>382</v>
      </c>
      <c r="K464">
        <v>206.15</v>
      </c>
      <c r="L464">
        <v>5</v>
      </c>
      <c r="M464">
        <v>10</v>
      </c>
      <c r="N464" t="s">
        <v>54</v>
      </c>
      <c r="O464" t="s">
        <v>821</v>
      </c>
      <c r="P464" t="s">
        <v>68</v>
      </c>
      <c r="Q464" t="s">
        <v>32</v>
      </c>
    </row>
    <row r="465" spans="1:17" x14ac:dyDescent="0.3">
      <c r="A465" t="s">
        <v>2535</v>
      </c>
      <c r="B465" t="s">
        <v>2536</v>
      </c>
      <c r="C465">
        <v>46</v>
      </c>
      <c r="D465" t="s">
        <v>2537</v>
      </c>
      <c r="E465" t="s">
        <v>25</v>
      </c>
      <c r="F465" t="s">
        <v>2538</v>
      </c>
      <c r="G465" s="86">
        <v>45052</v>
      </c>
      <c r="H465">
        <v>1</v>
      </c>
      <c r="I465" t="s">
        <v>64</v>
      </c>
      <c r="J465" t="s">
        <v>120</v>
      </c>
      <c r="K465">
        <v>1493.98</v>
      </c>
      <c r="L465">
        <v>1</v>
      </c>
      <c r="M465">
        <v>21</v>
      </c>
      <c r="N465" t="s">
        <v>68</v>
      </c>
      <c r="O465" t="s">
        <v>199</v>
      </c>
      <c r="P465" t="s">
        <v>54</v>
      </c>
      <c r="Q465" t="s">
        <v>69</v>
      </c>
    </row>
    <row r="466" spans="1:17" x14ac:dyDescent="0.3">
      <c r="A466" t="s">
        <v>2540</v>
      </c>
      <c r="B466" t="s">
        <v>2541</v>
      </c>
      <c r="C466">
        <v>39</v>
      </c>
      <c r="D466" t="s">
        <v>2542</v>
      </c>
      <c r="E466" t="s">
        <v>61</v>
      </c>
      <c r="F466" t="s">
        <v>2543</v>
      </c>
      <c r="G466" s="86">
        <v>45843</v>
      </c>
      <c r="H466">
        <v>5</v>
      </c>
      <c r="I466" t="s">
        <v>64</v>
      </c>
      <c r="J466" t="s">
        <v>2544</v>
      </c>
      <c r="K466">
        <v>553.36</v>
      </c>
      <c r="L466">
        <v>2</v>
      </c>
      <c r="M466">
        <v>10</v>
      </c>
      <c r="N466" t="s">
        <v>68</v>
      </c>
      <c r="O466" t="s">
        <v>175</v>
      </c>
      <c r="P466" t="s">
        <v>56</v>
      </c>
      <c r="Q466" t="s">
        <v>69</v>
      </c>
    </row>
    <row r="467" spans="1:17" x14ac:dyDescent="0.3">
      <c r="A467" t="s">
        <v>2546</v>
      </c>
      <c r="B467" t="s">
        <v>2547</v>
      </c>
      <c r="C467">
        <v>26</v>
      </c>
      <c r="D467" t="s">
        <v>2548</v>
      </c>
      <c r="E467" t="s">
        <v>51</v>
      </c>
      <c r="F467" t="s">
        <v>2549</v>
      </c>
      <c r="G467" s="86">
        <v>44744</v>
      </c>
      <c r="H467">
        <v>3</v>
      </c>
      <c r="I467" t="s">
        <v>27</v>
      </c>
      <c r="J467" t="s">
        <v>2550</v>
      </c>
      <c r="K467">
        <v>178.28</v>
      </c>
      <c r="L467">
        <v>6</v>
      </c>
      <c r="M467">
        <v>41</v>
      </c>
      <c r="N467" t="s">
        <v>54</v>
      </c>
      <c r="O467" t="s">
        <v>135</v>
      </c>
      <c r="P467" t="s">
        <v>45</v>
      </c>
      <c r="Q467" t="s">
        <v>32</v>
      </c>
    </row>
    <row r="468" spans="1:17" x14ac:dyDescent="0.3">
      <c r="A468" t="s">
        <v>2552</v>
      </c>
      <c r="B468" t="s">
        <v>2553</v>
      </c>
      <c r="C468">
        <v>36</v>
      </c>
      <c r="D468" t="s">
        <v>2554</v>
      </c>
      <c r="E468" t="s">
        <v>61</v>
      </c>
      <c r="F468" s="86">
        <v>45233</v>
      </c>
      <c r="G468" t="s">
        <v>590</v>
      </c>
      <c r="H468">
        <v>5</v>
      </c>
      <c r="I468" t="s">
        <v>52</v>
      </c>
      <c r="J468" t="s">
        <v>853</v>
      </c>
      <c r="K468">
        <v>638.11</v>
      </c>
      <c r="L468">
        <v>1</v>
      </c>
      <c r="M468">
        <v>25</v>
      </c>
      <c r="N468" t="s">
        <v>54</v>
      </c>
      <c r="O468" t="s">
        <v>91</v>
      </c>
      <c r="P468" t="s">
        <v>54</v>
      </c>
      <c r="Q468" t="s">
        <v>32</v>
      </c>
    </row>
    <row r="469" spans="1:17" x14ac:dyDescent="0.3">
      <c r="A469" t="s">
        <v>2556</v>
      </c>
      <c r="B469" t="s">
        <v>2557</v>
      </c>
      <c r="C469">
        <v>37</v>
      </c>
      <c r="D469" t="s">
        <v>2558</v>
      </c>
      <c r="E469" t="s">
        <v>61</v>
      </c>
      <c r="F469" t="s">
        <v>2559</v>
      </c>
      <c r="G469" t="s">
        <v>1764</v>
      </c>
      <c r="H469">
        <v>1</v>
      </c>
      <c r="I469" t="s">
        <v>27</v>
      </c>
      <c r="J469" t="s">
        <v>2560</v>
      </c>
      <c r="K469">
        <v>225.32</v>
      </c>
      <c r="L469">
        <v>8</v>
      </c>
      <c r="M469">
        <v>34</v>
      </c>
      <c r="N469" t="s">
        <v>68</v>
      </c>
      <c r="O469" t="s">
        <v>293</v>
      </c>
      <c r="P469" t="s">
        <v>45</v>
      </c>
      <c r="Q469" t="s">
        <v>32</v>
      </c>
    </row>
    <row r="470" spans="1:17" x14ac:dyDescent="0.3">
      <c r="A470" t="s">
        <v>2562</v>
      </c>
      <c r="B470" t="s">
        <v>2563</v>
      </c>
      <c r="C470">
        <v>35</v>
      </c>
      <c r="D470" t="s">
        <v>2564</v>
      </c>
      <c r="E470" t="s">
        <v>25</v>
      </c>
      <c r="F470" t="s">
        <v>934</v>
      </c>
      <c r="G470" s="86">
        <v>45171</v>
      </c>
      <c r="H470">
        <v>2</v>
      </c>
      <c r="I470" t="s">
        <v>27</v>
      </c>
      <c r="J470" t="s">
        <v>634</v>
      </c>
      <c r="K470">
        <v>133.5</v>
      </c>
      <c r="L470">
        <v>9</v>
      </c>
      <c r="M470">
        <v>49</v>
      </c>
      <c r="N470" t="s">
        <v>68</v>
      </c>
      <c r="O470" t="s">
        <v>251</v>
      </c>
      <c r="P470" t="s">
        <v>30</v>
      </c>
      <c r="Q470" t="s">
        <v>32</v>
      </c>
    </row>
    <row r="471" spans="1:17" x14ac:dyDescent="0.3">
      <c r="A471" t="s">
        <v>2566</v>
      </c>
      <c r="B471" t="s">
        <v>2567</v>
      </c>
      <c r="C471">
        <v>44</v>
      </c>
      <c r="D471" t="s">
        <v>2568</v>
      </c>
      <c r="E471" t="s">
        <v>88</v>
      </c>
      <c r="F471" s="86">
        <v>45262</v>
      </c>
      <c r="G471" t="s">
        <v>2569</v>
      </c>
      <c r="H471">
        <v>2</v>
      </c>
      <c r="I471" t="s">
        <v>52</v>
      </c>
      <c r="J471" t="s">
        <v>2082</v>
      </c>
      <c r="K471">
        <v>213.51</v>
      </c>
      <c r="L471">
        <v>6</v>
      </c>
      <c r="M471">
        <v>19</v>
      </c>
      <c r="N471" t="s">
        <v>45</v>
      </c>
      <c r="O471" t="s">
        <v>31</v>
      </c>
      <c r="P471" t="s">
        <v>30</v>
      </c>
      <c r="Q471" t="s">
        <v>69</v>
      </c>
    </row>
    <row r="472" spans="1:17" x14ac:dyDescent="0.3">
      <c r="A472" t="s">
        <v>2571</v>
      </c>
      <c r="B472" t="s">
        <v>2572</v>
      </c>
      <c r="C472">
        <v>51</v>
      </c>
      <c r="D472" t="s">
        <v>2573</v>
      </c>
      <c r="E472" t="s">
        <v>88</v>
      </c>
      <c r="F472" t="s">
        <v>2522</v>
      </c>
      <c r="G472" t="s">
        <v>1577</v>
      </c>
      <c r="H472">
        <v>0</v>
      </c>
      <c r="I472" t="s">
        <v>27</v>
      </c>
      <c r="J472" t="s">
        <v>2512</v>
      </c>
      <c r="K472">
        <v>185.37</v>
      </c>
      <c r="L472">
        <v>8</v>
      </c>
      <c r="M472">
        <v>36</v>
      </c>
      <c r="N472" t="s">
        <v>56</v>
      </c>
      <c r="O472" t="s">
        <v>67</v>
      </c>
      <c r="P472" t="s">
        <v>68</v>
      </c>
      <c r="Q472" t="s">
        <v>32</v>
      </c>
    </row>
    <row r="473" spans="1:17" x14ac:dyDescent="0.3">
      <c r="A473" t="s">
        <v>2575</v>
      </c>
      <c r="B473" t="s">
        <v>2576</v>
      </c>
      <c r="C473">
        <v>35</v>
      </c>
      <c r="D473" t="s">
        <v>2577</v>
      </c>
      <c r="E473" t="s">
        <v>40</v>
      </c>
      <c r="F473" t="s">
        <v>2578</v>
      </c>
      <c r="G473" t="s">
        <v>2579</v>
      </c>
      <c r="H473">
        <v>0</v>
      </c>
      <c r="I473" t="s">
        <v>52</v>
      </c>
      <c r="J473" s="86">
        <v>45386</v>
      </c>
      <c r="K473">
        <v>87.8</v>
      </c>
      <c r="L473">
        <v>8</v>
      </c>
      <c r="M473">
        <v>4</v>
      </c>
      <c r="N473" t="s">
        <v>45</v>
      </c>
      <c r="O473" t="s">
        <v>837</v>
      </c>
      <c r="P473" t="s">
        <v>56</v>
      </c>
      <c r="Q473" t="s">
        <v>32</v>
      </c>
    </row>
    <row r="474" spans="1:17" x14ac:dyDescent="0.3">
      <c r="A474" t="s">
        <v>2581</v>
      </c>
      <c r="B474" t="s">
        <v>2582</v>
      </c>
      <c r="C474">
        <v>51</v>
      </c>
      <c r="D474" t="s">
        <v>2583</v>
      </c>
      <c r="E474" t="s">
        <v>95</v>
      </c>
      <c r="F474" t="s">
        <v>1205</v>
      </c>
      <c r="G474" t="s">
        <v>345</v>
      </c>
      <c r="H474">
        <v>0</v>
      </c>
      <c r="I474" t="s">
        <v>52</v>
      </c>
      <c r="J474" t="s">
        <v>1546</v>
      </c>
      <c r="K474">
        <v>97.78</v>
      </c>
      <c r="L474">
        <v>4</v>
      </c>
      <c r="M474">
        <v>29</v>
      </c>
      <c r="N474" t="s">
        <v>45</v>
      </c>
      <c r="O474" t="s">
        <v>142</v>
      </c>
      <c r="P474" t="s">
        <v>68</v>
      </c>
      <c r="Q474" t="s">
        <v>69</v>
      </c>
    </row>
    <row r="475" spans="1:17" x14ac:dyDescent="0.3">
      <c r="A475" t="s">
        <v>2585</v>
      </c>
      <c r="B475" t="s">
        <v>2586</v>
      </c>
      <c r="C475">
        <v>56</v>
      </c>
      <c r="D475" t="s">
        <v>2587</v>
      </c>
      <c r="E475" t="s">
        <v>51</v>
      </c>
      <c r="F475" t="s">
        <v>797</v>
      </c>
      <c r="G475" s="86">
        <v>44963</v>
      </c>
      <c r="H475">
        <v>2</v>
      </c>
      <c r="I475" t="s">
        <v>27</v>
      </c>
      <c r="J475" t="s">
        <v>2588</v>
      </c>
      <c r="K475">
        <v>197.6</v>
      </c>
      <c r="L475">
        <v>9</v>
      </c>
      <c r="M475">
        <v>38</v>
      </c>
      <c r="N475" t="s">
        <v>56</v>
      </c>
      <c r="O475" t="s">
        <v>194</v>
      </c>
      <c r="P475" t="s">
        <v>56</v>
      </c>
      <c r="Q475" t="s">
        <v>69</v>
      </c>
    </row>
    <row r="476" spans="1:17" x14ac:dyDescent="0.3">
      <c r="A476" t="s">
        <v>2590</v>
      </c>
      <c r="B476" t="s">
        <v>2591</v>
      </c>
      <c r="C476">
        <v>37</v>
      </c>
      <c r="D476" t="s">
        <v>2592</v>
      </c>
      <c r="E476" t="s">
        <v>40</v>
      </c>
      <c r="F476" s="86">
        <v>44294</v>
      </c>
      <c r="G476" t="s">
        <v>2593</v>
      </c>
      <c r="H476">
        <v>0</v>
      </c>
      <c r="I476" t="s">
        <v>27</v>
      </c>
      <c r="J476" s="86">
        <v>45444</v>
      </c>
      <c r="K476">
        <v>532.09</v>
      </c>
      <c r="L476">
        <v>2</v>
      </c>
      <c r="M476">
        <v>46</v>
      </c>
      <c r="N476" t="s">
        <v>68</v>
      </c>
      <c r="O476" t="s">
        <v>604</v>
      </c>
      <c r="P476" t="s">
        <v>45</v>
      </c>
      <c r="Q476" t="s">
        <v>32</v>
      </c>
    </row>
    <row r="477" spans="1:17" x14ac:dyDescent="0.3">
      <c r="A477" t="s">
        <v>2595</v>
      </c>
      <c r="B477" t="s">
        <v>2596</v>
      </c>
      <c r="C477">
        <v>40</v>
      </c>
      <c r="D477" t="s">
        <v>2597</v>
      </c>
      <c r="E477" t="s">
        <v>25</v>
      </c>
      <c r="F477" s="86">
        <v>44086</v>
      </c>
      <c r="G477" t="s">
        <v>2598</v>
      </c>
      <c r="H477">
        <v>1</v>
      </c>
      <c r="I477" t="s">
        <v>52</v>
      </c>
      <c r="J477" s="86">
        <v>45573</v>
      </c>
      <c r="K477">
        <v>196.12</v>
      </c>
      <c r="L477">
        <v>5</v>
      </c>
      <c r="M477">
        <v>7</v>
      </c>
      <c r="N477" t="s">
        <v>68</v>
      </c>
      <c r="O477" t="s">
        <v>269</v>
      </c>
      <c r="P477" t="s">
        <v>56</v>
      </c>
      <c r="Q477" t="s">
        <v>32</v>
      </c>
    </row>
    <row r="478" spans="1:17" x14ac:dyDescent="0.3">
      <c r="A478" t="s">
        <v>2600</v>
      </c>
      <c r="B478" t="s">
        <v>2601</v>
      </c>
      <c r="C478">
        <v>40</v>
      </c>
      <c r="D478" t="s">
        <v>2602</v>
      </c>
      <c r="E478" t="s">
        <v>51</v>
      </c>
      <c r="F478" t="s">
        <v>2603</v>
      </c>
      <c r="G478" t="s">
        <v>2010</v>
      </c>
      <c r="H478">
        <v>5</v>
      </c>
      <c r="I478" t="s">
        <v>52</v>
      </c>
      <c r="J478" t="s">
        <v>2604</v>
      </c>
      <c r="K478">
        <v>313.86</v>
      </c>
      <c r="L478">
        <v>6</v>
      </c>
      <c r="M478">
        <v>12</v>
      </c>
      <c r="N478" t="s">
        <v>30</v>
      </c>
      <c r="O478" t="s">
        <v>122</v>
      </c>
      <c r="P478" t="s">
        <v>30</v>
      </c>
      <c r="Q478" t="s">
        <v>32</v>
      </c>
    </row>
    <row r="479" spans="1:17" x14ac:dyDescent="0.3">
      <c r="A479" t="s">
        <v>2606</v>
      </c>
      <c r="B479" t="s">
        <v>2607</v>
      </c>
      <c r="C479">
        <v>31</v>
      </c>
      <c r="D479" t="s">
        <v>2608</v>
      </c>
      <c r="E479" t="s">
        <v>88</v>
      </c>
      <c r="F479" t="s">
        <v>1111</v>
      </c>
      <c r="G479" t="s">
        <v>2609</v>
      </c>
      <c r="H479">
        <v>1</v>
      </c>
      <c r="I479" t="s">
        <v>52</v>
      </c>
      <c r="J479" t="s">
        <v>1899</v>
      </c>
      <c r="K479">
        <v>417.52</v>
      </c>
      <c r="L479">
        <v>2</v>
      </c>
      <c r="M479">
        <v>34</v>
      </c>
      <c r="N479" t="s">
        <v>30</v>
      </c>
      <c r="O479" t="s">
        <v>223</v>
      </c>
      <c r="P479" t="s">
        <v>56</v>
      </c>
      <c r="Q479" t="s">
        <v>32</v>
      </c>
    </row>
    <row r="480" spans="1:17" x14ac:dyDescent="0.3">
      <c r="A480" t="s">
        <v>2611</v>
      </c>
      <c r="B480" t="s">
        <v>2612</v>
      </c>
      <c r="C480">
        <v>23</v>
      </c>
      <c r="D480" t="s">
        <v>2613</v>
      </c>
      <c r="E480" t="s">
        <v>61</v>
      </c>
      <c r="F480" t="s">
        <v>2614</v>
      </c>
      <c r="G480" t="s">
        <v>2615</v>
      </c>
      <c r="H480">
        <v>3</v>
      </c>
      <c r="I480" t="s">
        <v>27</v>
      </c>
      <c r="J480" s="86">
        <v>45508</v>
      </c>
      <c r="K480">
        <v>124.76</v>
      </c>
      <c r="L480">
        <v>8</v>
      </c>
      <c r="M480">
        <v>27</v>
      </c>
      <c r="N480" t="s">
        <v>45</v>
      </c>
      <c r="O480" t="s">
        <v>418</v>
      </c>
      <c r="P480" t="s">
        <v>56</v>
      </c>
      <c r="Q480" t="s">
        <v>32</v>
      </c>
    </row>
    <row r="481" spans="1:17" x14ac:dyDescent="0.3">
      <c r="A481" t="s">
        <v>2617</v>
      </c>
      <c r="B481" t="s">
        <v>2618</v>
      </c>
      <c r="C481">
        <v>32</v>
      </c>
      <c r="D481" t="s">
        <v>2619</v>
      </c>
      <c r="E481" t="s">
        <v>61</v>
      </c>
      <c r="F481" t="s">
        <v>2620</v>
      </c>
      <c r="G481" s="86">
        <v>45780</v>
      </c>
      <c r="H481">
        <v>2</v>
      </c>
      <c r="I481" t="s">
        <v>52</v>
      </c>
      <c r="J481" t="s">
        <v>83</v>
      </c>
      <c r="K481">
        <v>90.21</v>
      </c>
      <c r="L481">
        <v>6</v>
      </c>
      <c r="M481">
        <v>2</v>
      </c>
      <c r="N481" t="s">
        <v>56</v>
      </c>
      <c r="O481" t="s">
        <v>77</v>
      </c>
      <c r="P481" t="s">
        <v>54</v>
      </c>
      <c r="Q481" t="s">
        <v>32</v>
      </c>
    </row>
    <row r="482" spans="1:17" x14ac:dyDescent="0.3">
      <c r="A482" t="s">
        <v>2622</v>
      </c>
      <c r="B482" t="s">
        <v>2623</v>
      </c>
      <c r="C482">
        <v>46</v>
      </c>
      <c r="D482" t="s">
        <v>2624</v>
      </c>
      <c r="E482" t="s">
        <v>51</v>
      </c>
      <c r="F482" s="86">
        <v>44540</v>
      </c>
      <c r="G482" t="s">
        <v>2625</v>
      </c>
      <c r="H482">
        <v>4</v>
      </c>
      <c r="I482" t="s">
        <v>64</v>
      </c>
      <c r="J482" t="s">
        <v>2626</v>
      </c>
      <c r="K482">
        <v>277.47000000000003</v>
      </c>
      <c r="L482">
        <v>4</v>
      </c>
      <c r="M482">
        <v>7</v>
      </c>
      <c r="N482" t="s">
        <v>68</v>
      </c>
      <c r="O482" t="s">
        <v>175</v>
      </c>
      <c r="P482" t="s">
        <v>56</v>
      </c>
      <c r="Q482" t="s">
        <v>322</v>
      </c>
    </row>
    <row r="483" spans="1:17" x14ac:dyDescent="0.3">
      <c r="A483" t="s">
        <v>2628</v>
      </c>
      <c r="B483" t="s">
        <v>2629</v>
      </c>
      <c r="C483">
        <v>65</v>
      </c>
      <c r="D483" t="s">
        <v>2630</v>
      </c>
      <c r="E483" t="s">
        <v>40</v>
      </c>
      <c r="F483" t="s">
        <v>1205</v>
      </c>
      <c r="G483" t="s">
        <v>2276</v>
      </c>
      <c r="H483">
        <v>0</v>
      </c>
      <c r="I483" t="s">
        <v>52</v>
      </c>
      <c r="J483" s="86">
        <v>45811</v>
      </c>
      <c r="K483">
        <v>132.87</v>
      </c>
      <c r="L483">
        <v>5</v>
      </c>
      <c r="M483">
        <v>2</v>
      </c>
      <c r="N483" t="s">
        <v>54</v>
      </c>
      <c r="O483" t="s">
        <v>245</v>
      </c>
      <c r="P483" t="s">
        <v>54</v>
      </c>
      <c r="Q483" t="s">
        <v>69</v>
      </c>
    </row>
    <row r="484" spans="1:17" x14ac:dyDescent="0.3">
      <c r="A484" t="s">
        <v>2632</v>
      </c>
      <c r="B484" t="s">
        <v>2633</v>
      </c>
      <c r="C484">
        <v>19</v>
      </c>
      <c r="D484" t="s">
        <v>2634</v>
      </c>
      <c r="E484" t="s">
        <v>51</v>
      </c>
      <c r="F484" t="s">
        <v>2402</v>
      </c>
      <c r="G484" s="86">
        <v>44992</v>
      </c>
      <c r="H484">
        <v>3</v>
      </c>
      <c r="I484" t="s">
        <v>27</v>
      </c>
      <c r="J484" t="s">
        <v>1293</v>
      </c>
      <c r="K484">
        <v>132.82</v>
      </c>
      <c r="L484">
        <v>8</v>
      </c>
      <c r="M484">
        <v>10</v>
      </c>
      <c r="N484" t="s">
        <v>56</v>
      </c>
      <c r="O484" t="s">
        <v>175</v>
      </c>
      <c r="P484" t="s">
        <v>56</v>
      </c>
      <c r="Q484" t="s">
        <v>32</v>
      </c>
    </row>
    <row r="485" spans="1:17" x14ac:dyDescent="0.3">
      <c r="A485" t="s">
        <v>2636</v>
      </c>
      <c r="B485" t="s">
        <v>2637</v>
      </c>
      <c r="C485">
        <v>21</v>
      </c>
      <c r="D485" t="s">
        <v>2638</v>
      </c>
      <c r="E485" t="s">
        <v>95</v>
      </c>
      <c r="F485" s="86">
        <v>44663</v>
      </c>
      <c r="G485" t="s">
        <v>1005</v>
      </c>
      <c r="H485">
        <v>2</v>
      </c>
      <c r="I485" t="s">
        <v>52</v>
      </c>
      <c r="J485" s="86">
        <v>45386</v>
      </c>
      <c r="K485">
        <v>554.08000000000004</v>
      </c>
      <c r="L485">
        <v>1</v>
      </c>
      <c r="M485">
        <v>47</v>
      </c>
      <c r="N485" t="s">
        <v>56</v>
      </c>
      <c r="O485" t="s">
        <v>597</v>
      </c>
      <c r="P485" t="s">
        <v>45</v>
      </c>
      <c r="Q485" t="s">
        <v>69</v>
      </c>
    </row>
    <row r="486" spans="1:17" x14ac:dyDescent="0.3">
      <c r="A486" t="s">
        <v>2640</v>
      </c>
      <c r="B486" t="s">
        <v>2641</v>
      </c>
      <c r="C486">
        <v>23</v>
      </c>
      <c r="D486" t="s">
        <v>2642</v>
      </c>
      <c r="E486" t="s">
        <v>40</v>
      </c>
      <c r="F486" s="86">
        <v>45085</v>
      </c>
      <c r="G486" t="s">
        <v>579</v>
      </c>
      <c r="H486">
        <v>1</v>
      </c>
      <c r="I486" t="s">
        <v>27</v>
      </c>
      <c r="J486" t="s">
        <v>2643</v>
      </c>
      <c r="K486">
        <v>190.43</v>
      </c>
      <c r="L486">
        <v>5</v>
      </c>
      <c r="M486">
        <v>2</v>
      </c>
      <c r="N486" t="s">
        <v>45</v>
      </c>
      <c r="O486" t="s">
        <v>821</v>
      </c>
      <c r="P486" t="s">
        <v>68</v>
      </c>
      <c r="Q486" t="s">
        <v>69</v>
      </c>
    </row>
    <row r="487" spans="1:17" x14ac:dyDescent="0.3">
      <c r="A487" t="s">
        <v>2645</v>
      </c>
      <c r="B487" t="s">
        <v>2646</v>
      </c>
      <c r="C487">
        <v>59</v>
      </c>
      <c r="D487" t="s">
        <v>2647</v>
      </c>
      <c r="E487" t="s">
        <v>25</v>
      </c>
      <c r="F487" t="s">
        <v>2648</v>
      </c>
      <c r="G487" t="s">
        <v>2649</v>
      </c>
      <c r="H487">
        <v>0</v>
      </c>
      <c r="I487" t="s">
        <v>27</v>
      </c>
      <c r="J487" t="s">
        <v>186</v>
      </c>
      <c r="K487">
        <v>228.34</v>
      </c>
      <c r="L487">
        <v>7</v>
      </c>
      <c r="M487">
        <v>16</v>
      </c>
      <c r="N487" t="s">
        <v>68</v>
      </c>
      <c r="O487" t="s">
        <v>91</v>
      </c>
      <c r="P487" t="s">
        <v>54</v>
      </c>
      <c r="Q487" t="s">
        <v>32</v>
      </c>
    </row>
    <row r="488" spans="1:17" x14ac:dyDescent="0.3">
      <c r="A488" t="s">
        <v>2651</v>
      </c>
      <c r="B488" t="s">
        <v>2652</v>
      </c>
      <c r="C488">
        <v>28</v>
      </c>
      <c r="D488" t="s">
        <v>2653</v>
      </c>
      <c r="E488" t="s">
        <v>88</v>
      </c>
      <c r="F488" t="s">
        <v>1988</v>
      </c>
      <c r="G488" t="s">
        <v>2207</v>
      </c>
      <c r="H488">
        <v>3</v>
      </c>
      <c r="I488" t="s">
        <v>27</v>
      </c>
      <c r="J488" t="s">
        <v>1339</v>
      </c>
      <c r="K488">
        <v>975.01</v>
      </c>
      <c r="L488">
        <v>1</v>
      </c>
      <c r="M488">
        <v>4</v>
      </c>
      <c r="N488" t="s">
        <v>56</v>
      </c>
      <c r="O488" t="s">
        <v>231</v>
      </c>
      <c r="P488" t="s">
        <v>30</v>
      </c>
      <c r="Q488" t="s">
        <v>69</v>
      </c>
    </row>
    <row r="489" spans="1:17" x14ac:dyDescent="0.3">
      <c r="A489" t="s">
        <v>2655</v>
      </c>
      <c r="B489" t="s">
        <v>2656</v>
      </c>
      <c r="C489">
        <v>40</v>
      </c>
      <c r="D489" t="s">
        <v>2657</v>
      </c>
      <c r="E489" t="s">
        <v>61</v>
      </c>
      <c r="F489" t="s">
        <v>1323</v>
      </c>
      <c r="G489" t="s">
        <v>2658</v>
      </c>
      <c r="H489">
        <v>3</v>
      </c>
      <c r="I489" t="s">
        <v>27</v>
      </c>
      <c r="J489" t="s">
        <v>2659</v>
      </c>
      <c r="K489">
        <v>62.15</v>
      </c>
      <c r="L489">
        <v>3</v>
      </c>
      <c r="M489">
        <v>31</v>
      </c>
      <c r="N489" t="s">
        <v>54</v>
      </c>
      <c r="O489" t="s">
        <v>67</v>
      </c>
      <c r="P489" t="s">
        <v>68</v>
      </c>
      <c r="Q489" t="s">
        <v>69</v>
      </c>
    </row>
    <row r="490" spans="1:17" x14ac:dyDescent="0.3">
      <c r="A490" t="s">
        <v>2661</v>
      </c>
      <c r="B490" t="s">
        <v>2662</v>
      </c>
      <c r="C490">
        <v>49</v>
      </c>
      <c r="D490" t="s">
        <v>2663</v>
      </c>
      <c r="E490" t="s">
        <v>25</v>
      </c>
      <c r="F490" t="s">
        <v>2664</v>
      </c>
      <c r="G490" t="s">
        <v>946</v>
      </c>
      <c r="H490">
        <v>1</v>
      </c>
      <c r="I490" t="s">
        <v>27</v>
      </c>
      <c r="J490" t="s">
        <v>326</v>
      </c>
      <c r="K490">
        <v>537.55999999999995</v>
      </c>
      <c r="L490">
        <v>2</v>
      </c>
      <c r="M490">
        <v>11</v>
      </c>
      <c r="N490" t="s">
        <v>68</v>
      </c>
      <c r="O490" t="s">
        <v>269</v>
      </c>
      <c r="P490" t="s">
        <v>56</v>
      </c>
      <c r="Q490" t="s">
        <v>32</v>
      </c>
    </row>
    <row r="491" spans="1:17" x14ac:dyDescent="0.3">
      <c r="A491" t="s">
        <v>2666</v>
      </c>
      <c r="B491" t="s">
        <v>2667</v>
      </c>
      <c r="C491">
        <v>46</v>
      </c>
      <c r="D491" t="s">
        <v>2668</v>
      </c>
      <c r="E491" t="s">
        <v>88</v>
      </c>
      <c r="F491" s="86">
        <v>45111</v>
      </c>
      <c r="G491" t="s">
        <v>1716</v>
      </c>
      <c r="H491">
        <v>2</v>
      </c>
      <c r="I491" t="s">
        <v>27</v>
      </c>
      <c r="J491" t="s">
        <v>2455</v>
      </c>
      <c r="K491">
        <v>472.65</v>
      </c>
      <c r="L491">
        <v>4</v>
      </c>
      <c r="M491">
        <v>11</v>
      </c>
      <c r="N491" t="s">
        <v>30</v>
      </c>
      <c r="O491" t="s">
        <v>354</v>
      </c>
      <c r="P491" t="s">
        <v>45</v>
      </c>
      <c r="Q491" t="s">
        <v>32</v>
      </c>
    </row>
    <row r="492" spans="1:17" x14ac:dyDescent="0.3">
      <c r="A492" t="s">
        <v>2670</v>
      </c>
      <c r="B492" t="s">
        <v>2671</v>
      </c>
      <c r="C492">
        <v>44</v>
      </c>
      <c r="D492" t="s">
        <v>2672</v>
      </c>
      <c r="E492" t="s">
        <v>88</v>
      </c>
      <c r="F492" t="s">
        <v>1026</v>
      </c>
      <c r="G492" t="s">
        <v>2673</v>
      </c>
      <c r="H492">
        <v>1</v>
      </c>
      <c r="I492" t="s">
        <v>52</v>
      </c>
      <c r="J492" s="86">
        <v>45721</v>
      </c>
      <c r="K492">
        <v>109.16</v>
      </c>
      <c r="L492">
        <v>8</v>
      </c>
      <c r="M492">
        <v>31</v>
      </c>
      <c r="N492" t="s">
        <v>56</v>
      </c>
      <c r="O492" t="s">
        <v>116</v>
      </c>
      <c r="P492" t="s">
        <v>54</v>
      </c>
      <c r="Q492" t="s">
        <v>32</v>
      </c>
    </row>
    <row r="493" spans="1:17" x14ac:dyDescent="0.3">
      <c r="A493" t="s">
        <v>2675</v>
      </c>
      <c r="B493" t="s">
        <v>2676</v>
      </c>
      <c r="C493">
        <v>50</v>
      </c>
      <c r="D493" t="s">
        <v>2677</v>
      </c>
      <c r="E493" t="s">
        <v>40</v>
      </c>
      <c r="F493" t="s">
        <v>2678</v>
      </c>
      <c r="G493" t="s">
        <v>2679</v>
      </c>
      <c r="H493">
        <v>3</v>
      </c>
      <c r="I493" t="s">
        <v>64</v>
      </c>
      <c r="J493" t="s">
        <v>2680</v>
      </c>
      <c r="K493">
        <v>261.49</v>
      </c>
      <c r="L493">
        <v>5</v>
      </c>
      <c r="M493">
        <v>25</v>
      </c>
      <c r="N493" t="s">
        <v>30</v>
      </c>
      <c r="O493" t="s">
        <v>366</v>
      </c>
      <c r="P493" t="s">
        <v>54</v>
      </c>
      <c r="Q493" t="s">
        <v>69</v>
      </c>
    </row>
    <row r="494" spans="1:17" x14ac:dyDescent="0.3">
      <c r="A494" t="s">
        <v>2682</v>
      </c>
      <c r="B494" t="s">
        <v>2683</v>
      </c>
      <c r="C494">
        <v>49</v>
      </c>
      <c r="D494" t="s">
        <v>2684</v>
      </c>
      <c r="E494" t="s">
        <v>95</v>
      </c>
      <c r="F494" t="s">
        <v>1000</v>
      </c>
      <c r="G494" t="s">
        <v>2685</v>
      </c>
      <c r="H494">
        <v>5</v>
      </c>
      <c r="I494" t="s">
        <v>27</v>
      </c>
      <c r="J494" t="s">
        <v>1386</v>
      </c>
      <c r="K494">
        <v>69.48</v>
      </c>
      <c r="L494">
        <v>7</v>
      </c>
      <c r="M494">
        <v>41</v>
      </c>
      <c r="N494" t="s">
        <v>45</v>
      </c>
      <c r="O494" t="s">
        <v>169</v>
      </c>
      <c r="P494" t="s">
        <v>30</v>
      </c>
      <c r="Q494" t="s">
        <v>32</v>
      </c>
    </row>
    <row r="495" spans="1:17" x14ac:dyDescent="0.3">
      <c r="A495" t="s">
        <v>2687</v>
      </c>
      <c r="B495" t="s">
        <v>2688</v>
      </c>
      <c r="C495">
        <v>38</v>
      </c>
      <c r="D495" t="s">
        <v>2689</v>
      </c>
      <c r="E495" t="s">
        <v>25</v>
      </c>
      <c r="F495" t="s">
        <v>2276</v>
      </c>
      <c r="G495" t="s">
        <v>2690</v>
      </c>
      <c r="H495">
        <v>2</v>
      </c>
      <c r="I495" t="s">
        <v>27</v>
      </c>
      <c r="J495" t="s">
        <v>2691</v>
      </c>
      <c r="K495">
        <v>1481.71</v>
      </c>
      <c r="L495">
        <v>1</v>
      </c>
      <c r="M495">
        <v>37</v>
      </c>
      <c r="N495" t="s">
        <v>56</v>
      </c>
      <c r="O495" t="s">
        <v>269</v>
      </c>
      <c r="P495" t="s">
        <v>56</v>
      </c>
      <c r="Q495" t="s">
        <v>32</v>
      </c>
    </row>
    <row r="496" spans="1:17" x14ac:dyDescent="0.3">
      <c r="A496" t="s">
        <v>2693</v>
      </c>
      <c r="B496" t="s">
        <v>2694</v>
      </c>
      <c r="C496">
        <v>25</v>
      </c>
      <c r="D496" t="s">
        <v>2695</v>
      </c>
      <c r="E496" t="s">
        <v>25</v>
      </c>
      <c r="F496" t="s">
        <v>1397</v>
      </c>
      <c r="G496" t="s">
        <v>2696</v>
      </c>
      <c r="H496">
        <v>0</v>
      </c>
      <c r="I496" t="s">
        <v>52</v>
      </c>
      <c r="J496" t="s">
        <v>2697</v>
      </c>
      <c r="K496">
        <v>189.21</v>
      </c>
      <c r="L496">
        <v>9</v>
      </c>
      <c r="M496">
        <v>30</v>
      </c>
      <c r="N496" t="s">
        <v>56</v>
      </c>
      <c r="O496" t="s">
        <v>55</v>
      </c>
      <c r="P496" t="s">
        <v>56</v>
      </c>
      <c r="Q496" t="s">
        <v>69</v>
      </c>
    </row>
    <row r="497" spans="1:17" x14ac:dyDescent="0.3">
      <c r="A497" t="s">
        <v>2699</v>
      </c>
      <c r="B497" t="s">
        <v>2700</v>
      </c>
      <c r="C497">
        <v>62</v>
      </c>
      <c r="D497" t="s">
        <v>2701</v>
      </c>
      <c r="E497" t="s">
        <v>61</v>
      </c>
      <c r="F497" s="86">
        <v>44386</v>
      </c>
      <c r="G497" s="86">
        <v>44512</v>
      </c>
      <c r="H497">
        <v>3</v>
      </c>
      <c r="I497" t="s">
        <v>27</v>
      </c>
      <c r="J497" s="86">
        <v>45083</v>
      </c>
      <c r="K497">
        <v>271.14</v>
      </c>
      <c r="L497">
        <v>4</v>
      </c>
      <c r="M497">
        <v>42</v>
      </c>
      <c r="N497" t="s">
        <v>30</v>
      </c>
      <c r="O497" t="s">
        <v>157</v>
      </c>
      <c r="P497" t="s">
        <v>68</v>
      </c>
      <c r="Q497" t="s">
        <v>32</v>
      </c>
    </row>
    <row r="498" spans="1:17" x14ac:dyDescent="0.3">
      <c r="A498" t="s">
        <v>2703</v>
      </c>
      <c r="B498" t="s">
        <v>2704</v>
      </c>
      <c r="C498">
        <v>33</v>
      </c>
      <c r="D498" t="s">
        <v>2705</v>
      </c>
      <c r="E498" t="s">
        <v>25</v>
      </c>
      <c r="F498" t="s">
        <v>1563</v>
      </c>
      <c r="G498" s="86">
        <v>45231</v>
      </c>
      <c r="H498">
        <v>5</v>
      </c>
      <c r="I498" t="s">
        <v>27</v>
      </c>
      <c r="J498" t="s">
        <v>1732</v>
      </c>
      <c r="K498">
        <v>396.81</v>
      </c>
      <c r="L498">
        <v>5</v>
      </c>
      <c r="M498">
        <v>20</v>
      </c>
      <c r="N498" t="s">
        <v>56</v>
      </c>
      <c r="O498" t="s">
        <v>116</v>
      </c>
      <c r="P498" t="s">
        <v>54</v>
      </c>
      <c r="Q498" t="s">
        <v>32</v>
      </c>
    </row>
    <row r="499" spans="1:17" x14ac:dyDescent="0.3">
      <c r="A499" t="s">
        <v>2707</v>
      </c>
      <c r="B499" t="s">
        <v>2708</v>
      </c>
      <c r="C499">
        <v>20</v>
      </c>
      <c r="D499" t="s">
        <v>2709</v>
      </c>
      <c r="E499" t="s">
        <v>95</v>
      </c>
      <c r="F499" t="s">
        <v>2224</v>
      </c>
      <c r="G499" t="s">
        <v>962</v>
      </c>
      <c r="H499">
        <v>0</v>
      </c>
      <c r="I499" t="s">
        <v>52</v>
      </c>
      <c r="J499" s="86">
        <v>45267</v>
      </c>
      <c r="K499">
        <v>836.76</v>
      </c>
      <c r="L499">
        <v>2</v>
      </c>
      <c r="M499">
        <v>47</v>
      </c>
      <c r="N499" t="s">
        <v>68</v>
      </c>
      <c r="O499" t="s">
        <v>837</v>
      </c>
      <c r="P499" t="s">
        <v>56</v>
      </c>
      <c r="Q499" t="s">
        <v>69</v>
      </c>
    </row>
    <row r="500" spans="1:17" x14ac:dyDescent="0.3">
      <c r="A500" t="s">
        <v>2711</v>
      </c>
      <c r="B500" t="s">
        <v>2712</v>
      </c>
      <c r="C500">
        <v>29</v>
      </c>
      <c r="D500" t="s">
        <v>2713</v>
      </c>
      <c r="E500" t="s">
        <v>25</v>
      </c>
      <c r="F500" t="s">
        <v>2313</v>
      </c>
      <c r="G500" s="86">
        <v>44715</v>
      </c>
      <c r="H500">
        <v>1</v>
      </c>
      <c r="I500" t="s">
        <v>27</v>
      </c>
      <c r="J500" t="s">
        <v>403</v>
      </c>
      <c r="K500">
        <v>71.959999999999994</v>
      </c>
      <c r="L500">
        <v>2</v>
      </c>
      <c r="M500">
        <v>7</v>
      </c>
      <c r="N500" t="s">
        <v>68</v>
      </c>
      <c r="O500" t="s">
        <v>211</v>
      </c>
      <c r="P500" t="s">
        <v>68</v>
      </c>
      <c r="Q500" t="s">
        <v>69</v>
      </c>
    </row>
    <row r="501" spans="1:17" x14ac:dyDescent="0.3">
      <c r="A501" t="s">
        <v>2715</v>
      </c>
      <c r="B501" t="s">
        <v>2716</v>
      </c>
      <c r="C501">
        <v>45</v>
      </c>
      <c r="D501" t="s">
        <v>2717</v>
      </c>
      <c r="E501" t="s">
        <v>51</v>
      </c>
      <c r="F501" t="s">
        <v>2118</v>
      </c>
      <c r="G501" t="s">
        <v>2485</v>
      </c>
      <c r="H501">
        <v>3</v>
      </c>
      <c r="I501" t="s">
        <v>27</v>
      </c>
      <c r="J501" s="86">
        <v>44625</v>
      </c>
      <c r="K501">
        <v>1601.28</v>
      </c>
      <c r="L501">
        <v>1</v>
      </c>
      <c r="M501">
        <v>33</v>
      </c>
      <c r="N501" t="s">
        <v>68</v>
      </c>
      <c r="O501" t="s">
        <v>269</v>
      </c>
      <c r="P501" t="s">
        <v>56</v>
      </c>
      <c r="Q501" t="s">
        <v>69</v>
      </c>
    </row>
    <row r="502" spans="1:17" x14ac:dyDescent="0.3">
      <c r="A502" t="s">
        <v>2719</v>
      </c>
      <c r="B502" t="s">
        <v>2720</v>
      </c>
      <c r="C502">
        <v>49</v>
      </c>
      <c r="D502" t="s">
        <v>2721</v>
      </c>
      <c r="E502" t="s">
        <v>25</v>
      </c>
      <c r="F502" s="86">
        <v>44232</v>
      </c>
      <c r="G502" t="s">
        <v>2722</v>
      </c>
      <c r="H502">
        <v>3</v>
      </c>
      <c r="I502" t="s">
        <v>64</v>
      </c>
      <c r="J502" t="s">
        <v>1742</v>
      </c>
      <c r="K502">
        <v>582.99</v>
      </c>
      <c r="L502">
        <v>3</v>
      </c>
      <c r="M502">
        <v>3</v>
      </c>
      <c r="N502" t="s">
        <v>56</v>
      </c>
      <c r="O502" t="s">
        <v>142</v>
      </c>
      <c r="P502" t="s">
        <v>68</v>
      </c>
      <c r="Q502" t="s">
        <v>32</v>
      </c>
    </row>
    <row r="503" spans="1:17" x14ac:dyDescent="0.3">
      <c r="A503" t="s">
        <v>2724</v>
      </c>
      <c r="B503" t="s">
        <v>2725</v>
      </c>
      <c r="C503">
        <v>51</v>
      </c>
      <c r="D503" t="s">
        <v>2726</v>
      </c>
      <c r="E503" t="s">
        <v>51</v>
      </c>
      <c r="F503" s="86">
        <v>44571</v>
      </c>
      <c r="G503" t="s">
        <v>473</v>
      </c>
      <c r="H503">
        <v>3</v>
      </c>
      <c r="I503" t="s">
        <v>64</v>
      </c>
      <c r="J503" t="s">
        <v>2727</v>
      </c>
      <c r="K503">
        <v>307.14</v>
      </c>
      <c r="L503">
        <v>2</v>
      </c>
      <c r="M503">
        <v>34</v>
      </c>
      <c r="N503" t="s">
        <v>45</v>
      </c>
      <c r="O503" t="s">
        <v>251</v>
      </c>
      <c r="P503" t="s">
        <v>30</v>
      </c>
      <c r="Q503" t="s">
        <v>322</v>
      </c>
    </row>
    <row r="504" spans="1:17" x14ac:dyDescent="0.3">
      <c r="A504" t="s">
        <v>2729</v>
      </c>
      <c r="B504" t="s">
        <v>2730</v>
      </c>
      <c r="C504">
        <v>66</v>
      </c>
      <c r="D504" t="s">
        <v>2731</v>
      </c>
      <c r="E504" t="s">
        <v>40</v>
      </c>
      <c r="F504" s="86">
        <v>44419</v>
      </c>
      <c r="G504" t="s">
        <v>2368</v>
      </c>
      <c r="H504">
        <v>4</v>
      </c>
      <c r="I504" t="s">
        <v>64</v>
      </c>
      <c r="J504" t="s">
        <v>2732</v>
      </c>
      <c r="K504">
        <v>193.22</v>
      </c>
      <c r="L504">
        <v>8</v>
      </c>
      <c r="M504">
        <v>32</v>
      </c>
      <c r="N504" t="s">
        <v>68</v>
      </c>
      <c r="O504" t="s">
        <v>269</v>
      </c>
      <c r="P504" t="s">
        <v>56</v>
      </c>
      <c r="Q504" t="s">
        <v>69</v>
      </c>
    </row>
    <row r="505" spans="1:17" x14ac:dyDescent="0.3">
      <c r="A505" t="s">
        <v>2734</v>
      </c>
      <c r="B505" t="s">
        <v>2735</v>
      </c>
      <c r="C505">
        <v>58</v>
      </c>
      <c r="D505" t="s">
        <v>2736</v>
      </c>
      <c r="E505" t="s">
        <v>40</v>
      </c>
      <c r="F505" s="86">
        <v>44655</v>
      </c>
      <c r="G505" t="s">
        <v>2737</v>
      </c>
      <c r="H505">
        <v>1</v>
      </c>
      <c r="I505" t="s">
        <v>52</v>
      </c>
      <c r="J505" t="s">
        <v>2738</v>
      </c>
      <c r="K505">
        <v>996.56</v>
      </c>
      <c r="L505">
        <v>2</v>
      </c>
      <c r="M505">
        <v>32</v>
      </c>
      <c r="N505" t="s">
        <v>68</v>
      </c>
      <c r="O505" t="s">
        <v>116</v>
      </c>
      <c r="P505" t="s">
        <v>54</v>
      </c>
      <c r="Q505" t="s">
        <v>69</v>
      </c>
    </row>
    <row r="506" spans="1:17" x14ac:dyDescent="0.3">
      <c r="A506" t="s">
        <v>2740</v>
      </c>
      <c r="B506" t="s">
        <v>2741</v>
      </c>
      <c r="C506">
        <v>31</v>
      </c>
      <c r="D506" t="s">
        <v>2742</v>
      </c>
      <c r="E506" t="s">
        <v>51</v>
      </c>
      <c r="F506" s="86">
        <v>45081</v>
      </c>
      <c r="G506" t="s">
        <v>2743</v>
      </c>
      <c r="H506">
        <v>0</v>
      </c>
      <c r="I506" t="s">
        <v>27</v>
      </c>
      <c r="J506" t="s">
        <v>2744</v>
      </c>
      <c r="K506">
        <v>965.67</v>
      </c>
      <c r="L506">
        <v>2</v>
      </c>
      <c r="M506">
        <v>42</v>
      </c>
      <c r="N506" t="s">
        <v>56</v>
      </c>
      <c r="O506" t="s">
        <v>855</v>
      </c>
      <c r="P506" t="s">
        <v>45</v>
      </c>
      <c r="Q506" t="s">
        <v>32</v>
      </c>
    </row>
    <row r="507" spans="1:17" x14ac:dyDescent="0.3">
      <c r="A507" t="s">
        <v>2746</v>
      </c>
      <c r="B507" t="s">
        <v>2747</v>
      </c>
      <c r="C507">
        <v>35</v>
      </c>
      <c r="D507" t="s">
        <v>2748</v>
      </c>
      <c r="E507" t="s">
        <v>25</v>
      </c>
      <c r="F507" t="s">
        <v>256</v>
      </c>
      <c r="G507" s="86">
        <v>45694</v>
      </c>
      <c r="H507">
        <v>4</v>
      </c>
      <c r="I507" t="s">
        <v>27</v>
      </c>
      <c r="J507" t="s">
        <v>285</v>
      </c>
      <c r="K507">
        <v>134.86000000000001</v>
      </c>
      <c r="L507">
        <v>9</v>
      </c>
      <c r="M507">
        <v>7</v>
      </c>
      <c r="N507" t="s">
        <v>54</v>
      </c>
      <c r="O507" t="s">
        <v>194</v>
      </c>
      <c r="P507" t="s">
        <v>56</v>
      </c>
      <c r="Q507" t="s">
        <v>69</v>
      </c>
    </row>
    <row r="508" spans="1:17" x14ac:dyDescent="0.3">
      <c r="A508" t="s">
        <v>2750</v>
      </c>
      <c r="B508" t="s">
        <v>2751</v>
      </c>
      <c r="C508">
        <v>48</v>
      </c>
      <c r="D508" t="s">
        <v>2752</v>
      </c>
      <c r="E508" t="s">
        <v>51</v>
      </c>
      <c r="F508" t="s">
        <v>1529</v>
      </c>
      <c r="G508" s="86">
        <v>44718</v>
      </c>
      <c r="H508">
        <v>2</v>
      </c>
      <c r="I508" t="s">
        <v>27</v>
      </c>
      <c r="J508" t="s">
        <v>2479</v>
      </c>
      <c r="K508">
        <v>59.06</v>
      </c>
      <c r="L508">
        <v>8</v>
      </c>
      <c r="M508">
        <v>27</v>
      </c>
      <c r="N508" t="s">
        <v>56</v>
      </c>
      <c r="O508" t="s">
        <v>223</v>
      </c>
      <c r="P508" t="s">
        <v>56</v>
      </c>
      <c r="Q508" t="s">
        <v>32</v>
      </c>
    </row>
    <row r="509" spans="1:17" x14ac:dyDescent="0.3">
      <c r="A509" t="s">
        <v>2754</v>
      </c>
      <c r="B509" t="s">
        <v>2755</v>
      </c>
      <c r="C509">
        <v>34</v>
      </c>
      <c r="D509" t="s">
        <v>2756</v>
      </c>
      <c r="E509" t="s">
        <v>51</v>
      </c>
      <c r="F509" t="s">
        <v>2757</v>
      </c>
      <c r="G509" t="s">
        <v>2758</v>
      </c>
      <c r="H509">
        <v>0</v>
      </c>
      <c r="I509" t="s">
        <v>52</v>
      </c>
      <c r="J509" s="86">
        <v>44237</v>
      </c>
      <c r="K509">
        <v>163.78</v>
      </c>
      <c r="L509">
        <v>5</v>
      </c>
      <c r="M509">
        <v>14</v>
      </c>
      <c r="N509" t="s">
        <v>54</v>
      </c>
      <c r="O509" t="s">
        <v>373</v>
      </c>
      <c r="P509" t="s">
        <v>54</v>
      </c>
      <c r="Q509" t="s">
        <v>69</v>
      </c>
    </row>
    <row r="510" spans="1:17" x14ac:dyDescent="0.3">
      <c r="A510" t="s">
        <v>2760</v>
      </c>
      <c r="B510" t="s">
        <v>2761</v>
      </c>
      <c r="C510">
        <v>57</v>
      </c>
      <c r="D510" t="s">
        <v>2762</v>
      </c>
      <c r="E510" t="s">
        <v>61</v>
      </c>
      <c r="F510" s="86">
        <v>44417</v>
      </c>
      <c r="G510" s="86">
        <v>45383</v>
      </c>
      <c r="H510">
        <v>3</v>
      </c>
      <c r="I510" t="s">
        <v>64</v>
      </c>
      <c r="J510" t="s">
        <v>2763</v>
      </c>
      <c r="K510">
        <v>204.26</v>
      </c>
      <c r="L510">
        <v>9</v>
      </c>
      <c r="M510">
        <v>38</v>
      </c>
      <c r="N510" t="s">
        <v>68</v>
      </c>
      <c r="O510" t="s">
        <v>604</v>
      </c>
      <c r="P510" t="s">
        <v>45</v>
      </c>
      <c r="Q510" t="s">
        <v>32</v>
      </c>
    </row>
    <row r="511" spans="1:17" x14ac:dyDescent="0.3">
      <c r="A511" t="s">
        <v>2765</v>
      </c>
      <c r="B511" t="s">
        <v>2766</v>
      </c>
      <c r="C511">
        <v>42</v>
      </c>
      <c r="D511" t="s">
        <v>2767</v>
      </c>
      <c r="E511" t="s">
        <v>88</v>
      </c>
      <c r="F511" t="s">
        <v>2768</v>
      </c>
      <c r="G511" s="86">
        <v>45481</v>
      </c>
      <c r="H511">
        <v>3</v>
      </c>
      <c r="I511" t="s">
        <v>27</v>
      </c>
      <c r="J511" t="s">
        <v>2486</v>
      </c>
      <c r="K511">
        <v>162.05000000000001</v>
      </c>
      <c r="L511">
        <v>9</v>
      </c>
      <c r="M511">
        <v>32</v>
      </c>
      <c r="N511" t="s">
        <v>54</v>
      </c>
      <c r="O511" t="s">
        <v>135</v>
      </c>
      <c r="P511" t="s">
        <v>45</v>
      </c>
      <c r="Q511" t="s">
        <v>69</v>
      </c>
    </row>
    <row r="512" spans="1:17" x14ac:dyDescent="0.3">
      <c r="A512" t="s">
        <v>2770</v>
      </c>
      <c r="B512" t="s">
        <v>2771</v>
      </c>
      <c r="C512">
        <v>60</v>
      </c>
      <c r="D512" t="s">
        <v>2772</v>
      </c>
      <c r="E512" t="s">
        <v>88</v>
      </c>
      <c r="F512" t="s">
        <v>1154</v>
      </c>
      <c r="G512" t="s">
        <v>919</v>
      </c>
      <c r="H512">
        <v>3</v>
      </c>
      <c r="I512" t="s">
        <v>52</v>
      </c>
      <c r="J512" t="s">
        <v>140</v>
      </c>
      <c r="K512">
        <v>124.82</v>
      </c>
      <c r="L512">
        <v>6</v>
      </c>
      <c r="M512">
        <v>43</v>
      </c>
      <c r="N512" t="s">
        <v>45</v>
      </c>
      <c r="O512" t="s">
        <v>175</v>
      </c>
      <c r="P512" t="s">
        <v>56</v>
      </c>
      <c r="Q512" t="s">
        <v>32</v>
      </c>
    </row>
    <row r="513" spans="1:17" x14ac:dyDescent="0.3">
      <c r="A513" t="s">
        <v>2774</v>
      </c>
      <c r="B513" t="s">
        <v>2775</v>
      </c>
      <c r="C513">
        <v>28</v>
      </c>
      <c r="D513" t="s">
        <v>2776</v>
      </c>
      <c r="E513" t="s">
        <v>25</v>
      </c>
      <c r="F513" s="86">
        <v>44812</v>
      </c>
      <c r="G513" s="86">
        <v>45331</v>
      </c>
      <c r="H513">
        <v>1</v>
      </c>
      <c r="I513" t="s">
        <v>64</v>
      </c>
      <c r="J513" s="86">
        <v>45476</v>
      </c>
      <c r="K513">
        <v>81.489999999999995</v>
      </c>
      <c r="L513">
        <v>7</v>
      </c>
      <c r="M513">
        <v>32</v>
      </c>
      <c r="N513" t="s">
        <v>68</v>
      </c>
      <c r="O513" t="s">
        <v>135</v>
      </c>
      <c r="P513" t="s">
        <v>45</v>
      </c>
      <c r="Q513" t="s">
        <v>32</v>
      </c>
    </row>
    <row r="514" spans="1:17" x14ac:dyDescent="0.3">
      <c r="A514" t="s">
        <v>2778</v>
      </c>
      <c r="B514" t="s">
        <v>2779</v>
      </c>
      <c r="C514">
        <v>34</v>
      </c>
      <c r="D514" t="s">
        <v>2780</v>
      </c>
      <c r="E514" t="s">
        <v>25</v>
      </c>
      <c r="F514" s="86">
        <v>44507</v>
      </c>
      <c r="G514" t="s">
        <v>2781</v>
      </c>
      <c r="H514">
        <v>0</v>
      </c>
      <c r="I514" t="s">
        <v>64</v>
      </c>
      <c r="J514" t="s">
        <v>808</v>
      </c>
      <c r="K514">
        <v>36.04</v>
      </c>
      <c r="L514">
        <v>3</v>
      </c>
      <c r="M514">
        <v>23</v>
      </c>
      <c r="N514" t="s">
        <v>56</v>
      </c>
      <c r="O514" t="s">
        <v>157</v>
      </c>
      <c r="P514" t="s">
        <v>68</v>
      </c>
      <c r="Q514" t="s">
        <v>69</v>
      </c>
    </row>
    <row r="515" spans="1:17" x14ac:dyDescent="0.3">
      <c r="A515" t="s">
        <v>2783</v>
      </c>
      <c r="B515" t="s">
        <v>2784</v>
      </c>
      <c r="C515">
        <v>44</v>
      </c>
      <c r="D515" t="s">
        <v>2785</v>
      </c>
      <c r="E515" t="s">
        <v>88</v>
      </c>
      <c r="F515" s="86">
        <v>44846</v>
      </c>
      <c r="G515" t="s">
        <v>1338</v>
      </c>
      <c r="H515">
        <v>4</v>
      </c>
      <c r="I515" t="s">
        <v>52</v>
      </c>
      <c r="J515" s="86">
        <v>45413</v>
      </c>
      <c r="K515">
        <v>243.55</v>
      </c>
      <c r="L515">
        <v>7</v>
      </c>
      <c r="M515">
        <v>26</v>
      </c>
      <c r="N515" t="s">
        <v>68</v>
      </c>
      <c r="O515" t="s">
        <v>418</v>
      </c>
      <c r="P515" t="s">
        <v>56</v>
      </c>
      <c r="Q515" t="s">
        <v>69</v>
      </c>
    </row>
    <row r="516" spans="1:17" x14ac:dyDescent="0.3">
      <c r="A516" t="s">
        <v>2787</v>
      </c>
      <c r="B516" t="s">
        <v>2788</v>
      </c>
      <c r="C516">
        <v>57</v>
      </c>
      <c r="D516" t="s">
        <v>2789</v>
      </c>
      <c r="E516" t="s">
        <v>61</v>
      </c>
      <c r="F516" t="s">
        <v>1999</v>
      </c>
      <c r="G516" s="86">
        <v>45139</v>
      </c>
      <c r="H516">
        <v>1</v>
      </c>
      <c r="I516" t="s">
        <v>27</v>
      </c>
      <c r="J516" t="s">
        <v>2790</v>
      </c>
      <c r="K516">
        <v>428.54</v>
      </c>
      <c r="L516">
        <v>3</v>
      </c>
      <c r="M516">
        <v>33</v>
      </c>
      <c r="N516" t="s">
        <v>45</v>
      </c>
      <c r="O516" t="s">
        <v>91</v>
      </c>
      <c r="P516" t="s">
        <v>54</v>
      </c>
      <c r="Q516" t="s">
        <v>69</v>
      </c>
    </row>
    <row r="517" spans="1:17" x14ac:dyDescent="0.3">
      <c r="A517" t="s">
        <v>2792</v>
      </c>
      <c r="B517" t="s">
        <v>2793</v>
      </c>
      <c r="C517">
        <v>54</v>
      </c>
      <c r="D517" t="s">
        <v>2794</v>
      </c>
      <c r="E517" t="s">
        <v>61</v>
      </c>
      <c r="F517" t="s">
        <v>2795</v>
      </c>
      <c r="G517" s="86">
        <v>45263</v>
      </c>
      <c r="H517">
        <v>5</v>
      </c>
      <c r="I517" t="s">
        <v>27</v>
      </c>
      <c r="J517" s="86">
        <v>45904</v>
      </c>
      <c r="K517">
        <v>234.67</v>
      </c>
      <c r="L517">
        <v>3</v>
      </c>
      <c r="M517">
        <v>8</v>
      </c>
      <c r="N517" t="s">
        <v>45</v>
      </c>
      <c r="O517" t="s">
        <v>366</v>
      </c>
      <c r="P517" t="s">
        <v>54</v>
      </c>
      <c r="Q517" t="s">
        <v>69</v>
      </c>
    </row>
    <row r="518" spans="1:17" x14ac:dyDescent="0.3">
      <c r="A518" t="s">
        <v>2797</v>
      </c>
      <c r="B518" t="s">
        <v>2798</v>
      </c>
      <c r="C518">
        <v>51</v>
      </c>
      <c r="D518" t="s">
        <v>2799</v>
      </c>
      <c r="E518" t="s">
        <v>61</v>
      </c>
      <c r="F518" s="86">
        <v>44289</v>
      </c>
      <c r="G518" t="s">
        <v>2768</v>
      </c>
      <c r="H518">
        <v>1</v>
      </c>
      <c r="I518" t="s">
        <v>52</v>
      </c>
      <c r="J518" t="s">
        <v>2800</v>
      </c>
      <c r="K518">
        <v>142.25</v>
      </c>
      <c r="L518">
        <v>9</v>
      </c>
      <c r="M518">
        <v>40</v>
      </c>
      <c r="N518" t="s">
        <v>45</v>
      </c>
      <c r="O518" t="s">
        <v>604</v>
      </c>
      <c r="P518" t="s">
        <v>45</v>
      </c>
      <c r="Q518" t="s">
        <v>69</v>
      </c>
    </row>
    <row r="519" spans="1:17" x14ac:dyDescent="0.3">
      <c r="A519" t="s">
        <v>2802</v>
      </c>
      <c r="B519" t="s">
        <v>2803</v>
      </c>
      <c r="C519">
        <v>41</v>
      </c>
      <c r="D519" t="s">
        <v>2804</v>
      </c>
      <c r="E519" t="s">
        <v>40</v>
      </c>
      <c r="F519" s="86">
        <v>45263</v>
      </c>
      <c r="G519" s="86">
        <v>45055</v>
      </c>
      <c r="H519">
        <v>3</v>
      </c>
      <c r="I519" t="s">
        <v>52</v>
      </c>
      <c r="J519" t="s">
        <v>809</v>
      </c>
      <c r="K519">
        <v>116.18</v>
      </c>
      <c r="L519">
        <v>6</v>
      </c>
      <c r="M519">
        <v>20</v>
      </c>
      <c r="N519" t="s">
        <v>68</v>
      </c>
      <c r="O519" t="s">
        <v>194</v>
      </c>
      <c r="P519" t="s">
        <v>56</v>
      </c>
      <c r="Q519" t="s">
        <v>69</v>
      </c>
    </row>
    <row r="520" spans="1:17" x14ac:dyDescent="0.3">
      <c r="A520" t="s">
        <v>2806</v>
      </c>
      <c r="B520" t="s">
        <v>2807</v>
      </c>
      <c r="C520">
        <v>47</v>
      </c>
      <c r="D520" t="s">
        <v>2808</v>
      </c>
      <c r="E520" t="s">
        <v>95</v>
      </c>
      <c r="F520" t="s">
        <v>2809</v>
      </c>
      <c r="G520" t="s">
        <v>2810</v>
      </c>
      <c r="H520">
        <v>5</v>
      </c>
      <c r="I520" t="s">
        <v>27</v>
      </c>
      <c r="J520" t="s">
        <v>1153</v>
      </c>
      <c r="K520">
        <v>321.74</v>
      </c>
      <c r="L520">
        <v>6</v>
      </c>
      <c r="M520">
        <v>15</v>
      </c>
      <c r="N520" t="s">
        <v>56</v>
      </c>
      <c r="O520" t="s">
        <v>175</v>
      </c>
      <c r="P520" t="s">
        <v>56</v>
      </c>
      <c r="Q520" t="s">
        <v>69</v>
      </c>
    </row>
    <row r="521" spans="1:17" x14ac:dyDescent="0.3">
      <c r="A521" t="s">
        <v>2812</v>
      </c>
      <c r="B521" t="s">
        <v>2813</v>
      </c>
      <c r="C521">
        <v>26</v>
      </c>
      <c r="D521" t="s">
        <v>2814</v>
      </c>
      <c r="E521" t="s">
        <v>40</v>
      </c>
      <c r="F521" s="86">
        <v>43839</v>
      </c>
      <c r="G521" t="s">
        <v>338</v>
      </c>
      <c r="H521">
        <v>1</v>
      </c>
      <c r="I521" t="s">
        <v>27</v>
      </c>
      <c r="J521" s="86">
        <v>45263</v>
      </c>
      <c r="K521">
        <v>266.97000000000003</v>
      </c>
      <c r="L521">
        <v>5</v>
      </c>
      <c r="M521">
        <v>9</v>
      </c>
      <c r="N521" t="s">
        <v>68</v>
      </c>
      <c r="O521" t="s">
        <v>199</v>
      </c>
      <c r="P521" t="s">
        <v>54</v>
      </c>
      <c r="Q521" t="s">
        <v>32</v>
      </c>
    </row>
    <row r="522" spans="1:17" x14ac:dyDescent="0.3">
      <c r="A522" t="s">
        <v>2816</v>
      </c>
      <c r="B522" t="s">
        <v>2817</v>
      </c>
      <c r="C522">
        <v>40</v>
      </c>
      <c r="D522" t="s">
        <v>2818</v>
      </c>
      <c r="E522" t="s">
        <v>25</v>
      </c>
      <c r="F522" t="s">
        <v>1142</v>
      </c>
      <c r="G522" s="86">
        <v>45078</v>
      </c>
      <c r="H522">
        <v>1</v>
      </c>
      <c r="I522" t="s">
        <v>27</v>
      </c>
      <c r="J522" t="s">
        <v>2819</v>
      </c>
      <c r="K522">
        <v>283.95999999999998</v>
      </c>
      <c r="L522">
        <v>5</v>
      </c>
      <c r="M522">
        <v>36</v>
      </c>
      <c r="N522" t="s">
        <v>45</v>
      </c>
      <c r="O522" t="s">
        <v>366</v>
      </c>
      <c r="P522" t="s">
        <v>54</v>
      </c>
      <c r="Q522" t="s">
        <v>32</v>
      </c>
    </row>
    <row r="523" spans="1:17" x14ac:dyDescent="0.3">
      <c r="A523" t="s">
        <v>2821</v>
      </c>
      <c r="B523" t="s">
        <v>2822</v>
      </c>
      <c r="C523">
        <v>43</v>
      </c>
      <c r="D523" t="s">
        <v>2823</v>
      </c>
      <c r="E523" t="s">
        <v>61</v>
      </c>
      <c r="F523" t="s">
        <v>146</v>
      </c>
      <c r="G523" t="s">
        <v>519</v>
      </c>
      <c r="H523">
        <v>2</v>
      </c>
      <c r="I523" t="s">
        <v>27</v>
      </c>
      <c r="J523" s="86">
        <v>45814</v>
      </c>
      <c r="K523">
        <v>382.28</v>
      </c>
      <c r="L523">
        <v>4</v>
      </c>
      <c r="M523">
        <v>47</v>
      </c>
      <c r="N523" t="s">
        <v>30</v>
      </c>
      <c r="O523" t="s">
        <v>194</v>
      </c>
      <c r="P523" t="s">
        <v>56</v>
      </c>
      <c r="Q523" t="s">
        <v>69</v>
      </c>
    </row>
    <row r="524" spans="1:17" x14ac:dyDescent="0.3">
      <c r="A524" t="s">
        <v>2825</v>
      </c>
      <c r="B524" t="s">
        <v>2826</v>
      </c>
      <c r="C524">
        <v>53</v>
      </c>
      <c r="D524" t="s">
        <v>2827</v>
      </c>
      <c r="E524" t="s">
        <v>40</v>
      </c>
      <c r="F524" t="s">
        <v>2828</v>
      </c>
      <c r="G524" t="s">
        <v>2829</v>
      </c>
      <c r="H524">
        <v>2</v>
      </c>
      <c r="I524" t="s">
        <v>64</v>
      </c>
      <c r="J524" s="86">
        <v>45542</v>
      </c>
      <c r="K524">
        <v>217.42</v>
      </c>
      <c r="L524">
        <v>4</v>
      </c>
      <c r="M524">
        <v>43</v>
      </c>
      <c r="N524" t="s">
        <v>45</v>
      </c>
      <c r="O524" t="s">
        <v>149</v>
      </c>
      <c r="P524" t="s">
        <v>30</v>
      </c>
      <c r="Q524" t="s">
        <v>69</v>
      </c>
    </row>
    <row r="525" spans="1:17" x14ac:dyDescent="0.3">
      <c r="A525" t="s">
        <v>2831</v>
      </c>
      <c r="B525" t="s">
        <v>2832</v>
      </c>
      <c r="C525">
        <v>63</v>
      </c>
      <c r="D525" t="s">
        <v>2833</v>
      </c>
      <c r="E525" t="s">
        <v>25</v>
      </c>
      <c r="F525" t="s">
        <v>2722</v>
      </c>
      <c r="G525" t="s">
        <v>185</v>
      </c>
      <c r="H525">
        <v>3</v>
      </c>
      <c r="I525" t="s">
        <v>27</v>
      </c>
      <c r="J525" t="s">
        <v>2834</v>
      </c>
      <c r="K525">
        <v>57.75</v>
      </c>
      <c r="L525">
        <v>8</v>
      </c>
      <c r="M525">
        <v>5</v>
      </c>
      <c r="N525" t="s">
        <v>68</v>
      </c>
      <c r="O525" t="s">
        <v>211</v>
      </c>
      <c r="P525" t="s">
        <v>68</v>
      </c>
      <c r="Q525" t="s">
        <v>69</v>
      </c>
    </row>
    <row r="526" spans="1:17" x14ac:dyDescent="0.3">
      <c r="A526" t="s">
        <v>2836</v>
      </c>
      <c r="B526" t="s">
        <v>2837</v>
      </c>
      <c r="C526">
        <v>43</v>
      </c>
      <c r="D526" t="s">
        <v>2838</v>
      </c>
      <c r="E526" t="s">
        <v>40</v>
      </c>
      <c r="F526" s="86">
        <v>44289</v>
      </c>
      <c r="G526" s="86">
        <v>44780</v>
      </c>
      <c r="H526">
        <v>5</v>
      </c>
      <c r="I526" t="s">
        <v>27</v>
      </c>
      <c r="J526" s="86">
        <v>45660</v>
      </c>
      <c r="K526">
        <v>256.45</v>
      </c>
      <c r="L526">
        <v>4</v>
      </c>
      <c r="M526">
        <v>29</v>
      </c>
      <c r="N526" t="s">
        <v>45</v>
      </c>
      <c r="O526" t="s">
        <v>116</v>
      </c>
      <c r="P526" t="s">
        <v>54</v>
      </c>
      <c r="Q526" t="s">
        <v>32</v>
      </c>
    </row>
    <row r="527" spans="1:17" x14ac:dyDescent="0.3">
      <c r="A527" t="s">
        <v>2840</v>
      </c>
      <c r="B527" t="s">
        <v>2841</v>
      </c>
      <c r="C527">
        <v>66</v>
      </c>
      <c r="D527" t="s">
        <v>2842</v>
      </c>
      <c r="E527" t="s">
        <v>95</v>
      </c>
      <c r="F527" s="86">
        <v>45113</v>
      </c>
      <c r="G527" s="86">
        <v>45632</v>
      </c>
      <c r="H527">
        <v>5</v>
      </c>
      <c r="I527" t="s">
        <v>64</v>
      </c>
      <c r="J527" t="s">
        <v>2843</v>
      </c>
      <c r="K527">
        <v>300.55</v>
      </c>
      <c r="L527">
        <v>6</v>
      </c>
      <c r="M527">
        <v>18</v>
      </c>
      <c r="N527" t="s">
        <v>54</v>
      </c>
      <c r="O527" t="s">
        <v>91</v>
      </c>
      <c r="P527" t="s">
        <v>54</v>
      </c>
      <c r="Q527" t="s">
        <v>69</v>
      </c>
    </row>
    <row r="528" spans="1:17" x14ac:dyDescent="0.3">
      <c r="A528" t="s">
        <v>2845</v>
      </c>
      <c r="B528" t="s">
        <v>2846</v>
      </c>
      <c r="C528">
        <v>54</v>
      </c>
      <c r="D528" t="s">
        <v>2847</v>
      </c>
      <c r="E528" t="s">
        <v>61</v>
      </c>
      <c r="F528" t="s">
        <v>2848</v>
      </c>
      <c r="G528" t="s">
        <v>2848</v>
      </c>
      <c r="H528">
        <v>3</v>
      </c>
      <c r="I528" t="s">
        <v>64</v>
      </c>
      <c r="J528" t="s">
        <v>2849</v>
      </c>
      <c r="K528">
        <v>75.599999999999994</v>
      </c>
      <c r="L528">
        <v>8</v>
      </c>
      <c r="M528">
        <v>26</v>
      </c>
      <c r="N528" t="s">
        <v>30</v>
      </c>
      <c r="O528" t="s">
        <v>199</v>
      </c>
      <c r="P528" t="s">
        <v>54</v>
      </c>
      <c r="Q528" t="s">
        <v>69</v>
      </c>
    </row>
    <row r="529" spans="1:17" x14ac:dyDescent="0.3">
      <c r="A529" t="s">
        <v>2851</v>
      </c>
      <c r="B529" t="s">
        <v>2852</v>
      </c>
      <c r="C529">
        <v>30</v>
      </c>
      <c r="D529" t="s">
        <v>2853</v>
      </c>
      <c r="E529" t="s">
        <v>61</v>
      </c>
      <c r="F529" t="s">
        <v>337</v>
      </c>
      <c r="G529" s="86">
        <v>45419</v>
      </c>
      <c r="H529">
        <v>4</v>
      </c>
      <c r="I529" t="s">
        <v>52</v>
      </c>
      <c r="J529" t="s">
        <v>1536</v>
      </c>
      <c r="K529">
        <v>1582.47</v>
      </c>
      <c r="L529">
        <v>1</v>
      </c>
      <c r="M529">
        <v>39</v>
      </c>
      <c r="N529" t="s">
        <v>68</v>
      </c>
      <c r="O529" t="s">
        <v>238</v>
      </c>
      <c r="P529" t="s">
        <v>45</v>
      </c>
      <c r="Q529" t="s">
        <v>69</v>
      </c>
    </row>
    <row r="530" spans="1:17" x14ac:dyDescent="0.3">
      <c r="A530" t="s">
        <v>2855</v>
      </c>
      <c r="B530" t="s">
        <v>2856</v>
      </c>
      <c r="C530">
        <v>24</v>
      </c>
      <c r="D530" t="s">
        <v>2857</v>
      </c>
      <c r="E530" t="s">
        <v>40</v>
      </c>
      <c r="F530" t="s">
        <v>2858</v>
      </c>
      <c r="G530" s="86">
        <v>45141</v>
      </c>
      <c r="H530">
        <v>5</v>
      </c>
      <c r="I530" t="s">
        <v>27</v>
      </c>
      <c r="J530" s="86">
        <v>45053</v>
      </c>
      <c r="K530">
        <v>199.61</v>
      </c>
      <c r="L530">
        <v>6</v>
      </c>
      <c r="M530">
        <v>30</v>
      </c>
      <c r="N530" t="s">
        <v>68</v>
      </c>
      <c r="O530" t="s">
        <v>855</v>
      </c>
      <c r="P530" t="s">
        <v>45</v>
      </c>
      <c r="Q530" t="s">
        <v>32</v>
      </c>
    </row>
    <row r="531" spans="1:17" x14ac:dyDescent="0.3">
      <c r="A531" t="s">
        <v>2860</v>
      </c>
      <c r="B531" t="s">
        <v>2861</v>
      </c>
      <c r="C531">
        <v>50</v>
      </c>
      <c r="D531" t="s">
        <v>2862</v>
      </c>
      <c r="E531" t="s">
        <v>95</v>
      </c>
      <c r="F531" t="s">
        <v>2757</v>
      </c>
      <c r="G531" s="86">
        <v>45839</v>
      </c>
      <c r="H531">
        <v>3</v>
      </c>
      <c r="I531" t="s">
        <v>27</v>
      </c>
      <c r="J531" s="86">
        <v>44685</v>
      </c>
      <c r="K531">
        <v>75.760000000000005</v>
      </c>
      <c r="L531">
        <v>9</v>
      </c>
      <c r="M531">
        <v>7</v>
      </c>
      <c r="N531" t="s">
        <v>54</v>
      </c>
      <c r="O531" t="s">
        <v>610</v>
      </c>
      <c r="P531" t="s">
        <v>68</v>
      </c>
      <c r="Q531" t="s">
        <v>69</v>
      </c>
    </row>
    <row r="532" spans="1:17" x14ac:dyDescent="0.3">
      <c r="A532" t="s">
        <v>2864</v>
      </c>
      <c r="B532" t="s">
        <v>2865</v>
      </c>
      <c r="C532">
        <v>26</v>
      </c>
      <c r="D532" t="s">
        <v>2866</v>
      </c>
      <c r="E532" t="s">
        <v>25</v>
      </c>
      <c r="F532" t="s">
        <v>266</v>
      </c>
      <c r="G532" t="s">
        <v>209</v>
      </c>
      <c r="H532">
        <v>1</v>
      </c>
      <c r="I532" t="s">
        <v>27</v>
      </c>
      <c r="J532" t="s">
        <v>2218</v>
      </c>
      <c r="K532">
        <v>169.33</v>
      </c>
      <c r="L532">
        <v>3</v>
      </c>
      <c r="M532">
        <v>19</v>
      </c>
      <c r="N532" t="s">
        <v>68</v>
      </c>
      <c r="O532" t="s">
        <v>354</v>
      </c>
      <c r="P532" t="s">
        <v>45</v>
      </c>
      <c r="Q532" t="s">
        <v>69</v>
      </c>
    </row>
    <row r="533" spans="1:17" x14ac:dyDescent="0.3">
      <c r="A533" t="s">
        <v>2868</v>
      </c>
      <c r="B533" t="s">
        <v>2869</v>
      </c>
      <c r="C533">
        <v>44</v>
      </c>
      <c r="D533" t="s">
        <v>2870</v>
      </c>
      <c r="E533" t="s">
        <v>25</v>
      </c>
      <c r="F533" s="86">
        <v>44809</v>
      </c>
      <c r="G533" t="s">
        <v>1841</v>
      </c>
      <c r="H533">
        <v>5</v>
      </c>
      <c r="I533" t="s">
        <v>27</v>
      </c>
      <c r="J533" t="s">
        <v>2871</v>
      </c>
      <c r="K533">
        <v>279.79000000000002</v>
      </c>
      <c r="L533">
        <v>5</v>
      </c>
      <c r="M533">
        <v>32</v>
      </c>
      <c r="N533" t="s">
        <v>45</v>
      </c>
      <c r="O533" t="s">
        <v>169</v>
      </c>
      <c r="P533" t="s">
        <v>30</v>
      </c>
      <c r="Q533" t="s">
        <v>32</v>
      </c>
    </row>
    <row r="534" spans="1:17" x14ac:dyDescent="0.3">
      <c r="A534" t="s">
        <v>2873</v>
      </c>
      <c r="B534" t="s">
        <v>2874</v>
      </c>
      <c r="C534">
        <v>40</v>
      </c>
      <c r="D534" t="s">
        <v>2875</v>
      </c>
      <c r="E534" t="s">
        <v>40</v>
      </c>
      <c r="F534" t="s">
        <v>2876</v>
      </c>
      <c r="G534" s="86">
        <v>45264</v>
      </c>
      <c r="H534">
        <v>3</v>
      </c>
      <c r="I534" t="s">
        <v>27</v>
      </c>
      <c r="J534" t="s">
        <v>1812</v>
      </c>
      <c r="K534">
        <v>18.93</v>
      </c>
      <c r="L534">
        <v>4</v>
      </c>
      <c r="M534">
        <v>45</v>
      </c>
      <c r="N534" t="s">
        <v>54</v>
      </c>
      <c r="O534" t="s">
        <v>293</v>
      </c>
      <c r="P534" t="s">
        <v>45</v>
      </c>
      <c r="Q534" t="s">
        <v>69</v>
      </c>
    </row>
    <row r="535" spans="1:17" x14ac:dyDescent="0.3">
      <c r="A535" t="s">
        <v>2878</v>
      </c>
      <c r="B535" t="s">
        <v>2879</v>
      </c>
      <c r="C535">
        <v>41</v>
      </c>
      <c r="D535" t="s">
        <v>2880</v>
      </c>
      <c r="E535" t="s">
        <v>61</v>
      </c>
      <c r="F535" t="s">
        <v>658</v>
      </c>
      <c r="G535" s="86">
        <v>45449</v>
      </c>
      <c r="H535">
        <v>2</v>
      </c>
      <c r="I535" t="s">
        <v>27</v>
      </c>
      <c r="J535" t="s">
        <v>645</v>
      </c>
      <c r="K535">
        <v>147.55000000000001</v>
      </c>
      <c r="L535">
        <v>8</v>
      </c>
      <c r="M535">
        <v>32</v>
      </c>
      <c r="N535" t="s">
        <v>45</v>
      </c>
      <c r="O535" t="s">
        <v>354</v>
      </c>
      <c r="P535" t="s">
        <v>45</v>
      </c>
      <c r="Q535" t="s">
        <v>69</v>
      </c>
    </row>
    <row r="536" spans="1:17" x14ac:dyDescent="0.3">
      <c r="A536" t="s">
        <v>2882</v>
      </c>
      <c r="B536" t="s">
        <v>2883</v>
      </c>
      <c r="C536">
        <v>54</v>
      </c>
      <c r="D536" t="s">
        <v>2884</v>
      </c>
      <c r="E536" t="s">
        <v>95</v>
      </c>
      <c r="F536" t="s">
        <v>2885</v>
      </c>
      <c r="G536" t="s">
        <v>809</v>
      </c>
      <c r="H536">
        <v>4</v>
      </c>
      <c r="I536" t="s">
        <v>27</v>
      </c>
      <c r="J536" s="86">
        <v>45206</v>
      </c>
      <c r="K536">
        <v>82.68</v>
      </c>
      <c r="L536">
        <v>9</v>
      </c>
      <c r="M536">
        <v>2</v>
      </c>
      <c r="N536" t="s">
        <v>56</v>
      </c>
      <c r="O536" t="s">
        <v>128</v>
      </c>
      <c r="P536" t="s">
        <v>54</v>
      </c>
      <c r="Q536" t="s">
        <v>69</v>
      </c>
    </row>
    <row r="537" spans="1:17" x14ac:dyDescent="0.3">
      <c r="A537" t="s">
        <v>2887</v>
      </c>
      <c r="B537" t="s">
        <v>2888</v>
      </c>
      <c r="C537">
        <v>29</v>
      </c>
      <c r="D537" t="s">
        <v>2889</v>
      </c>
      <c r="E537" t="s">
        <v>51</v>
      </c>
      <c r="F537" t="s">
        <v>1775</v>
      </c>
      <c r="G537" t="s">
        <v>2323</v>
      </c>
      <c r="H537">
        <v>4</v>
      </c>
      <c r="I537" t="s">
        <v>52</v>
      </c>
      <c r="J537" s="86">
        <v>45087</v>
      </c>
      <c r="K537">
        <v>178.63</v>
      </c>
      <c r="L537">
        <v>9</v>
      </c>
      <c r="M537">
        <v>15</v>
      </c>
      <c r="N537" t="s">
        <v>68</v>
      </c>
      <c r="O537" t="s">
        <v>135</v>
      </c>
      <c r="P537" t="s">
        <v>45</v>
      </c>
      <c r="Q537" t="s">
        <v>32</v>
      </c>
    </row>
    <row r="538" spans="1:17" x14ac:dyDescent="0.3">
      <c r="A538" t="s">
        <v>2891</v>
      </c>
      <c r="B538" t="s">
        <v>2892</v>
      </c>
      <c r="C538">
        <v>20</v>
      </c>
      <c r="D538" t="s">
        <v>2893</v>
      </c>
      <c r="E538" t="s">
        <v>51</v>
      </c>
      <c r="F538" t="s">
        <v>1695</v>
      </c>
      <c r="G538" t="s">
        <v>1253</v>
      </c>
      <c r="H538">
        <v>3</v>
      </c>
      <c r="I538" t="s">
        <v>27</v>
      </c>
      <c r="J538" s="86">
        <v>45361</v>
      </c>
      <c r="K538">
        <v>22.44</v>
      </c>
      <c r="L538">
        <v>8</v>
      </c>
      <c r="M538">
        <v>21</v>
      </c>
      <c r="N538" t="s">
        <v>45</v>
      </c>
      <c r="O538" t="s">
        <v>269</v>
      </c>
      <c r="P538" t="s">
        <v>56</v>
      </c>
      <c r="Q538" t="s">
        <v>32</v>
      </c>
    </row>
    <row r="539" spans="1:17" x14ac:dyDescent="0.3">
      <c r="A539" t="s">
        <v>2895</v>
      </c>
      <c r="B539" t="s">
        <v>2896</v>
      </c>
      <c r="C539">
        <v>59</v>
      </c>
      <c r="D539" t="s">
        <v>2897</v>
      </c>
      <c r="E539" t="s">
        <v>61</v>
      </c>
      <c r="F539" t="s">
        <v>1408</v>
      </c>
      <c r="G539" s="86">
        <v>45545</v>
      </c>
      <c r="H539">
        <v>0</v>
      </c>
      <c r="I539" t="s">
        <v>27</v>
      </c>
      <c r="J539" s="86">
        <v>45515</v>
      </c>
      <c r="K539">
        <v>443.38</v>
      </c>
      <c r="L539">
        <v>4</v>
      </c>
      <c r="M539">
        <v>8</v>
      </c>
      <c r="N539" t="s">
        <v>30</v>
      </c>
      <c r="O539" t="s">
        <v>128</v>
      </c>
      <c r="P539" t="s">
        <v>54</v>
      </c>
      <c r="Q539" t="s">
        <v>32</v>
      </c>
    </row>
    <row r="540" spans="1:17" x14ac:dyDescent="0.3">
      <c r="A540" t="s">
        <v>2899</v>
      </c>
      <c r="B540" t="s">
        <v>2900</v>
      </c>
      <c r="C540">
        <v>37</v>
      </c>
      <c r="D540" t="s">
        <v>2901</v>
      </c>
      <c r="E540" t="s">
        <v>25</v>
      </c>
      <c r="F540" s="86">
        <v>44841</v>
      </c>
      <c r="G540" t="s">
        <v>2902</v>
      </c>
      <c r="H540">
        <v>0</v>
      </c>
      <c r="I540" t="s">
        <v>27</v>
      </c>
      <c r="J540" t="s">
        <v>1190</v>
      </c>
      <c r="K540">
        <v>189.41</v>
      </c>
      <c r="L540">
        <v>8</v>
      </c>
      <c r="M540">
        <v>46</v>
      </c>
      <c r="N540" t="s">
        <v>54</v>
      </c>
      <c r="O540" t="s">
        <v>624</v>
      </c>
      <c r="P540" t="s">
        <v>30</v>
      </c>
      <c r="Q540" t="s">
        <v>69</v>
      </c>
    </row>
    <row r="541" spans="1:17" x14ac:dyDescent="0.3">
      <c r="A541" t="s">
        <v>2903</v>
      </c>
      <c r="B541" t="s">
        <v>2904</v>
      </c>
      <c r="C541">
        <v>61</v>
      </c>
      <c r="D541" t="s">
        <v>2905</v>
      </c>
      <c r="E541" t="s">
        <v>25</v>
      </c>
      <c r="F541" s="86">
        <v>44753</v>
      </c>
      <c r="G541" t="s">
        <v>2906</v>
      </c>
      <c r="H541">
        <v>4</v>
      </c>
      <c r="I541" t="s">
        <v>27</v>
      </c>
      <c r="J541" t="s">
        <v>2907</v>
      </c>
      <c r="K541">
        <v>440.91</v>
      </c>
      <c r="L541">
        <v>3</v>
      </c>
      <c r="M541">
        <v>33</v>
      </c>
      <c r="N541" t="s">
        <v>54</v>
      </c>
      <c r="O541" t="s">
        <v>142</v>
      </c>
      <c r="P541" t="s">
        <v>68</v>
      </c>
      <c r="Q541" t="s">
        <v>32</v>
      </c>
    </row>
    <row r="542" spans="1:17" x14ac:dyDescent="0.3">
      <c r="A542" t="s">
        <v>2909</v>
      </c>
      <c r="B542" t="s">
        <v>2910</v>
      </c>
      <c r="C542">
        <v>50</v>
      </c>
      <c r="D542" t="s">
        <v>2911</v>
      </c>
      <c r="E542" t="s">
        <v>25</v>
      </c>
      <c r="F542" s="86">
        <v>43872</v>
      </c>
      <c r="G542" t="s">
        <v>1742</v>
      </c>
      <c r="H542">
        <v>5</v>
      </c>
      <c r="I542" t="s">
        <v>27</v>
      </c>
      <c r="J542" s="86">
        <v>44318</v>
      </c>
      <c r="K542">
        <v>944.82</v>
      </c>
      <c r="L542">
        <v>2</v>
      </c>
      <c r="M542">
        <v>29</v>
      </c>
      <c r="N542" t="s">
        <v>68</v>
      </c>
      <c r="O542" t="s">
        <v>77</v>
      </c>
      <c r="P542" t="s">
        <v>54</v>
      </c>
      <c r="Q542" t="s">
        <v>32</v>
      </c>
    </row>
    <row r="543" spans="1:17" x14ac:dyDescent="0.3">
      <c r="A543" t="s">
        <v>2913</v>
      </c>
      <c r="B543" t="s">
        <v>2914</v>
      </c>
      <c r="C543">
        <v>67</v>
      </c>
      <c r="D543" t="s">
        <v>2915</v>
      </c>
      <c r="E543" t="s">
        <v>51</v>
      </c>
      <c r="F543" t="s">
        <v>1283</v>
      </c>
      <c r="G543" t="s">
        <v>2615</v>
      </c>
      <c r="H543">
        <v>0</v>
      </c>
      <c r="I543" t="s">
        <v>64</v>
      </c>
      <c r="J543" s="86">
        <v>45418</v>
      </c>
      <c r="K543">
        <v>892.74</v>
      </c>
      <c r="L543">
        <v>2</v>
      </c>
      <c r="M543">
        <v>49</v>
      </c>
      <c r="N543" t="s">
        <v>54</v>
      </c>
      <c r="O543" t="s">
        <v>293</v>
      </c>
      <c r="P543" t="s">
        <v>45</v>
      </c>
      <c r="Q543" t="s">
        <v>69</v>
      </c>
    </row>
    <row r="544" spans="1:17" x14ac:dyDescent="0.3">
      <c r="A544" t="s">
        <v>2917</v>
      </c>
      <c r="B544" t="s">
        <v>2918</v>
      </c>
      <c r="C544">
        <v>39</v>
      </c>
      <c r="D544" t="s">
        <v>2919</v>
      </c>
      <c r="E544" t="s">
        <v>95</v>
      </c>
      <c r="F544" t="s">
        <v>1861</v>
      </c>
      <c r="G544" s="86">
        <v>45088</v>
      </c>
      <c r="H544">
        <v>4</v>
      </c>
      <c r="I544" t="s">
        <v>52</v>
      </c>
      <c r="J544" t="s">
        <v>783</v>
      </c>
      <c r="K544">
        <v>589.28</v>
      </c>
      <c r="L544">
        <v>3</v>
      </c>
      <c r="M544">
        <v>9</v>
      </c>
      <c r="N544" t="s">
        <v>45</v>
      </c>
      <c r="O544" t="s">
        <v>293</v>
      </c>
      <c r="P544" t="s">
        <v>45</v>
      </c>
      <c r="Q544" t="s">
        <v>32</v>
      </c>
    </row>
    <row r="545" spans="1:17" x14ac:dyDescent="0.3">
      <c r="A545" t="s">
        <v>2921</v>
      </c>
      <c r="B545" t="s">
        <v>2922</v>
      </c>
      <c r="C545">
        <v>64</v>
      </c>
      <c r="D545" t="s">
        <v>2923</v>
      </c>
      <c r="E545" t="s">
        <v>51</v>
      </c>
      <c r="F545" t="s">
        <v>1680</v>
      </c>
      <c r="G545" s="86">
        <v>44743</v>
      </c>
      <c r="H545">
        <v>5</v>
      </c>
      <c r="I545" t="s">
        <v>64</v>
      </c>
      <c r="J545" s="86">
        <v>45110</v>
      </c>
      <c r="K545">
        <v>233.33</v>
      </c>
      <c r="L545">
        <v>3</v>
      </c>
      <c r="M545">
        <v>38</v>
      </c>
      <c r="N545" t="s">
        <v>56</v>
      </c>
      <c r="O545" t="s">
        <v>99</v>
      </c>
      <c r="P545" t="s">
        <v>56</v>
      </c>
      <c r="Q545" t="s">
        <v>69</v>
      </c>
    </row>
    <row r="546" spans="1:17" x14ac:dyDescent="0.3">
      <c r="A546" t="s">
        <v>2925</v>
      </c>
      <c r="B546" t="s">
        <v>2926</v>
      </c>
      <c r="C546">
        <v>59</v>
      </c>
      <c r="D546" t="s">
        <v>2927</v>
      </c>
      <c r="E546" t="s">
        <v>95</v>
      </c>
      <c r="F546" s="86">
        <v>44782</v>
      </c>
      <c r="G546" t="s">
        <v>2928</v>
      </c>
      <c r="H546">
        <v>2</v>
      </c>
      <c r="I546" t="s">
        <v>27</v>
      </c>
      <c r="J546" s="86">
        <v>45966</v>
      </c>
      <c r="K546">
        <v>168.05</v>
      </c>
      <c r="L546">
        <v>9</v>
      </c>
      <c r="M546">
        <v>3</v>
      </c>
      <c r="N546" t="s">
        <v>54</v>
      </c>
      <c r="O546" t="s">
        <v>211</v>
      </c>
      <c r="P546" t="s">
        <v>68</v>
      </c>
      <c r="Q546" t="s">
        <v>32</v>
      </c>
    </row>
    <row r="547" spans="1:17" x14ac:dyDescent="0.3">
      <c r="A547" t="s">
        <v>2930</v>
      </c>
      <c r="B547" t="s">
        <v>2931</v>
      </c>
      <c r="C547">
        <v>40</v>
      </c>
      <c r="D547" t="s">
        <v>2932</v>
      </c>
      <c r="E547" t="s">
        <v>40</v>
      </c>
      <c r="F547" t="s">
        <v>2933</v>
      </c>
      <c r="G547" s="86">
        <v>45598</v>
      </c>
      <c r="H547">
        <v>2</v>
      </c>
      <c r="I547" t="s">
        <v>27</v>
      </c>
      <c r="J547" s="86">
        <v>45999</v>
      </c>
      <c r="K547">
        <v>227.34</v>
      </c>
      <c r="L547">
        <v>5</v>
      </c>
      <c r="M547">
        <v>17</v>
      </c>
      <c r="N547" t="s">
        <v>30</v>
      </c>
      <c r="O547" t="s">
        <v>373</v>
      </c>
      <c r="P547" t="s">
        <v>54</v>
      </c>
      <c r="Q547" t="s">
        <v>32</v>
      </c>
    </row>
    <row r="548" spans="1:17" x14ac:dyDescent="0.3">
      <c r="A548" t="s">
        <v>2935</v>
      </c>
      <c r="B548" t="s">
        <v>2936</v>
      </c>
      <c r="C548">
        <v>36</v>
      </c>
      <c r="D548" t="s">
        <v>2937</v>
      </c>
      <c r="E548" t="s">
        <v>95</v>
      </c>
      <c r="F548" s="86">
        <v>44293</v>
      </c>
      <c r="G548" t="s">
        <v>2938</v>
      </c>
      <c r="H548">
        <v>2</v>
      </c>
      <c r="I548" t="s">
        <v>27</v>
      </c>
      <c r="J548" s="86">
        <v>45901</v>
      </c>
      <c r="K548">
        <v>164.42</v>
      </c>
      <c r="L548">
        <v>3</v>
      </c>
      <c r="M548">
        <v>22</v>
      </c>
      <c r="N548" t="s">
        <v>56</v>
      </c>
      <c r="O548" t="s">
        <v>354</v>
      </c>
      <c r="P548" t="s">
        <v>45</v>
      </c>
      <c r="Q548" t="s">
        <v>69</v>
      </c>
    </row>
    <row r="549" spans="1:17" x14ac:dyDescent="0.3">
      <c r="A549" t="s">
        <v>2940</v>
      </c>
      <c r="B549" t="s">
        <v>2941</v>
      </c>
      <c r="C549">
        <v>49</v>
      </c>
      <c r="D549" t="s">
        <v>2942</v>
      </c>
      <c r="E549" t="s">
        <v>88</v>
      </c>
      <c r="F549" t="s">
        <v>2649</v>
      </c>
      <c r="G549" s="86">
        <v>45937</v>
      </c>
      <c r="H549">
        <v>2</v>
      </c>
      <c r="I549" t="s">
        <v>27</v>
      </c>
      <c r="J549" t="s">
        <v>1806</v>
      </c>
      <c r="K549">
        <v>577.99</v>
      </c>
      <c r="L549">
        <v>1</v>
      </c>
      <c r="M549">
        <v>12</v>
      </c>
      <c r="N549" t="s">
        <v>54</v>
      </c>
      <c r="O549" t="s">
        <v>91</v>
      </c>
      <c r="P549" t="s">
        <v>54</v>
      </c>
      <c r="Q549" t="s">
        <v>32</v>
      </c>
    </row>
    <row r="550" spans="1:17" x14ac:dyDescent="0.3">
      <c r="A550" t="s">
        <v>2944</v>
      </c>
      <c r="B550" t="s">
        <v>2945</v>
      </c>
      <c r="C550">
        <v>35</v>
      </c>
      <c r="D550" t="s">
        <v>2946</v>
      </c>
      <c r="E550" t="s">
        <v>95</v>
      </c>
      <c r="F550" t="s">
        <v>658</v>
      </c>
      <c r="G550" t="s">
        <v>1132</v>
      </c>
      <c r="H550">
        <v>4</v>
      </c>
      <c r="I550" t="s">
        <v>64</v>
      </c>
      <c r="J550" t="s">
        <v>1132</v>
      </c>
      <c r="K550">
        <v>293.23</v>
      </c>
      <c r="L550">
        <v>4</v>
      </c>
      <c r="M550">
        <v>6</v>
      </c>
      <c r="N550" t="s">
        <v>68</v>
      </c>
      <c r="O550" t="s">
        <v>44</v>
      </c>
      <c r="P550" t="s">
        <v>45</v>
      </c>
      <c r="Q550" t="s">
        <v>32</v>
      </c>
    </row>
    <row r="551" spans="1:17" x14ac:dyDescent="0.3">
      <c r="A551" t="s">
        <v>2948</v>
      </c>
      <c r="B551" t="s">
        <v>2949</v>
      </c>
      <c r="C551">
        <v>56</v>
      </c>
      <c r="D551" t="s">
        <v>2950</v>
      </c>
      <c r="E551" t="s">
        <v>95</v>
      </c>
      <c r="F551" s="86">
        <v>44260</v>
      </c>
      <c r="G551" t="s">
        <v>2544</v>
      </c>
      <c r="H551">
        <v>1</v>
      </c>
      <c r="I551" t="s">
        <v>27</v>
      </c>
      <c r="J551" t="s">
        <v>2951</v>
      </c>
      <c r="K551">
        <v>188.99</v>
      </c>
      <c r="L551">
        <v>6</v>
      </c>
      <c r="M551">
        <v>20</v>
      </c>
      <c r="N551" t="s">
        <v>68</v>
      </c>
      <c r="O551" t="s">
        <v>624</v>
      </c>
      <c r="P551" t="s">
        <v>30</v>
      </c>
      <c r="Q551" t="s">
        <v>69</v>
      </c>
    </row>
    <row r="552" spans="1:17" x14ac:dyDescent="0.3">
      <c r="A552" t="s">
        <v>2953</v>
      </c>
      <c r="B552" t="s">
        <v>2954</v>
      </c>
      <c r="C552">
        <v>57</v>
      </c>
      <c r="D552" t="s">
        <v>2955</v>
      </c>
      <c r="E552" t="s">
        <v>25</v>
      </c>
      <c r="F552" s="86">
        <v>44602</v>
      </c>
      <c r="G552" t="s">
        <v>2956</v>
      </c>
      <c r="H552">
        <v>5</v>
      </c>
      <c r="I552" t="s">
        <v>27</v>
      </c>
      <c r="J552" t="s">
        <v>2957</v>
      </c>
      <c r="K552">
        <v>904.56</v>
      </c>
      <c r="L552">
        <v>2</v>
      </c>
      <c r="M552">
        <v>44</v>
      </c>
      <c r="N552" t="s">
        <v>56</v>
      </c>
      <c r="O552" t="s">
        <v>211</v>
      </c>
      <c r="P552" t="s">
        <v>68</v>
      </c>
      <c r="Q552" t="s">
        <v>69</v>
      </c>
    </row>
    <row r="553" spans="1:17" x14ac:dyDescent="0.3">
      <c r="A553" t="s">
        <v>2959</v>
      </c>
      <c r="B553" t="s">
        <v>2960</v>
      </c>
      <c r="C553">
        <v>63</v>
      </c>
      <c r="D553" t="s">
        <v>2961</v>
      </c>
      <c r="E553" t="s">
        <v>95</v>
      </c>
      <c r="F553" s="86">
        <v>44507</v>
      </c>
      <c r="G553" t="s">
        <v>320</v>
      </c>
      <c r="H553">
        <v>0</v>
      </c>
      <c r="I553" t="s">
        <v>27</v>
      </c>
      <c r="J553" s="86">
        <v>45302</v>
      </c>
      <c r="K553">
        <v>1220.25</v>
      </c>
      <c r="L553">
        <v>1</v>
      </c>
      <c r="M553">
        <v>9</v>
      </c>
      <c r="N553" t="s">
        <v>45</v>
      </c>
      <c r="O553" t="s">
        <v>837</v>
      </c>
      <c r="P553" t="s">
        <v>56</v>
      </c>
      <c r="Q553" t="s">
        <v>32</v>
      </c>
    </row>
    <row r="554" spans="1:17" x14ac:dyDescent="0.3">
      <c r="A554" t="s">
        <v>2963</v>
      </c>
      <c r="B554" t="s">
        <v>2964</v>
      </c>
      <c r="C554">
        <v>29</v>
      </c>
      <c r="D554" t="s">
        <v>2965</v>
      </c>
      <c r="E554" t="s">
        <v>61</v>
      </c>
      <c r="F554" s="86">
        <v>44717</v>
      </c>
      <c r="G554" t="s">
        <v>2966</v>
      </c>
      <c r="H554">
        <v>2</v>
      </c>
      <c r="I554" t="s">
        <v>27</v>
      </c>
      <c r="J554" t="s">
        <v>2578</v>
      </c>
      <c r="K554">
        <v>34.17</v>
      </c>
      <c r="L554">
        <v>6</v>
      </c>
      <c r="M554">
        <v>35</v>
      </c>
      <c r="N554" t="s">
        <v>30</v>
      </c>
      <c r="O554" t="s">
        <v>149</v>
      </c>
      <c r="P554" t="s">
        <v>30</v>
      </c>
      <c r="Q554" t="s">
        <v>32</v>
      </c>
    </row>
    <row r="555" spans="1:17" x14ac:dyDescent="0.3">
      <c r="A555" t="s">
        <v>2968</v>
      </c>
      <c r="B555" t="s">
        <v>2969</v>
      </c>
      <c r="C555">
        <v>40</v>
      </c>
      <c r="D555" t="s">
        <v>2970</v>
      </c>
      <c r="E555" t="s">
        <v>40</v>
      </c>
      <c r="F555" t="s">
        <v>2971</v>
      </c>
      <c r="G555" t="s">
        <v>2972</v>
      </c>
      <c r="H555">
        <v>2</v>
      </c>
      <c r="I555" t="s">
        <v>27</v>
      </c>
      <c r="J555" t="s">
        <v>2973</v>
      </c>
      <c r="K555">
        <v>152.91</v>
      </c>
      <c r="L555">
        <v>9</v>
      </c>
      <c r="M555">
        <v>5</v>
      </c>
      <c r="N555" t="s">
        <v>68</v>
      </c>
      <c r="O555" t="s">
        <v>821</v>
      </c>
      <c r="P555" t="s">
        <v>68</v>
      </c>
      <c r="Q555" t="s">
        <v>32</v>
      </c>
    </row>
    <row r="556" spans="1:17" x14ac:dyDescent="0.3">
      <c r="A556" t="s">
        <v>2975</v>
      </c>
      <c r="B556" t="s">
        <v>2976</v>
      </c>
      <c r="C556">
        <v>54</v>
      </c>
      <c r="D556" t="s">
        <v>2977</v>
      </c>
      <c r="E556" t="s">
        <v>88</v>
      </c>
      <c r="F556" t="s">
        <v>2118</v>
      </c>
      <c r="G556" s="86">
        <v>45537</v>
      </c>
      <c r="H556">
        <v>0</v>
      </c>
      <c r="I556" t="s">
        <v>64</v>
      </c>
      <c r="J556" s="86">
        <v>44693</v>
      </c>
      <c r="K556">
        <v>28.96</v>
      </c>
      <c r="L556">
        <v>8</v>
      </c>
      <c r="M556">
        <v>22</v>
      </c>
      <c r="N556" t="s">
        <v>45</v>
      </c>
      <c r="O556" t="s">
        <v>293</v>
      </c>
      <c r="P556" t="s">
        <v>45</v>
      </c>
      <c r="Q556" t="s">
        <v>32</v>
      </c>
    </row>
    <row r="557" spans="1:17" x14ac:dyDescent="0.3">
      <c r="A557" t="s">
        <v>2979</v>
      </c>
      <c r="B557" t="s">
        <v>2980</v>
      </c>
      <c r="C557">
        <v>52</v>
      </c>
      <c r="D557" t="s">
        <v>2981</v>
      </c>
      <c r="E557" t="s">
        <v>61</v>
      </c>
      <c r="F557" t="s">
        <v>2982</v>
      </c>
      <c r="G557" t="s">
        <v>2983</v>
      </c>
      <c r="H557">
        <v>3</v>
      </c>
      <c r="I557" t="s">
        <v>27</v>
      </c>
      <c r="J557" s="86">
        <v>45386</v>
      </c>
      <c r="K557">
        <v>167.97</v>
      </c>
      <c r="L557">
        <v>7</v>
      </c>
      <c r="M557">
        <v>6</v>
      </c>
      <c r="N557" t="s">
        <v>56</v>
      </c>
      <c r="O557" t="s">
        <v>418</v>
      </c>
      <c r="P557" t="s">
        <v>56</v>
      </c>
      <c r="Q557" t="s">
        <v>69</v>
      </c>
    </row>
    <row r="558" spans="1:17" x14ac:dyDescent="0.3">
      <c r="A558" t="s">
        <v>2985</v>
      </c>
      <c r="B558" t="s">
        <v>2986</v>
      </c>
      <c r="C558">
        <v>35</v>
      </c>
      <c r="D558" t="s">
        <v>2987</v>
      </c>
      <c r="E558" t="s">
        <v>61</v>
      </c>
      <c r="F558" t="s">
        <v>2988</v>
      </c>
      <c r="G558" s="86">
        <v>44604</v>
      </c>
      <c r="H558">
        <v>5</v>
      </c>
      <c r="I558" t="s">
        <v>27</v>
      </c>
      <c r="J558" t="s">
        <v>578</v>
      </c>
      <c r="K558">
        <v>329.43</v>
      </c>
      <c r="L558">
        <v>3</v>
      </c>
      <c r="M558">
        <v>35</v>
      </c>
      <c r="N558" t="s">
        <v>54</v>
      </c>
      <c r="O558" t="s">
        <v>194</v>
      </c>
      <c r="P558" t="s">
        <v>56</v>
      </c>
      <c r="Q558" t="s">
        <v>32</v>
      </c>
    </row>
    <row r="559" spans="1:17" x14ac:dyDescent="0.3">
      <c r="A559" t="s">
        <v>2990</v>
      </c>
      <c r="B559" t="s">
        <v>2991</v>
      </c>
      <c r="C559">
        <v>67</v>
      </c>
      <c r="D559" t="s">
        <v>2992</v>
      </c>
      <c r="E559" t="s">
        <v>40</v>
      </c>
      <c r="F559" s="86">
        <v>44815</v>
      </c>
      <c r="G559" s="86">
        <v>45546</v>
      </c>
      <c r="H559">
        <v>4</v>
      </c>
      <c r="I559" t="s">
        <v>27</v>
      </c>
      <c r="J559" s="86">
        <v>45444</v>
      </c>
      <c r="K559">
        <v>1543.19</v>
      </c>
      <c r="L559">
        <v>1</v>
      </c>
      <c r="M559">
        <v>42</v>
      </c>
      <c r="N559" t="s">
        <v>68</v>
      </c>
      <c r="O559" t="s">
        <v>354</v>
      </c>
      <c r="P559" t="s">
        <v>45</v>
      </c>
      <c r="Q559" t="s">
        <v>69</v>
      </c>
    </row>
    <row r="560" spans="1:17" x14ac:dyDescent="0.3">
      <c r="A560" t="s">
        <v>2994</v>
      </c>
      <c r="B560" t="s">
        <v>2995</v>
      </c>
      <c r="C560">
        <v>27</v>
      </c>
      <c r="D560" t="s">
        <v>2996</v>
      </c>
      <c r="E560" t="s">
        <v>95</v>
      </c>
      <c r="F560" s="86">
        <v>44420</v>
      </c>
      <c r="G560" s="86">
        <v>45021</v>
      </c>
      <c r="H560">
        <v>5</v>
      </c>
      <c r="I560" t="s">
        <v>64</v>
      </c>
      <c r="J560" s="86">
        <v>45809</v>
      </c>
      <c r="K560">
        <v>524.51</v>
      </c>
      <c r="L560">
        <v>2</v>
      </c>
      <c r="M560">
        <v>43</v>
      </c>
      <c r="N560" t="s">
        <v>68</v>
      </c>
      <c r="O560" t="s">
        <v>604</v>
      </c>
      <c r="P560" t="s">
        <v>45</v>
      </c>
      <c r="Q560" t="s">
        <v>32</v>
      </c>
    </row>
    <row r="561" spans="1:17" x14ac:dyDescent="0.3">
      <c r="A561" t="s">
        <v>2998</v>
      </c>
      <c r="B561" t="s">
        <v>2999</v>
      </c>
      <c r="C561">
        <v>38</v>
      </c>
      <c r="D561" t="s">
        <v>3000</v>
      </c>
      <c r="E561" t="s">
        <v>88</v>
      </c>
      <c r="F561" t="s">
        <v>3001</v>
      </c>
      <c r="G561" t="s">
        <v>3002</v>
      </c>
      <c r="H561">
        <v>4</v>
      </c>
      <c r="I561" t="s">
        <v>27</v>
      </c>
      <c r="J561" t="s">
        <v>1122</v>
      </c>
      <c r="K561">
        <v>342.38</v>
      </c>
      <c r="L561">
        <v>4</v>
      </c>
      <c r="M561">
        <v>41</v>
      </c>
      <c r="N561" t="s">
        <v>54</v>
      </c>
      <c r="O561" t="s">
        <v>99</v>
      </c>
      <c r="P561" t="s">
        <v>56</v>
      </c>
      <c r="Q561" t="s">
        <v>32</v>
      </c>
    </row>
    <row r="562" spans="1:17" x14ac:dyDescent="0.3">
      <c r="A562" t="s">
        <v>3004</v>
      </c>
      <c r="B562" t="s">
        <v>3005</v>
      </c>
      <c r="C562">
        <v>41</v>
      </c>
      <c r="D562" t="s">
        <v>3006</v>
      </c>
      <c r="E562" t="s">
        <v>95</v>
      </c>
      <c r="F562" s="86">
        <v>45235</v>
      </c>
      <c r="G562" s="86">
        <v>45690</v>
      </c>
      <c r="H562">
        <v>3</v>
      </c>
      <c r="I562" t="s">
        <v>52</v>
      </c>
      <c r="J562" t="s">
        <v>946</v>
      </c>
      <c r="K562">
        <v>164.78</v>
      </c>
      <c r="L562">
        <v>9</v>
      </c>
      <c r="M562">
        <v>22</v>
      </c>
      <c r="N562" t="s">
        <v>56</v>
      </c>
      <c r="O562" t="s">
        <v>157</v>
      </c>
      <c r="P562" t="s">
        <v>68</v>
      </c>
      <c r="Q562" t="s">
        <v>32</v>
      </c>
    </row>
    <row r="563" spans="1:17" x14ac:dyDescent="0.3">
      <c r="A563" t="s">
        <v>3008</v>
      </c>
      <c r="B563" t="s">
        <v>3009</v>
      </c>
      <c r="C563">
        <v>33</v>
      </c>
      <c r="D563" t="s">
        <v>3010</v>
      </c>
      <c r="E563" t="s">
        <v>61</v>
      </c>
      <c r="F563" s="86">
        <v>44533</v>
      </c>
      <c r="G563" s="86">
        <v>45355</v>
      </c>
      <c r="H563">
        <v>3</v>
      </c>
      <c r="I563" t="s">
        <v>27</v>
      </c>
      <c r="J563" t="s">
        <v>2523</v>
      </c>
      <c r="K563">
        <v>159.26</v>
      </c>
      <c r="L563">
        <v>9</v>
      </c>
      <c r="M563">
        <v>30</v>
      </c>
      <c r="N563" t="s">
        <v>45</v>
      </c>
      <c r="O563" t="s">
        <v>610</v>
      </c>
      <c r="P563" t="s">
        <v>68</v>
      </c>
      <c r="Q563" t="s">
        <v>69</v>
      </c>
    </row>
    <row r="564" spans="1:17" x14ac:dyDescent="0.3">
      <c r="A564" t="s">
        <v>3012</v>
      </c>
      <c r="B564" t="s">
        <v>3013</v>
      </c>
      <c r="C564">
        <v>45</v>
      </c>
      <c r="D564" t="s">
        <v>3014</v>
      </c>
      <c r="E564" t="s">
        <v>40</v>
      </c>
      <c r="F564" s="86">
        <v>44815</v>
      </c>
      <c r="G564" s="86">
        <v>45514</v>
      </c>
      <c r="H564">
        <v>3</v>
      </c>
      <c r="I564" t="s">
        <v>27</v>
      </c>
      <c r="J564" s="86">
        <v>45413</v>
      </c>
      <c r="K564">
        <v>33.22</v>
      </c>
      <c r="L564">
        <v>8</v>
      </c>
      <c r="M564">
        <v>7</v>
      </c>
      <c r="N564" t="s">
        <v>56</v>
      </c>
      <c r="O564" t="s">
        <v>597</v>
      </c>
      <c r="P564" t="s">
        <v>45</v>
      </c>
      <c r="Q564" t="s">
        <v>32</v>
      </c>
    </row>
    <row r="565" spans="1:17" x14ac:dyDescent="0.3">
      <c r="A565" t="s">
        <v>3016</v>
      </c>
      <c r="B565" t="s">
        <v>3017</v>
      </c>
      <c r="C565">
        <v>28</v>
      </c>
      <c r="D565" t="s">
        <v>3018</v>
      </c>
      <c r="E565" t="s">
        <v>88</v>
      </c>
      <c r="F565" t="s">
        <v>3019</v>
      </c>
      <c r="G565" t="s">
        <v>1431</v>
      </c>
      <c r="H565">
        <v>4</v>
      </c>
      <c r="I565" t="s">
        <v>52</v>
      </c>
      <c r="J565" t="s">
        <v>1143</v>
      </c>
      <c r="K565">
        <v>1815.34</v>
      </c>
      <c r="L565">
        <v>1</v>
      </c>
      <c r="M565">
        <v>19</v>
      </c>
      <c r="N565" t="s">
        <v>54</v>
      </c>
      <c r="O565" t="s">
        <v>293</v>
      </c>
      <c r="P565" t="s">
        <v>45</v>
      </c>
      <c r="Q565" t="s">
        <v>69</v>
      </c>
    </row>
    <row r="566" spans="1:17" x14ac:dyDescent="0.3">
      <c r="A566" t="s">
        <v>3021</v>
      </c>
      <c r="B566" t="s">
        <v>3022</v>
      </c>
      <c r="C566">
        <v>27</v>
      </c>
      <c r="D566" t="s">
        <v>3023</v>
      </c>
      <c r="E566" t="s">
        <v>88</v>
      </c>
      <c r="F566" s="86">
        <v>44445</v>
      </c>
      <c r="G566" s="86">
        <v>45416</v>
      </c>
      <c r="H566">
        <v>5</v>
      </c>
      <c r="I566" t="s">
        <v>27</v>
      </c>
      <c r="J566" t="s">
        <v>3024</v>
      </c>
      <c r="K566">
        <v>17</v>
      </c>
      <c r="L566">
        <v>4</v>
      </c>
      <c r="M566">
        <v>2</v>
      </c>
      <c r="N566" t="s">
        <v>56</v>
      </c>
      <c r="O566" t="s">
        <v>77</v>
      </c>
      <c r="P566" t="s">
        <v>54</v>
      </c>
      <c r="Q566" t="s">
        <v>69</v>
      </c>
    </row>
    <row r="567" spans="1:17" x14ac:dyDescent="0.3">
      <c r="A567" t="s">
        <v>3026</v>
      </c>
      <c r="B567" t="s">
        <v>3027</v>
      </c>
      <c r="C567">
        <v>33</v>
      </c>
      <c r="D567" t="s">
        <v>3028</v>
      </c>
      <c r="E567" t="s">
        <v>51</v>
      </c>
      <c r="F567" t="s">
        <v>3029</v>
      </c>
      <c r="G567" s="86">
        <v>45636</v>
      </c>
      <c r="H567">
        <v>0</v>
      </c>
      <c r="I567" t="s">
        <v>64</v>
      </c>
      <c r="J567" t="s">
        <v>659</v>
      </c>
      <c r="K567">
        <v>108.08</v>
      </c>
      <c r="L567">
        <v>6</v>
      </c>
      <c r="M567">
        <v>5</v>
      </c>
      <c r="N567" t="s">
        <v>30</v>
      </c>
      <c r="O567" t="s">
        <v>116</v>
      </c>
      <c r="P567" t="s">
        <v>54</v>
      </c>
      <c r="Q567" t="s">
        <v>69</v>
      </c>
    </row>
    <row r="568" spans="1:17" x14ac:dyDescent="0.3">
      <c r="A568" t="s">
        <v>3031</v>
      </c>
      <c r="B568" t="s">
        <v>3032</v>
      </c>
      <c r="C568">
        <v>28</v>
      </c>
      <c r="D568" t="s">
        <v>3033</v>
      </c>
      <c r="E568" t="s">
        <v>61</v>
      </c>
      <c r="F568" t="s">
        <v>3034</v>
      </c>
      <c r="G568" t="s">
        <v>3035</v>
      </c>
      <c r="H568">
        <v>4</v>
      </c>
      <c r="I568" t="s">
        <v>27</v>
      </c>
      <c r="J568" s="86">
        <v>45088</v>
      </c>
      <c r="K568">
        <v>18.440000000000001</v>
      </c>
      <c r="L568">
        <v>6</v>
      </c>
      <c r="M568">
        <v>5</v>
      </c>
      <c r="N568" t="s">
        <v>68</v>
      </c>
      <c r="O568" t="s">
        <v>99</v>
      </c>
      <c r="P568" t="s">
        <v>56</v>
      </c>
      <c r="Q568" t="s">
        <v>69</v>
      </c>
    </row>
    <row r="569" spans="1:17" x14ac:dyDescent="0.3">
      <c r="A569" t="s">
        <v>3037</v>
      </c>
      <c r="B569" t="s">
        <v>3038</v>
      </c>
      <c r="C569">
        <v>58</v>
      </c>
      <c r="D569" t="s">
        <v>3039</v>
      </c>
      <c r="E569" t="s">
        <v>95</v>
      </c>
      <c r="F569" s="86">
        <v>44174</v>
      </c>
      <c r="G569" t="s">
        <v>3040</v>
      </c>
      <c r="H569">
        <v>1</v>
      </c>
      <c r="I569" t="s">
        <v>64</v>
      </c>
      <c r="J569" s="86">
        <v>44937</v>
      </c>
      <c r="K569">
        <v>330.36</v>
      </c>
      <c r="L569">
        <v>4</v>
      </c>
      <c r="M569">
        <v>49</v>
      </c>
      <c r="N569" t="s">
        <v>56</v>
      </c>
      <c r="O569" t="s">
        <v>425</v>
      </c>
      <c r="P569" t="s">
        <v>30</v>
      </c>
      <c r="Q569" t="s">
        <v>32</v>
      </c>
    </row>
    <row r="570" spans="1:17" x14ac:dyDescent="0.3">
      <c r="A570" t="s">
        <v>3042</v>
      </c>
      <c r="B570" t="s">
        <v>3043</v>
      </c>
      <c r="C570">
        <v>34</v>
      </c>
      <c r="D570" t="s">
        <v>3044</v>
      </c>
      <c r="E570" t="s">
        <v>51</v>
      </c>
      <c r="F570" t="s">
        <v>2578</v>
      </c>
      <c r="G570" t="s">
        <v>681</v>
      </c>
      <c r="H570">
        <v>2</v>
      </c>
      <c r="I570" t="s">
        <v>27</v>
      </c>
      <c r="J570" s="86">
        <v>45749</v>
      </c>
      <c r="K570">
        <v>138.99</v>
      </c>
      <c r="L570">
        <v>7</v>
      </c>
      <c r="M570">
        <v>36</v>
      </c>
      <c r="N570" t="s">
        <v>45</v>
      </c>
      <c r="O570" t="s">
        <v>610</v>
      </c>
      <c r="P570" t="s">
        <v>68</v>
      </c>
      <c r="Q570" t="s">
        <v>32</v>
      </c>
    </row>
    <row r="571" spans="1:17" x14ac:dyDescent="0.3">
      <c r="A571" t="s">
        <v>3046</v>
      </c>
      <c r="B571" t="s">
        <v>3047</v>
      </c>
      <c r="C571">
        <v>52</v>
      </c>
      <c r="D571" t="s">
        <v>3048</v>
      </c>
      <c r="E571" t="s">
        <v>25</v>
      </c>
      <c r="F571" t="s">
        <v>2532</v>
      </c>
      <c r="G571" t="s">
        <v>320</v>
      </c>
      <c r="H571">
        <v>4</v>
      </c>
      <c r="I571" t="s">
        <v>27</v>
      </c>
      <c r="J571" t="s">
        <v>778</v>
      </c>
      <c r="K571">
        <v>45.15</v>
      </c>
      <c r="L571">
        <v>5</v>
      </c>
      <c r="M571">
        <v>33</v>
      </c>
      <c r="N571" t="s">
        <v>30</v>
      </c>
      <c r="O571" t="s">
        <v>245</v>
      </c>
      <c r="P571" t="s">
        <v>54</v>
      </c>
      <c r="Q571" t="s">
        <v>32</v>
      </c>
    </row>
    <row r="572" spans="1:17" x14ac:dyDescent="0.3">
      <c r="A572" t="s">
        <v>3050</v>
      </c>
      <c r="B572" t="s">
        <v>3051</v>
      </c>
      <c r="C572">
        <v>51</v>
      </c>
      <c r="D572" t="s">
        <v>3052</v>
      </c>
      <c r="E572" t="s">
        <v>40</v>
      </c>
      <c r="F572" t="s">
        <v>41</v>
      </c>
      <c r="G572" s="86">
        <v>45088</v>
      </c>
      <c r="H572">
        <v>0</v>
      </c>
      <c r="I572" t="s">
        <v>27</v>
      </c>
      <c r="J572" t="s">
        <v>2790</v>
      </c>
      <c r="K572">
        <v>266.24</v>
      </c>
      <c r="L572">
        <v>4</v>
      </c>
      <c r="M572">
        <v>21</v>
      </c>
      <c r="N572" t="s">
        <v>68</v>
      </c>
      <c r="O572" t="s">
        <v>604</v>
      </c>
      <c r="P572" t="s">
        <v>45</v>
      </c>
      <c r="Q572" t="s">
        <v>69</v>
      </c>
    </row>
    <row r="573" spans="1:17" x14ac:dyDescent="0.3">
      <c r="A573" t="s">
        <v>3054</v>
      </c>
      <c r="B573" t="s">
        <v>3055</v>
      </c>
      <c r="C573">
        <v>38</v>
      </c>
      <c r="D573" t="s">
        <v>3056</v>
      </c>
      <c r="E573" t="s">
        <v>51</v>
      </c>
      <c r="F573" t="s">
        <v>790</v>
      </c>
      <c r="G573" s="86">
        <v>45203</v>
      </c>
      <c r="H573">
        <v>5</v>
      </c>
      <c r="I573" t="s">
        <v>27</v>
      </c>
      <c r="J573" s="86">
        <v>45084</v>
      </c>
      <c r="K573">
        <v>127.91</v>
      </c>
      <c r="L573">
        <v>9</v>
      </c>
      <c r="M573">
        <v>29</v>
      </c>
      <c r="N573" t="s">
        <v>30</v>
      </c>
      <c r="O573" t="s">
        <v>354</v>
      </c>
      <c r="P573" t="s">
        <v>45</v>
      </c>
      <c r="Q573" t="s">
        <v>69</v>
      </c>
    </row>
    <row r="574" spans="1:17" x14ac:dyDescent="0.3">
      <c r="A574" t="s">
        <v>3058</v>
      </c>
      <c r="B574" t="s">
        <v>3059</v>
      </c>
      <c r="C574">
        <v>46</v>
      </c>
      <c r="D574" t="s">
        <v>3060</v>
      </c>
      <c r="E574" t="s">
        <v>95</v>
      </c>
      <c r="F574" t="s">
        <v>797</v>
      </c>
      <c r="G574" t="s">
        <v>830</v>
      </c>
      <c r="H574">
        <v>0</v>
      </c>
      <c r="I574" t="s">
        <v>27</v>
      </c>
      <c r="J574" t="s">
        <v>1431</v>
      </c>
      <c r="K574">
        <v>49.35</v>
      </c>
      <c r="L574">
        <v>7</v>
      </c>
      <c r="M574">
        <v>49</v>
      </c>
      <c r="N574" t="s">
        <v>56</v>
      </c>
      <c r="O574" t="s">
        <v>142</v>
      </c>
      <c r="P574" t="s">
        <v>68</v>
      </c>
      <c r="Q574" t="s">
        <v>32</v>
      </c>
    </row>
    <row r="575" spans="1:17" x14ac:dyDescent="0.3">
      <c r="A575" t="s">
        <v>3062</v>
      </c>
      <c r="B575" t="s">
        <v>3063</v>
      </c>
      <c r="C575">
        <v>35</v>
      </c>
      <c r="D575" t="s">
        <v>3064</v>
      </c>
      <c r="E575" t="s">
        <v>40</v>
      </c>
      <c r="F575" s="86">
        <v>44533</v>
      </c>
      <c r="G575" s="86">
        <v>45027</v>
      </c>
      <c r="H575">
        <v>4</v>
      </c>
      <c r="I575" t="s">
        <v>27</v>
      </c>
      <c r="J575" t="s">
        <v>645</v>
      </c>
      <c r="K575">
        <v>12.69</v>
      </c>
      <c r="L575">
        <v>9</v>
      </c>
      <c r="M575">
        <v>14</v>
      </c>
      <c r="N575" t="s">
        <v>68</v>
      </c>
      <c r="O575" t="s">
        <v>116</v>
      </c>
      <c r="P575" t="s">
        <v>54</v>
      </c>
      <c r="Q575" t="s">
        <v>32</v>
      </c>
    </row>
    <row r="576" spans="1:17" x14ac:dyDescent="0.3">
      <c r="A576" t="s">
        <v>3066</v>
      </c>
      <c r="B576" t="s">
        <v>3067</v>
      </c>
      <c r="C576">
        <v>34</v>
      </c>
      <c r="D576" t="s">
        <v>3068</v>
      </c>
      <c r="E576" t="s">
        <v>51</v>
      </c>
      <c r="F576" t="s">
        <v>1664</v>
      </c>
      <c r="G576" t="s">
        <v>2202</v>
      </c>
      <c r="H576">
        <v>4</v>
      </c>
      <c r="I576" t="s">
        <v>27</v>
      </c>
      <c r="J576" t="s">
        <v>3069</v>
      </c>
      <c r="K576">
        <v>55.16</v>
      </c>
      <c r="L576">
        <v>8</v>
      </c>
      <c r="M576">
        <v>5</v>
      </c>
      <c r="N576" t="s">
        <v>68</v>
      </c>
      <c r="O576" t="s">
        <v>837</v>
      </c>
      <c r="P576" t="s">
        <v>56</v>
      </c>
      <c r="Q576" t="s">
        <v>69</v>
      </c>
    </row>
    <row r="577" spans="1:17" x14ac:dyDescent="0.3">
      <c r="A577" t="s">
        <v>3071</v>
      </c>
      <c r="B577" t="s">
        <v>3072</v>
      </c>
      <c r="C577">
        <v>62</v>
      </c>
      <c r="D577" t="s">
        <v>3073</v>
      </c>
      <c r="E577" t="s">
        <v>88</v>
      </c>
      <c r="F577" t="s">
        <v>1090</v>
      </c>
      <c r="G577" t="s">
        <v>382</v>
      </c>
      <c r="H577">
        <v>4</v>
      </c>
      <c r="I577" t="s">
        <v>27</v>
      </c>
      <c r="J577" s="86">
        <v>45543</v>
      </c>
      <c r="K577">
        <v>228.64</v>
      </c>
      <c r="L577">
        <v>8</v>
      </c>
      <c r="M577">
        <v>18</v>
      </c>
      <c r="N577" t="s">
        <v>30</v>
      </c>
      <c r="O577" t="s">
        <v>199</v>
      </c>
      <c r="P577" t="s">
        <v>54</v>
      </c>
      <c r="Q577" t="s">
        <v>322</v>
      </c>
    </row>
    <row r="578" spans="1:17" x14ac:dyDescent="0.3">
      <c r="A578" t="s">
        <v>3075</v>
      </c>
      <c r="B578" t="s">
        <v>3076</v>
      </c>
      <c r="C578">
        <v>56</v>
      </c>
      <c r="D578" t="s">
        <v>3077</v>
      </c>
      <c r="E578" t="s">
        <v>40</v>
      </c>
      <c r="F578" t="s">
        <v>3002</v>
      </c>
      <c r="G578" t="s">
        <v>3078</v>
      </c>
      <c r="H578">
        <v>4</v>
      </c>
      <c r="I578" t="s">
        <v>27</v>
      </c>
      <c r="J578" s="86">
        <v>45664</v>
      </c>
      <c r="K578">
        <v>554.16999999999996</v>
      </c>
      <c r="L578">
        <v>3</v>
      </c>
      <c r="M578">
        <v>46</v>
      </c>
      <c r="N578" t="s">
        <v>56</v>
      </c>
      <c r="O578" t="s">
        <v>366</v>
      </c>
      <c r="P578" t="s">
        <v>54</v>
      </c>
      <c r="Q578" t="s">
        <v>32</v>
      </c>
    </row>
    <row r="579" spans="1:17" x14ac:dyDescent="0.3">
      <c r="A579" t="s">
        <v>3080</v>
      </c>
      <c r="B579" t="s">
        <v>3081</v>
      </c>
      <c r="C579">
        <v>43</v>
      </c>
      <c r="D579" t="s">
        <v>3082</v>
      </c>
      <c r="E579" t="s">
        <v>95</v>
      </c>
      <c r="F579" s="86">
        <v>44289</v>
      </c>
      <c r="G579" s="86">
        <v>44233</v>
      </c>
      <c r="H579">
        <v>5</v>
      </c>
      <c r="I579" t="s">
        <v>27</v>
      </c>
      <c r="J579" s="86">
        <v>44693</v>
      </c>
      <c r="K579">
        <v>559.72</v>
      </c>
      <c r="L579">
        <v>1</v>
      </c>
      <c r="M579">
        <v>3</v>
      </c>
      <c r="N579" t="s">
        <v>68</v>
      </c>
      <c r="O579" t="s">
        <v>624</v>
      </c>
      <c r="P579" t="s">
        <v>30</v>
      </c>
      <c r="Q579" t="s">
        <v>32</v>
      </c>
    </row>
    <row r="580" spans="1:17" x14ac:dyDescent="0.3">
      <c r="A580" t="s">
        <v>3084</v>
      </c>
      <c r="B580" t="s">
        <v>3085</v>
      </c>
      <c r="C580">
        <v>43</v>
      </c>
      <c r="D580" t="s">
        <v>3086</v>
      </c>
      <c r="E580" t="s">
        <v>40</v>
      </c>
      <c r="F580" s="86">
        <v>45108</v>
      </c>
      <c r="G580" t="s">
        <v>3087</v>
      </c>
      <c r="H580">
        <v>4</v>
      </c>
      <c r="I580" t="s">
        <v>27</v>
      </c>
      <c r="J580" t="s">
        <v>3088</v>
      </c>
      <c r="K580">
        <v>319.61</v>
      </c>
      <c r="L580">
        <v>3</v>
      </c>
      <c r="M580">
        <v>18</v>
      </c>
      <c r="N580" t="s">
        <v>30</v>
      </c>
      <c r="O580" t="s">
        <v>55</v>
      </c>
      <c r="P580" t="s">
        <v>56</v>
      </c>
      <c r="Q580" t="s">
        <v>69</v>
      </c>
    </row>
    <row r="581" spans="1:17" x14ac:dyDescent="0.3">
      <c r="A581" t="s">
        <v>3090</v>
      </c>
      <c r="B581" t="s">
        <v>3091</v>
      </c>
      <c r="C581">
        <v>30</v>
      </c>
      <c r="D581" t="s">
        <v>3092</v>
      </c>
      <c r="E581" t="s">
        <v>88</v>
      </c>
      <c r="F581" t="s">
        <v>2388</v>
      </c>
      <c r="G581" t="s">
        <v>2403</v>
      </c>
      <c r="H581">
        <v>0</v>
      </c>
      <c r="I581" t="s">
        <v>27</v>
      </c>
      <c r="J581" t="s">
        <v>1754</v>
      </c>
      <c r="K581">
        <v>71.540000000000006</v>
      </c>
      <c r="L581">
        <v>6</v>
      </c>
      <c r="M581">
        <v>12</v>
      </c>
      <c r="N581" t="s">
        <v>54</v>
      </c>
      <c r="O581" t="s">
        <v>116</v>
      </c>
      <c r="P581" t="s">
        <v>54</v>
      </c>
      <c r="Q581" t="s">
        <v>322</v>
      </c>
    </row>
    <row r="582" spans="1:17" x14ac:dyDescent="0.3">
      <c r="A582" t="s">
        <v>3094</v>
      </c>
      <c r="B582" t="s">
        <v>3095</v>
      </c>
      <c r="C582">
        <v>46</v>
      </c>
      <c r="D582" t="s">
        <v>3096</v>
      </c>
      <c r="E582" t="s">
        <v>88</v>
      </c>
      <c r="F582" s="86">
        <v>43872</v>
      </c>
      <c r="G582" t="s">
        <v>3097</v>
      </c>
      <c r="H582">
        <v>4</v>
      </c>
      <c r="I582" t="s">
        <v>27</v>
      </c>
      <c r="J582" t="s">
        <v>243</v>
      </c>
      <c r="K582">
        <v>36.79</v>
      </c>
      <c r="L582">
        <v>8</v>
      </c>
      <c r="M582">
        <v>17</v>
      </c>
      <c r="N582" t="s">
        <v>56</v>
      </c>
      <c r="O582" t="s">
        <v>418</v>
      </c>
      <c r="P582" t="s">
        <v>56</v>
      </c>
      <c r="Q582" t="s">
        <v>69</v>
      </c>
    </row>
    <row r="583" spans="1:17" x14ac:dyDescent="0.3">
      <c r="A583" t="s">
        <v>3099</v>
      </c>
      <c r="B583" t="s">
        <v>3100</v>
      </c>
      <c r="C583">
        <v>65</v>
      </c>
      <c r="D583" t="s">
        <v>3101</v>
      </c>
      <c r="E583" t="s">
        <v>95</v>
      </c>
      <c r="F583" t="s">
        <v>3102</v>
      </c>
      <c r="G583" t="s">
        <v>344</v>
      </c>
      <c r="H583">
        <v>1</v>
      </c>
      <c r="I583" t="s">
        <v>27</v>
      </c>
      <c r="J583" t="s">
        <v>1237</v>
      </c>
      <c r="K583">
        <v>1276.55</v>
      </c>
      <c r="L583">
        <v>1</v>
      </c>
      <c r="M583">
        <v>48</v>
      </c>
      <c r="N583" t="s">
        <v>56</v>
      </c>
      <c r="O583" t="s">
        <v>223</v>
      </c>
      <c r="P583" t="s">
        <v>56</v>
      </c>
      <c r="Q583" t="s">
        <v>69</v>
      </c>
    </row>
    <row r="584" spans="1:17" x14ac:dyDescent="0.3">
      <c r="A584" t="s">
        <v>3104</v>
      </c>
      <c r="B584" t="s">
        <v>3105</v>
      </c>
      <c r="C584">
        <v>23</v>
      </c>
      <c r="D584" t="s">
        <v>3106</v>
      </c>
      <c r="E584" t="s">
        <v>95</v>
      </c>
      <c r="F584" t="s">
        <v>132</v>
      </c>
      <c r="G584" t="s">
        <v>1085</v>
      </c>
      <c r="H584">
        <v>0</v>
      </c>
      <c r="I584" t="s">
        <v>27</v>
      </c>
      <c r="J584" t="s">
        <v>3107</v>
      </c>
      <c r="K584">
        <v>683.35</v>
      </c>
      <c r="L584">
        <v>2</v>
      </c>
      <c r="M584">
        <v>10</v>
      </c>
      <c r="N584" t="s">
        <v>54</v>
      </c>
      <c r="O584" t="s">
        <v>175</v>
      </c>
      <c r="P584" t="s">
        <v>56</v>
      </c>
      <c r="Q584" t="s">
        <v>69</v>
      </c>
    </row>
    <row r="585" spans="1:17" x14ac:dyDescent="0.3">
      <c r="A585" t="s">
        <v>3109</v>
      </c>
      <c r="B585" t="s">
        <v>3110</v>
      </c>
      <c r="C585">
        <v>56</v>
      </c>
      <c r="D585" t="s">
        <v>3111</v>
      </c>
      <c r="E585" t="s">
        <v>25</v>
      </c>
      <c r="F585" t="s">
        <v>550</v>
      </c>
      <c r="G585" t="s">
        <v>3112</v>
      </c>
      <c r="H585">
        <v>5</v>
      </c>
      <c r="I585" t="s">
        <v>52</v>
      </c>
      <c r="J585" s="86">
        <v>44814</v>
      </c>
      <c r="K585">
        <v>137.79</v>
      </c>
      <c r="L585">
        <v>5</v>
      </c>
      <c r="M585">
        <v>12</v>
      </c>
      <c r="N585" t="s">
        <v>68</v>
      </c>
      <c r="O585" t="s">
        <v>211</v>
      </c>
      <c r="P585" t="s">
        <v>68</v>
      </c>
      <c r="Q585" t="s">
        <v>32</v>
      </c>
    </row>
    <row r="586" spans="1:17" x14ac:dyDescent="0.3">
      <c r="A586" t="s">
        <v>3114</v>
      </c>
      <c r="B586" t="s">
        <v>3115</v>
      </c>
      <c r="C586">
        <v>62</v>
      </c>
      <c r="D586" t="s">
        <v>3116</v>
      </c>
      <c r="E586" t="s">
        <v>40</v>
      </c>
      <c r="F586" s="86">
        <v>44567</v>
      </c>
      <c r="G586" s="86">
        <v>45908</v>
      </c>
      <c r="H586">
        <v>5</v>
      </c>
      <c r="I586" t="s">
        <v>27</v>
      </c>
      <c r="J586" t="s">
        <v>2314</v>
      </c>
      <c r="K586">
        <v>309.26</v>
      </c>
      <c r="L586">
        <v>4</v>
      </c>
      <c r="M586">
        <v>17</v>
      </c>
      <c r="N586" t="s">
        <v>45</v>
      </c>
      <c r="O586" t="s">
        <v>821</v>
      </c>
      <c r="P586" t="s">
        <v>68</v>
      </c>
      <c r="Q586" t="s">
        <v>32</v>
      </c>
    </row>
    <row r="587" spans="1:17" x14ac:dyDescent="0.3">
      <c r="A587" t="s">
        <v>3118</v>
      </c>
      <c r="B587" t="s">
        <v>3119</v>
      </c>
      <c r="C587">
        <v>31</v>
      </c>
      <c r="D587" t="s">
        <v>3120</v>
      </c>
      <c r="E587" t="s">
        <v>51</v>
      </c>
      <c r="F587" t="s">
        <v>1867</v>
      </c>
      <c r="G587" t="s">
        <v>1324</v>
      </c>
      <c r="H587">
        <v>2</v>
      </c>
      <c r="I587" t="s">
        <v>52</v>
      </c>
      <c r="J587" t="s">
        <v>320</v>
      </c>
      <c r="K587">
        <v>43.08</v>
      </c>
      <c r="L587">
        <v>5</v>
      </c>
      <c r="M587">
        <v>22</v>
      </c>
      <c r="N587" t="s">
        <v>54</v>
      </c>
      <c r="O587" t="s">
        <v>109</v>
      </c>
      <c r="P587" t="s">
        <v>68</v>
      </c>
      <c r="Q587" t="s">
        <v>32</v>
      </c>
    </row>
    <row r="588" spans="1:17" x14ac:dyDescent="0.3">
      <c r="A588" t="s">
        <v>3122</v>
      </c>
      <c r="B588" t="s">
        <v>3123</v>
      </c>
      <c r="C588">
        <v>67</v>
      </c>
      <c r="D588" t="s">
        <v>3124</v>
      </c>
      <c r="E588" t="s">
        <v>88</v>
      </c>
      <c r="F588" t="s">
        <v>298</v>
      </c>
      <c r="G588" s="86">
        <v>45689</v>
      </c>
      <c r="H588">
        <v>4</v>
      </c>
      <c r="I588" t="s">
        <v>27</v>
      </c>
      <c r="J588" t="s">
        <v>161</v>
      </c>
      <c r="K588">
        <v>659.12</v>
      </c>
      <c r="L588">
        <v>3</v>
      </c>
      <c r="M588">
        <v>32</v>
      </c>
      <c r="N588" t="s">
        <v>45</v>
      </c>
      <c r="O588" t="s">
        <v>169</v>
      </c>
      <c r="P588" t="s">
        <v>30</v>
      </c>
      <c r="Q588" t="s">
        <v>32</v>
      </c>
    </row>
    <row r="589" spans="1:17" x14ac:dyDescent="0.3">
      <c r="A589" t="s">
        <v>3126</v>
      </c>
      <c r="B589" t="s">
        <v>3127</v>
      </c>
      <c r="C589">
        <v>69</v>
      </c>
      <c r="D589" t="s">
        <v>3128</v>
      </c>
      <c r="E589" t="s">
        <v>25</v>
      </c>
      <c r="F589" t="s">
        <v>3129</v>
      </c>
      <c r="G589" s="86">
        <v>44784</v>
      </c>
      <c r="H589">
        <v>5</v>
      </c>
      <c r="I589" t="s">
        <v>27</v>
      </c>
      <c r="J589" t="s">
        <v>3130</v>
      </c>
      <c r="K589">
        <v>177.67</v>
      </c>
      <c r="L589">
        <v>7</v>
      </c>
      <c r="M589">
        <v>28</v>
      </c>
      <c r="N589" t="s">
        <v>30</v>
      </c>
      <c r="O589" t="s">
        <v>269</v>
      </c>
      <c r="P589" t="s">
        <v>56</v>
      </c>
      <c r="Q589" t="s">
        <v>32</v>
      </c>
    </row>
    <row r="590" spans="1:17" x14ac:dyDescent="0.3">
      <c r="A590" t="s">
        <v>3132</v>
      </c>
      <c r="B590" t="s">
        <v>3133</v>
      </c>
      <c r="C590">
        <v>65</v>
      </c>
      <c r="D590" t="s">
        <v>3134</v>
      </c>
      <c r="E590" t="s">
        <v>40</v>
      </c>
      <c r="F590" t="s">
        <v>2538</v>
      </c>
      <c r="G590" s="86">
        <v>45143</v>
      </c>
      <c r="H590">
        <v>4</v>
      </c>
      <c r="I590" t="s">
        <v>64</v>
      </c>
      <c r="J590" s="86">
        <v>44775</v>
      </c>
      <c r="K590">
        <v>215.02</v>
      </c>
      <c r="L590">
        <v>7</v>
      </c>
      <c r="M590">
        <v>19</v>
      </c>
      <c r="N590" t="s">
        <v>54</v>
      </c>
      <c r="O590" t="s">
        <v>194</v>
      </c>
      <c r="P590" t="s">
        <v>56</v>
      </c>
      <c r="Q590" t="s">
        <v>69</v>
      </c>
    </row>
    <row r="591" spans="1:17" x14ac:dyDescent="0.3">
      <c r="A591" t="s">
        <v>3136</v>
      </c>
      <c r="B591" t="s">
        <v>3137</v>
      </c>
      <c r="C591">
        <v>51</v>
      </c>
      <c r="D591" t="s">
        <v>3138</v>
      </c>
      <c r="E591" t="s">
        <v>88</v>
      </c>
      <c r="F591" s="86">
        <v>44383</v>
      </c>
      <c r="G591" s="86">
        <v>45907</v>
      </c>
      <c r="H591">
        <v>4</v>
      </c>
      <c r="I591" t="s">
        <v>64</v>
      </c>
      <c r="J591" s="86">
        <v>45480</v>
      </c>
      <c r="K591">
        <v>978.5</v>
      </c>
      <c r="L591">
        <v>1</v>
      </c>
      <c r="M591">
        <v>14</v>
      </c>
      <c r="N591" t="s">
        <v>45</v>
      </c>
      <c r="O591" t="s">
        <v>157</v>
      </c>
      <c r="P591" t="s">
        <v>68</v>
      </c>
      <c r="Q591" t="s">
        <v>69</v>
      </c>
    </row>
    <row r="592" spans="1:17" x14ac:dyDescent="0.3">
      <c r="A592" t="s">
        <v>3140</v>
      </c>
      <c r="B592" t="s">
        <v>3141</v>
      </c>
      <c r="C592">
        <v>43</v>
      </c>
      <c r="D592" t="s">
        <v>3142</v>
      </c>
      <c r="E592" t="s">
        <v>40</v>
      </c>
      <c r="F592" s="86">
        <v>43840</v>
      </c>
      <c r="G592" s="86">
        <v>45606</v>
      </c>
      <c r="H592">
        <v>0</v>
      </c>
      <c r="I592" t="s">
        <v>27</v>
      </c>
      <c r="J592" t="s">
        <v>3143</v>
      </c>
      <c r="K592">
        <v>180.39</v>
      </c>
      <c r="L592">
        <v>2</v>
      </c>
      <c r="M592">
        <v>44</v>
      </c>
      <c r="N592" t="s">
        <v>68</v>
      </c>
      <c r="O592" t="s">
        <v>597</v>
      </c>
      <c r="P592" t="s">
        <v>45</v>
      </c>
      <c r="Q592" t="s">
        <v>69</v>
      </c>
    </row>
    <row r="593" spans="1:17" x14ac:dyDescent="0.3">
      <c r="A593" t="s">
        <v>3145</v>
      </c>
      <c r="B593" t="s">
        <v>3146</v>
      </c>
      <c r="C593">
        <v>56</v>
      </c>
      <c r="D593" t="s">
        <v>3147</v>
      </c>
      <c r="E593" t="s">
        <v>25</v>
      </c>
      <c r="F593" t="s">
        <v>2207</v>
      </c>
      <c r="G593" s="86">
        <v>45058</v>
      </c>
      <c r="H593">
        <v>5</v>
      </c>
      <c r="I593" t="s">
        <v>52</v>
      </c>
      <c r="J593" t="s">
        <v>1112</v>
      </c>
      <c r="K593">
        <v>275.98</v>
      </c>
      <c r="L593">
        <v>4</v>
      </c>
      <c r="M593">
        <v>21</v>
      </c>
      <c r="N593" t="s">
        <v>68</v>
      </c>
      <c r="O593" t="s">
        <v>855</v>
      </c>
      <c r="P593" t="s">
        <v>45</v>
      </c>
      <c r="Q593" t="s">
        <v>32</v>
      </c>
    </row>
    <row r="594" spans="1:17" x14ac:dyDescent="0.3">
      <c r="A594" t="s">
        <v>3149</v>
      </c>
      <c r="B594" t="s">
        <v>3150</v>
      </c>
      <c r="C594">
        <v>30</v>
      </c>
      <c r="D594" t="s">
        <v>3151</v>
      </c>
      <c r="E594" t="s">
        <v>40</v>
      </c>
      <c r="F594" s="86">
        <v>44784</v>
      </c>
      <c r="G594" t="s">
        <v>664</v>
      </c>
      <c r="H594">
        <v>0</v>
      </c>
      <c r="I594" t="s">
        <v>27</v>
      </c>
      <c r="J594" t="s">
        <v>1726</v>
      </c>
      <c r="K594">
        <v>105.63</v>
      </c>
      <c r="L594">
        <v>7</v>
      </c>
      <c r="M594">
        <v>36</v>
      </c>
      <c r="N594" t="s">
        <v>56</v>
      </c>
      <c r="O594" t="s">
        <v>245</v>
      </c>
      <c r="P594" t="s">
        <v>54</v>
      </c>
      <c r="Q594" t="s">
        <v>32</v>
      </c>
    </row>
    <row r="595" spans="1:17" x14ac:dyDescent="0.3">
      <c r="A595" t="s">
        <v>3153</v>
      </c>
      <c r="B595" t="s">
        <v>3154</v>
      </c>
      <c r="C595">
        <v>35</v>
      </c>
      <c r="D595" t="s">
        <v>3155</v>
      </c>
      <c r="E595" t="s">
        <v>61</v>
      </c>
      <c r="F595" s="86">
        <v>45053</v>
      </c>
      <c r="G595" t="s">
        <v>186</v>
      </c>
      <c r="H595">
        <v>5</v>
      </c>
      <c r="I595" t="s">
        <v>27</v>
      </c>
      <c r="J595" t="s">
        <v>485</v>
      </c>
      <c r="K595">
        <v>427.02</v>
      </c>
      <c r="L595">
        <v>4</v>
      </c>
      <c r="M595">
        <v>35</v>
      </c>
      <c r="N595" t="s">
        <v>68</v>
      </c>
      <c r="O595" t="s">
        <v>44</v>
      </c>
      <c r="P595" t="s">
        <v>45</v>
      </c>
      <c r="Q595" t="s">
        <v>32</v>
      </c>
    </row>
    <row r="596" spans="1:17" x14ac:dyDescent="0.3">
      <c r="A596" t="s">
        <v>3157</v>
      </c>
      <c r="B596" t="s">
        <v>3158</v>
      </c>
      <c r="C596">
        <v>20</v>
      </c>
      <c r="D596" t="s">
        <v>3159</v>
      </c>
      <c r="E596" t="s">
        <v>88</v>
      </c>
      <c r="F596" t="s">
        <v>556</v>
      </c>
      <c r="G596" s="86">
        <v>45720</v>
      </c>
      <c r="H596">
        <v>1</v>
      </c>
      <c r="I596" t="s">
        <v>27</v>
      </c>
      <c r="J596" t="s">
        <v>1572</v>
      </c>
      <c r="K596">
        <v>93.14</v>
      </c>
      <c r="L596">
        <v>9</v>
      </c>
      <c r="M596">
        <v>2</v>
      </c>
      <c r="N596" t="s">
        <v>30</v>
      </c>
      <c r="O596" t="s">
        <v>855</v>
      </c>
      <c r="P596" t="s">
        <v>45</v>
      </c>
      <c r="Q596" t="s">
        <v>32</v>
      </c>
    </row>
    <row r="597" spans="1:17" x14ac:dyDescent="0.3">
      <c r="A597" t="s">
        <v>3161</v>
      </c>
      <c r="B597" t="s">
        <v>3162</v>
      </c>
      <c r="C597">
        <v>59</v>
      </c>
      <c r="D597" t="s">
        <v>3163</v>
      </c>
      <c r="E597" t="s">
        <v>51</v>
      </c>
      <c r="F597" t="s">
        <v>2167</v>
      </c>
      <c r="G597" s="86">
        <v>44995</v>
      </c>
      <c r="H597">
        <v>4</v>
      </c>
      <c r="I597" t="s">
        <v>64</v>
      </c>
      <c r="J597" t="s">
        <v>3164</v>
      </c>
      <c r="K597">
        <v>58.61</v>
      </c>
      <c r="L597">
        <v>3</v>
      </c>
      <c r="M597">
        <v>47</v>
      </c>
      <c r="N597" t="s">
        <v>56</v>
      </c>
      <c r="O597" t="s">
        <v>122</v>
      </c>
      <c r="P597" t="s">
        <v>30</v>
      </c>
      <c r="Q597" t="s">
        <v>322</v>
      </c>
    </row>
    <row r="598" spans="1:17" x14ac:dyDescent="0.3">
      <c r="A598" t="s">
        <v>3166</v>
      </c>
      <c r="B598" t="s">
        <v>3167</v>
      </c>
      <c r="C598">
        <v>53</v>
      </c>
      <c r="D598" t="s">
        <v>3168</v>
      </c>
      <c r="E598" t="s">
        <v>51</v>
      </c>
      <c r="F598" s="86">
        <v>44958</v>
      </c>
      <c r="G598" t="s">
        <v>1159</v>
      </c>
      <c r="H598">
        <v>0</v>
      </c>
      <c r="I598" t="s">
        <v>52</v>
      </c>
      <c r="J598" t="s">
        <v>2956</v>
      </c>
      <c r="K598">
        <v>261.37</v>
      </c>
      <c r="L598">
        <v>6</v>
      </c>
      <c r="M598">
        <v>41</v>
      </c>
      <c r="N598" t="s">
        <v>54</v>
      </c>
      <c r="O598" t="s">
        <v>99</v>
      </c>
      <c r="P598" t="s">
        <v>56</v>
      </c>
      <c r="Q598" t="s">
        <v>32</v>
      </c>
    </row>
    <row r="599" spans="1:17" x14ac:dyDescent="0.3">
      <c r="A599" t="s">
        <v>3170</v>
      </c>
      <c r="B599" t="s">
        <v>3171</v>
      </c>
      <c r="C599">
        <v>66</v>
      </c>
      <c r="D599" t="s">
        <v>3172</v>
      </c>
      <c r="E599" t="s">
        <v>25</v>
      </c>
      <c r="F599" t="s">
        <v>3173</v>
      </c>
      <c r="G599" t="s">
        <v>3174</v>
      </c>
      <c r="H599">
        <v>1</v>
      </c>
      <c r="I599" t="s">
        <v>27</v>
      </c>
      <c r="J599" s="86">
        <v>45028</v>
      </c>
      <c r="K599">
        <v>697.6</v>
      </c>
      <c r="L599">
        <v>2</v>
      </c>
      <c r="M599">
        <v>8</v>
      </c>
      <c r="N599" t="s">
        <v>54</v>
      </c>
      <c r="O599" t="s">
        <v>142</v>
      </c>
      <c r="P599" t="s">
        <v>68</v>
      </c>
      <c r="Q599" t="s">
        <v>69</v>
      </c>
    </row>
    <row r="600" spans="1:17" x14ac:dyDescent="0.3">
      <c r="A600" t="s">
        <v>3176</v>
      </c>
      <c r="B600" t="s">
        <v>3177</v>
      </c>
      <c r="C600">
        <v>31</v>
      </c>
      <c r="D600" t="s">
        <v>3178</v>
      </c>
      <c r="E600" t="s">
        <v>51</v>
      </c>
      <c r="F600" s="86">
        <v>44378</v>
      </c>
      <c r="G600" s="86">
        <v>45023</v>
      </c>
      <c r="H600">
        <v>5</v>
      </c>
      <c r="I600" t="s">
        <v>52</v>
      </c>
      <c r="J600" t="s">
        <v>2044</v>
      </c>
      <c r="K600">
        <v>612.54999999999995</v>
      </c>
      <c r="L600">
        <v>3</v>
      </c>
      <c r="M600">
        <v>9</v>
      </c>
      <c r="N600" t="s">
        <v>45</v>
      </c>
      <c r="O600" t="s">
        <v>238</v>
      </c>
      <c r="P600" t="s">
        <v>45</v>
      </c>
      <c r="Q600" t="s">
        <v>32</v>
      </c>
    </row>
    <row r="601" spans="1:17" x14ac:dyDescent="0.3">
      <c r="A601" t="s">
        <v>3180</v>
      </c>
      <c r="B601" t="s">
        <v>3181</v>
      </c>
      <c r="C601">
        <v>59</v>
      </c>
      <c r="D601" t="s">
        <v>3182</v>
      </c>
      <c r="E601" t="s">
        <v>88</v>
      </c>
      <c r="F601" s="86">
        <v>44812</v>
      </c>
      <c r="G601" t="s">
        <v>3183</v>
      </c>
      <c r="H601">
        <v>0</v>
      </c>
      <c r="I601" t="s">
        <v>27</v>
      </c>
      <c r="J601" t="s">
        <v>1513</v>
      </c>
      <c r="K601">
        <v>150.44</v>
      </c>
      <c r="L601">
        <v>2</v>
      </c>
      <c r="M601">
        <v>47</v>
      </c>
      <c r="N601" t="s">
        <v>68</v>
      </c>
      <c r="O601" t="s">
        <v>169</v>
      </c>
      <c r="P601" t="s">
        <v>30</v>
      </c>
      <c r="Q601" t="s">
        <v>32</v>
      </c>
    </row>
    <row r="602" spans="1:17" x14ac:dyDescent="0.3">
      <c r="A602" t="s">
        <v>3185</v>
      </c>
      <c r="B602" t="s">
        <v>3186</v>
      </c>
      <c r="C602">
        <v>18</v>
      </c>
      <c r="D602" t="s">
        <v>3187</v>
      </c>
      <c r="E602" t="s">
        <v>88</v>
      </c>
      <c r="F602" s="86">
        <v>45023</v>
      </c>
      <c r="G602" s="86">
        <v>45692</v>
      </c>
      <c r="H602">
        <v>5</v>
      </c>
      <c r="I602" t="s">
        <v>27</v>
      </c>
      <c r="J602" t="s">
        <v>872</v>
      </c>
      <c r="K602">
        <v>118.23</v>
      </c>
      <c r="L602">
        <v>9</v>
      </c>
      <c r="M602">
        <v>40</v>
      </c>
      <c r="N602" t="s">
        <v>68</v>
      </c>
      <c r="O602" t="s">
        <v>122</v>
      </c>
      <c r="P602" t="s">
        <v>30</v>
      </c>
      <c r="Q602" t="s">
        <v>322</v>
      </c>
    </row>
    <row r="603" spans="1:17" x14ac:dyDescent="0.3">
      <c r="A603" t="s">
        <v>3189</v>
      </c>
      <c r="B603" t="s">
        <v>3190</v>
      </c>
      <c r="C603">
        <v>57</v>
      </c>
      <c r="D603" t="s">
        <v>3191</v>
      </c>
      <c r="E603" t="s">
        <v>40</v>
      </c>
      <c r="F603" t="s">
        <v>2408</v>
      </c>
      <c r="G603" s="86">
        <v>45600</v>
      </c>
      <c r="H603">
        <v>4</v>
      </c>
      <c r="I603" t="s">
        <v>27</v>
      </c>
      <c r="J603" s="86">
        <v>45485</v>
      </c>
      <c r="K603">
        <v>1043.23</v>
      </c>
      <c r="L603">
        <v>1</v>
      </c>
      <c r="M603">
        <v>9</v>
      </c>
      <c r="N603" t="s">
        <v>54</v>
      </c>
      <c r="O603" t="s">
        <v>855</v>
      </c>
      <c r="P603" t="s">
        <v>45</v>
      </c>
      <c r="Q603" t="s">
        <v>69</v>
      </c>
    </row>
    <row r="604" spans="1:17" x14ac:dyDescent="0.3">
      <c r="A604" t="s">
        <v>3193</v>
      </c>
      <c r="B604" t="s">
        <v>3194</v>
      </c>
      <c r="C604">
        <v>61</v>
      </c>
      <c r="D604" t="s">
        <v>3195</v>
      </c>
      <c r="E604" t="s">
        <v>88</v>
      </c>
      <c r="F604" s="86">
        <v>44744</v>
      </c>
      <c r="G604" s="86">
        <v>45302</v>
      </c>
      <c r="H604">
        <v>0</v>
      </c>
      <c r="I604" t="s">
        <v>64</v>
      </c>
      <c r="J604" t="s">
        <v>1852</v>
      </c>
      <c r="K604">
        <v>619.73</v>
      </c>
      <c r="L604">
        <v>3</v>
      </c>
      <c r="M604">
        <v>11</v>
      </c>
      <c r="N604" t="s">
        <v>45</v>
      </c>
      <c r="O604" t="s">
        <v>149</v>
      </c>
      <c r="P604" t="s">
        <v>30</v>
      </c>
      <c r="Q604" t="s">
        <v>32</v>
      </c>
    </row>
    <row r="605" spans="1:17" x14ac:dyDescent="0.3">
      <c r="A605" t="s">
        <v>3197</v>
      </c>
      <c r="B605" t="s">
        <v>3198</v>
      </c>
      <c r="C605">
        <v>58</v>
      </c>
      <c r="D605" t="s">
        <v>3199</v>
      </c>
      <c r="E605" t="s">
        <v>95</v>
      </c>
      <c r="F605" t="s">
        <v>3200</v>
      </c>
      <c r="G605" s="86">
        <v>45816</v>
      </c>
      <c r="H605">
        <v>1</v>
      </c>
      <c r="I605" t="s">
        <v>27</v>
      </c>
      <c r="J605" t="s">
        <v>2588</v>
      </c>
      <c r="K605">
        <v>449.28</v>
      </c>
      <c r="L605">
        <v>3</v>
      </c>
      <c r="M605">
        <v>47</v>
      </c>
      <c r="N605" t="s">
        <v>45</v>
      </c>
      <c r="O605" t="s">
        <v>837</v>
      </c>
      <c r="P605" t="s">
        <v>56</v>
      </c>
      <c r="Q605" t="s">
        <v>32</v>
      </c>
    </row>
    <row r="606" spans="1:17" x14ac:dyDescent="0.3">
      <c r="A606" t="s">
        <v>3202</v>
      </c>
      <c r="B606" t="s">
        <v>3203</v>
      </c>
      <c r="C606">
        <v>22</v>
      </c>
      <c r="D606" t="s">
        <v>3204</v>
      </c>
      <c r="E606" t="s">
        <v>88</v>
      </c>
      <c r="F606" t="s">
        <v>3205</v>
      </c>
      <c r="G606" s="86">
        <v>45814</v>
      </c>
      <c r="H606">
        <v>2</v>
      </c>
      <c r="I606" t="s">
        <v>27</v>
      </c>
      <c r="J606" s="86">
        <v>45720</v>
      </c>
      <c r="K606">
        <v>1181.3699999999999</v>
      </c>
      <c r="L606">
        <v>1</v>
      </c>
      <c r="M606">
        <v>17</v>
      </c>
      <c r="N606" t="s">
        <v>54</v>
      </c>
      <c r="O606" t="s">
        <v>122</v>
      </c>
      <c r="P606" t="s">
        <v>30</v>
      </c>
      <c r="Q606" t="s">
        <v>32</v>
      </c>
    </row>
    <row r="607" spans="1:17" x14ac:dyDescent="0.3">
      <c r="A607" t="s">
        <v>3207</v>
      </c>
      <c r="B607" t="s">
        <v>3208</v>
      </c>
      <c r="C607">
        <v>53</v>
      </c>
      <c r="D607" t="s">
        <v>3209</v>
      </c>
      <c r="E607" t="s">
        <v>88</v>
      </c>
      <c r="F607" s="86">
        <v>45052</v>
      </c>
      <c r="G607" t="s">
        <v>364</v>
      </c>
      <c r="H607">
        <v>3</v>
      </c>
      <c r="I607" t="s">
        <v>27</v>
      </c>
      <c r="J607" t="s">
        <v>3210</v>
      </c>
      <c r="K607">
        <v>56.24</v>
      </c>
      <c r="L607">
        <v>9</v>
      </c>
      <c r="M607">
        <v>31</v>
      </c>
      <c r="N607" t="s">
        <v>54</v>
      </c>
      <c r="O607" t="s">
        <v>175</v>
      </c>
      <c r="P607" t="s">
        <v>56</v>
      </c>
      <c r="Q607" t="s">
        <v>32</v>
      </c>
    </row>
    <row r="608" spans="1:17" x14ac:dyDescent="0.3">
      <c r="A608" t="s">
        <v>3212</v>
      </c>
      <c r="B608" t="s">
        <v>3213</v>
      </c>
      <c r="C608">
        <v>42</v>
      </c>
      <c r="D608" t="s">
        <v>3214</v>
      </c>
      <c r="E608" t="s">
        <v>51</v>
      </c>
      <c r="F608" s="86">
        <v>44866</v>
      </c>
      <c r="G608" t="s">
        <v>1053</v>
      </c>
      <c r="H608">
        <v>1</v>
      </c>
      <c r="I608" t="s">
        <v>27</v>
      </c>
      <c r="J608" s="86">
        <v>45020</v>
      </c>
      <c r="K608">
        <v>458.76</v>
      </c>
      <c r="L608">
        <v>4</v>
      </c>
      <c r="M608">
        <v>16</v>
      </c>
      <c r="N608" t="s">
        <v>54</v>
      </c>
      <c r="O608" t="s">
        <v>610</v>
      </c>
      <c r="P608" t="s">
        <v>68</v>
      </c>
      <c r="Q608" t="s">
        <v>69</v>
      </c>
    </row>
    <row r="609" spans="1:17" x14ac:dyDescent="0.3">
      <c r="A609" t="s">
        <v>3216</v>
      </c>
      <c r="B609" t="s">
        <v>3217</v>
      </c>
      <c r="C609">
        <v>57</v>
      </c>
      <c r="D609" t="s">
        <v>3218</v>
      </c>
      <c r="E609" t="s">
        <v>95</v>
      </c>
      <c r="F609" s="86">
        <v>44714</v>
      </c>
      <c r="G609" s="86">
        <v>44571</v>
      </c>
      <c r="H609">
        <v>0</v>
      </c>
      <c r="I609" t="s">
        <v>52</v>
      </c>
      <c r="J609" t="s">
        <v>2800</v>
      </c>
      <c r="K609">
        <v>4.92</v>
      </c>
      <c r="L609">
        <v>8</v>
      </c>
      <c r="M609">
        <v>40</v>
      </c>
      <c r="N609" t="s">
        <v>45</v>
      </c>
      <c r="O609" t="s">
        <v>624</v>
      </c>
      <c r="P609" t="s">
        <v>30</v>
      </c>
      <c r="Q609" t="s">
        <v>69</v>
      </c>
    </row>
    <row r="610" spans="1:17" x14ac:dyDescent="0.3">
      <c r="A610" t="s">
        <v>3220</v>
      </c>
      <c r="B610" t="s">
        <v>3221</v>
      </c>
      <c r="C610">
        <v>56</v>
      </c>
      <c r="D610" t="s">
        <v>3222</v>
      </c>
      <c r="E610" t="s">
        <v>95</v>
      </c>
      <c r="F610" t="s">
        <v>601</v>
      </c>
      <c r="G610" t="s">
        <v>3223</v>
      </c>
      <c r="H610">
        <v>2</v>
      </c>
      <c r="I610" t="s">
        <v>27</v>
      </c>
      <c r="J610" t="s">
        <v>1546</v>
      </c>
      <c r="K610">
        <v>314.8</v>
      </c>
      <c r="L610">
        <v>4</v>
      </c>
      <c r="M610">
        <v>4</v>
      </c>
      <c r="N610" t="s">
        <v>54</v>
      </c>
      <c r="O610" t="s">
        <v>855</v>
      </c>
      <c r="P610" t="s">
        <v>45</v>
      </c>
      <c r="Q610" t="s">
        <v>32</v>
      </c>
    </row>
    <row r="611" spans="1:17" x14ac:dyDescent="0.3">
      <c r="A611" t="s">
        <v>3225</v>
      </c>
      <c r="B611" t="s">
        <v>3226</v>
      </c>
      <c r="C611">
        <v>51</v>
      </c>
      <c r="D611" t="s">
        <v>3227</v>
      </c>
      <c r="E611" t="s">
        <v>51</v>
      </c>
      <c r="F611" t="s">
        <v>2876</v>
      </c>
      <c r="G611" t="s">
        <v>797</v>
      </c>
      <c r="H611">
        <v>4</v>
      </c>
      <c r="I611" t="s">
        <v>64</v>
      </c>
      <c r="J611" t="s">
        <v>717</v>
      </c>
      <c r="K611">
        <v>475.45</v>
      </c>
      <c r="L611">
        <v>4</v>
      </c>
      <c r="M611">
        <v>1</v>
      </c>
      <c r="N611" t="s">
        <v>56</v>
      </c>
      <c r="O611" t="s">
        <v>142</v>
      </c>
      <c r="P611" t="s">
        <v>68</v>
      </c>
      <c r="Q611" t="s">
        <v>32</v>
      </c>
    </row>
    <row r="612" spans="1:17" x14ac:dyDescent="0.3">
      <c r="A612" t="s">
        <v>3229</v>
      </c>
      <c r="B612" t="s">
        <v>3230</v>
      </c>
      <c r="C612">
        <v>51</v>
      </c>
      <c r="D612" t="s">
        <v>3231</v>
      </c>
      <c r="E612" t="s">
        <v>51</v>
      </c>
      <c r="F612" t="s">
        <v>3232</v>
      </c>
      <c r="G612" s="86">
        <v>44809</v>
      </c>
      <c r="H612">
        <v>2</v>
      </c>
      <c r="I612" t="s">
        <v>27</v>
      </c>
      <c r="J612" t="s">
        <v>3233</v>
      </c>
      <c r="K612">
        <v>224.82</v>
      </c>
      <c r="L612">
        <v>2</v>
      </c>
      <c r="M612">
        <v>28</v>
      </c>
      <c r="N612" t="s">
        <v>30</v>
      </c>
      <c r="O612" t="s">
        <v>366</v>
      </c>
      <c r="P612" t="s">
        <v>54</v>
      </c>
      <c r="Q612" t="s">
        <v>69</v>
      </c>
    </row>
    <row r="613" spans="1:17" x14ac:dyDescent="0.3">
      <c r="A613" t="s">
        <v>3235</v>
      </c>
      <c r="B613" t="s">
        <v>3236</v>
      </c>
      <c r="C613">
        <v>20</v>
      </c>
      <c r="D613" t="s">
        <v>3237</v>
      </c>
      <c r="E613" t="s">
        <v>40</v>
      </c>
      <c r="F613" t="s">
        <v>446</v>
      </c>
      <c r="G613" t="s">
        <v>3238</v>
      </c>
      <c r="H613">
        <v>3</v>
      </c>
      <c r="I613" t="s">
        <v>27</v>
      </c>
      <c r="J613" t="s">
        <v>616</v>
      </c>
      <c r="K613">
        <v>187.96</v>
      </c>
      <c r="L613">
        <v>2</v>
      </c>
      <c r="M613">
        <v>32</v>
      </c>
      <c r="N613" t="s">
        <v>54</v>
      </c>
      <c r="O613" t="s">
        <v>821</v>
      </c>
      <c r="P613" t="s">
        <v>68</v>
      </c>
      <c r="Q613" t="s">
        <v>32</v>
      </c>
    </row>
    <row r="614" spans="1:17" x14ac:dyDescent="0.3">
      <c r="A614" t="s">
        <v>3240</v>
      </c>
      <c r="B614" t="s">
        <v>3241</v>
      </c>
      <c r="C614">
        <v>26</v>
      </c>
      <c r="D614" t="s">
        <v>3242</v>
      </c>
      <c r="E614" t="s">
        <v>88</v>
      </c>
      <c r="F614" t="s">
        <v>236</v>
      </c>
      <c r="G614" s="86">
        <v>44996</v>
      </c>
      <c r="H614">
        <v>4</v>
      </c>
      <c r="I614" t="s">
        <v>27</v>
      </c>
      <c r="J614" s="86">
        <v>45414</v>
      </c>
      <c r="K614">
        <v>123.54</v>
      </c>
      <c r="L614">
        <v>8</v>
      </c>
      <c r="M614">
        <v>18</v>
      </c>
      <c r="N614" t="s">
        <v>68</v>
      </c>
      <c r="O614" t="s">
        <v>99</v>
      </c>
      <c r="P614" t="s">
        <v>56</v>
      </c>
      <c r="Q614" t="s">
        <v>69</v>
      </c>
    </row>
    <row r="615" spans="1:17" x14ac:dyDescent="0.3">
      <c r="A615" t="s">
        <v>3244</v>
      </c>
      <c r="B615" t="s">
        <v>3245</v>
      </c>
      <c r="C615">
        <v>65</v>
      </c>
      <c r="D615" t="s">
        <v>3246</v>
      </c>
      <c r="E615" t="s">
        <v>61</v>
      </c>
      <c r="F615" s="86">
        <v>44872</v>
      </c>
      <c r="G615" t="s">
        <v>783</v>
      </c>
      <c r="H615">
        <v>1</v>
      </c>
      <c r="I615" t="s">
        <v>52</v>
      </c>
      <c r="J615" s="86">
        <v>45301</v>
      </c>
      <c r="K615">
        <v>384.32</v>
      </c>
      <c r="L615">
        <v>4</v>
      </c>
      <c r="M615">
        <v>13</v>
      </c>
      <c r="N615" t="s">
        <v>56</v>
      </c>
      <c r="O615" t="s">
        <v>67</v>
      </c>
      <c r="P615" t="s">
        <v>68</v>
      </c>
      <c r="Q615" t="s">
        <v>69</v>
      </c>
    </row>
    <row r="616" spans="1:17" x14ac:dyDescent="0.3">
      <c r="A616" t="s">
        <v>3248</v>
      </c>
      <c r="B616" t="s">
        <v>3249</v>
      </c>
      <c r="C616">
        <v>53</v>
      </c>
      <c r="D616" t="s">
        <v>3250</v>
      </c>
      <c r="E616" t="s">
        <v>40</v>
      </c>
      <c r="F616" t="s">
        <v>3251</v>
      </c>
      <c r="G616" t="s">
        <v>1842</v>
      </c>
      <c r="H616">
        <v>5</v>
      </c>
      <c r="I616" t="s">
        <v>52</v>
      </c>
      <c r="J616" t="s">
        <v>519</v>
      </c>
      <c r="K616">
        <v>158.27000000000001</v>
      </c>
      <c r="L616">
        <v>4</v>
      </c>
      <c r="M616">
        <v>40</v>
      </c>
      <c r="N616" t="s">
        <v>56</v>
      </c>
      <c r="O616" t="s">
        <v>245</v>
      </c>
      <c r="P616" t="s">
        <v>54</v>
      </c>
      <c r="Q616" t="s">
        <v>69</v>
      </c>
    </row>
    <row r="617" spans="1:17" x14ac:dyDescent="0.3">
      <c r="A617" t="s">
        <v>3253</v>
      </c>
      <c r="B617" t="s">
        <v>3254</v>
      </c>
      <c r="C617">
        <v>61</v>
      </c>
      <c r="D617" t="s">
        <v>3255</v>
      </c>
      <c r="E617" t="s">
        <v>51</v>
      </c>
      <c r="F617" t="s">
        <v>1111</v>
      </c>
      <c r="G617" s="86">
        <v>45573</v>
      </c>
      <c r="H617">
        <v>4</v>
      </c>
      <c r="I617" t="s">
        <v>52</v>
      </c>
      <c r="J617" t="s">
        <v>1355</v>
      </c>
      <c r="K617">
        <v>252.11</v>
      </c>
      <c r="L617">
        <v>7</v>
      </c>
      <c r="M617">
        <v>25</v>
      </c>
      <c r="N617" t="s">
        <v>56</v>
      </c>
      <c r="O617" t="s">
        <v>157</v>
      </c>
      <c r="P617" t="s">
        <v>68</v>
      </c>
      <c r="Q617" t="s">
        <v>69</v>
      </c>
    </row>
    <row r="618" spans="1:17" x14ac:dyDescent="0.3">
      <c r="A618" t="s">
        <v>3257</v>
      </c>
      <c r="B618" t="s">
        <v>3258</v>
      </c>
      <c r="C618">
        <v>26</v>
      </c>
      <c r="D618" t="s">
        <v>3259</v>
      </c>
      <c r="E618" t="s">
        <v>88</v>
      </c>
      <c r="F618" t="s">
        <v>1210</v>
      </c>
      <c r="G618" t="s">
        <v>2446</v>
      </c>
      <c r="H618">
        <v>1</v>
      </c>
      <c r="I618" t="s">
        <v>27</v>
      </c>
      <c r="J618" t="s">
        <v>740</v>
      </c>
      <c r="K618">
        <v>174.23</v>
      </c>
      <c r="L618">
        <v>1</v>
      </c>
      <c r="M618">
        <v>11</v>
      </c>
      <c r="N618" t="s">
        <v>30</v>
      </c>
      <c r="O618" t="s">
        <v>157</v>
      </c>
      <c r="P618" t="s">
        <v>68</v>
      </c>
      <c r="Q618" t="s">
        <v>69</v>
      </c>
    </row>
    <row r="619" spans="1:17" x14ac:dyDescent="0.3">
      <c r="A619" t="s">
        <v>3261</v>
      </c>
      <c r="B619" t="s">
        <v>3262</v>
      </c>
      <c r="C619">
        <v>36</v>
      </c>
      <c r="D619" t="s">
        <v>3263</v>
      </c>
      <c r="E619" t="s">
        <v>40</v>
      </c>
      <c r="F619" s="86">
        <v>44782</v>
      </c>
      <c r="G619" s="86">
        <v>45691</v>
      </c>
      <c r="H619">
        <v>1</v>
      </c>
      <c r="I619" t="s">
        <v>27</v>
      </c>
      <c r="J619" t="s">
        <v>2077</v>
      </c>
      <c r="K619">
        <v>150.88999999999999</v>
      </c>
      <c r="L619">
        <v>6</v>
      </c>
      <c r="M619">
        <v>28</v>
      </c>
      <c r="N619" t="s">
        <v>68</v>
      </c>
      <c r="O619" t="s">
        <v>293</v>
      </c>
      <c r="P619" t="s">
        <v>45</v>
      </c>
      <c r="Q619" t="s">
        <v>69</v>
      </c>
    </row>
    <row r="620" spans="1:17" x14ac:dyDescent="0.3">
      <c r="A620" t="s">
        <v>3265</v>
      </c>
      <c r="B620" t="s">
        <v>3266</v>
      </c>
      <c r="C620">
        <v>56</v>
      </c>
      <c r="D620" t="s">
        <v>3267</v>
      </c>
      <c r="E620" t="s">
        <v>40</v>
      </c>
      <c r="F620" s="86">
        <v>44294</v>
      </c>
      <c r="G620" t="s">
        <v>1553</v>
      </c>
      <c r="H620">
        <v>2</v>
      </c>
      <c r="I620" t="s">
        <v>52</v>
      </c>
      <c r="J620" t="s">
        <v>2938</v>
      </c>
      <c r="K620">
        <v>169.91</v>
      </c>
      <c r="L620">
        <v>8</v>
      </c>
      <c r="M620">
        <v>24</v>
      </c>
      <c r="N620" t="s">
        <v>54</v>
      </c>
      <c r="O620" t="s">
        <v>199</v>
      </c>
      <c r="P620" t="s">
        <v>54</v>
      </c>
      <c r="Q620" t="s">
        <v>69</v>
      </c>
    </row>
    <row r="621" spans="1:17" x14ac:dyDescent="0.3">
      <c r="A621" t="s">
        <v>3269</v>
      </c>
      <c r="B621" t="s">
        <v>3270</v>
      </c>
      <c r="C621">
        <v>57</v>
      </c>
      <c r="D621" t="s">
        <v>3271</v>
      </c>
      <c r="E621" t="s">
        <v>51</v>
      </c>
      <c r="F621" t="s">
        <v>3272</v>
      </c>
      <c r="G621" t="s">
        <v>3273</v>
      </c>
      <c r="H621">
        <v>2</v>
      </c>
      <c r="I621" t="s">
        <v>27</v>
      </c>
      <c r="J621" t="s">
        <v>633</v>
      </c>
      <c r="K621">
        <v>94.81</v>
      </c>
      <c r="L621">
        <v>4</v>
      </c>
      <c r="M621">
        <v>33</v>
      </c>
      <c r="N621" t="s">
        <v>56</v>
      </c>
      <c r="O621" t="s">
        <v>245</v>
      </c>
      <c r="P621" t="s">
        <v>54</v>
      </c>
      <c r="Q621" t="s">
        <v>69</v>
      </c>
    </row>
    <row r="622" spans="1:17" x14ac:dyDescent="0.3">
      <c r="A622" t="s">
        <v>3275</v>
      </c>
      <c r="B622" t="s">
        <v>3276</v>
      </c>
      <c r="C622">
        <v>21</v>
      </c>
      <c r="D622" t="s">
        <v>3277</v>
      </c>
      <c r="E622" t="s">
        <v>95</v>
      </c>
      <c r="F622" t="s">
        <v>3278</v>
      </c>
      <c r="G622" t="s">
        <v>65</v>
      </c>
      <c r="H622">
        <v>4</v>
      </c>
      <c r="I622" t="s">
        <v>27</v>
      </c>
      <c r="J622" s="86">
        <v>45028</v>
      </c>
      <c r="K622">
        <v>168.81</v>
      </c>
      <c r="L622">
        <v>3</v>
      </c>
      <c r="M622">
        <v>37</v>
      </c>
      <c r="N622" t="s">
        <v>45</v>
      </c>
      <c r="O622" t="s">
        <v>610</v>
      </c>
      <c r="P622" t="s">
        <v>68</v>
      </c>
      <c r="Q622" t="s">
        <v>32</v>
      </c>
    </row>
    <row r="623" spans="1:17" x14ac:dyDescent="0.3">
      <c r="A623" t="s">
        <v>3280</v>
      </c>
      <c r="B623" t="s">
        <v>3281</v>
      </c>
      <c r="C623">
        <v>34</v>
      </c>
      <c r="D623" t="s">
        <v>3282</v>
      </c>
      <c r="E623" t="s">
        <v>61</v>
      </c>
      <c r="F623" s="86">
        <v>45114</v>
      </c>
      <c r="G623" t="s">
        <v>62</v>
      </c>
      <c r="H623">
        <v>5</v>
      </c>
      <c r="I623" t="s">
        <v>27</v>
      </c>
      <c r="J623" t="s">
        <v>3283</v>
      </c>
      <c r="K623">
        <v>415.64</v>
      </c>
      <c r="L623">
        <v>1</v>
      </c>
      <c r="M623">
        <v>13</v>
      </c>
      <c r="N623" t="s">
        <v>68</v>
      </c>
      <c r="O623" t="s">
        <v>837</v>
      </c>
      <c r="P623" t="s">
        <v>56</v>
      </c>
      <c r="Q623" t="s">
        <v>32</v>
      </c>
    </row>
    <row r="624" spans="1:17" x14ac:dyDescent="0.3">
      <c r="A624" t="s">
        <v>3285</v>
      </c>
      <c r="B624" t="s">
        <v>3286</v>
      </c>
      <c r="C624">
        <v>23</v>
      </c>
      <c r="D624" t="s">
        <v>3287</v>
      </c>
      <c r="E624" t="s">
        <v>61</v>
      </c>
      <c r="F624" t="s">
        <v>479</v>
      </c>
      <c r="G624" t="s">
        <v>646</v>
      </c>
      <c r="H624">
        <v>5</v>
      </c>
      <c r="I624" t="s">
        <v>52</v>
      </c>
      <c r="J624" t="s">
        <v>2267</v>
      </c>
      <c r="K624">
        <v>24.21</v>
      </c>
      <c r="L624">
        <v>5</v>
      </c>
      <c r="M624">
        <v>19</v>
      </c>
      <c r="N624" t="s">
        <v>54</v>
      </c>
      <c r="O624" t="s">
        <v>855</v>
      </c>
      <c r="P624" t="s">
        <v>45</v>
      </c>
      <c r="Q624" t="s">
        <v>32</v>
      </c>
    </row>
    <row r="625" spans="1:17" x14ac:dyDescent="0.3">
      <c r="A625" t="s">
        <v>3289</v>
      </c>
      <c r="B625" t="s">
        <v>3290</v>
      </c>
      <c r="C625">
        <v>66</v>
      </c>
      <c r="D625" t="s">
        <v>3291</v>
      </c>
      <c r="E625" t="s">
        <v>40</v>
      </c>
      <c r="F625" s="86">
        <v>44715</v>
      </c>
      <c r="G625" s="86">
        <v>45141</v>
      </c>
      <c r="H625">
        <v>2</v>
      </c>
      <c r="I625" t="s">
        <v>52</v>
      </c>
      <c r="J625" t="s">
        <v>1841</v>
      </c>
      <c r="K625">
        <v>132.41999999999999</v>
      </c>
      <c r="L625">
        <v>8</v>
      </c>
      <c r="M625">
        <v>14</v>
      </c>
      <c r="N625" t="s">
        <v>45</v>
      </c>
      <c r="O625" t="s">
        <v>373</v>
      </c>
      <c r="P625" t="s">
        <v>54</v>
      </c>
      <c r="Q625" t="s">
        <v>69</v>
      </c>
    </row>
    <row r="626" spans="1:17" x14ac:dyDescent="0.3">
      <c r="A626" t="s">
        <v>3293</v>
      </c>
      <c r="B626" t="s">
        <v>3294</v>
      </c>
      <c r="C626">
        <v>50</v>
      </c>
      <c r="D626" t="s">
        <v>3295</v>
      </c>
      <c r="E626" t="s">
        <v>40</v>
      </c>
      <c r="F626" s="86">
        <v>44378</v>
      </c>
      <c r="G626" t="s">
        <v>2397</v>
      </c>
      <c r="H626">
        <v>1</v>
      </c>
      <c r="I626" t="s">
        <v>52</v>
      </c>
      <c r="J626" t="s">
        <v>634</v>
      </c>
      <c r="K626">
        <v>177.1</v>
      </c>
      <c r="L626">
        <v>5</v>
      </c>
      <c r="M626">
        <v>49</v>
      </c>
      <c r="N626" t="s">
        <v>56</v>
      </c>
      <c r="O626" t="s">
        <v>157</v>
      </c>
      <c r="P626" t="s">
        <v>68</v>
      </c>
      <c r="Q626" t="s">
        <v>69</v>
      </c>
    </row>
    <row r="627" spans="1:17" x14ac:dyDescent="0.3">
      <c r="A627" t="s">
        <v>3297</v>
      </c>
      <c r="B627" t="s">
        <v>3298</v>
      </c>
      <c r="C627">
        <v>64</v>
      </c>
      <c r="D627" t="s">
        <v>3299</v>
      </c>
      <c r="E627" t="s">
        <v>95</v>
      </c>
      <c r="F627" t="s">
        <v>3300</v>
      </c>
      <c r="G627" s="86">
        <v>44348</v>
      </c>
      <c r="H627">
        <v>2</v>
      </c>
      <c r="I627" t="s">
        <v>27</v>
      </c>
      <c r="J627" s="86">
        <v>44746</v>
      </c>
      <c r="K627">
        <v>239.59</v>
      </c>
      <c r="L627">
        <v>7</v>
      </c>
      <c r="M627">
        <v>35</v>
      </c>
      <c r="N627" t="s">
        <v>54</v>
      </c>
      <c r="O627" t="s">
        <v>251</v>
      </c>
      <c r="P627" t="s">
        <v>30</v>
      </c>
      <c r="Q627" t="s">
        <v>32</v>
      </c>
    </row>
    <row r="628" spans="1:17" x14ac:dyDescent="0.3">
      <c r="A628" t="s">
        <v>3302</v>
      </c>
      <c r="B628" t="s">
        <v>3303</v>
      </c>
      <c r="C628">
        <v>36</v>
      </c>
      <c r="D628" t="s">
        <v>3304</v>
      </c>
      <c r="E628" t="s">
        <v>61</v>
      </c>
      <c r="F628" t="s">
        <v>2029</v>
      </c>
      <c r="G628" t="s">
        <v>2743</v>
      </c>
      <c r="H628">
        <v>3</v>
      </c>
      <c r="I628" t="s">
        <v>52</v>
      </c>
      <c r="J628" t="s">
        <v>3210</v>
      </c>
      <c r="K628">
        <v>165.39</v>
      </c>
      <c r="L628">
        <v>5</v>
      </c>
      <c r="M628">
        <v>28</v>
      </c>
      <c r="N628" t="s">
        <v>56</v>
      </c>
      <c r="O628" t="s">
        <v>199</v>
      </c>
      <c r="P628" t="s">
        <v>54</v>
      </c>
      <c r="Q628" t="s">
        <v>32</v>
      </c>
    </row>
    <row r="629" spans="1:17" x14ac:dyDescent="0.3">
      <c r="A629" t="s">
        <v>3306</v>
      </c>
      <c r="B629" t="s">
        <v>3307</v>
      </c>
      <c r="C629">
        <v>62</v>
      </c>
      <c r="D629" t="s">
        <v>3308</v>
      </c>
      <c r="E629" t="s">
        <v>51</v>
      </c>
      <c r="F629" t="s">
        <v>3309</v>
      </c>
      <c r="G629" s="86">
        <v>45117</v>
      </c>
      <c r="H629">
        <v>1</v>
      </c>
      <c r="I629" t="s">
        <v>64</v>
      </c>
      <c r="J629" t="s">
        <v>1868</v>
      </c>
      <c r="K629">
        <v>445.44</v>
      </c>
      <c r="L629">
        <v>2</v>
      </c>
      <c r="M629">
        <v>28</v>
      </c>
      <c r="N629" t="s">
        <v>68</v>
      </c>
      <c r="O629" t="s">
        <v>169</v>
      </c>
      <c r="P629" t="s">
        <v>30</v>
      </c>
      <c r="Q629" t="s">
        <v>32</v>
      </c>
    </row>
    <row r="630" spans="1:17" x14ac:dyDescent="0.3">
      <c r="A630" t="s">
        <v>3311</v>
      </c>
      <c r="B630" t="s">
        <v>3312</v>
      </c>
      <c r="C630">
        <v>46</v>
      </c>
      <c r="D630" t="s">
        <v>3313</v>
      </c>
      <c r="E630" t="s">
        <v>88</v>
      </c>
      <c r="F630" t="s">
        <v>934</v>
      </c>
      <c r="G630" t="s">
        <v>2103</v>
      </c>
      <c r="H630">
        <v>5</v>
      </c>
      <c r="I630" t="s">
        <v>52</v>
      </c>
      <c r="J630" t="s">
        <v>486</v>
      </c>
      <c r="K630">
        <v>562.29</v>
      </c>
      <c r="L630">
        <v>3</v>
      </c>
      <c r="M630">
        <v>30</v>
      </c>
      <c r="N630" t="s">
        <v>45</v>
      </c>
      <c r="O630" t="s">
        <v>231</v>
      </c>
      <c r="P630" t="s">
        <v>30</v>
      </c>
      <c r="Q630" t="s">
        <v>32</v>
      </c>
    </row>
    <row r="631" spans="1:17" x14ac:dyDescent="0.3">
      <c r="A631" t="s">
        <v>3315</v>
      </c>
      <c r="B631" t="s">
        <v>3316</v>
      </c>
      <c r="C631">
        <v>43</v>
      </c>
      <c r="D631" t="s">
        <v>3317</v>
      </c>
      <c r="E631" t="s">
        <v>61</v>
      </c>
      <c r="F631" s="86">
        <v>44774</v>
      </c>
      <c r="G631" t="s">
        <v>1324</v>
      </c>
      <c r="H631">
        <v>0</v>
      </c>
      <c r="I631" t="s">
        <v>52</v>
      </c>
      <c r="J631" t="s">
        <v>291</v>
      </c>
      <c r="K631">
        <v>108.56</v>
      </c>
      <c r="L631">
        <v>8</v>
      </c>
      <c r="M631">
        <v>10</v>
      </c>
      <c r="N631" t="s">
        <v>56</v>
      </c>
      <c r="O631" t="s">
        <v>597</v>
      </c>
      <c r="P631" t="s">
        <v>45</v>
      </c>
      <c r="Q631" t="s">
        <v>32</v>
      </c>
    </row>
    <row r="632" spans="1:17" x14ac:dyDescent="0.3">
      <c r="A632" t="s">
        <v>3319</v>
      </c>
      <c r="B632" t="s">
        <v>3320</v>
      </c>
      <c r="C632">
        <v>67</v>
      </c>
      <c r="D632" t="s">
        <v>3321</v>
      </c>
      <c r="E632" t="s">
        <v>88</v>
      </c>
      <c r="F632" s="86">
        <v>44257</v>
      </c>
      <c r="G632" s="86">
        <v>45448</v>
      </c>
      <c r="H632">
        <v>1</v>
      </c>
      <c r="I632" t="s">
        <v>64</v>
      </c>
      <c r="J632" t="s">
        <v>2966</v>
      </c>
      <c r="K632">
        <v>908.4</v>
      </c>
      <c r="L632">
        <v>2</v>
      </c>
      <c r="M632">
        <v>46</v>
      </c>
      <c r="N632" t="s">
        <v>56</v>
      </c>
      <c r="O632" t="s">
        <v>837</v>
      </c>
      <c r="P632" t="s">
        <v>56</v>
      </c>
      <c r="Q632" t="s">
        <v>69</v>
      </c>
    </row>
    <row r="633" spans="1:17" x14ac:dyDescent="0.3">
      <c r="A633" t="s">
        <v>3323</v>
      </c>
      <c r="B633" t="s">
        <v>3324</v>
      </c>
      <c r="C633">
        <v>57</v>
      </c>
      <c r="D633" t="s">
        <v>3325</v>
      </c>
      <c r="E633" t="s">
        <v>25</v>
      </c>
      <c r="F633" s="86">
        <v>44743</v>
      </c>
      <c r="G633" t="s">
        <v>2035</v>
      </c>
      <c r="H633">
        <v>5</v>
      </c>
      <c r="I633" t="s">
        <v>27</v>
      </c>
      <c r="J633" s="86">
        <v>45999</v>
      </c>
      <c r="K633">
        <v>1904.04</v>
      </c>
      <c r="L633">
        <v>1</v>
      </c>
      <c r="M633">
        <v>6</v>
      </c>
      <c r="N633" t="s">
        <v>68</v>
      </c>
      <c r="O633" t="s">
        <v>199</v>
      </c>
      <c r="P633" t="s">
        <v>54</v>
      </c>
      <c r="Q633" t="s">
        <v>32</v>
      </c>
    </row>
    <row r="634" spans="1:17" x14ac:dyDescent="0.3">
      <c r="A634" t="s">
        <v>3327</v>
      </c>
      <c r="B634" t="s">
        <v>3328</v>
      </c>
      <c r="C634">
        <v>46</v>
      </c>
      <c r="D634" t="s">
        <v>3329</v>
      </c>
      <c r="E634" t="s">
        <v>51</v>
      </c>
      <c r="F634" s="86">
        <v>44207</v>
      </c>
      <c r="G634" t="s">
        <v>140</v>
      </c>
      <c r="H634">
        <v>1</v>
      </c>
      <c r="I634" t="s">
        <v>27</v>
      </c>
      <c r="J634" t="s">
        <v>3330</v>
      </c>
      <c r="K634">
        <v>313.25</v>
      </c>
      <c r="L634">
        <v>6</v>
      </c>
      <c r="M634">
        <v>42</v>
      </c>
      <c r="N634" t="s">
        <v>54</v>
      </c>
      <c r="O634" t="s">
        <v>425</v>
      </c>
      <c r="P634" t="s">
        <v>30</v>
      </c>
      <c r="Q634" t="s">
        <v>69</v>
      </c>
    </row>
    <row r="635" spans="1:17" x14ac:dyDescent="0.3">
      <c r="A635" t="s">
        <v>3332</v>
      </c>
      <c r="B635" t="s">
        <v>3333</v>
      </c>
      <c r="C635">
        <v>65</v>
      </c>
      <c r="D635" t="s">
        <v>3334</v>
      </c>
      <c r="E635" t="s">
        <v>25</v>
      </c>
      <c r="F635" s="86">
        <v>45268</v>
      </c>
      <c r="G635" t="s">
        <v>3335</v>
      </c>
      <c r="H635">
        <v>0</v>
      </c>
      <c r="I635" t="s">
        <v>64</v>
      </c>
      <c r="J635" t="s">
        <v>616</v>
      </c>
      <c r="K635">
        <v>174.86</v>
      </c>
      <c r="L635">
        <v>8</v>
      </c>
      <c r="M635">
        <v>37</v>
      </c>
      <c r="N635" t="s">
        <v>56</v>
      </c>
      <c r="O635" t="s">
        <v>604</v>
      </c>
      <c r="P635" t="s">
        <v>45</v>
      </c>
      <c r="Q635" t="s">
        <v>69</v>
      </c>
    </row>
    <row r="636" spans="1:17" x14ac:dyDescent="0.3">
      <c r="A636" t="s">
        <v>3337</v>
      </c>
      <c r="B636" t="s">
        <v>3338</v>
      </c>
      <c r="C636">
        <v>39</v>
      </c>
      <c r="D636" t="s">
        <v>3339</v>
      </c>
      <c r="E636" t="s">
        <v>25</v>
      </c>
      <c r="F636" t="s">
        <v>3340</v>
      </c>
      <c r="G636" t="s">
        <v>3341</v>
      </c>
      <c r="H636">
        <v>5</v>
      </c>
      <c r="I636" t="s">
        <v>27</v>
      </c>
      <c r="J636" s="86">
        <v>45749</v>
      </c>
      <c r="K636">
        <v>207.22</v>
      </c>
      <c r="L636">
        <v>8</v>
      </c>
      <c r="M636">
        <v>18</v>
      </c>
      <c r="N636" t="s">
        <v>56</v>
      </c>
      <c r="O636" t="s">
        <v>169</v>
      </c>
      <c r="P636" t="s">
        <v>30</v>
      </c>
      <c r="Q636" t="s">
        <v>69</v>
      </c>
    </row>
    <row r="637" spans="1:17" x14ac:dyDescent="0.3">
      <c r="A637" t="s">
        <v>3343</v>
      </c>
      <c r="B637" t="s">
        <v>3344</v>
      </c>
      <c r="C637">
        <v>57</v>
      </c>
      <c r="D637" t="s">
        <v>3345</v>
      </c>
      <c r="E637" t="s">
        <v>61</v>
      </c>
      <c r="F637" t="s">
        <v>3272</v>
      </c>
      <c r="G637" t="s">
        <v>995</v>
      </c>
      <c r="H637">
        <v>0</v>
      </c>
      <c r="I637" t="s">
        <v>27</v>
      </c>
      <c r="J637" s="86">
        <v>44356</v>
      </c>
      <c r="K637">
        <v>232.51</v>
      </c>
      <c r="L637">
        <v>4</v>
      </c>
      <c r="M637">
        <v>40</v>
      </c>
      <c r="N637" t="s">
        <v>45</v>
      </c>
      <c r="O637" t="s">
        <v>238</v>
      </c>
      <c r="P637" t="s">
        <v>45</v>
      </c>
      <c r="Q637" t="s">
        <v>32</v>
      </c>
    </row>
    <row r="638" spans="1:17" x14ac:dyDescent="0.3">
      <c r="A638" t="s">
        <v>3347</v>
      </c>
      <c r="B638" t="s">
        <v>3348</v>
      </c>
      <c r="C638">
        <v>55</v>
      </c>
      <c r="D638" t="s">
        <v>3349</v>
      </c>
      <c r="E638" t="s">
        <v>88</v>
      </c>
      <c r="F638" s="86">
        <v>44593</v>
      </c>
      <c r="G638" t="s">
        <v>872</v>
      </c>
      <c r="H638">
        <v>0</v>
      </c>
      <c r="I638" t="s">
        <v>27</v>
      </c>
      <c r="J638" s="86">
        <v>45749</v>
      </c>
      <c r="K638">
        <v>67.19</v>
      </c>
      <c r="L638">
        <v>9</v>
      </c>
      <c r="M638">
        <v>25</v>
      </c>
      <c r="N638" t="s">
        <v>30</v>
      </c>
      <c r="O638" t="s">
        <v>354</v>
      </c>
      <c r="P638" t="s">
        <v>45</v>
      </c>
      <c r="Q638" t="s">
        <v>32</v>
      </c>
    </row>
    <row r="639" spans="1:17" x14ac:dyDescent="0.3">
      <c r="A639" t="s">
        <v>3351</v>
      </c>
      <c r="B639" t="s">
        <v>3352</v>
      </c>
      <c r="C639">
        <v>37</v>
      </c>
      <c r="D639" t="s">
        <v>3353</v>
      </c>
      <c r="E639" t="s">
        <v>95</v>
      </c>
      <c r="F639" t="s">
        <v>3354</v>
      </c>
      <c r="G639" t="s">
        <v>89</v>
      </c>
      <c r="H639">
        <v>0</v>
      </c>
      <c r="I639" t="s">
        <v>27</v>
      </c>
      <c r="J639" t="s">
        <v>1983</v>
      </c>
      <c r="K639">
        <v>111.88</v>
      </c>
      <c r="L639">
        <v>6</v>
      </c>
      <c r="M639">
        <v>39</v>
      </c>
      <c r="N639" t="s">
        <v>54</v>
      </c>
      <c r="O639" t="s">
        <v>211</v>
      </c>
      <c r="P639" t="s">
        <v>68</v>
      </c>
      <c r="Q639" t="s">
        <v>69</v>
      </c>
    </row>
    <row r="640" spans="1:17" x14ac:dyDescent="0.3">
      <c r="A640" t="s">
        <v>3356</v>
      </c>
      <c r="B640" t="s">
        <v>3357</v>
      </c>
      <c r="C640">
        <v>58</v>
      </c>
      <c r="D640" t="s">
        <v>3358</v>
      </c>
      <c r="E640" t="s">
        <v>95</v>
      </c>
      <c r="F640" t="s">
        <v>261</v>
      </c>
      <c r="G640" s="86">
        <v>45846</v>
      </c>
      <c r="H640">
        <v>3</v>
      </c>
      <c r="I640" t="s">
        <v>64</v>
      </c>
      <c r="J640" t="s">
        <v>2603</v>
      </c>
      <c r="K640">
        <v>924.05</v>
      </c>
      <c r="L640">
        <v>1</v>
      </c>
      <c r="M640">
        <v>1</v>
      </c>
      <c r="N640" t="s">
        <v>68</v>
      </c>
      <c r="O640" t="s">
        <v>425</v>
      </c>
      <c r="P640" t="s">
        <v>30</v>
      </c>
      <c r="Q640" t="s">
        <v>32</v>
      </c>
    </row>
    <row r="641" spans="1:17" x14ac:dyDescent="0.3">
      <c r="A641" t="s">
        <v>3360</v>
      </c>
      <c r="B641" t="s">
        <v>3361</v>
      </c>
      <c r="C641">
        <v>40</v>
      </c>
      <c r="D641" t="s">
        <v>3362</v>
      </c>
      <c r="E641" t="s">
        <v>51</v>
      </c>
      <c r="F641" t="s">
        <v>1031</v>
      </c>
      <c r="G641" t="s">
        <v>2087</v>
      </c>
      <c r="H641">
        <v>3</v>
      </c>
      <c r="I641" t="s">
        <v>27</v>
      </c>
      <c r="J641" t="s">
        <v>1924</v>
      </c>
      <c r="K641">
        <v>85.08</v>
      </c>
      <c r="L641">
        <v>6</v>
      </c>
      <c r="M641">
        <v>6</v>
      </c>
      <c r="N641" t="s">
        <v>56</v>
      </c>
      <c r="O641" t="s">
        <v>251</v>
      </c>
      <c r="P641" t="s">
        <v>30</v>
      </c>
      <c r="Q641" t="s">
        <v>32</v>
      </c>
    </row>
    <row r="642" spans="1:17" x14ac:dyDescent="0.3">
      <c r="A642" t="s">
        <v>3364</v>
      </c>
      <c r="B642" t="s">
        <v>3365</v>
      </c>
      <c r="C642">
        <v>69</v>
      </c>
      <c r="D642" t="s">
        <v>3366</v>
      </c>
      <c r="E642" t="s">
        <v>61</v>
      </c>
      <c r="F642" t="s">
        <v>3367</v>
      </c>
      <c r="G642" t="s">
        <v>2579</v>
      </c>
      <c r="H642">
        <v>5</v>
      </c>
      <c r="I642" t="s">
        <v>52</v>
      </c>
      <c r="J642" t="s">
        <v>1801</v>
      </c>
      <c r="K642">
        <v>179.5</v>
      </c>
      <c r="L642">
        <v>8</v>
      </c>
      <c r="M642">
        <v>33</v>
      </c>
      <c r="N642" t="s">
        <v>68</v>
      </c>
      <c r="O642" t="s">
        <v>77</v>
      </c>
      <c r="P642" t="s">
        <v>54</v>
      </c>
      <c r="Q642" t="s">
        <v>32</v>
      </c>
    </row>
    <row r="643" spans="1:17" x14ac:dyDescent="0.3">
      <c r="A643" t="s">
        <v>3369</v>
      </c>
      <c r="B643" t="s">
        <v>3370</v>
      </c>
      <c r="C643">
        <v>41</v>
      </c>
      <c r="D643" t="s">
        <v>3371</v>
      </c>
      <c r="E643" t="s">
        <v>88</v>
      </c>
      <c r="F643" s="86">
        <v>44293</v>
      </c>
      <c r="G643" t="s">
        <v>3372</v>
      </c>
      <c r="H643">
        <v>4</v>
      </c>
      <c r="I643" t="s">
        <v>64</v>
      </c>
      <c r="J643" t="s">
        <v>1755</v>
      </c>
      <c r="K643">
        <v>73.150000000000006</v>
      </c>
      <c r="L643">
        <v>4</v>
      </c>
      <c r="M643">
        <v>49</v>
      </c>
      <c r="N643" t="s">
        <v>45</v>
      </c>
      <c r="O643" t="s">
        <v>269</v>
      </c>
      <c r="P643" t="s">
        <v>56</v>
      </c>
      <c r="Q643" t="s">
        <v>69</v>
      </c>
    </row>
    <row r="644" spans="1:17" x14ac:dyDescent="0.3">
      <c r="A644" t="s">
        <v>3374</v>
      </c>
      <c r="B644" t="s">
        <v>3375</v>
      </c>
      <c r="C644">
        <v>64</v>
      </c>
      <c r="D644" t="s">
        <v>3376</v>
      </c>
      <c r="E644" t="s">
        <v>51</v>
      </c>
      <c r="F644" s="86">
        <v>44874</v>
      </c>
      <c r="G644" s="86">
        <v>45937</v>
      </c>
      <c r="H644">
        <v>0</v>
      </c>
      <c r="I644" t="s">
        <v>27</v>
      </c>
      <c r="J644" s="86">
        <v>45962</v>
      </c>
      <c r="K644">
        <v>180.64</v>
      </c>
      <c r="L644">
        <v>6</v>
      </c>
      <c r="M644">
        <v>38</v>
      </c>
      <c r="N644" t="s">
        <v>45</v>
      </c>
      <c r="O644" t="s">
        <v>269</v>
      </c>
      <c r="P644" t="s">
        <v>56</v>
      </c>
      <c r="Q644" t="s">
        <v>69</v>
      </c>
    </row>
    <row r="645" spans="1:17" x14ac:dyDescent="0.3">
      <c r="A645" t="s">
        <v>3378</v>
      </c>
      <c r="B645" t="s">
        <v>3379</v>
      </c>
      <c r="C645">
        <v>46</v>
      </c>
      <c r="D645" t="s">
        <v>3380</v>
      </c>
      <c r="E645" t="s">
        <v>95</v>
      </c>
      <c r="F645" t="s">
        <v>3341</v>
      </c>
      <c r="G645" s="86">
        <v>45208</v>
      </c>
      <c r="H645">
        <v>0</v>
      </c>
      <c r="I645" t="s">
        <v>27</v>
      </c>
      <c r="J645" t="s">
        <v>1775</v>
      </c>
      <c r="K645">
        <v>160.41</v>
      </c>
      <c r="L645">
        <v>8</v>
      </c>
      <c r="M645">
        <v>10</v>
      </c>
      <c r="N645" t="s">
        <v>68</v>
      </c>
      <c r="O645" t="s">
        <v>67</v>
      </c>
      <c r="P645" t="s">
        <v>68</v>
      </c>
      <c r="Q645" t="s">
        <v>69</v>
      </c>
    </row>
    <row r="646" spans="1:17" x14ac:dyDescent="0.3">
      <c r="A646" t="s">
        <v>3382</v>
      </c>
      <c r="B646" t="s">
        <v>3383</v>
      </c>
      <c r="C646">
        <v>21</v>
      </c>
      <c r="D646" t="s">
        <v>3384</v>
      </c>
      <c r="E646" t="s">
        <v>88</v>
      </c>
      <c r="F646" s="86">
        <v>44323</v>
      </c>
      <c r="G646" s="86">
        <v>45547</v>
      </c>
      <c r="H646">
        <v>0</v>
      </c>
      <c r="I646" t="s">
        <v>27</v>
      </c>
      <c r="J646" s="86">
        <v>44323</v>
      </c>
      <c r="K646">
        <v>110.39</v>
      </c>
      <c r="L646">
        <v>9</v>
      </c>
      <c r="M646">
        <v>28</v>
      </c>
      <c r="N646" t="s">
        <v>30</v>
      </c>
      <c r="O646" t="s">
        <v>67</v>
      </c>
      <c r="P646" t="s">
        <v>68</v>
      </c>
      <c r="Q646" t="s">
        <v>32</v>
      </c>
    </row>
    <row r="647" spans="1:17" x14ac:dyDescent="0.3">
      <c r="A647" t="s">
        <v>3386</v>
      </c>
      <c r="B647" t="s">
        <v>3387</v>
      </c>
      <c r="C647">
        <v>32</v>
      </c>
      <c r="D647" t="s">
        <v>3388</v>
      </c>
      <c r="E647" t="s">
        <v>51</v>
      </c>
      <c r="F647" t="s">
        <v>1396</v>
      </c>
      <c r="G647" t="s">
        <v>1105</v>
      </c>
      <c r="H647">
        <v>2</v>
      </c>
      <c r="I647" t="s">
        <v>27</v>
      </c>
      <c r="J647" s="86">
        <v>45420</v>
      </c>
      <c r="K647">
        <v>202.22</v>
      </c>
      <c r="L647">
        <v>6</v>
      </c>
      <c r="M647">
        <v>46</v>
      </c>
      <c r="N647" t="s">
        <v>56</v>
      </c>
      <c r="O647" t="s">
        <v>55</v>
      </c>
      <c r="P647" t="s">
        <v>56</v>
      </c>
      <c r="Q647" t="s">
        <v>32</v>
      </c>
    </row>
    <row r="648" spans="1:17" x14ac:dyDescent="0.3">
      <c r="A648" t="s">
        <v>3390</v>
      </c>
      <c r="B648" t="s">
        <v>3391</v>
      </c>
      <c r="C648">
        <v>19</v>
      </c>
      <c r="D648" t="s">
        <v>3392</v>
      </c>
      <c r="E648" t="s">
        <v>51</v>
      </c>
      <c r="F648" s="86">
        <v>44660</v>
      </c>
      <c r="G648" t="s">
        <v>3393</v>
      </c>
      <c r="H648">
        <v>4</v>
      </c>
      <c r="I648" t="s">
        <v>27</v>
      </c>
      <c r="J648" s="86">
        <v>45388</v>
      </c>
      <c r="K648">
        <v>147.21</v>
      </c>
      <c r="L648">
        <v>8</v>
      </c>
      <c r="M648">
        <v>13</v>
      </c>
      <c r="N648" t="s">
        <v>45</v>
      </c>
      <c r="O648" t="s">
        <v>855</v>
      </c>
      <c r="P648" t="s">
        <v>45</v>
      </c>
      <c r="Q648" t="s">
        <v>69</v>
      </c>
    </row>
    <row r="649" spans="1:17" x14ac:dyDescent="0.3">
      <c r="A649" t="s">
        <v>3395</v>
      </c>
      <c r="B649" t="s">
        <v>3396</v>
      </c>
      <c r="C649">
        <v>52</v>
      </c>
      <c r="D649" t="s">
        <v>3397</v>
      </c>
      <c r="E649" t="s">
        <v>95</v>
      </c>
      <c r="F649" t="s">
        <v>3398</v>
      </c>
      <c r="G649" s="86">
        <v>45907</v>
      </c>
      <c r="H649">
        <v>3</v>
      </c>
      <c r="I649" t="s">
        <v>64</v>
      </c>
      <c r="J649" t="s">
        <v>934</v>
      </c>
      <c r="K649">
        <v>211.08</v>
      </c>
      <c r="L649">
        <v>2</v>
      </c>
      <c r="M649">
        <v>16</v>
      </c>
      <c r="N649" t="s">
        <v>45</v>
      </c>
      <c r="O649" t="s">
        <v>425</v>
      </c>
      <c r="P649" t="s">
        <v>30</v>
      </c>
      <c r="Q649" t="s">
        <v>32</v>
      </c>
    </row>
    <row r="650" spans="1:17" x14ac:dyDescent="0.3">
      <c r="A650" t="s">
        <v>3400</v>
      </c>
      <c r="B650" t="s">
        <v>3401</v>
      </c>
      <c r="C650">
        <v>24</v>
      </c>
      <c r="D650" t="s">
        <v>3402</v>
      </c>
      <c r="E650" t="s">
        <v>40</v>
      </c>
      <c r="F650" s="86">
        <v>44477</v>
      </c>
      <c r="G650" t="s">
        <v>872</v>
      </c>
      <c r="H650">
        <v>0</v>
      </c>
      <c r="I650" t="s">
        <v>64</v>
      </c>
      <c r="J650" t="s">
        <v>1546</v>
      </c>
      <c r="K650">
        <v>57.73</v>
      </c>
      <c r="L650">
        <v>8</v>
      </c>
      <c r="M650">
        <v>25</v>
      </c>
      <c r="N650" t="s">
        <v>56</v>
      </c>
      <c r="O650" t="s">
        <v>157</v>
      </c>
      <c r="P650" t="s">
        <v>68</v>
      </c>
      <c r="Q650" t="s">
        <v>69</v>
      </c>
    </row>
    <row r="651" spans="1:17" x14ac:dyDescent="0.3">
      <c r="A651" t="s">
        <v>3404</v>
      </c>
      <c r="B651" t="s">
        <v>3405</v>
      </c>
      <c r="C651">
        <v>66</v>
      </c>
      <c r="D651" t="s">
        <v>3406</v>
      </c>
      <c r="E651" t="s">
        <v>40</v>
      </c>
      <c r="F651" t="s">
        <v>3407</v>
      </c>
      <c r="G651" t="s">
        <v>423</v>
      </c>
      <c r="H651">
        <v>2</v>
      </c>
      <c r="I651" t="s">
        <v>52</v>
      </c>
      <c r="J651" t="s">
        <v>1283</v>
      </c>
      <c r="K651">
        <v>786.08</v>
      </c>
      <c r="L651">
        <v>2</v>
      </c>
      <c r="M651">
        <v>19</v>
      </c>
      <c r="N651" t="s">
        <v>30</v>
      </c>
      <c r="O651" t="s">
        <v>418</v>
      </c>
      <c r="P651" t="s">
        <v>56</v>
      </c>
      <c r="Q651" t="s">
        <v>32</v>
      </c>
    </row>
    <row r="652" spans="1:17" x14ac:dyDescent="0.3">
      <c r="A652" t="s">
        <v>3409</v>
      </c>
      <c r="B652" t="s">
        <v>3410</v>
      </c>
      <c r="C652">
        <v>43</v>
      </c>
      <c r="D652" t="s">
        <v>3411</v>
      </c>
      <c r="E652" t="s">
        <v>40</v>
      </c>
      <c r="F652" t="s">
        <v>3412</v>
      </c>
      <c r="G652" t="s">
        <v>1790</v>
      </c>
      <c r="H652">
        <v>4</v>
      </c>
      <c r="I652" t="s">
        <v>27</v>
      </c>
      <c r="J652" t="s">
        <v>2152</v>
      </c>
      <c r="K652">
        <v>77.67</v>
      </c>
      <c r="L652">
        <v>8</v>
      </c>
      <c r="M652">
        <v>37</v>
      </c>
      <c r="N652" t="s">
        <v>68</v>
      </c>
      <c r="O652" t="s">
        <v>821</v>
      </c>
      <c r="P652" t="s">
        <v>68</v>
      </c>
      <c r="Q652" t="s">
        <v>32</v>
      </c>
    </row>
    <row r="653" spans="1:17" x14ac:dyDescent="0.3">
      <c r="A653" t="s">
        <v>3414</v>
      </c>
      <c r="B653" t="s">
        <v>3415</v>
      </c>
      <c r="C653">
        <v>25</v>
      </c>
      <c r="D653" t="s">
        <v>3416</v>
      </c>
      <c r="E653" t="s">
        <v>95</v>
      </c>
      <c r="F653" t="s">
        <v>652</v>
      </c>
      <c r="G653" t="s">
        <v>1923</v>
      </c>
      <c r="H653">
        <v>5</v>
      </c>
      <c r="I653" t="s">
        <v>27</v>
      </c>
      <c r="J653" s="86">
        <v>45210</v>
      </c>
      <c r="K653">
        <v>85.4</v>
      </c>
      <c r="L653">
        <v>3</v>
      </c>
      <c r="M653">
        <v>49</v>
      </c>
      <c r="N653" t="s">
        <v>30</v>
      </c>
      <c r="O653" t="s">
        <v>418</v>
      </c>
      <c r="P653" t="s">
        <v>56</v>
      </c>
      <c r="Q653" t="s">
        <v>69</v>
      </c>
    </row>
    <row r="654" spans="1:17" x14ac:dyDescent="0.3">
      <c r="A654" t="s">
        <v>3418</v>
      </c>
      <c r="B654" t="s">
        <v>3419</v>
      </c>
      <c r="C654">
        <v>59</v>
      </c>
      <c r="D654" t="s">
        <v>3420</v>
      </c>
      <c r="E654" t="s">
        <v>40</v>
      </c>
      <c r="F654" t="s">
        <v>2933</v>
      </c>
      <c r="G654" s="86">
        <v>45603</v>
      </c>
      <c r="H654">
        <v>1</v>
      </c>
      <c r="I654" t="s">
        <v>27</v>
      </c>
      <c r="J654" s="86">
        <v>45782</v>
      </c>
      <c r="K654">
        <v>1165.6500000000001</v>
      </c>
      <c r="L654">
        <v>1</v>
      </c>
      <c r="M654">
        <v>28</v>
      </c>
      <c r="N654" t="s">
        <v>45</v>
      </c>
      <c r="O654" t="s">
        <v>122</v>
      </c>
      <c r="P654" t="s">
        <v>30</v>
      </c>
      <c r="Q654" t="s">
        <v>69</v>
      </c>
    </row>
    <row r="655" spans="1:17" x14ac:dyDescent="0.3">
      <c r="A655" t="s">
        <v>3422</v>
      </c>
      <c r="B655" t="s">
        <v>3423</v>
      </c>
      <c r="C655">
        <v>47</v>
      </c>
      <c r="D655" t="s">
        <v>3424</v>
      </c>
      <c r="E655" t="s">
        <v>95</v>
      </c>
      <c r="F655" t="s">
        <v>589</v>
      </c>
      <c r="G655" t="s">
        <v>1764</v>
      </c>
      <c r="H655">
        <v>4</v>
      </c>
      <c r="I655" t="s">
        <v>27</v>
      </c>
      <c r="J655" t="s">
        <v>3425</v>
      </c>
      <c r="K655">
        <v>49.06</v>
      </c>
      <c r="L655">
        <v>7</v>
      </c>
      <c r="M655">
        <v>20</v>
      </c>
      <c r="N655" t="s">
        <v>56</v>
      </c>
      <c r="O655" t="s">
        <v>157</v>
      </c>
      <c r="P655" t="s">
        <v>68</v>
      </c>
      <c r="Q655" t="s">
        <v>69</v>
      </c>
    </row>
    <row r="656" spans="1:17" x14ac:dyDescent="0.3">
      <c r="A656" t="s">
        <v>3427</v>
      </c>
      <c r="B656" t="s">
        <v>3428</v>
      </c>
      <c r="C656">
        <v>46</v>
      </c>
      <c r="D656" t="s">
        <v>3429</v>
      </c>
      <c r="E656" t="s">
        <v>25</v>
      </c>
      <c r="F656" t="s">
        <v>717</v>
      </c>
      <c r="G656" t="s">
        <v>3430</v>
      </c>
      <c r="H656">
        <v>4</v>
      </c>
      <c r="I656" t="s">
        <v>27</v>
      </c>
      <c r="J656" t="s">
        <v>1971</v>
      </c>
      <c r="K656">
        <v>164.98</v>
      </c>
      <c r="L656">
        <v>3</v>
      </c>
      <c r="M656">
        <v>21</v>
      </c>
      <c r="N656" t="s">
        <v>68</v>
      </c>
      <c r="O656" t="s">
        <v>251</v>
      </c>
      <c r="P656" t="s">
        <v>30</v>
      </c>
      <c r="Q656" t="s">
        <v>32</v>
      </c>
    </row>
    <row r="657" spans="1:17" x14ac:dyDescent="0.3">
      <c r="A657" t="s">
        <v>3432</v>
      </c>
      <c r="B657" t="s">
        <v>3433</v>
      </c>
      <c r="C657">
        <v>56</v>
      </c>
      <c r="D657" t="s">
        <v>3434</v>
      </c>
      <c r="E657" t="s">
        <v>25</v>
      </c>
      <c r="F657" s="86">
        <v>45267</v>
      </c>
      <c r="G657" t="s">
        <v>3210</v>
      </c>
      <c r="H657">
        <v>3</v>
      </c>
      <c r="I657" t="s">
        <v>52</v>
      </c>
      <c r="J657" s="86">
        <v>45598</v>
      </c>
      <c r="K657">
        <v>286.43</v>
      </c>
      <c r="L657">
        <v>3</v>
      </c>
      <c r="M657">
        <v>16</v>
      </c>
      <c r="N657" t="s">
        <v>54</v>
      </c>
      <c r="O657" t="s">
        <v>135</v>
      </c>
      <c r="P657" t="s">
        <v>45</v>
      </c>
      <c r="Q657" t="s">
        <v>69</v>
      </c>
    </row>
    <row r="658" spans="1:17" x14ac:dyDescent="0.3">
      <c r="A658" t="s">
        <v>3436</v>
      </c>
      <c r="B658" t="s">
        <v>3437</v>
      </c>
      <c r="C658">
        <v>36</v>
      </c>
      <c r="D658" t="s">
        <v>3438</v>
      </c>
      <c r="E658" t="s">
        <v>51</v>
      </c>
      <c r="F658" t="s">
        <v>3439</v>
      </c>
      <c r="G658" t="s">
        <v>173</v>
      </c>
      <c r="H658">
        <v>1</v>
      </c>
      <c r="I658" t="s">
        <v>27</v>
      </c>
      <c r="J658" t="s">
        <v>326</v>
      </c>
      <c r="K658">
        <v>83.74</v>
      </c>
      <c r="L658">
        <v>4</v>
      </c>
      <c r="M658">
        <v>34</v>
      </c>
      <c r="N658" t="s">
        <v>30</v>
      </c>
      <c r="O658" t="s">
        <v>597</v>
      </c>
      <c r="P658" t="s">
        <v>45</v>
      </c>
      <c r="Q658" t="s">
        <v>32</v>
      </c>
    </row>
    <row r="659" spans="1:17" x14ac:dyDescent="0.3">
      <c r="A659" t="s">
        <v>3441</v>
      </c>
      <c r="B659" t="s">
        <v>3442</v>
      </c>
      <c r="C659">
        <v>31</v>
      </c>
      <c r="D659" t="s">
        <v>3443</v>
      </c>
      <c r="E659" t="s">
        <v>25</v>
      </c>
      <c r="F659" s="86">
        <v>45170</v>
      </c>
      <c r="G659" t="s">
        <v>2135</v>
      </c>
      <c r="H659">
        <v>0</v>
      </c>
      <c r="I659" t="s">
        <v>27</v>
      </c>
      <c r="J659" s="86">
        <v>45362</v>
      </c>
      <c r="K659">
        <v>196.16</v>
      </c>
      <c r="L659">
        <v>5</v>
      </c>
      <c r="M659">
        <v>47</v>
      </c>
      <c r="N659" t="s">
        <v>56</v>
      </c>
      <c r="O659" t="s">
        <v>122</v>
      </c>
      <c r="P659" t="s">
        <v>30</v>
      </c>
      <c r="Q659" t="s">
        <v>32</v>
      </c>
    </row>
    <row r="660" spans="1:17" x14ac:dyDescent="0.3">
      <c r="A660" t="s">
        <v>3445</v>
      </c>
      <c r="B660" t="s">
        <v>3446</v>
      </c>
      <c r="C660">
        <v>39</v>
      </c>
      <c r="D660" t="s">
        <v>3447</v>
      </c>
      <c r="E660" t="s">
        <v>61</v>
      </c>
      <c r="F660" t="s">
        <v>883</v>
      </c>
      <c r="G660" t="s">
        <v>514</v>
      </c>
      <c r="H660">
        <v>0</v>
      </c>
      <c r="I660" t="s">
        <v>27</v>
      </c>
      <c r="J660" s="86">
        <v>45969</v>
      </c>
      <c r="K660">
        <v>694.93</v>
      </c>
      <c r="L660">
        <v>2</v>
      </c>
      <c r="M660">
        <v>22</v>
      </c>
      <c r="N660" t="s">
        <v>56</v>
      </c>
      <c r="O660" t="s">
        <v>142</v>
      </c>
      <c r="P660" t="s">
        <v>68</v>
      </c>
      <c r="Q660" t="s">
        <v>32</v>
      </c>
    </row>
    <row r="661" spans="1:17" x14ac:dyDescent="0.3">
      <c r="A661" t="s">
        <v>3449</v>
      </c>
      <c r="B661" t="s">
        <v>3450</v>
      </c>
      <c r="C661">
        <v>56</v>
      </c>
      <c r="D661" t="s">
        <v>3451</v>
      </c>
      <c r="E661" t="s">
        <v>25</v>
      </c>
      <c r="F661" t="s">
        <v>1769</v>
      </c>
      <c r="G661" t="s">
        <v>3283</v>
      </c>
      <c r="H661">
        <v>4</v>
      </c>
      <c r="I661" t="s">
        <v>27</v>
      </c>
      <c r="J661" s="86">
        <v>44354</v>
      </c>
      <c r="K661">
        <v>467.28</v>
      </c>
      <c r="L661">
        <v>2</v>
      </c>
      <c r="M661">
        <v>34</v>
      </c>
      <c r="N661" t="s">
        <v>30</v>
      </c>
      <c r="O661" t="s">
        <v>157</v>
      </c>
      <c r="P661" t="s">
        <v>68</v>
      </c>
      <c r="Q661" t="s">
        <v>32</v>
      </c>
    </row>
    <row r="662" spans="1:17" x14ac:dyDescent="0.3">
      <c r="A662" t="s">
        <v>3453</v>
      </c>
      <c r="B662" t="s">
        <v>3454</v>
      </c>
      <c r="C662">
        <v>60</v>
      </c>
      <c r="D662" t="s">
        <v>3455</v>
      </c>
      <c r="E662" t="s">
        <v>51</v>
      </c>
      <c r="F662" s="86">
        <v>45139</v>
      </c>
      <c r="G662" t="s">
        <v>1064</v>
      </c>
      <c r="H662">
        <v>2</v>
      </c>
      <c r="I662" t="s">
        <v>27</v>
      </c>
      <c r="J662" t="s">
        <v>2082</v>
      </c>
      <c r="K662">
        <v>146.16999999999999</v>
      </c>
      <c r="L662">
        <v>9</v>
      </c>
      <c r="M662">
        <v>18</v>
      </c>
      <c r="N662" t="s">
        <v>54</v>
      </c>
      <c r="O662" t="s">
        <v>175</v>
      </c>
      <c r="P662" t="s">
        <v>56</v>
      </c>
      <c r="Q662" t="s">
        <v>69</v>
      </c>
    </row>
    <row r="663" spans="1:17" x14ac:dyDescent="0.3">
      <c r="A663" t="s">
        <v>3457</v>
      </c>
      <c r="B663" t="s">
        <v>3458</v>
      </c>
      <c r="C663">
        <v>32</v>
      </c>
      <c r="D663" t="s">
        <v>3459</v>
      </c>
      <c r="E663" t="s">
        <v>95</v>
      </c>
      <c r="F663" t="s">
        <v>3460</v>
      </c>
      <c r="G663" s="86">
        <v>44779</v>
      </c>
      <c r="H663">
        <v>3</v>
      </c>
      <c r="I663" t="s">
        <v>27</v>
      </c>
      <c r="J663" t="s">
        <v>3461</v>
      </c>
      <c r="K663">
        <v>41.76</v>
      </c>
      <c r="L663">
        <v>7</v>
      </c>
      <c r="M663">
        <v>41</v>
      </c>
      <c r="N663" t="s">
        <v>45</v>
      </c>
      <c r="O663" t="s">
        <v>77</v>
      </c>
      <c r="P663" t="s">
        <v>54</v>
      </c>
      <c r="Q663" t="s">
        <v>32</v>
      </c>
    </row>
    <row r="664" spans="1:17" x14ac:dyDescent="0.3">
      <c r="A664" t="s">
        <v>3463</v>
      </c>
      <c r="B664" t="s">
        <v>3464</v>
      </c>
      <c r="C664">
        <v>57</v>
      </c>
      <c r="D664" t="s">
        <v>3465</v>
      </c>
      <c r="E664" t="s">
        <v>95</v>
      </c>
      <c r="F664" t="s">
        <v>3300</v>
      </c>
      <c r="G664" t="s">
        <v>545</v>
      </c>
      <c r="H664">
        <v>4</v>
      </c>
      <c r="I664" t="s">
        <v>64</v>
      </c>
      <c r="J664" s="86">
        <v>45108</v>
      </c>
      <c r="K664">
        <v>111.45</v>
      </c>
      <c r="L664">
        <v>8</v>
      </c>
      <c r="M664">
        <v>39</v>
      </c>
      <c r="N664" t="s">
        <v>56</v>
      </c>
      <c r="O664" t="s">
        <v>855</v>
      </c>
      <c r="P664" t="s">
        <v>45</v>
      </c>
      <c r="Q664" t="s">
        <v>32</v>
      </c>
    </row>
    <row r="665" spans="1:17" x14ac:dyDescent="0.3">
      <c r="A665" t="s">
        <v>3467</v>
      </c>
      <c r="B665" t="s">
        <v>3468</v>
      </c>
      <c r="C665">
        <v>40</v>
      </c>
      <c r="D665" t="s">
        <v>3469</v>
      </c>
      <c r="E665" t="s">
        <v>25</v>
      </c>
      <c r="F665" t="s">
        <v>3470</v>
      </c>
      <c r="G665" t="s">
        <v>97</v>
      </c>
      <c r="H665">
        <v>1</v>
      </c>
      <c r="I665" t="s">
        <v>27</v>
      </c>
      <c r="J665" t="s">
        <v>1375</v>
      </c>
      <c r="K665">
        <v>835.56</v>
      </c>
      <c r="L665">
        <v>2</v>
      </c>
      <c r="M665">
        <v>10</v>
      </c>
      <c r="N665" t="s">
        <v>68</v>
      </c>
      <c r="O665" t="s">
        <v>597</v>
      </c>
      <c r="P665" t="s">
        <v>45</v>
      </c>
      <c r="Q665" t="s">
        <v>32</v>
      </c>
    </row>
    <row r="666" spans="1:17" x14ac:dyDescent="0.3">
      <c r="A666" t="s">
        <v>3472</v>
      </c>
      <c r="B666" t="s">
        <v>3473</v>
      </c>
      <c r="C666">
        <v>21</v>
      </c>
      <c r="D666" t="s">
        <v>3474</v>
      </c>
      <c r="E666" t="s">
        <v>61</v>
      </c>
      <c r="F666" s="86">
        <v>45203</v>
      </c>
      <c r="G666" t="s">
        <v>873</v>
      </c>
      <c r="H666">
        <v>2</v>
      </c>
      <c r="I666" t="s">
        <v>64</v>
      </c>
      <c r="J666" t="s">
        <v>1755</v>
      </c>
      <c r="K666">
        <v>660.78</v>
      </c>
      <c r="L666">
        <v>3</v>
      </c>
      <c r="M666">
        <v>8</v>
      </c>
      <c r="N666" t="s">
        <v>54</v>
      </c>
      <c r="O666" t="s">
        <v>199</v>
      </c>
      <c r="P666" t="s">
        <v>54</v>
      </c>
      <c r="Q666" t="s">
        <v>32</v>
      </c>
    </row>
    <row r="667" spans="1:17" x14ac:dyDescent="0.3">
      <c r="A667" t="s">
        <v>3476</v>
      </c>
      <c r="B667" t="s">
        <v>3477</v>
      </c>
      <c r="C667">
        <v>42</v>
      </c>
      <c r="D667" t="s">
        <v>3478</v>
      </c>
      <c r="E667" t="s">
        <v>88</v>
      </c>
      <c r="F667" s="86">
        <v>44716</v>
      </c>
      <c r="G667" s="86">
        <v>45178</v>
      </c>
      <c r="H667">
        <v>1</v>
      </c>
      <c r="I667" t="s">
        <v>27</v>
      </c>
      <c r="J667" t="s">
        <v>771</v>
      </c>
      <c r="K667">
        <v>150.11000000000001</v>
      </c>
      <c r="L667">
        <v>6</v>
      </c>
      <c r="M667">
        <v>49</v>
      </c>
      <c r="N667" t="s">
        <v>30</v>
      </c>
      <c r="O667" t="s">
        <v>418</v>
      </c>
      <c r="P667" t="s">
        <v>56</v>
      </c>
      <c r="Q667" t="s">
        <v>32</v>
      </c>
    </row>
    <row r="668" spans="1:17" x14ac:dyDescent="0.3">
      <c r="A668" t="s">
        <v>3480</v>
      </c>
      <c r="B668" t="s">
        <v>3481</v>
      </c>
      <c r="C668">
        <v>20</v>
      </c>
      <c r="D668" t="s">
        <v>3482</v>
      </c>
      <c r="E668" t="s">
        <v>88</v>
      </c>
      <c r="F668" s="86">
        <v>45266</v>
      </c>
      <c r="G668" t="s">
        <v>1312</v>
      </c>
      <c r="H668">
        <v>0</v>
      </c>
      <c r="I668" t="s">
        <v>52</v>
      </c>
      <c r="J668" t="s">
        <v>3483</v>
      </c>
      <c r="K668">
        <v>283.26</v>
      </c>
      <c r="L668">
        <v>2</v>
      </c>
      <c r="M668">
        <v>49</v>
      </c>
      <c r="N668" t="s">
        <v>30</v>
      </c>
      <c r="O668" t="s">
        <v>199</v>
      </c>
      <c r="P668" t="s">
        <v>54</v>
      </c>
      <c r="Q668" t="s">
        <v>69</v>
      </c>
    </row>
    <row r="669" spans="1:17" x14ac:dyDescent="0.3">
      <c r="A669" t="s">
        <v>3485</v>
      </c>
      <c r="B669" t="s">
        <v>3486</v>
      </c>
      <c r="C669">
        <v>32</v>
      </c>
      <c r="D669" t="s">
        <v>3487</v>
      </c>
      <c r="E669" t="s">
        <v>25</v>
      </c>
      <c r="F669" s="86">
        <v>45078</v>
      </c>
      <c r="G669" t="s">
        <v>3488</v>
      </c>
      <c r="H669">
        <v>0</v>
      </c>
      <c r="I669" t="s">
        <v>27</v>
      </c>
      <c r="J669" t="s">
        <v>485</v>
      </c>
      <c r="K669">
        <v>986.68</v>
      </c>
      <c r="L669">
        <v>1</v>
      </c>
      <c r="M669">
        <v>29</v>
      </c>
      <c r="N669" t="s">
        <v>56</v>
      </c>
      <c r="O669" t="s">
        <v>211</v>
      </c>
      <c r="P669" t="s">
        <v>68</v>
      </c>
      <c r="Q669" t="s">
        <v>69</v>
      </c>
    </row>
    <row r="670" spans="1:17" x14ac:dyDescent="0.3">
      <c r="A670" t="s">
        <v>3490</v>
      </c>
      <c r="B670" t="s">
        <v>3491</v>
      </c>
      <c r="C670">
        <v>32</v>
      </c>
      <c r="D670" t="s">
        <v>3492</v>
      </c>
      <c r="E670" t="s">
        <v>95</v>
      </c>
      <c r="F670" t="s">
        <v>3493</v>
      </c>
      <c r="G670" t="s">
        <v>3494</v>
      </c>
      <c r="H670">
        <v>2</v>
      </c>
      <c r="I670" t="s">
        <v>52</v>
      </c>
      <c r="J670" t="s">
        <v>3495</v>
      </c>
      <c r="K670">
        <v>169.24</v>
      </c>
      <c r="L670">
        <v>6</v>
      </c>
      <c r="M670">
        <v>7</v>
      </c>
      <c r="N670" t="s">
        <v>45</v>
      </c>
      <c r="O670" t="s">
        <v>624</v>
      </c>
      <c r="P670" t="s">
        <v>30</v>
      </c>
      <c r="Q670" t="s">
        <v>32</v>
      </c>
    </row>
    <row r="671" spans="1:17" x14ac:dyDescent="0.3">
      <c r="A671" t="s">
        <v>3497</v>
      </c>
      <c r="B671" t="s">
        <v>3498</v>
      </c>
      <c r="C671">
        <v>50</v>
      </c>
      <c r="D671" t="s">
        <v>3499</v>
      </c>
      <c r="E671" t="s">
        <v>88</v>
      </c>
      <c r="F671" t="s">
        <v>3500</v>
      </c>
      <c r="G671" t="s">
        <v>1650</v>
      </c>
      <c r="H671">
        <v>4</v>
      </c>
      <c r="I671" t="s">
        <v>52</v>
      </c>
      <c r="J671" t="s">
        <v>3501</v>
      </c>
      <c r="K671">
        <v>192.21</v>
      </c>
      <c r="L671">
        <v>9</v>
      </c>
      <c r="M671">
        <v>10</v>
      </c>
      <c r="N671" t="s">
        <v>30</v>
      </c>
      <c r="O671" t="s">
        <v>269</v>
      </c>
      <c r="P671" t="s">
        <v>56</v>
      </c>
      <c r="Q671" t="s">
        <v>69</v>
      </c>
    </row>
    <row r="672" spans="1:17" x14ac:dyDescent="0.3">
      <c r="A672" t="s">
        <v>3503</v>
      </c>
      <c r="B672" t="s">
        <v>3504</v>
      </c>
      <c r="C672">
        <v>30</v>
      </c>
      <c r="D672" t="s">
        <v>3505</v>
      </c>
      <c r="E672" t="s">
        <v>95</v>
      </c>
      <c r="F672" t="s">
        <v>3372</v>
      </c>
      <c r="G672" s="86">
        <v>45237</v>
      </c>
      <c r="H672">
        <v>3</v>
      </c>
      <c r="I672" t="s">
        <v>27</v>
      </c>
      <c r="J672" t="s">
        <v>3506</v>
      </c>
      <c r="K672">
        <v>27.97</v>
      </c>
      <c r="L672">
        <v>9</v>
      </c>
      <c r="M672">
        <v>14</v>
      </c>
      <c r="N672" t="s">
        <v>54</v>
      </c>
      <c r="O672" t="s">
        <v>142</v>
      </c>
      <c r="P672" t="s">
        <v>68</v>
      </c>
      <c r="Q672" t="s">
        <v>69</v>
      </c>
    </row>
    <row r="673" spans="1:17" x14ac:dyDescent="0.3">
      <c r="A673" t="s">
        <v>3508</v>
      </c>
      <c r="B673" t="s">
        <v>3509</v>
      </c>
      <c r="C673">
        <v>53</v>
      </c>
      <c r="D673" t="s">
        <v>3510</v>
      </c>
      <c r="E673" t="s">
        <v>51</v>
      </c>
      <c r="F673" s="86">
        <v>44724</v>
      </c>
      <c r="G673" s="86">
        <v>44988</v>
      </c>
      <c r="H673">
        <v>4</v>
      </c>
      <c r="I673" t="s">
        <v>52</v>
      </c>
      <c r="J673" t="s">
        <v>97</v>
      </c>
      <c r="K673">
        <v>170.74</v>
      </c>
      <c r="L673">
        <v>6</v>
      </c>
      <c r="M673">
        <v>39</v>
      </c>
      <c r="N673" t="s">
        <v>30</v>
      </c>
      <c r="O673" t="s">
        <v>231</v>
      </c>
      <c r="P673" t="s">
        <v>30</v>
      </c>
      <c r="Q673" t="s">
        <v>32</v>
      </c>
    </row>
    <row r="674" spans="1:17" x14ac:dyDescent="0.3">
      <c r="A674" t="s">
        <v>3512</v>
      </c>
      <c r="B674" t="s">
        <v>3513</v>
      </c>
      <c r="C674">
        <v>56</v>
      </c>
      <c r="D674" t="s">
        <v>3514</v>
      </c>
      <c r="E674" t="s">
        <v>51</v>
      </c>
      <c r="F674" t="s">
        <v>3515</v>
      </c>
      <c r="G674" t="s">
        <v>773</v>
      </c>
      <c r="H674">
        <v>1</v>
      </c>
      <c r="I674" t="s">
        <v>52</v>
      </c>
      <c r="J674" t="s">
        <v>3516</v>
      </c>
      <c r="K674">
        <v>124.97</v>
      </c>
      <c r="L674">
        <v>5</v>
      </c>
      <c r="M674">
        <v>21</v>
      </c>
      <c r="N674" t="s">
        <v>54</v>
      </c>
      <c r="O674" t="s">
        <v>135</v>
      </c>
      <c r="P674" t="s">
        <v>45</v>
      </c>
      <c r="Q674" t="s">
        <v>32</v>
      </c>
    </row>
    <row r="675" spans="1:17" x14ac:dyDescent="0.3">
      <c r="A675" t="s">
        <v>3518</v>
      </c>
      <c r="B675" t="s">
        <v>3519</v>
      </c>
      <c r="C675">
        <v>48</v>
      </c>
      <c r="D675" t="s">
        <v>3520</v>
      </c>
      <c r="E675" t="s">
        <v>51</v>
      </c>
      <c r="F675" s="86">
        <v>44267</v>
      </c>
      <c r="G675" s="86">
        <v>44719</v>
      </c>
      <c r="H675">
        <v>2</v>
      </c>
      <c r="I675" t="s">
        <v>64</v>
      </c>
      <c r="J675" t="s">
        <v>1606</v>
      </c>
      <c r="K675">
        <v>78.19</v>
      </c>
      <c r="L675">
        <v>7</v>
      </c>
      <c r="M675">
        <v>30</v>
      </c>
      <c r="N675" t="s">
        <v>56</v>
      </c>
      <c r="O675" t="s">
        <v>142</v>
      </c>
      <c r="P675" t="s">
        <v>68</v>
      </c>
      <c r="Q675" t="s">
        <v>32</v>
      </c>
    </row>
    <row r="676" spans="1:17" x14ac:dyDescent="0.3">
      <c r="A676" t="s">
        <v>3522</v>
      </c>
      <c r="B676" t="s">
        <v>3523</v>
      </c>
      <c r="C676">
        <v>25</v>
      </c>
      <c r="D676" t="s">
        <v>3524</v>
      </c>
      <c r="E676" t="s">
        <v>40</v>
      </c>
      <c r="F676" t="s">
        <v>26</v>
      </c>
      <c r="G676" t="s">
        <v>3525</v>
      </c>
      <c r="H676">
        <v>5</v>
      </c>
      <c r="I676" t="s">
        <v>27</v>
      </c>
      <c r="J676" t="s">
        <v>3526</v>
      </c>
      <c r="K676">
        <v>301.07</v>
      </c>
      <c r="L676">
        <v>5</v>
      </c>
      <c r="M676">
        <v>10</v>
      </c>
      <c r="N676" t="s">
        <v>54</v>
      </c>
      <c r="O676" t="s">
        <v>238</v>
      </c>
      <c r="P676" t="s">
        <v>45</v>
      </c>
      <c r="Q676" t="s">
        <v>69</v>
      </c>
    </row>
    <row r="677" spans="1:17" x14ac:dyDescent="0.3">
      <c r="A677" t="s">
        <v>3528</v>
      </c>
      <c r="B677" t="s">
        <v>3529</v>
      </c>
      <c r="C677">
        <v>42</v>
      </c>
      <c r="D677" t="s">
        <v>3530</v>
      </c>
      <c r="E677" t="s">
        <v>40</v>
      </c>
      <c r="F677" s="86">
        <v>44661</v>
      </c>
      <c r="G677" s="86">
        <v>45025</v>
      </c>
      <c r="H677">
        <v>4</v>
      </c>
      <c r="I677" t="s">
        <v>64</v>
      </c>
      <c r="J677" t="s">
        <v>3531</v>
      </c>
      <c r="K677">
        <v>51.81</v>
      </c>
      <c r="L677">
        <v>5</v>
      </c>
      <c r="M677">
        <v>31</v>
      </c>
      <c r="N677" t="s">
        <v>54</v>
      </c>
      <c r="O677" t="s">
        <v>373</v>
      </c>
      <c r="P677" t="s">
        <v>54</v>
      </c>
      <c r="Q677" t="s">
        <v>69</v>
      </c>
    </row>
    <row r="678" spans="1:17" x14ac:dyDescent="0.3">
      <c r="A678" t="s">
        <v>3533</v>
      </c>
      <c r="B678" t="s">
        <v>3534</v>
      </c>
      <c r="C678">
        <v>28</v>
      </c>
      <c r="D678" t="s">
        <v>3535</v>
      </c>
      <c r="E678" t="s">
        <v>61</v>
      </c>
      <c r="F678" s="86">
        <v>44691</v>
      </c>
      <c r="G678" t="s">
        <v>2790</v>
      </c>
      <c r="H678">
        <v>0</v>
      </c>
      <c r="I678" t="s">
        <v>52</v>
      </c>
      <c r="J678" s="86">
        <v>45967</v>
      </c>
      <c r="K678">
        <v>817.55</v>
      </c>
      <c r="L678">
        <v>2</v>
      </c>
      <c r="M678">
        <v>1</v>
      </c>
      <c r="N678" t="s">
        <v>30</v>
      </c>
      <c r="O678" t="s">
        <v>67</v>
      </c>
      <c r="P678" t="s">
        <v>68</v>
      </c>
      <c r="Q678" t="s">
        <v>32</v>
      </c>
    </row>
    <row r="679" spans="1:17" x14ac:dyDescent="0.3">
      <c r="A679" t="s">
        <v>3537</v>
      </c>
      <c r="B679" t="s">
        <v>3538</v>
      </c>
      <c r="C679">
        <v>20</v>
      </c>
      <c r="D679" t="s">
        <v>3539</v>
      </c>
      <c r="E679" t="s">
        <v>40</v>
      </c>
      <c r="F679" t="s">
        <v>1696</v>
      </c>
      <c r="G679" s="86">
        <v>45965</v>
      </c>
      <c r="H679">
        <v>2</v>
      </c>
      <c r="I679" t="s">
        <v>52</v>
      </c>
      <c r="J679" t="s">
        <v>2072</v>
      </c>
      <c r="K679">
        <v>470.4</v>
      </c>
      <c r="L679">
        <v>2</v>
      </c>
      <c r="M679">
        <v>19</v>
      </c>
      <c r="N679" t="s">
        <v>68</v>
      </c>
      <c r="O679" t="s">
        <v>91</v>
      </c>
      <c r="P679" t="s">
        <v>54</v>
      </c>
      <c r="Q679" t="s">
        <v>69</v>
      </c>
    </row>
    <row r="680" spans="1:17" x14ac:dyDescent="0.3">
      <c r="A680" t="s">
        <v>3541</v>
      </c>
      <c r="B680" t="s">
        <v>3542</v>
      </c>
      <c r="C680">
        <v>52</v>
      </c>
      <c r="D680" t="s">
        <v>3543</v>
      </c>
      <c r="E680" t="s">
        <v>25</v>
      </c>
      <c r="F680" s="86">
        <v>44963</v>
      </c>
      <c r="G680" t="s">
        <v>1606</v>
      </c>
      <c r="H680">
        <v>2</v>
      </c>
      <c r="I680" t="s">
        <v>64</v>
      </c>
      <c r="J680" s="86">
        <v>45748</v>
      </c>
      <c r="K680">
        <v>244.14</v>
      </c>
      <c r="L680">
        <v>6</v>
      </c>
      <c r="M680">
        <v>10</v>
      </c>
      <c r="N680" t="s">
        <v>45</v>
      </c>
      <c r="O680" t="s">
        <v>44</v>
      </c>
      <c r="P680" t="s">
        <v>45</v>
      </c>
      <c r="Q680" t="s">
        <v>32</v>
      </c>
    </row>
    <row r="681" spans="1:17" x14ac:dyDescent="0.3">
      <c r="A681" t="s">
        <v>3545</v>
      </c>
      <c r="B681" t="s">
        <v>3546</v>
      </c>
      <c r="C681">
        <v>66</v>
      </c>
      <c r="D681" t="s">
        <v>3547</v>
      </c>
      <c r="E681" t="s">
        <v>51</v>
      </c>
      <c r="F681" t="s">
        <v>3412</v>
      </c>
      <c r="G681" t="s">
        <v>3548</v>
      </c>
      <c r="H681">
        <v>2</v>
      </c>
      <c r="I681" t="s">
        <v>27</v>
      </c>
      <c r="J681" t="s">
        <v>1200</v>
      </c>
      <c r="K681">
        <v>95.2</v>
      </c>
      <c r="L681">
        <v>3</v>
      </c>
      <c r="M681">
        <v>6</v>
      </c>
      <c r="N681" t="s">
        <v>68</v>
      </c>
      <c r="O681" t="s">
        <v>373</v>
      </c>
      <c r="P681" t="s">
        <v>54</v>
      </c>
      <c r="Q681" t="s">
        <v>32</v>
      </c>
    </row>
    <row r="682" spans="1:17" x14ac:dyDescent="0.3">
      <c r="A682" t="s">
        <v>3550</v>
      </c>
      <c r="B682" t="s">
        <v>3551</v>
      </c>
      <c r="C682">
        <v>57</v>
      </c>
      <c r="D682" t="s">
        <v>3552</v>
      </c>
      <c r="E682" t="s">
        <v>25</v>
      </c>
      <c r="F682" t="s">
        <v>318</v>
      </c>
      <c r="G682" t="s">
        <v>3553</v>
      </c>
      <c r="H682">
        <v>2</v>
      </c>
      <c r="I682" t="s">
        <v>27</v>
      </c>
      <c r="J682" t="s">
        <v>1074</v>
      </c>
      <c r="K682">
        <v>670.66</v>
      </c>
      <c r="L682">
        <v>2</v>
      </c>
      <c r="M682">
        <v>24</v>
      </c>
      <c r="N682" t="s">
        <v>30</v>
      </c>
      <c r="O682" t="s">
        <v>231</v>
      </c>
      <c r="P682" t="s">
        <v>30</v>
      </c>
      <c r="Q682" t="s">
        <v>69</v>
      </c>
    </row>
    <row r="683" spans="1:17" x14ac:dyDescent="0.3">
      <c r="A683" t="s">
        <v>3555</v>
      </c>
      <c r="B683" t="s">
        <v>3556</v>
      </c>
      <c r="C683">
        <v>40</v>
      </c>
      <c r="D683" t="s">
        <v>3557</v>
      </c>
      <c r="E683" t="s">
        <v>61</v>
      </c>
      <c r="F683" t="s">
        <v>3558</v>
      </c>
      <c r="G683" t="s">
        <v>3223</v>
      </c>
      <c r="H683">
        <v>3</v>
      </c>
      <c r="I683" t="s">
        <v>27</v>
      </c>
      <c r="J683" t="s">
        <v>3559</v>
      </c>
      <c r="K683">
        <v>213.06</v>
      </c>
      <c r="L683">
        <v>1</v>
      </c>
      <c r="M683">
        <v>13</v>
      </c>
      <c r="N683" t="s">
        <v>45</v>
      </c>
      <c r="O683" t="s">
        <v>211</v>
      </c>
      <c r="P683" t="s">
        <v>68</v>
      </c>
      <c r="Q683" t="s">
        <v>69</v>
      </c>
    </row>
    <row r="684" spans="1:17" x14ac:dyDescent="0.3">
      <c r="A684" t="s">
        <v>3561</v>
      </c>
      <c r="B684" t="s">
        <v>3562</v>
      </c>
      <c r="C684">
        <v>39</v>
      </c>
      <c r="D684" t="s">
        <v>3563</v>
      </c>
      <c r="E684" t="s">
        <v>61</v>
      </c>
      <c r="F684" s="86">
        <v>44258</v>
      </c>
      <c r="G684" t="s">
        <v>1430</v>
      </c>
      <c r="H684">
        <v>5</v>
      </c>
      <c r="I684" t="s">
        <v>27</v>
      </c>
      <c r="J684" s="86">
        <v>44776</v>
      </c>
      <c r="K684">
        <v>36.450000000000003</v>
      </c>
      <c r="L684">
        <v>8</v>
      </c>
      <c r="M684">
        <v>48</v>
      </c>
      <c r="N684" t="s">
        <v>45</v>
      </c>
      <c r="O684" t="s">
        <v>293</v>
      </c>
      <c r="P684" t="s">
        <v>45</v>
      </c>
      <c r="Q684" t="s">
        <v>32</v>
      </c>
    </row>
    <row r="685" spans="1:17" x14ac:dyDescent="0.3">
      <c r="A685" t="s">
        <v>3565</v>
      </c>
      <c r="B685" t="s">
        <v>3566</v>
      </c>
      <c r="C685">
        <v>63</v>
      </c>
      <c r="D685" t="s">
        <v>3567</v>
      </c>
      <c r="E685" t="s">
        <v>61</v>
      </c>
      <c r="F685" s="86">
        <v>44145</v>
      </c>
      <c r="G685" t="s">
        <v>3568</v>
      </c>
      <c r="H685">
        <v>4</v>
      </c>
      <c r="I685" t="s">
        <v>27</v>
      </c>
      <c r="J685" s="86">
        <v>45752</v>
      </c>
      <c r="K685">
        <v>3.53</v>
      </c>
      <c r="L685">
        <v>7</v>
      </c>
      <c r="M685">
        <v>15</v>
      </c>
      <c r="N685" t="s">
        <v>45</v>
      </c>
      <c r="O685" t="s">
        <v>67</v>
      </c>
      <c r="P685" t="s">
        <v>68</v>
      </c>
      <c r="Q685" t="s">
        <v>69</v>
      </c>
    </row>
    <row r="686" spans="1:17" x14ac:dyDescent="0.3">
      <c r="A686" t="s">
        <v>3570</v>
      </c>
      <c r="B686" t="s">
        <v>3571</v>
      </c>
      <c r="C686">
        <v>40</v>
      </c>
      <c r="D686" t="s">
        <v>3572</v>
      </c>
      <c r="E686" t="s">
        <v>61</v>
      </c>
      <c r="F686" t="s">
        <v>2118</v>
      </c>
      <c r="G686" s="86">
        <v>45750</v>
      </c>
      <c r="H686">
        <v>1</v>
      </c>
      <c r="I686" t="s">
        <v>27</v>
      </c>
      <c r="J686" s="86">
        <v>45967</v>
      </c>
      <c r="K686">
        <v>1951.85</v>
      </c>
      <c r="L686">
        <v>1</v>
      </c>
      <c r="M686">
        <v>24</v>
      </c>
      <c r="N686" t="s">
        <v>45</v>
      </c>
      <c r="O686" t="s">
        <v>67</v>
      </c>
      <c r="P686" t="s">
        <v>68</v>
      </c>
      <c r="Q686" t="s">
        <v>69</v>
      </c>
    </row>
    <row r="687" spans="1:17" x14ac:dyDescent="0.3">
      <c r="A687" t="s">
        <v>3574</v>
      </c>
      <c r="B687" t="s">
        <v>3575</v>
      </c>
      <c r="C687">
        <v>64</v>
      </c>
      <c r="D687" t="s">
        <v>3576</v>
      </c>
      <c r="E687" t="s">
        <v>40</v>
      </c>
      <c r="F687" s="86">
        <v>44807</v>
      </c>
      <c r="G687" t="s">
        <v>912</v>
      </c>
      <c r="H687">
        <v>3</v>
      </c>
      <c r="I687" t="s">
        <v>27</v>
      </c>
      <c r="J687" t="s">
        <v>3577</v>
      </c>
      <c r="K687">
        <v>12.39</v>
      </c>
      <c r="L687">
        <v>6</v>
      </c>
      <c r="M687">
        <v>1</v>
      </c>
      <c r="N687" t="s">
        <v>54</v>
      </c>
      <c r="O687" t="s">
        <v>194</v>
      </c>
      <c r="P687" t="s">
        <v>56</v>
      </c>
      <c r="Q687" t="s">
        <v>32</v>
      </c>
    </row>
    <row r="688" spans="1:17" x14ac:dyDescent="0.3">
      <c r="A688" t="s">
        <v>3579</v>
      </c>
      <c r="B688" t="s">
        <v>3580</v>
      </c>
      <c r="C688">
        <v>39</v>
      </c>
      <c r="D688" t="s">
        <v>3581</v>
      </c>
      <c r="E688" t="s">
        <v>51</v>
      </c>
      <c r="F688" s="86">
        <v>44348</v>
      </c>
      <c r="G688" t="s">
        <v>3107</v>
      </c>
      <c r="H688">
        <v>1</v>
      </c>
      <c r="I688" t="s">
        <v>64</v>
      </c>
      <c r="J688" s="86">
        <v>45331</v>
      </c>
      <c r="K688">
        <v>28.48</v>
      </c>
      <c r="L688">
        <v>3</v>
      </c>
      <c r="M688">
        <v>15</v>
      </c>
      <c r="N688" t="s">
        <v>54</v>
      </c>
      <c r="O688" t="s">
        <v>293</v>
      </c>
      <c r="P688" t="s">
        <v>45</v>
      </c>
      <c r="Q688" t="s">
        <v>32</v>
      </c>
    </row>
    <row r="689" spans="1:17" x14ac:dyDescent="0.3">
      <c r="A689" t="s">
        <v>3583</v>
      </c>
      <c r="B689" t="s">
        <v>3584</v>
      </c>
      <c r="C689">
        <v>48</v>
      </c>
      <c r="D689" t="s">
        <v>3585</v>
      </c>
      <c r="E689" t="s">
        <v>25</v>
      </c>
      <c r="F689" t="s">
        <v>2250</v>
      </c>
      <c r="G689" t="s">
        <v>1796</v>
      </c>
      <c r="H689">
        <v>0</v>
      </c>
      <c r="I689" t="s">
        <v>27</v>
      </c>
      <c r="J689" s="86">
        <v>44659</v>
      </c>
      <c r="K689">
        <v>853.97</v>
      </c>
      <c r="L689">
        <v>2</v>
      </c>
      <c r="M689">
        <v>14</v>
      </c>
      <c r="N689" t="s">
        <v>68</v>
      </c>
      <c r="O689" t="s">
        <v>122</v>
      </c>
      <c r="P689" t="s">
        <v>30</v>
      </c>
      <c r="Q689" t="s">
        <v>69</v>
      </c>
    </row>
    <row r="690" spans="1:17" x14ac:dyDescent="0.3">
      <c r="A690" t="s">
        <v>3587</v>
      </c>
      <c r="B690" t="s">
        <v>3588</v>
      </c>
      <c r="C690">
        <v>34</v>
      </c>
      <c r="D690" t="s">
        <v>3589</v>
      </c>
      <c r="E690" t="s">
        <v>40</v>
      </c>
      <c r="F690" t="s">
        <v>3590</v>
      </c>
      <c r="G690" t="s">
        <v>1020</v>
      </c>
      <c r="H690">
        <v>4</v>
      </c>
      <c r="I690" t="s">
        <v>27</v>
      </c>
      <c r="J690" s="86">
        <v>45267</v>
      </c>
      <c r="K690">
        <v>149.49</v>
      </c>
      <c r="L690">
        <v>4</v>
      </c>
      <c r="M690">
        <v>33</v>
      </c>
      <c r="N690" t="s">
        <v>68</v>
      </c>
      <c r="O690" t="s">
        <v>91</v>
      </c>
      <c r="P690" t="s">
        <v>54</v>
      </c>
      <c r="Q690" t="s">
        <v>69</v>
      </c>
    </row>
    <row r="691" spans="1:17" x14ac:dyDescent="0.3">
      <c r="A691" t="s">
        <v>3592</v>
      </c>
      <c r="B691" t="s">
        <v>3593</v>
      </c>
      <c r="C691">
        <v>42</v>
      </c>
      <c r="D691" t="s">
        <v>3594</v>
      </c>
      <c r="E691" t="s">
        <v>40</v>
      </c>
      <c r="F691" s="86">
        <v>44323</v>
      </c>
      <c r="G691" t="s">
        <v>3595</v>
      </c>
      <c r="H691">
        <v>3</v>
      </c>
      <c r="I691" t="s">
        <v>52</v>
      </c>
      <c r="J691" t="s">
        <v>1041</v>
      </c>
      <c r="K691">
        <v>46.66</v>
      </c>
      <c r="L691">
        <v>3</v>
      </c>
      <c r="M691">
        <v>24</v>
      </c>
      <c r="N691" t="s">
        <v>68</v>
      </c>
      <c r="O691" t="s">
        <v>425</v>
      </c>
      <c r="P691" t="s">
        <v>30</v>
      </c>
      <c r="Q691" t="s">
        <v>69</v>
      </c>
    </row>
    <row r="692" spans="1:17" x14ac:dyDescent="0.3">
      <c r="A692" t="s">
        <v>3597</v>
      </c>
      <c r="B692" t="s">
        <v>3598</v>
      </c>
      <c r="C692">
        <v>43</v>
      </c>
      <c r="D692" t="s">
        <v>3599</v>
      </c>
      <c r="E692" t="s">
        <v>95</v>
      </c>
      <c r="F692" t="s">
        <v>416</v>
      </c>
      <c r="G692" s="86">
        <v>45180</v>
      </c>
      <c r="H692">
        <v>4</v>
      </c>
      <c r="I692" t="s">
        <v>64</v>
      </c>
      <c r="J692" s="86">
        <v>45994</v>
      </c>
      <c r="K692">
        <v>130.19</v>
      </c>
      <c r="L692">
        <v>9</v>
      </c>
      <c r="M692">
        <v>44</v>
      </c>
      <c r="N692" t="s">
        <v>30</v>
      </c>
      <c r="O692" t="s">
        <v>211</v>
      </c>
      <c r="P692" t="s">
        <v>68</v>
      </c>
      <c r="Q692" t="s">
        <v>69</v>
      </c>
    </row>
    <row r="693" spans="1:17" x14ac:dyDescent="0.3">
      <c r="A693" t="s">
        <v>3601</v>
      </c>
      <c r="B693" t="s">
        <v>3602</v>
      </c>
      <c r="C693">
        <v>24</v>
      </c>
      <c r="D693" t="s">
        <v>3603</v>
      </c>
      <c r="E693" t="s">
        <v>40</v>
      </c>
      <c r="F693" t="s">
        <v>3604</v>
      </c>
      <c r="G693" s="86">
        <v>45329</v>
      </c>
      <c r="H693">
        <v>1</v>
      </c>
      <c r="I693" t="s">
        <v>27</v>
      </c>
      <c r="J693" t="s">
        <v>3129</v>
      </c>
      <c r="K693">
        <v>528.20000000000005</v>
      </c>
      <c r="L693">
        <v>3</v>
      </c>
      <c r="M693">
        <v>11</v>
      </c>
      <c r="N693" t="s">
        <v>45</v>
      </c>
      <c r="O693" t="s">
        <v>91</v>
      </c>
      <c r="P693" t="s">
        <v>54</v>
      </c>
      <c r="Q693" t="s">
        <v>32</v>
      </c>
    </row>
    <row r="694" spans="1:17" x14ac:dyDescent="0.3">
      <c r="A694" t="s">
        <v>3606</v>
      </c>
      <c r="B694" t="s">
        <v>3607</v>
      </c>
      <c r="C694">
        <v>35</v>
      </c>
      <c r="D694" t="s">
        <v>3608</v>
      </c>
      <c r="E694" t="s">
        <v>40</v>
      </c>
      <c r="F694" t="s">
        <v>1137</v>
      </c>
      <c r="G694" t="s">
        <v>2598</v>
      </c>
      <c r="H694">
        <v>0</v>
      </c>
      <c r="I694" t="s">
        <v>27</v>
      </c>
      <c r="J694" t="s">
        <v>106</v>
      </c>
      <c r="K694">
        <v>189.18</v>
      </c>
      <c r="L694">
        <v>7</v>
      </c>
      <c r="M694">
        <v>19</v>
      </c>
      <c r="N694" t="s">
        <v>54</v>
      </c>
      <c r="O694" t="s">
        <v>91</v>
      </c>
      <c r="P694" t="s">
        <v>54</v>
      </c>
      <c r="Q694" t="s">
        <v>69</v>
      </c>
    </row>
    <row r="695" spans="1:17" x14ac:dyDescent="0.3">
      <c r="A695" t="s">
        <v>3610</v>
      </c>
      <c r="B695" t="s">
        <v>3611</v>
      </c>
      <c r="C695">
        <v>51</v>
      </c>
      <c r="D695" t="s">
        <v>3612</v>
      </c>
      <c r="E695" t="s">
        <v>61</v>
      </c>
      <c r="F695" s="86">
        <v>44836</v>
      </c>
      <c r="G695" t="s">
        <v>3223</v>
      </c>
      <c r="H695">
        <v>4</v>
      </c>
      <c r="I695" t="s">
        <v>27</v>
      </c>
      <c r="J695" t="s">
        <v>1447</v>
      </c>
      <c r="K695">
        <v>45.62</v>
      </c>
      <c r="L695">
        <v>6</v>
      </c>
      <c r="M695">
        <v>38</v>
      </c>
      <c r="N695" t="s">
        <v>68</v>
      </c>
      <c r="O695" t="s">
        <v>44</v>
      </c>
      <c r="P695" t="s">
        <v>45</v>
      </c>
      <c r="Q695" t="s">
        <v>32</v>
      </c>
    </row>
    <row r="696" spans="1:17" x14ac:dyDescent="0.3">
      <c r="A696" t="s">
        <v>3614</v>
      </c>
      <c r="B696" t="s">
        <v>3615</v>
      </c>
      <c r="C696">
        <v>65</v>
      </c>
      <c r="D696" t="s">
        <v>3616</v>
      </c>
      <c r="E696" t="s">
        <v>25</v>
      </c>
      <c r="F696" t="s">
        <v>1474</v>
      </c>
      <c r="G696" t="s">
        <v>3617</v>
      </c>
      <c r="H696">
        <v>4</v>
      </c>
      <c r="I696" t="s">
        <v>52</v>
      </c>
      <c r="J696" s="86">
        <v>45200</v>
      </c>
      <c r="K696">
        <v>86.53</v>
      </c>
      <c r="L696">
        <v>5</v>
      </c>
      <c r="M696">
        <v>30</v>
      </c>
      <c r="N696" t="s">
        <v>56</v>
      </c>
      <c r="O696" t="s">
        <v>116</v>
      </c>
      <c r="P696" t="s">
        <v>54</v>
      </c>
      <c r="Q696" t="s">
        <v>69</v>
      </c>
    </row>
    <row r="697" spans="1:17" x14ac:dyDescent="0.3">
      <c r="A697" t="s">
        <v>3619</v>
      </c>
      <c r="B697" t="s">
        <v>3620</v>
      </c>
      <c r="C697">
        <v>39</v>
      </c>
      <c r="D697" t="s">
        <v>3621</v>
      </c>
      <c r="E697" t="s">
        <v>51</v>
      </c>
      <c r="F697" t="s">
        <v>1944</v>
      </c>
      <c r="G697" s="86">
        <v>45421</v>
      </c>
      <c r="H697">
        <v>4</v>
      </c>
      <c r="I697" t="s">
        <v>52</v>
      </c>
      <c r="J697" s="86">
        <v>45147</v>
      </c>
      <c r="K697">
        <v>19.37</v>
      </c>
      <c r="L697">
        <v>9</v>
      </c>
      <c r="M697">
        <v>22</v>
      </c>
      <c r="N697" t="s">
        <v>54</v>
      </c>
      <c r="O697" t="s">
        <v>194</v>
      </c>
      <c r="P697" t="s">
        <v>56</v>
      </c>
      <c r="Q697" t="s">
        <v>32</v>
      </c>
    </row>
    <row r="698" spans="1:17" x14ac:dyDescent="0.3">
      <c r="A698" t="s">
        <v>3623</v>
      </c>
      <c r="B698" t="s">
        <v>3624</v>
      </c>
      <c r="C698">
        <v>65</v>
      </c>
      <c r="D698" t="s">
        <v>3625</v>
      </c>
      <c r="E698" t="s">
        <v>25</v>
      </c>
      <c r="F698" t="s">
        <v>3626</v>
      </c>
      <c r="G698" t="s">
        <v>2664</v>
      </c>
      <c r="H698">
        <v>5</v>
      </c>
      <c r="I698" t="s">
        <v>52</v>
      </c>
      <c r="J698" s="86">
        <v>44995</v>
      </c>
      <c r="K698">
        <v>356.89</v>
      </c>
      <c r="L698">
        <v>3</v>
      </c>
      <c r="M698">
        <v>11</v>
      </c>
      <c r="N698" t="s">
        <v>56</v>
      </c>
      <c r="O698" t="s">
        <v>128</v>
      </c>
      <c r="P698" t="s">
        <v>54</v>
      </c>
      <c r="Q698" t="s">
        <v>69</v>
      </c>
    </row>
    <row r="699" spans="1:17" x14ac:dyDescent="0.3">
      <c r="A699" t="s">
        <v>3628</v>
      </c>
      <c r="B699" t="s">
        <v>3629</v>
      </c>
      <c r="C699">
        <v>47</v>
      </c>
      <c r="D699" t="s">
        <v>3630</v>
      </c>
      <c r="E699" t="s">
        <v>95</v>
      </c>
      <c r="F699" s="86">
        <v>43930</v>
      </c>
      <c r="G699" s="86">
        <v>44508</v>
      </c>
      <c r="H699">
        <v>4</v>
      </c>
      <c r="I699" t="s">
        <v>27</v>
      </c>
      <c r="J699" t="s">
        <v>1929</v>
      </c>
      <c r="K699">
        <v>219.58</v>
      </c>
      <c r="L699">
        <v>9</v>
      </c>
      <c r="M699">
        <v>14</v>
      </c>
      <c r="N699" t="s">
        <v>54</v>
      </c>
      <c r="O699" t="s">
        <v>251</v>
      </c>
      <c r="P699" t="s">
        <v>30</v>
      </c>
      <c r="Q699" t="s">
        <v>32</v>
      </c>
    </row>
    <row r="700" spans="1:17" x14ac:dyDescent="0.3">
      <c r="A700" t="s">
        <v>3632</v>
      </c>
      <c r="B700" t="s">
        <v>3633</v>
      </c>
      <c r="C700">
        <v>31</v>
      </c>
      <c r="D700" t="s">
        <v>3634</v>
      </c>
      <c r="E700" t="s">
        <v>95</v>
      </c>
      <c r="F700" t="s">
        <v>1955</v>
      </c>
      <c r="G700" t="s">
        <v>919</v>
      </c>
      <c r="H700">
        <v>4</v>
      </c>
      <c r="I700" t="s">
        <v>27</v>
      </c>
      <c r="J700" t="s">
        <v>106</v>
      </c>
      <c r="K700">
        <v>1371.02</v>
      </c>
      <c r="L700">
        <v>1</v>
      </c>
      <c r="M700">
        <v>3</v>
      </c>
      <c r="N700" t="s">
        <v>68</v>
      </c>
      <c r="O700" t="s">
        <v>597</v>
      </c>
      <c r="P700" t="s">
        <v>45</v>
      </c>
      <c r="Q700" t="s">
        <v>69</v>
      </c>
    </row>
    <row r="701" spans="1:17" x14ac:dyDescent="0.3">
      <c r="A701" t="s">
        <v>3636</v>
      </c>
      <c r="B701" t="s">
        <v>3637</v>
      </c>
      <c r="C701">
        <v>18</v>
      </c>
      <c r="D701" t="s">
        <v>3638</v>
      </c>
      <c r="E701" t="s">
        <v>25</v>
      </c>
      <c r="F701" t="s">
        <v>1874</v>
      </c>
      <c r="G701" t="s">
        <v>2858</v>
      </c>
      <c r="H701">
        <v>4</v>
      </c>
      <c r="I701" t="s">
        <v>64</v>
      </c>
      <c r="J701" t="s">
        <v>2956</v>
      </c>
      <c r="K701">
        <v>29.54</v>
      </c>
      <c r="L701">
        <v>7</v>
      </c>
      <c r="M701">
        <v>4</v>
      </c>
      <c r="N701" t="s">
        <v>30</v>
      </c>
      <c r="O701" t="s">
        <v>425</v>
      </c>
      <c r="P701" t="s">
        <v>30</v>
      </c>
      <c r="Q701" t="s">
        <v>69</v>
      </c>
    </row>
    <row r="702" spans="1:17" x14ac:dyDescent="0.3">
      <c r="A702" t="s">
        <v>3640</v>
      </c>
      <c r="B702" t="s">
        <v>3641</v>
      </c>
      <c r="C702">
        <v>55</v>
      </c>
      <c r="D702" t="s">
        <v>3642</v>
      </c>
      <c r="E702" t="s">
        <v>25</v>
      </c>
      <c r="F702" s="86">
        <v>44682</v>
      </c>
      <c r="G702" t="s">
        <v>3568</v>
      </c>
      <c r="H702">
        <v>4</v>
      </c>
      <c r="I702" t="s">
        <v>64</v>
      </c>
      <c r="J702" t="s">
        <v>3643</v>
      </c>
      <c r="K702">
        <v>155.44999999999999</v>
      </c>
      <c r="L702">
        <v>4</v>
      </c>
      <c r="M702">
        <v>15</v>
      </c>
      <c r="N702" t="s">
        <v>30</v>
      </c>
      <c r="O702" t="s">
        <v>67</v>
      </c>
      <c r="P702" t="s">
        <v>68</v>
      </c>
      <c r="Q702" t="s">
        <v>69</v>
      </c>
    </row>
    <row r="703" spans="1:17" x14ac:dyDescent="0.3">
      <c r="A703" t="s">
        <v>3645</v>
      </c>
      <c r="B703" t="s">
        <v>3646</v>
      </c>
      <c r="C703">
        <v>29</v>
      </c>
      <c r="D703" t="s">
        <v>3647</v>
      </c>
      <c r="E703" t="s">
        <v>25</v>
      </c>
      <c r="F703" t="s">
        <v>208</v>
      </c>
      <c r="G703" s="86">
        <v>45025</v>
      </c>
      <c r="H703">
        <v>5</v>
      </c>
      <c r="I703" t="s">
        <v>64</v>
      </c>
      <c r="J703" t="s">
        <v>773</v>
      </c>
      <c r="K703">
        <v>25.49</v>
      </c>
      <c r="L703">
        <v>5</v>
      </c>
      <c r="M703">
        <v>21</v>
      </c>
      <c r="N703" t="s">
        <v>56</v>
      </c>
      <c r="O703" t="s">
        <v>128</v>
      </c>
      <c r="P703" t="s">
        <v>54</v>
      </c>
      <c r="Q703" t="s">
        <v>32</v>
      </c>
    </row>
    <row r="704" spans="1:17" x14ac:dyDescent="0.3">
      <c r="A704" t="s">
        <v>3649</v>
      </c>
      <c r="B704" t="s">
        <v>3650</v>
      </c>
      <c r="C704">
        <v>69</v>
      </c>
      <c r="D704" t="s">
        <v>3651</v>
      </c>
      <c r="E704" t="s">
        <v>51</v>
      </c>
      <c r="F704" t="s">
        <v>3652</v>
      </c>
      <c r="G704" s="86">
        <v>45846</v>
      </c>
      <c r="H704">
        <v>5</v>
      </c>
      <c r="I704" t="s">
        <v>27</v>
      </c>
      <c r="J704" s="86">
        <v>45329</v>
      </c>
      <c r="K704">
        <v>18.68</v>
      </c>
      <c r="L704">
        <v>7</v>
      </c>
      <c r="M704">
        <v>24</v>
      </c>
      <c r="N704" t="s">
        <v>45</v>
      </c>
      <c r="O704" t="s">
        <v>169</v>
      </c>
      <c r="P704" t="s">
        <v>30</v>
      </c>
      <c r="Q704" t="s">
        <v>32</v>
      </c>
    </row>
    <row r="705" spans="1:17" x14ac:dyDescent="0.3">
      <c r="A705" t="s">
        <v>3654</v>
      </c>
      <c r="B705" t="s">
        <v>3655</v>
      </c>
      <c r="C705">
        <v>65</v>
      </c>
      <c r="D705" t="s">
        <v>3656</v>
      </c>
      <c r="E705" t="s">
        <v>25</v>
      </c>
      <c r="F705" t="s">
        <v>3501</v>
      </c>
      <c r="G705" t="s">
        <v>1442</v>
      </c>
      <c r="H705">
        <v>5</v>
      </c>
      <c r="I705" t="s">
        <v>27</v>
      </c>
      <c r="J705" t="s">
        <v>1189</v>
      </c>
      <c r="K705">
        <v>1143.02</v>
      </c>
      <c r="L705">
        <v>1</v>
      </c>
      <c r="M705">
        <v>32</v>
      </c>
      <c r="N705" t="s">
        <v>56</v>
      </c>
      <c r="O705" t="s">
        <v>373</v>
      </c>
      <c r="P705" t="s">
        <v>54</v>
      </c>
      <c r="Q705" t="s">
        <v>32</v>
      </c>
    </row>
    <row r="706" spans="1:17" x14ac:dyDescent="0.3">
      <c r="A706" t="s">
        <v>3658</v>
      </c>
      <c r="B706" t="s">
        <v>3659</v>
      </c>
      <c r="C706">
        <v>56</v>
      </c>
      <c r="D706" t="s">
        <v>3660</v>
      </c>
      <c r="E706" t="s">
        <v>95</v>
      </c>
      <c r="F706" s="86">
        <v>44933</v>
      </c>
      <c r="G706" s="86">
        <v>45629</v>
      </c>
      <c r="H706">
        <v>3</v>
      </c>
      <c r="I706" t="s">
        <v>64</v>
      </c>
      <c r="J706" t="s">
        <v>120</v>
      </c>
      <c r="K706">
        <v>17.62</v>
      </c>
      <c r="L706">
        <v>9</v>
      </c>
      <c r="M706">
        <v>5</v>
      </c>
      <c r="N706" t="s">
        <v>45</v>
      </c>
      <c r="O706" t="s">
        <v>425</v>
      </c>
      <c r="P706" t="s">
        <v>30</v>
      </c>
      <c r="Q706" t="s">
        <v>32</v>
      </c>
    </row>
    <row r="707" spans="1:17" x14ac:dyDescent="0.3">
      <c r="A707" t="s">
        <v>3662</v>
      </c>
      <c r="B707" t="s">
        <v>3663</v>
      </c>
      <c r="C707">
        <v>31</v>
      </c>
      <c r="D707" t="s">
        <v>3664</v>
      </c>
      <c r="E707" t="s">
        <v>40</v>
      </c>
      <c r="F707" t="s">
        <v>2294</v>
      </c>
      <c r="G707" t="s">
        <v>3069</v>
      </c>
      <c r="H707">
        <v>2</v>
      </c>
      <c r="I707" t="s">
        <v>27</v>
      </c>
      <c r="J707" t="s">
        <v>303</v>
      </c>
      <c r="K707">
        <v>167.43</v>
      </c>
      <c r="L707">
        <v>7</v>
      </c>
      <c r="M707">
        <v>15</v>
      </c>
      <c r="N707" t="s">
        <v>56</v>
      </c>
      <c r="O707" t="s">
        <v>536</v>
      </c>
      <c r="P707" t="s">
        <v>68</v>
      </c>
      <c r="Q707" t="s">
        <v>32</v>
      </c>
    </row>
    <row r="708" spans="1:17" x14ac:dyDescent="0.3">
      <c r="A708" t="s">
        <v>3666</v>
      </c>
      <c r="B708" t="s">
        <v>3667</v>
      </c>
      <c r="C708">
        <v>40</v>
      </c>
      <c r="D708" t="s">
        <v>3668</v>
      </c>
      <c r="E708" t="s">
        <v>95</v>
      </c>
      <c r="F708" s="86">
        <v>44962</v>
      </c>
      <c r="G708" t="s">
        <v>3526</v>
      </c>
      <c r="H708">
        <v>1</v>
      </c>
      <c r="I708" t="s">
        <v>27</v>
      </c>
      <c r="J708" t="s">
        <v>3669</v>
      </c>
      <c r="K708">
        <v>244.85</v>
      </c>
      <c r="L708">
        <v>5</v>
      </c>
      <c r="M708">
        <v>34</v>
      </c>
      <c r="N708" t="s">
        <v>68</v>
      </c>
      <c r="O708" t="s">
        <v>31</v>
      </c>
      <c r="P708" t="s">
        <v>30</v>
      </c>
      <c r="Q708" t="s">
        <v>32</v>
      </c>
    </row>
    <row r="709" spans="1:17" x14ac:dyDescent="0.3">
      <c r="A709" t="s">
        <v>3671</v>
      </c>
      <c r="B709" t="s">
        <v>3672</v>
      </c>
      <c r="C709">
        <v>44</v>
      </c>
      <c r="D709" t="s">
        <v>3673</v>
      </c>
      <c r="E709" t="s">
        <v>40</v>
      </c>
      <c r="F709" s="86">
        <v>44717</v>
      </c>
      <c r="G709" s="86">
        <v>45209</v>
      </c>
      <c r="H709">
        <v>1</v>
      </c>
      <c r="I709" t="s">
        <v>52</v>
      </c>
      <c r="J709" t="s">
        <v>3674</v>
      </c>
      <c r="K709">
        <v>73.97</v>
      </c>
      <c r="L709">
        <v>7</v>
      </c>
      <c r="M709">
        <v>46</v>
      </c>
      <c r="N709" t="s">
        <v>30</v>
      </c>
      <c r="O709" t="s">
        <v>211</v>
      </c>
      <c r="P709" t="s">
        <v>68</v>
      </c>
      <c r="Q709" t="s">
        <v>32</v>
      </c>
    </row>
    <row r="710" spans="1:17" x14ac:dyDescent="0.3">
      <c r="A710" t="s">
        <v>3676</v>
      </c>
      <c r="B710" t="s">
        <v>3677</v>
      </c>
      <c r="C710">
        <v>47</v>
      </c>
      <c r="D710" t="s">
        <v>3678</v>
      </c>
      <c r="E710" t="s">
        <v>25</v>
      </c>
      <c r="F710" t="s">
        <v>912</v>
      </c>
      <c r="G710" t="s">
        <v>3679</v>
      </c>
      <c r="H710">
        <v>1</v>
      </c>
      <c r="I710" t="s">
        <v>27</v>
      </c>
      <c r="J710" t="s">
        <v>1546</v>
      </c>
      <c r="K710">
        <v>898.76</v>
      </c>
      <c r="L710">
        <v>2</v>
      </c>
      <c r="M710">
        <v>26</v>
      </c>
      <c r="N710" t="s">
        <v>54</v>
      </c>
      <c r="O710" t="s">
        <v>837</v>
      </c>
      <c r="P710" t="s">
        <v>56</v>
      </c>
      <c r="Q710" t="s">
        <v>32</v>
      </c>
    </row>
    <row r="711" spans="1:17" x14ac:dyDescent="0.3">
      <c r="A711" t="s">
        <v>3681</v>
      </c>
      <c r="B711" t="s">
        <v>3682</v>
      </c>
      <c r="C711">
        <v>51</v>
      </c>
      <c r="D711" t="s">
        <v>3683</v>
      </c>
      <c r="E711" t="s">
        <v>88</v>
      </c>
      <c r="F711" s="86">
        <v>44409</v>
      </c>
      <c r="G711" t="s">
        <v>3684</v>
      </c>
      <c r="H711">
        <v>3</v>
      </c>
      <c r="I711" t="s">
        <v>52</v>
      </c>
      <c r="J711" t="s">
        <v>3685</v>
      </c>
      <c r="K711">
        <v>209.36</v>
      </c>
      <c r="L711">
        <v>4</v>
      </c>
      <c r="M711">
        <v>36</v>
      </c>
      <c r="N711" t="s">
        <v>45</v>
      </c>
      <c r="O711" t="s">
        <v>44</v>
      </c>
      <c r="P711" t="s">
        <v>45</v>
      </c>
      <c r="Q711" t="s">
        <v>69</v>
      </c>
    </row>
    <row r="712" spans="1:17" x14ac:dyDescent="0.3">
      <c r="A712" t="s">
        <v>3687</v>
      </c>
      <c r="B712" t="s">
        <v>3688</v>
      </c>
      <c r="C712">
        <v>22</v>
      </c>
      <c r="D712" t="s">
        <v>3689</v>
      </c>
      <c r="E712" t="s">
        <v>95</v>
      </c>
      <c r="F712" t="s">
        <v>1939</v>
      </c>
      <c r="G712" t="s">
        <v>3690</v>
      </c>
      <c r="H712">
        <v>5</v>
      </c>
      <c r="I712" t="s">
        <v>27</v>
      </c>
      <c r="J712" t="s">
        <v>2643</v>
      </c>
      <c r="K712">
        <v>143.04</v>
      </c>
      <c r="L712">
        <v>9</v>
      </c>
      <c r="M712">
        <v>45</v>
      </c>
      <c r="N712" t="s">
        <v>45</v>
      </c>
      <c r="O712" t="s">
        <v>293</v>
      </c>
      <c r="P712" t="s">
        <v>45</v>
      </c>
      <c r="Q712" t="s">
        <v>32</v>
      </c>
    </row>
    <row r="713" spans="1:17" x14ac:dyDescent="0.3">
      <c r="A713" t="s">
        <v>3692</v>
      </c>
      <c r="B713" t="s">
        <v>3693</v>
      </c>
      <c r="C713">
        <v>19</v>
      </c>
      <c r="D713" t="s">
        <v>3694</v>
      </c>
      <c r="E713" t="s">
        <v>25</v>
      </c>
      <c r="F713" t="s">
        <v>514</v>
      </c>
      <c r="G713" t="s">
        <v>1041</v>
      </c>
      <c r="H713">
        <v>4</v>
      </c>
      <c r="I713" t="s">
        <v>27</v>
      </c>
      <c r="J713" t="s">
        <v>327</v>
      </c>
      <c r="K713">
        <v>164.34</v>
      </c>
      <c r="L713">
        <v>4</v>
      </c>
      <c r="M713">
        <v>47</v>
      </c>
      <c r="N713" t="s">
        <v>54</v>
      </c>
      <c r="O713" t="s">
        <v>269</v>
      </c>
      <c r="P713" t="s">
        <v>56</v>
      </c>
      <c r="Q713" t="s">
        <v>69</v>
      </c>
    </row>
    <row r="714" spans="1:17" x14ac:dyDescent="0.3">
      <c r="A714" t="s">
        <v>3696</v>
      </c>
      <c r="B714" t="s">
        <v>3697</v>
      </c>
      <c r="C714">
        <v>67</v>
      </c>
      <c r="D714" t="s">
        <v>3698</v>
      </c>
      <c r="E714" t="s">
        <v>88</v>
      </c>
      <c r="F714" t="s">
        <v>3699</v>
      </c>
      <c r="G714" t="s">
        <v>912</v>
      </c>
      <c r="H714">
        <v>2</v>
      </c>
      <c r="I714" t="s">
        <v>27</v>
      </c>
      <c r="J714" t="s">
        <v>3700</v>
      </c>
      <c r="K714">
        <v>188.11</v>
      </c>
      <c r="L714">
        <v>7</v>
      </c>
      <c r="M714">
        <v>16</v>
      </c>
      <c r="N714" t="s">
        <v>54</v>
      </c>
      <c r="O714" t="s">
        <v>293</v>
      </c>
      <c r="P714" t="s">
        <v>45</v>
      </c>
      <c r="Q714" t="s">
        <v>32</v>
      </c>
    </row>
    <row r="715" spans="1:17" x14ac:dyDescent="0.3">
      <c r="A715" t="s">
        <v>3702</v>
      </c>
      <c r="B715" t="s">
        <v>3703</v>
      </c>
      <c r="C715">
        <v>33</v>
      </c>
      <c r="D715" t="s">
        <v>3704</v>
      </c>
      <c r="E715" t="s">
        <v>25</v>
      </c>
      <c r="F715" s="86">
        <v>44903</v>
      </c>
      <c r="G715" t="s">
        <v>3705</v>
      </c>
      <c r="H715">
        <v>1</v>
      </c>
      <c r="I715" t="s">
        <v>52</v>
      </c>
      <c r="J715" s="86">
        <v>45296</v>
      </c>
      <c r="K715">
        <v>343.89</v>
      </c>
      <c r="L715">
        <v>5</v>
      </c>
      <c r="M715">
        <v>32</v>
      </c>
      <c r="N715" t="s">
        <v>54</v>
      </c>
      <c r="O715" t="s">
        <v>418</v>
      </c>
      <c r="P715" t="s">
        <v>56</v>
      </c>
      <c r="Q715" t="s">
        <v>69</v>
      </c>
    </row>
    <row r="716" spans="1:17" x14ac:dyDescent="0.3">
      <c r="A716" t="s">
        <v>3707</v>
      </c>
      <c r="B716" t="s">
        <v>3708</v>
      </c>
      <c r="C716">
        <v>67</v>
      </c>
      <c r="D716" t="s">
        <v>3709</v>
      </c>
      <c r="E716" t="s">
        <v>25</v>
      </c>
      <c r="F716" t="s">
        <v>1474</v>
      </c>
      <c r="G716" s="86">
        <v>44478</v>
      </c>
      <c r="H716">
        <v>1</v>
      </c>
      <c r="I716" t="s">
        <v>52</v>
      </c>
      <c r="J716" s="86">
        <v>45449</v>
      </c>
      <c r="K716">
        <v>291.77</v>
      </c>
      <c r="L716">
        <v>4</v>
      </c>
      <c r="M716">
        <v>41</v>
      </c>
      <c r="N716" t="s">
        <v>45</v>
      </c>
      <c r="O716" t="s">
        <v>142</v>
      </c>
      <c r="P716" t="s">
        <v>68</v>
      </c>
      <c r="Q716" t="s">
        <v>69</v>
      </c>
    </row>
    <row r="717" spans="1:17" x14ac:dyDescent="0.3">
      <c r="A717" t="s">
        <v>3711</v>
      </c>
      <c r="B717" t="s">
        <v>3712</v>
      </c>
      <c r="C717">
        <v>67</v>
      </c>
      <c r="D717" t="s">
        <v>3713</v>
      </c>
      <c r="E717" t="s">
        <v>95</v>
      </c>
      <c r="F717" t="s">
        <v>669</v>
      </c>
      <c r="G717" t="s">
        <v>3714</v>
      </c>
      <c r="H717">
        <v>5</v>
      </c>
      <c r="I717" t="s">
        <v>27</v>
      </c>
      <c r="J717" s="86">
        <v>45785</v>
      </c>
      <c r="K717">
        <v>289.38</v>
      </c>
      <c r="L717">
        <v>5</v>
      </c>
      <c r="M717">
        <v>46</v>
      </c>
      <c r="N717" t="s">
        <v>54</v>
      </c>
      <c r="O717" t="s">
        <v>373</v>
      </c>
      <c r="P717" t="s">
        <v>54</v>
      </c>
      <c r="Q717" t="s">
        <v>69</v>
      </c>
    </row>
    <row r="718" spans="1:17" x14ac:dyDescent="0.3">
      <c r="A718" t="s">
        <v>3716</v>
      </c>
      <c r="B718" t="s">
        <v>3717</v>
      </c>
      <c r="C718">
        <v>59</v>
      </c>
      <c r="D718" t="s">
        <v>3718</v>
      </c>
      <c r="E718" t="s">
        <v>40</v>
      </c>
      <c r="F718" s="86">
        <v>44685</v>
      </c>
      <c r="G718" t="s">
        <v>3568</v>
      </c>
      <c r="H718">
        <v>2</v>
      </c>
      <c r="I718" t="s">
        <v>27</v>
      </c>
      <c r="J718" s="86">
        <v>45605</v>
      </c>
      <c r="K718">
        <v>184.92</v>
      </c>
      <c r="L718">
        <v>8</v>
      </c>
      <c r="M718">
        <v>12</v>
      </c>
      <c r="N718" t="s">
        <v>68</v>
      </c>
      <c r="O718" t="s">
        <v>194</v>
      </c>
      <c r="P718" t="s">
        <v>56</v>
      </c>
      <c r="Q718" t="s">
        <v>69</v>
      </c>
    </row>
    <row r="719" spans="1:17" x14ac:dyDescent="0.3">
      <c r="A719" t="s">
        <v>3720</v>
      </c>
      <c r="B719" t="s">
        <v>3721</v>
      </c>
      <c r="C719">
        <v>68</v>
      </c>
      <c r="D719" t="s">
        <v>3722</v>
      </c>
      <c r="E719" t="s">
        <v>51</v>
      </c>
      <c r="F719" s="86">
        <v>44236</v>
      </c>
      <c r="G719" t="s">
        <v>729</v>
      </c>
      <c r="H719">
        <v>1</v>
      </c>
      <c r="I719" t="s">
        <v>64</v>
      </c>
      <c r="J719" s="86">
        <v>44897</v>
      </c>
      <c r="K719">
        <v>95.6</v>
      </c>
      <c r="L719">
        <v>8</v>
      </c>
      <c r="M719">
        <v>38</v>
      </c>
      <c r="N719" t="s">
        <v>54</v>
      </c>
      <c r="O719" t="s">
        <v>169</v>
      </c>
      <c r="P719" t="s">
        <v>30</v>
      </c>
      <c r="Q719" t="s">
        <v>32</v>
      </c>
    </row>
    <row r="720" spans="1:17" x14ac:dyDescent="0.3">
      <c r="A720" t="s">
        <v>3724</v>
      </c>
      <c r="B720" t="s">
        <v>3725</v>
      </c>
      <c r="C720">
        <v>46</v>
      </c>
      <c r="D720" t="s">
        <v>3726</v>
      </c>
      <c r="E720" t="s">
        <v>95</v>
      </c>
      <c r="F720" t="s">
        <v>1529</v>
      </c>
      <c r="G720" t="s">
        <v>2543</v>
      </c>
      <c r="H720">
        <v>4</v>
      </c>
      <c r="I720" t="s">
        <v>27</v>
      </c>
      <c r="J720" t="s">
        <v>946</v>
      </c>
      <c r="K720">
        <v>12.05</v>
      </c>
      <c r="L720">
        <v>7</v>
      </c>
      <c r="M720">
        <v>12</v>
      </c>
      <c r="N720" t="s">
        <v>68</v>
      </c>
      <c r="O720" t="s">
        <v>91</v>
      </c>
      <c r="P720" t="s">
        <v>54</v>
      </c>
      <c r="Q720" t="s">
        <v>69</v>
      </c>
    </row>
    <row r="721" spans="1:17" x14ac:dyDescent="0.3">
      <c r="A721" t="s">
        <v>3728</v>
      </c>
      <c r="B721" t="s">
        <v>3729</v>
      </c>
      <c r="C721">
        <v>34</v>
      </c>
      <c r="D721" t="s">
        <v>3730</v>
      </c>
      <c r="E721" t="s">
        <v>95</v>
      </c>
      <c r="F721" t="s">
        <v>492</v>
      </c>
      <c r="G721" t="s">
        <v>416</v>
      </c>
      <c r="H721">
        <v>3</v>
      </c>
      <c r="I721" t="s">
        <v>52</v>
      </c>
      <c r="J721" t="s">
        <v>3731</v>
      </c>
      <c r="K721">
        <v>877.48</v>
      </c>
      <c r="L721">
        <v>2</v>
      </c>
      <c r="M721">
        <v>45</v>
      </c>
      <c r="N721" t="s">
        <v>30</v>
      </c>
      <c r="O721" t="s">
        <v>293</v>
      </c>
      <c r="P721" t="s">
        <v>45</v>
      </c>
      <c r="Q721" t="s">
        <v>32</v>
      </c>
    </row>
    <row r="722" spans="1:17" x14ac:dyDescent="0.3">
      <c r="A722" t="s">
        <v>3733</v>
      </c>
      <c r="B722" t="s">
        <v>3734</v>
      </c>
      <c r="C722">
        <v>36</v>
      </c>
      <c r="D722" t="s">
        <v>3735</v>
      </c>
      <c r="E722" t="s">
        <v>40</v>
      </c>
      <c r="F722" s="86">
        <v>44379</v>
      </c>
      <c r="G722" t="s">
        <v>28</v>
      </c>
      <c r="H722">
        <v>3</v>
      </c>
      <c r="I722" t="s">
        <v>64</v>
      </c>
      <c r="J722" t="s">
        <v>503</v>
      </c>
      <c r="K722">
        <v>129.11000000000001</v>
      </c>
      <c r="L722">
        <v>7</v>
      </c>
      <c r="M722">
        <v>49</v>
      </c>
      <c r="N722" t="s">
        <v>45</v>
      </c>
      <c r="O722" t="s">
        <v>597</v>
      </c>
      <c r="P722" t="s">
        <v>45</v>
      </c>
      <c r="Q722" t="s">
        <v>32</v>
      </c>
    </row>
    <row r="723" spans="1:17" x14ac:dyDescent="0.3">
      <c r="A723" t="s">
        <v>3737</v>
      </c>
      <c r="B723" t="s">
        <v>3738</v>
      </c>
      <c r="C723">
        <v>18</v>
      </c>
      <c r="D723" t="s">
        <v>3739</v>
      </c>
      <c r="E723" t="s">
        <v>95</v>
      </c>
      <c r="F723" t="s">
        <v>1215</v>
      </c>
      <c r="G723" t="s">
        <v>1375</v>
      </c>
      <c r="H723">
        <v>1</v>
      </c>
      <c r="I723" t="s">
        <v>27</v>
      </c>
      <c r="J723" s="86">
        <v>44903</v>
      </c>
      <c r="K723">
        <v>699.1</v>
      </c>
      <c r="L723">
        <v>1</v>
      </c>
      <c r="M723">
        <v>29</v>
      </c>
      <c r="N723" t="s">
        <v>45</v>
      </c>
      <c r="O723" t="s">
        <v>597</v>
      </c>
      <c r="P723" t="s">
        <v>45</v>
      </c>
      <c r="Q723" t="s">
        <v>32</v>
      </c>
    </row>
    <row r="724" spans="1:17" x14ac:dyDescent="0.3">
      <c r="A724" t="s">
        <v>3741</v>
      </c>
      <c r="B724" t="s">
        <v>3742</v>
      </c>
      <c r="C724">
        <v>19</v>
      </c>
      <c r="D724" t="s">
        <v>3743</v>
      </c>
      <c r="E724" t="s">
        <v>95</v>
      </c>
      <c r="F724" t="s">
        <v>3744</v>
      </c>
      <c r="G724" s="86">
        <v>45417</v>
      </c>
      <c r="H724">
        <v>3</v>
      </c>
      <c r="I724" t="s">
        <v>27</v>
      </c>
      <c r="J724" t="s">
        <v>3130</v>
      </c>
      <c r="K724">
        <v>10.32</v>
      </c>
      <c r="L724">
        <v>6</v>
      </c>
      <c r="M724">
        <v>4</v>
      </c>
      <c r="N724" t="s">
        <v>45</v>
      </c>
      <c r="O724" t="s">
        <v>366</v>
      </c>
      <c r="P724" t="s">
        <v>54</v>
      </c>
      <c r="Q724" t="s">
        <v>32</v>
      </c>
    </row>
    <row r="725" spans="1:17" x14ac:dyDescent="0.3">
      <c r="A725" t="s">
        <v>3746</v>
      </c>
      <c r="B725" t="s">
        <v>3747</v>
      </c>
      <c r="C725">
        <v>28</v>
      </c>
      <c r="D725" t="s">
        <v>3748</v>
      </c>
      <c r="E725" t="s">
        <v>51</v>
      </c>
      <c r="F725" t="s">
        <v>3749</v>
      </c>
      <c r="G725" s="86">
        <v>45696</v>
      </c>
      <c r="H725">
        <v>1</v>
      </c>
      <c r="I725" t="s">
        <v>27</v>
      </c>
      <c r="J725" s="86">
        <v>45139</v>
      </c>
      <c r="K725">
        <v>196.1</v>
      </c>
      <c r="L725">
        <v>9</v>
      </c>
      <c r="M725">
        <v>15</v>
      </c>
      <c r="N725" t="s">
        <v>45</v>
      </c>
      <c r="O725" t="s">
        <v>194</v>
      </c>
      <c r="P725" t="s">
        <v>56</v>
      </c>
      <c r="Q725" t="s">
        <v>32</v>
      </c>
    </row>
    <row r="726" spans="1:17" x14ac:dyDescent="0.3">
      <c r="A726" t="s">
        <v>3751</v>
      </c>
      <c r="B726" t="s">
        <v>3752</v>
      </c>
      <c r="C726">
        <v>49</v>
      </c>
      <c r="D726" t="s">
        <v>3753</v>
      </c>
      <c r="E726" t="s">
        <v>95</v>
      </c>
      <c r="F726" s="86">
        <v>45109</v>
      </c>
      <c r="G726" t="s">
        <v>2104</v>
      </c>
      <c r="H726">
        <v>1</v>
      </c>
      <c r="I726" t="s">
        <v>27</v>
      </c>
      <c r="J726" s="86">
        <v>45842</v>
      </c>
      <c r="K726">
        <v>173.64</v>
      </c>
      <c r="L726">
        <v>9</v>
      </c>
      <c r="M726">
        <v>16</v>
      </c>
      <c r="N726" t="s">
        <v>56</v>
      </c>
      <c r="O726" t="s">
        <v>199</v>
      </c>
      <c r="P726" t="s">
        <v>54</v>
      </c>
      <c r="Q726" t="s">
        <v>69</v>
      </c>
    </row>
    <row r="727" spans="1:17" x14ac:dyDescent="0.3">
      <c r="A727" t="s">
        <v>3755</v>
      </c>
      <c r="B727" t="s">
        <v>3756</v>
      </c>
      <c r="C727">
        <v>39</v>
      </c>
      <c r="D727" t="s">
        <v>3757</v>
      </c>
      <c r="E727" t="s">
        <v>61</v>
      </c>
      <c r="F727" t="s">
        <v>312</v>
      </c>
      <c r="G727" t="s">
        <v>106</v>
      </c>
      <c r="H727">
        <v>5</v>
      </c>
      <c r="I727" t="s">
        <v>52</v>
      </c>
      <c r="J727" s="86">
        <v>45293</v>
      </c>
      <c r="K727">
        <v>206.65</v>
      </c>
      <c r="L727">
        <v>5</v>
      </c>
      <c r="M727">
        <v>43</v>
      </c>
      <c r="N727" t="s">
        <v>54</v>
      </c>
      <c r="O727" t="s">
        <v>55</v>
      </c>
      <c r="P727" t="s">
        <v>56</v>
      </c>
      <c r="Q727" t="s">
        <v>32</v>
      </c>
    </row>
    <row r="728" spans="1:17" x14ac:dyDescent="0.3">
      <c r="A728" t="s">
        <v>3759</v>
      </c>
      <c r="B728" t="s">
        <v>3760</v>
      </c>
      <c r="C728">
        <v>18</v>
      </c>
      <c r="D728" t="s">
        <v>3761</v>
      </c>
      <c r="E728" t="s">
        <v>25</v>
      </c>
      <c r="F728" s="86">
        <v>45017</v>
      </c>
      <c r="G728" t="s">
        <v>344</v>
      </c>
      <c r="H728">
        <v>1</v>
      </c>
      <c r="I728" t="s">
        <v>27</v>
      </c>
      <c r="J728" t="s">
        <v>2374</v>
      </c>
      <c r="K728">
        <v>477.57</v>
      </c>
      <c r="L728">
        <v>1</v>
      </c>
      <c r="M728">
        <v>41</v>
      </c>
      <c r="N728" t="s">
        <v>56</v>
      </c>
      <c r="O728" t="s">
        <v>116</v>
      </c>
      <c r="P728" t="s">
        <v>54</v>
      </c>
      <c r="Q728" t="s">
        <v>69</v>
      </c>
    </row>
    <row r="729" spans="1:17" x14ac:dyDescent="0.3">
      <c r="A729" t="s">
        <v>3763</v>
      </c>
      <c r="B729" t="s">
        <v>3764</v>
      </c>
      <c r="C729">
        <v>53</v>
      </c>
      <c r="D729" t="s">
        <v>3765</v>
      </c>
      <c r="E729" t="s">
        <v>51</v>
      </c>
      <c r="F729" s="86">
        <v>44231</v>
      </c>
      <c r="G729" t="s">
        <v>3766</v>
      </c>
      <c r="H729">
        <v>0</v>
      </c>
      <c r="I729" t="s">
        <v>27</v>
      </c>
      <c r="J729" t="s">
        <v>2983</v>
      </c>
      <c r="K729">
        <v>68.900000000000006</v>
      </c>
      <c r="L729">
        <v>6</v>
      </c>
      <c r="M729">
        <v>17</v>
      </c>
      <c r="N729" t="s">
        <v>54</v>
      </c>
      <c r="O729" t="s">
        <v>837</v>
      </c>
      <c r="P729" t="s">
        <v>56</v>
      </c>
      <c r="Q729" t="s">
        <v>32</v>
      </c>
    </row>
    <row r="730" spans="1:17" x14ac:dyDescent="0.3">
      <c r="A730" t="s">
        <v>3768</v>
      </c>
      <c r="B730" t="s">
        <v>3769</v>
      </c>
      <c r="C730">
        <v>65</v>
      </c>
      <c r="D730" t="s">
        <v>3770</v>
      </c>
      <c r="E730" t="s">
        <v>88</v>
      </c>
      <c r="F730" s="86">
        <v>45233</v>
      </c>
      <c r="G730" t="s">
        <v>3069</v>
      </c>
      <c r="H730">
        <v>3</v>
      </c>
      <c r="I730" t="s">
        <v>27</v>
      </c>
      <c r="J730" s="86">
        <v>45608</v>
      </c>
      <c r="K730">
        <v>238.83</v>
      </c>
      <c r="L730">
        <v>7</v>
      </c>
      <c r="M730">
        <v>22</v>
      </c>
      <c r="N730" t="s">
        <v>54</v>
      </c>
      <c r="O730" t="s">
        <v>536</v>
      </c>
      <c r="P730" t="s">
        <v>68</v>
      </c>
      <c r="Q730" t="s">
        <v>32</v>
      </c>
    </row>
    <row r="731" spans="1:17" x14ac:dyDescent="0.3">
      <c r="A731" t="s">
        <v>3772</v>
      </c>
      <c r="B731" t="s">
        <v>3773</v>
      </c>
      <c r="C731">
        <v>62</v>
      </c>
      <c r="D731" t="s">
        <v>3774</v>
      </c>
      <c r="E731" t="s">
        <v>61</v>
      </c>
      <c r="F731" t="s">
        <v>3775</v>
      </c>
      <c r="G731" t="s">
        <v>3776</v>
      </c>
      <c r="H731">
        <v>0</v>
      </c>
      <c r="I731" t="s">
        <v>64</v>
      </c>
      <c r="J731" t="s">
        <v>1085</v>
      </c>
      <c r="K731">
        <v>120.28</v>
      </c>
      <c r="L731">
        <v>5</v>
      </c>
      <c r="M731">
        <v>46</v>
      </c>
      <c r="N731" t="s">
        <v>30</v>
      </c>
      <c r="O731" t="s">
        <v>122</v>
      </c>
      <c r="P731" t="s">
        <v>30</v>
      </c>
      <c r="Q731" t="s">
        <v>69</v>
      </c>
    </row>
    <row r="732" spans="1:17" x14ac:dyDescent="0.3">
      <c r="A732" t="s">
        <v>3778</v>
      </c>
      <c r="B732" t="s">
        <v>3779</v>
      </c>
      <c r="C732">
        <v>51</v>
      </c>
      <c r="D732" t="s">
        <v>3780</v>
      </c>
      <c r="E732" t="s">
        <v>88</v>
      </c>
      <c r="F732" s="86">
        <v>44533</v>
      </c>
      <c r="G732" s="86">
        <v>45386</v>
      </c>
      <c r="H732">
        <v>0</v>
      </c>
      <c r="I732" t="s">
        <v>27</v>
      </c>
      <c r="J732" t="s">
        <v>320</v>
      </c>
      <c r="K732">
        <v>880.32</v>
      </c>
      <c r="L732">
        <v>1</v>
      </c>
      <c r="M732">
        <v>30</v>
      </c>
      <c r="N732" t="s">
        <v>45</v>
      </c>
      <c r="O732" t="s">
        <v>77</v>
      </c>
      <c r="P732" t="s">
        <v>54</v>
      </c>
      <c r="Q732" t="s">
        <v>69</v>
      </c>
    </row>
    <row r="733" spans="1:17" x14ac:dyDescent="0.3">
      <c r="A733" t="s">
        <v>3782</v>
      </c>
      <c r="B733" t="s">
        <v>3783</v>
      </c>
      <c r="C733">
        <v>63</v>
      </c>
      <c r="D733" t="s">
        <v>3784</v>
      </c>
      <c r="E733" t="s">
        <v>88</v>
      </c>
      <c r="F733" s="86">
        <v>44961</v>
      </c>
      <c r="G733" t="s">
        <v>3785</v>
      </c>
      <c r="H733">
        <v>1</v>
      </c>
      <c r="I733" t="s">
        <v>27</v>
      </c>
      <c r="J733" t="s">
        <v>3164</v>
      </c>
      <c r="K733">
        <v>425.19</v>
      </c>
      <c r="L733">
        <v>1</v>
      </c>
      <c r="M733">
        <v>8</v>
      </c>
      <c r="N733" t="s">
        <v>45</v>
      </c>
      <c r="O733" t="s">
        <v>624</v>
      </c>
      <c r="P733" t="s">
        <v>30</v>
      </c>
      <c r="Q733" t="s">
        <v>32</v>
      </c>
    </row>
    <row r="734" spans="1:17" x14ac:dyDescent="0.3">
      <c r="A734" t="s">
        <v>3787</v>
      </c>
      <c r="B734" t="s">
        <v>3788</v>
      </c>
      <c r="C734">
        <v>27</v>
      </c>
      <c r="D734" t="s">
        <v>3789</v>
      </c>
      <c r="E734" t="s">
        <v>51</v>
      </c>
      <c r="F734" t="s">
        <v>3559</v>
      </c>
      <c r="G734" t="s">
        <v>718</v>
      </c>
      <c r="H734">
        <v>5</v>
      </c>
      <c r="I734" t="s">
        <v>27</v>
      </c>
      <c r="J734" t="s">
        <v>1715</v>
      </c>
      <c r="K734">
        <v>436.81</v>
      </c>
      <c r="L734">
        <v>3</v>
      </c>
      <c r="M734">
        <v>42</v>
      </c>
      <c r="N734" t="s">
        <v>68</v>
      </c>
      <c r="O734" t="s">
        <v>99</v>
      </c>
      <c r="P734" t="s">
        <v>56</v>
      </c>
      <c r="Q734" t="s">
        <v>69</v>
      </c>
    </row>
    <row r="735" spans="1:17" x14ac:dyDescent="0.3">
      <c r="A735" t="s">
        <v>3791</v>
      </c>
      <c r="B735" t="s">
        <v>3792</v>
      </c>
      <c r="C735">
        <v>50</v>
      </c>
      <c r="D735" t="s">
        <v>3793</v>
      </c>
      <c r="E735" t="s">
        <v>51</v>
      </c>
      <c r="F735" t="s">
        <v>3354</v>
      </c>
      <c r="G735" t="s">
        <v>1420</v>
      </c>
      <c r="H735">
        <v>0</v>
      </c>
      <c r="I735" t="s">
        <v>27</v>
      </c>
      <c r="J735" s="86">
        <v>45301</v>
      </c>
      <c r="K735">
        <v>54.65</v>
      </c>
      <c r="L735">
        <v>3</v>
      </c>
      <c r="M735">
        <v>21</v>
      </c>
      <c r="N735" t="s">
        <v>54</v>
      </c>
      <c r="O735" t="s">
        <v>251</v>
      </c>
      <c r="P735" t="s">
        <v>30</v>
      </c>
      <c r="Q735" t="s">
        <v>32</v>
      </c>
    </row>
    <row r="736" spans="1:17" x14ac:dyDescent="0.3">
      <c r="A736" t="s">
        <v>3795</v>
      </c>
      <c r="B736" t="s">
        <v>3796</v>
      </c>
      <c r="C736">
        <v>51</v>
      </c>
      <c r="D736" t="s">
        <v>3797</v>
      </c>
      <c r="E736" t="s">
        <v>95</v>
      </c>
      <c r="F736" t="s">
        <v>114</v>
      </c>
      <c r="G736" s="86">
        <v>45477</v>
      </c>
      <c r="H736">
        <v>3</v>
      </c>
      <c r="I736" t="s">
        <v>27</v>
      </c>
      <c r="J736" t="s">
        <v>1572</v>
      </c>
      <c r="K736">
        <v>178.57</v>
      </c>
      <c r="L736">
        <v>6</v>
      </c>
      <c r="M736">
        <v>33</v>
      </c>
      <c r="N736" t="s">
        <v>68</v>
      </c>
      <c r="O736" t="s">
        <v>821</v>
      </c>
      <c r="P736" t="s">
        <v>68</v>
      </c>
      <c r="Q736" t="s">
        <v>69</v>
      </c>
    </row>
    <row r="737" spans="1:17" x14ac:dyDescent="0.3">
      <c r="A737" t="s">
        <v>3799</v>
      </c>
      <c r="B737" t="s">
        <v>3800</v>
      </c>
      <c r="C737">
        <v>67</v>
      </c>
      <c r="D737" t="s">
        <v>3801</v>
      </c>
      <c r="E737" t="s">
        <v>25</v>
      </c>
      <c r="F737" t="s">
        <v>3802</v>
      </c>
      <c r="G737" s="86">
        <v>45995</v>
      </c>
      <c r="H737">
        <v>2</v>
      </c>
      <c r="I737" t="s">
        <v>27</v>
      </c>
      <c r="J737" t="s">
        <v>702</v>
      </c>
      <c r="K737">
        <v>18.43</v>
      </c>
      <c r="L737">
        <v>9</v>
      </c>
      <c r="M737">
        <v>33</v>
      </c>
      <c r="N737" t="s">
        <v>56</v>
      </c>
      <c r="O737" t="s">
        <v>269</v>
      </c>
      <c r="P737" t="s">
        <v>56</v>
      </c>
      <c r="Q737" t="s">
        <v>32</v>
      </c>
    </row>
    <row r="738" spans="1:17" x14ac:dyDescent="0.3">
      <c r="A738" t="s">
        <v>3804</v>
      </c>
      <c r="B738" t="s">
        <v>3805</v>
      </c>
      <c r="C738">
        <v>41</v>
      </c>
      <c r="D738" t="s">
        <v>3806</v>
      </c>
      <c r="E738" t="s">
        <v>61</v>
      </c>
      <c r="F738" t="s">
        <v>3807</v>
      </c>
      <c r="G738" t="s">
        <v>3808</v>
      </c>
      <c r="H738">
        <v>1</v>
      </c>
      <c r="I738" t="s">
        <v>52</v>
      </c>
      <c r="J738" s="86">
        <v>45387</v>
      </c>
      <c r="K738">
        <v>162.13</v>
      </c>
      <c r="L738">
        <v>8</v>
      </c>
      <c r="M738">
        <v>24</v>
      </c>
      <c r="N738" t="s">
        <v>30</v>
      </c>
      <c r="O738" t="s">
        <v>142</v>
      </c>
      <c r="P738" t="s">
        <v>68</v>
      </c>
      <c r="Q738" t="s">
        <v>32</v>
      </c>
    </row>
    <row r="739" spans="1:17" x14ac:dyDescent="0.3">
      <c r="A739" t="s">
        <v>3810</v>
      </c>
      <c r="B739" t="s">
        <v>3811</v>
      </c>
      <c r="C739">
        <v>19</v>
      </c>
      <c r="D739" t="s">
        <v>3812</v>
      </c>
      <c r="E739" t="s">
        <v>51</v>
      </c>
      <c r="F739" s="86">
        <v>44450</v>
      </c>
      <c r="G739" t="s">
        <v>1339</v>
      </c>
      <c r="H739">
        <v>2</v>
      </c>
      <c r="I739" t="s">
        <v>27</v>
      </c>
      <c r="J739" t="s">
        <v>3813</v>
      </c>
      <c r="K739">
        <v>215.86</v>
      </c>
      <c r="L739">
        <v>4</v>
      </c>
      <c r="M739">
        <v>5</v>
      </c>
      <c r="N739" t="s">
        <v>30</v>
      </c>
      <c r="O739" t="s">
        <v>604</v>
      </c>
      <c r="P739" t="s">
        <v>45</v>
      </c>
      <c r="Q739" t="s">
        <v>32</v>
      </c>
    </row>
    <row r="740" spans="1:17" x14ac:dyDescent="0.3">
      <c r="A740" t="s">
        <v>3815</v>
      </c>
      <c r="B740" t="s">
        <v>3816</v>
      </c>
      <c r="C740">
        <v>68</v>
      </c>
      <c r="D740" t="s">
        <v>3817</v>
      </c>
      <c r="E740" t="s">
        <v>25</v>
      </c>
      <c r="F740" t="s">
        <v>1949</v>
      </c>
      <c r="G740" s="86">
        <v>45207</v>
      </c>
      <c r="H740">
        <v>2</v>
      </c>
      <c r="I740" t="s">
        <v>27</v>
      </c>
      <c r="J740" t="s">
        <v>3818</v>
      </c>
      <c r="K740">
        <v>448.02</v>
      </c>
      <c r="L740">
        <v>4</v>
      </c>
      <c r="M740">
        <v>4</v>
      </c>
      <c r="N740" t="s">
        <v>30</v>
      </c>
      <c r="O740" t="s">
        <v>122</v>
      </c>
      <c r="P740" t="s">
        <v>30</v>
      </c>
      <c r="Q740" t="s">
        <v>69</v>
      </c>
    </row>
    <row r="741" spans="1:17" x14ac:dyDescent="0.3">
      <c r="A741" t="s">
        <v>3820</v>
      </c>
      <c r="B741" t="s">
        <v>3821</v>
      </c>
      <c r="C741">
        <v>24</v>
      </c>
      <c r="D741" t="s">
        <v>3822</v>
      </c>
      <c r="E741" t="s">
        <v>95</v>
      </c>
      <c r="F741" t="s">
        <v>1344</v>
      </c>
      <c r="G741" t="s">
        <v>702</v>
      </c>
      <c r="H741">
        <v>1</v>
      </c>
      <c r="I741" t="s">
        <v>27</v>
      </c>
      <c r="J741" t="s">
        <v>492</v>
      </c>
      <c r="K741">
        <v>202.23</v>
      </c>
      <c r="L741">
        <v>4</v>
      </c>
      <c r="M741">
        <v>29</v>
      </c>
      <c r="N741" t="s">
        <v>68</v>
      </c>
      <c r="O741" t="s">
        <v>610</v>
      </c>
      <c r="P741" t="s">
        <v>68</v>
      </c>
      <c r="Q741" t="s">
        <v>32</v>
      </c>
    </row>
    <row r="742" spans="1:17" x14ac:dyDescent="0.3">
      <c r="A742" t="s">
        <v>3824</v>
      </c>
      <c r="B742" t="s">
        <v>3825</v>
      </c>
      <c r="C742">
        <v>67</v>
      </c>
      <c r="D742" t="s">
        <v>3826</v>
      </c>
      <c r="E742" t="s">
        <v>88</v>
      </c>
      <c r="F742" s="86">
        <v>44723</v>
      </c>
      <c r="G742" s="86">
        <v>45515</v>
      </c>
      <c r="H742">
        <v>1</v>
      </c>
      <c r="I742" t="s">
        <v>27</v>
      </c>
      <c r="J742" s="86">
        <v>45938</v>
      </c>
      <c r="K742">
        <v>412.98</v>
      </c>
      <c r="L742">
        <v>1</v>
      </c>
      <c r="M742">
        <v>22</v>
      </c>
      <c r="N742" t="s">
        <v>68</v>
      </c>
      <c r="O742" t="s">
        <v>142</v>
      </c>
      <c r="P742" t="s">
        <v>68</v>
      </c>
      <c r="Q742" t="s">
        <v>69</v>
      </c>
    </row>
    <row r="743" spans="1:17" x14ac:dyDescent="0.3">
      <c r="A743" t="s">
        <v>3828</v>
      </c>
      <c r="B743" t="s">
        <v>3829</v>
      </c>
      <c r="C743">
        <v>45</v>
      </c>
      <c r="D743" t="s">
        <v>3830</v>
      </c>
      <c r="E743" t="s">
        <v>25</v>
      </c>
      <c r="F743" t="s">
        <v>3831</v>
      </c>
      <c r="G743" t="s">
        <v>3832</v>
      </c>
      <c r="H743">
        <v>4</v>
      </c>
      <c r="I743" t="s">
        <v>52</v>
      </c>
      <c r="J743" t="s">
        <v>3652</v>
      </c>
      <c r="K743">
        <v>187.53</v>
      </c>
      <c r="L743">
        <v>4</v>
      </c>
      <c r="M743">
        <v>22</v>
      </c>
      <c r="N743" t="s">
        <v>45</v>
      </c>
      <c r="O743" t="s">
        <v>122</v>
      </c>
      <c r="P743" t="s">
        <v>30</v>
      </c>
      <c r="Q743" t="s">
        <v>69</v>
      </c>
    </row>
    <row r="744" spans="1:17" x14ac:dyDescent="0.3">
      <c r="A744" t="s">
        <v>3834</v>
      </c>
      <c r="B744" t="s">
        <v>3835</v>
      </c>
      <c r="C744">
        <v>52</v>
      </c>
      <c r="D744" t="s">
        <v>3836</v>
      </c>
      <c r="E744" t="s">
        <v>95</v>
      </c>
      <c r="F744" t="s">
        <v>835</v>
      </c>
      <c r="G744" t="s">
        <v>1589</v>
      </c>
      <c r="H744">
        <v>1</v>
      </c>
      <c r="I744" t="s">
        <v>27</v>
      </c>
      <c r="J744" s="86">
        <v>45484</v>
      </c>
      <c r="K744">
        <v>140.81</v>
      </c>
      <c r="L744">
        <v>8</v>
      </c>
      <c r="M744">
        <v>5</v>
      </c>
      <c r="N744" t="s">
        <v>45</v>
      </c>
      <c r="O744" t="s">
        <v>366</v>
      </c>
      <c r="P744" t="s">
        <v>54</v>
      </c>
      <c r="Q744" t="s">
        <v>69</v>
      </c>
    </row>
    <row r="745" spans="1:17" x14ac:dyDescent="0.3">
      <c r="A745" t="s">
        <v>3838</v>
      </c>
      <c r="B745" t="s">
        <v>3839</v>
      </c>
      <c r="C745">
        <v>52</v>
      </c>
      <c r="D745" t="s">
        <v>3840</v>
      </c>
      <c r="E745" t="s">
        <v>61</v>
      </c>
      <c r="F745" t="s">
        <v>166</v>
      </c>
      <c r="G745" t="s">
        <v>1324</v>
      </c>
      <c r="H745">
        <v>1</v>
      </c>
      <c r="I745" t="s">
        <v>27</v>
      </c>
      <c r="J745" t="s">
        <v>3841</v>
      </c>
      <c r="K745">
        <v>66.97</v>
      </c>
      <c r="L745">
        <v>7</v>
      </c>
      <c r="M745">
        <v>1</v>
      </c>
      <c r="N745" t="s">
        <v>45</v>
      </c>
      <c r="O745" t="s">
        <v>128</v>
      </c>
      <c r="P745" t="s">
        <v>54</v>
      </c>
      <c r="Q745" t="s">
        <v>322</v>
      </c>
    </row>
    <row r="746" spans="1:17" x14ac:dyDescent="0.3">
      <c r="A746" t="s">
        <v>3843</v>
      </c>
      <c r="B746" t="s">
        <v>3844</v>
      </c>
      <c r="C746">
        <v>60</v>
      </c>
      <c r="D746" t="s">
        <v>3845</v>
      </c>
      <c r="E746" t="s">
        <v>95</v>
      </c>
      <c r="F746" t="s">
        <v>3846</v>
      </c>
      <c r="G746" t="s">
        <v>1827</v>
      </c>
      <c r="H746">
        <v>5</v>
      </c>
      <c r="I746" t="s">
        <v>27</v>
      </c>
      <c r="J746" s="86">
        <v>45627</v>
      </c>
      <c r="K746">
        <v>73.09</v>
      </c>
      <c r="L746">
        <v>5</v>
      </c>
      <c r="M746">
        <v>12</v>
      </c>
      <c r="N746" t="s">
        <v>68</v>
      </c>
      <c r="O746" t="s">
        <v>855</v>
      </c>
      <c r="P746" t="s">
        <v>45</v>
      </c>
      <c r="Q746" t="s">
        <v>32</v>
      </c>
    </row>
    <row r="747" spans="1:17" x14ac:dyDescent="0.3">
      <c r="A747" t="s">
        <v>3848</v>
      </c>
      <c r="B747" t="s">
        <v>3849</v>
      </c>
      <c r="C747">
        <v>49</v>
      </c>
      <c r="D747" t="s">
        <v>3850</v>
      </c>
      <c r="E747" t="s">
        <v>51</v>
      </c>
      <c r="F747" t="s">
        <v>3851</v>
      </c>
      <c r="G747" t="s">
        <v>1026</v>
      </c>
      <c r="H747">
        <v>5</v>
      </c>
      <c r="I747" t="s">
        <v>27</v>
      </c>
      <c r="J747" t="s">
        <v>2098</v>
      </c>
      <c r="K747">
        <v>1326.91</v>
      </c>
      <c r="L747">
        <v>1</v>
      </c>
      <c r="M747">
        <v>3</v>
      </c>
      <c r="N747" t="s">
        <v>56</v>
      </c>
      <c r="O747" t="s">
        <v>604</v>
      </c>
      <c r="P747" t="s">
        <v>45</v>
      </c>
      <c r="Q747" t="s">
        <v>69</v>
      </c>
    </row>
    <row r="748" spans="1:17" x14ac:dyDescent="0.3">
      <c r="A748" t="s">
        <v>3853</v>
      </c>
      <c r="B748" t="s">
        <v>3854</v>
      </c>
      <c r="C748">
        <v>59</v>
      </c>
      <c r="D748" t="s">
        <v>3855</v>
      </c>
      <c r="E748" t="s">
        <v>25</v>
      </c>
      <c r="F748" t="s">
        <v>3856</v>
      </c>
      <c r="G748" s="86">
        <v>44753</v>
      </c>
      <c r="H748">
        <v>1</v>
      </c>
      <c r="I748" t="s">
        <v>27</v>
      </c>
      <c r="J748" s="86">
        <v>44537</v>
      </c>
      <c r="K748">
        <v>187.35</v>
      </c>
      <c r="L748">
        <v>2</v>
      </c>
      <c r="M748">
        <v>23</v>
      </c>
      <c r="N748" t="s">
        <v>68</v>
      </c>
      <c r="O748" t="s">
        <v>536</v>
      </c>
      <c r="P748" t="s">
        <v>68</v>
      </c>
      <c r="Q748" t="s">
        <v>32</v>
      </c>
    </row>
    <row r="749" spans="1:17" x14ac:dyDescent="0.3">
      <c r="A749" t="s">
        <v>3858</v>
      </c>
      <c r="B749" t="s">
        <v>3859</v>
      </c>
      <c r="C749">
        <v>45</v>
      </c>
      <c r="D749" t="s">
        <v>3860</v>
      </c>
      <c r="E749" t="s">
        <v>95</v>
      </c>
      <c r="F749" t="s">
        <v>3861</v>
      </c>
      <c r="G749" s="86">
        <v>45514</v>
      </c>
      <c r="H749">
        <v>0</v>
      </c>
      <c r="I749" t="s">
        <v>27</v>
      </c>
      <c r="J749" t="s">
        <v>994</v>
      </c>
      <c r="K749">
        <v>421.14</v>
      </c>
      <c r="L749">
        <v>2</v>
      </c>
      <c r="M749">
        <v>23</v>
      </c>
      <c r="N749" t="s">
        <v>56</v>
      </c>
      <c r="O749" t="s">
        <v>821</v>
      </c>
      <c r="P749" t="s">
        <v>68</v>
      </c>
      <c r="Q749" t="s">
        <v>32</v>
      </c>
    </row>
    <row r="750" spans="1:17" x14ac:dyDescent="0.3">
      <c r="A750" t="s">
        <v>3863</v>
      </c>
      <c r="B750" t="s">
        <v>3864</v>
      </c>
      <c r="C750">
        <v>37</v>
      </c>
      <c r="D750" t="s">
        <v>3865</v>
      </c>
      <c r="E750" t="s">
        <v>61</v>
      </c>
      <c r="F750" s="86">
        <v>44838</v>
      </c>
      <c r="G750" t="s">
        <v>313</v>
      </c>
      <c r="H750">
        <v>2</v>
      </c>
      <c r="I750" t="s">
        <v>27</v>
      </c>
      <c r="J750" t="s">
        <v>1861</v>
      </c>
      <c r="K750">
        <v>107.87</v>
      </c>
      <c r="L750">
        <v>9</v>
      </c>
      <c r="M750">
        <v>31</v>
      </c>
      <c r="N750" t="s">
        <v>45</v>
      </c>
      <c r="O750" t="s">
        <v>855</v>
      </c>
      <c r="P750" t="s">
        <v>45</v>
      </c>
      <c r="Q750" t="s">
        <v>32</v>
      </c>
    </row>
    <row r="751" spans="1:17" x14ac:dyDescent="0.3">
      <c r="A751" t="s">
        <v>3867</v>
      </c>
      <c r="B751" t="s">
        <v>3868</v>
      </c>
      <c r="C751">
        <v>38</v>
      </c>
      <c r="D751" t="s">
        <v>3869</v>
      </c>
      <c r="E751" t="s">
        <v>61</v>
      </c>
      <c r="F751" s="86">
        <v>43902</v>
      </c>
      <c r="G751" s="86">
        <v>45236</v>
      </c>
      <c r="H751">
        <v>4</v>
      </c>
      <c r="I751" t="s">
        <v>27</v>
      </c>
      <c r="J751" t="s">
        <v>729</v>
      </c>
      <c r="K751">
        <v>185.96</v>
      </c>
      <c r="L751">
        <v>9</v>
      </c>
      <c r="M751">
        <v>6</v>
      </c>
      <c r="N751" t="s">
        <v>56</v>
      </c>
      <c r="O751" t="s">
        <v>597</v>
      </c>
      <c r="P751" t="s">
        <v>45</v>
      </c>
      <c r="Q751" t="s">
        <v>32</v>
      </c>
    </row>
    <row r="752" spans="1:17" x14ac:dyDescent="0.3">
      <c r="A752" t="s">
        <v>3871</v>
      </c>
      <c r="B752" t="s">
        <v>3872</v>
      </c>
      <c r="C752">
        <v>44</v>
      </c>
      <c r="D752" t="s">
        <v>3873</v>
      </c>
      <c r="E752" t="s">
        <v>40</v>
      </c>
      <c r="F752" s="86">
        <v>45175</v>
      </c>
      <c r="G752" s="86">
        <v>45872</v>
      </c>
      <c r="H752">
        <v>3</v>
      </c>
      <c r="I752" t="s">
        <v>52</v>
      </c>
      <c r="J752" t="s">
        <v>1075</v>
      </c>
      <c r="K752">
        <v>180.94</v>
      </c>
      <c r="L752">
        <v>7</v>
      </c>
      <c r="M752">
        <v>34</v>
      </c>
      <c r="N752" t="s">
        <v>68</v>
      </c>
      <c r="O752" t="s">
        <v>251</v>
      </c>
      <c r="P752" t="s">
        <v>30</v>
      </c>
      <c r="Q752" t="s">
        <v>32</v>
      </c>
    </row>
    <row r="753" spans="1:17" x14ac:dyDescent="0.3">
      <c r="A753" t="s">
        <v>3875</v>
      </c>
      <c r="B753" t="s">
        <v>3876</v>
      </c>
      <c r="C753">
        <v>26</v>
      </c>
      <c r="D753" t="s">
        <v>3877</v>
      </c>
      <c r="E753" t="s">
        <v>95</v>
      </c>
      <c r="F753" s="86">
        <v>44870</v>
      </c>
      <c r="G753" t="s">
        <v>1924</v>
      </c>
      <c r="H753">
        <v>2</v>
      </c>
      <c r="I753" t="s">
        <v>64</v>
      </c>
      <c r="J753" s="86">
        <v>44875</v>
      </c>
      <c r="K753">
        <v>138.80000000000001</v>
      </c>
      <c r="L753">
        <v>3</v>
      </c>
      <c r="M753">
        <v>1</v>
      </c>
      <c r="N753" t="s">
        <v>30</v>
      </c>
      <c r="O753" t="s">
        <v>624</v>
      </c>
      <c r="P753" t="s">
        <v>30</v>
      </c>
      <c r="Q753" t="s">
        <v>32</v>
      </c>
    </row>
    <row r="754" spans="1:17" x14ac:dyDescent="0.3">
      <c r="A754" t="s">
        <v>3879</v>
      </c>
      <c r="B754" t="s">
        <v>3880</v>
      </c>
      <c r="C754">
        <v>38</v>
      </c>
      <c r="D754" t="s">
        <v>3881</v>
      </c>
      <c r="E754" t="s">
        <v>51</v>
      </c>
      <c r="F754" t="s">
        <v>220</v>
      </c>
      <c r="G754" t="s">
        <v>2499</v>
      </c>
      <c r="H754">
        <v>2</v>
      </c>
      <c r="I754" t="s">
        <v>52</v>
      </c>
      <c r="J754" s="86">
        <v>45812</v>
      </c>
      <c r="K754">
        <v>856.16</v>
      </c>
      <c r="L754">
        <v>1</v>
      </c>
      <c r="M754">
        <v>26</v>
      </c>
      <c r="N754" t="s">
        <v>30</v>
      </c>
      <c r="O754" t="s">
        <v>77</v>
      </c>
      <c r="P754" t="s">
        <v>54</v>
      </c>
      <c r="Q754" t="s">
        <v>69</v>
      </c>
    </row>
    <row r="755" spans="1:17" x14ac:dyDescent="0.3">
      <c r="A755" t="s">
        <v>3883</v>
      </c>
      <c r="B755" t="s">
        <v>3884</v>
      </c>
      <c r="C755">
        <v>24</v>
      </c>
      <c r="D755" t="s">
        <v>3885</v>
      </c>
      <c r="E755" t="s">
        <v>40</v>
      </c>
      <c r="F755" t="s">
        <v>2849</v>
      </c>
      <c r="G755" s="86">
        <v>45871</v>
      </c>
      <c r="H755">
        <v>5</v>
      </c>
      <c r="I755" t="s">
        <v>27</v>
      </c>
      <c r="J755" s="86">
        <v>45541</v>
      </c>
      <c r="K755">
        <v>206.67</v>
      </c>
      <c r="L755">
        <v>9</v>
      </c>
      <c r="M755">
        <v>8</v>
      </c>
      <c r="N755" t="s">
        <v>68</v>
      </c>
      <c r="O755" t="s">
        <v>157</v>
      </c>
      <c r="P755" t="s">
        <v>68</v>
      </c>
      <c r="Q755" t="s">
        <v>69</v>
      </c>
    </row>
    <row r="756" spans="1:17" x14ac:dyDescent="0.3">
      <c r="A756" t="s">
        <v>3887</v>
      </c>
      <c r="B756" t="s">
        <v>3888</v>
      </c>
      <c r="C756">
        <v>33</v>
      </c>
      <c r="D756" t="s">
        <v>3889</v>
      </c>
      <c r="E756" t="s">
        <v>61</v>
      </c>
      <c r="F756" t="s">
        <v>894</v>
      </c>
      <c r="G756" t="s">
        <v>3890</v>
      </c>
      <c r="H756">
        <v>2</v>
      </c>
      <c r="I756" t="s">
        <v>27</v>
      </c>
      <c r="J756" s="86">
        <v>44784</v>
      </c>
      <c r="K756">
        <v>175.1</v>
      </c>
      <c r="L756">
        <v>3</v>
      </c>
      <c r="M756">
        <v>19</v>
      </c>
      <c r="N756" t="s">
        <v>68</v>
      </c>
      <c r="O756" t="s">
        <v>91</v>
      </c>
      <c r="P756" t="s">
        <v>54</v>
      </c>
      <c r="Q756" t="s">
        <v>69</v>
      </c>
    </row>
    <row r="757" spans="1:17" x14ac:dyDescent="0.3">
      <c r="A757" t="s">
        <v>3892</v>
      </c>
      <c r="B757" t="s">
        <v>3893</v>
      </c>
      <c r="C757">
        <v>58</v>
      </c>
      <c r="D757" t="s">
        <v>3894</v>
      </c>
      <c r="E757" t="s">
        <v>25</v>
      </c>
      <c r="F757" t="s">
        <v>2757</v>
      </c>
      <c r="G757" t="s">
        <v>1924</v>
      </c>
      <c r="H757">
        <v>5</v>
      </c>
      <c r="I757" t="s">
        <v>27</v>
      </c>
      <c r="J757" s="86">
        <v>45632</v>
      </c>
      <c r="K757">
        <v>174.92</v>
      </c>
      <c r="L757">
        <v>5</v>
      </c>
      <c r="M757">
        <v>15</v>
      </c>
      <c r="N757" t="s">
        <v>68</v>
      </c>
      <c r="O757" t="s">
        <v>610</v>
      </c>
      <c r="P757" t="s">
        <v>68</v>
      </c>
      <c r="Q757" t="s">
        <v>32</v>
      </c>
    </row>
    <row r="758" spans="1:17" x14ac:dyDescent="0.3">
      <c r="A758" t="s">
        <v>3896</v>
      </c>
      <c r="B758" t="s">
        <v>3897</v>
      </c>
      <c r="C758">
        <v>64</v>
      </c>
      <c r="D758" t="s">
        <v>3898</v>
      </c>
      <c r="E758" t="s">
        <v>40</v>
      </c>
      <c r="F758" s="86">
        <v>44320</v>
      </c>
      <c r="G758" t="s">
        <v>3899</v>
      </c>
      <c r="H758">
        <v>0</v>
      </c>
      <c r="I758" t="s">
        <v>52</v>
      </c>
      <c r="J758" t="s">
        <v>653</v>
      </c>
      <c r="K758">
        <v>406.39</v>
      </c>
      <c r="L758">
        <v>3</v>
      </c>
      <c r="M758">
        <v>46</v>
      </c>
      <c r="N758" t="s">
        <v>68</v>
      </c>
      <c r="O758" t="s">
        <v>199</v>
      </c>
      <c r="P758" t="s">
        <v>54</v>
      </c>
      <c r="Q758" t="s">
        <v>322</v>
      </c>
    </row>
    <row r="759" spans="1:17" x14ac:dyDescent="0.3">
      <c r="A759" t="s">
        <v>3901</v>
      </c>
      <c r="B759" t="s">
        <v>3902</v>
      </c>
      <c r="C759">
        <v>53</v>
      </c>
      <c r="D759" t="s">
        <v>3903</v>
      </c>
      <c r="E759" t="s">
        <v>88</v>
      </c>
      <c r="F759" t="s">
        <v>1047</v>
      </c>
      <c r="G759" t="s">
        <v>724</v>
      </c>
      <c r="H759">
        <v>3</v>
      </c>
      <c r="I759" t="s">
        <v>27</v>
      </c>
      <c r="J759" s="86">
        <v>45233</v>
      </c>
      <c r="K759">
        <v>190.94</v>
      </c>
      <c r="L759">
        <v>9</v>
      </c>
      <c r="M759">
        <v>43</v>
      </c>
      <c r="N759" t="s">
        <v>30</v>
      </c>
      <c r="O759" t="s">
        <v>245</v>
      </c>
      <c r="P759" t="s">
        <v>54</v>
      </c>
      <c r="Q759" t="s">
        <v>69</v>
      </c>
    </row>
    <row r="760" spans="1:17" x14ac:dyDescent="0.3">
      <c r="A760" t="s">
        <v>3905</v>
      </c>
      <c r="B760" t="s">
        <v>3906</v>
      </c>
      <c r="C760">
        <v>35</v>
      </c>
      <c r="D760" t="s">
        <v>3907</v>
      </c>
      <c r="E760" t="s">
        <v>95</v>
      </c>
      <c r="F760" s="86">
        <v>44115</v>
      </c>
      <c r="G760" s="86">
        <v>44287</v>
      </c>
      <c r="H760">
        <v>3</v>
      </c>
      <c r="I760" t="s">
        <v>27</v>
      </c>
      <c r="J760" s="86">
        <v>45813</v>
      </c>
      <c r="K760">
        <v>453.96</v>
      </c>
      <c r="L760">
        <v>4</v>
      </c>
      <c r="M760">
        <v>17</v>
      </c>
      <c r="N760" t="s">
        <v>56</v>
      </c>
      <c r="O760" t="s">
        <v>199</v>
      </c>
      <c r="P760" t="s">
        <v>54</v>
      </c>
      <c r="Q760" t="s">
        <v>69</v>
      </c>
    </row>
    <row r="761" spans="1:17" x14ac:dyDescent="0.3">
      <c r="A761" t="s">
        <v>3909</v>
      </c>
      <c r="B761" t="s">
        <v>3910</v>
      </c>
      <c r="C761">
        <v>45</v>
      </c>
      <c r="D761" t="s">
        <v>3911</v>
      </c>
      <c r="E761" t="s">
        <v>61</v>
      </c>
      <c r="F761" t="s">
        <v>3912</v>
      </c>
      <c r="G761" t="s">
        <v>1917</v>
      </c>
      <c r="H761">
        <v>3</v>
      </c>
      <c r="I761" t="s">
        <v>27</v>
      </c>
      <c r="J761" t="s">
        <v>1971</v>
      </c>
      <c r="K761">
        <v>186.85</v>
      </c>
      <c r="L761">
        <v>4</v>
      </c>
      <c r="M761">
        <v>8</v>
      </c>
      <c r="N761" t="s">
        <v>68</v>
      </c>
      <c r="O761" t="s">
        <v>31</v>
      </c>
      <c r="P761" t="s">
        <v>30</v>
      </c>
      <c r="Q761" t="s">
        <v>32</v>
      </c>
    </row>
    <row r="762" spans="1:17" x14ac:dyDescent="0.3">
      <c r="A762" t="s">
        <v>3914</v>
      </c>
      <c r="B762" t="s">
        <v>3915</v>
      </c>
      <c r="C762">
        <v>41</v>
      </c>
      <c r="D762" t="s">
        <v>3916</v>
      </c>
      <c r="E762" t="s">
        <v>88</v>
      </c>
      <c r="F762" s="86">
        <v>44537</v>
      </c>
      <c r="G762" t="s">
        <v>1459</v>
      </c>
      <c r="H762">
        <v>3</v>
      </c>
      <c r="I762" t="s">
        <v>64</v>
      </c>
      <c r="J762" t="s">
        <v>2402</v>
      </c>
      <c r="K762">
        <v>136.28</v>
      </c>
      <c r="L762">
        <v>9</v>
      </c>
      <c r="M762">
        <v>24</v>
      </c>
      <c r="N762" t="s">
        <v>30</v>
      </c>
      <c r="O762" t="s">
        <v>157</v>
      </c>
      <c r="P762" t="s">
        <v>68</v>
      </c>
      <c r="Q762" t="s">
        <v>69</v>
      </c>
    </row>
    <row r="763" spans="1:17" x14ac:dyDescent="0.3">
      <c r="A763" t="s">
        <v>3918</v>
      </c>
      <c r="B763" t="s">
        <v>3919</v>
      </c>
      <c r="C763">
        <v>46</v>
      </c>
      <c r="D763" t="s">
        <v>3920</v>
      </c>
      <c r="E763" t="s">
        <v>40</v>
      </c>
      <c r="F763" t="s">
        <v>3921</v>
      </c>
      <c r="G763" s="86">
        <v>45210</v>
      </c>
      <c r="H763">
        <v>2</v>
      </c>
      <c r="I763" t="s">
        <v>52</v>
      </c>
      <c r="J763" t="s">
        <v>3461</v>
      </c>
      <c r="K763">
        <v>187.92</v>
      </c>
      <c r="L763">
        <v>5</v>
      </c>
      <c r="M763">
        <v>30</v>
      </c>
      <c r="N763" t="s">
        <v>30</v>
      </c>
      <c r="O763" t="s">
        <v>199</v>
      </c>
      <c r="P763" t="s">
        <v>54</v>
      </c>
      <c r="Q763" t="s">
        <v>32</v>
      </c>
    </row>
    <row r="764" spans="1:17" x14ac:dyDescent="0.3">
      <c r="A764" t="s">
        <v>3923</v>
      </c>
      <c r="B764" t="s">
        <v>3924</v>
      </c>
      <c r="C764">
        <v>33</v>
      </c>
      <c r="D764" t="s">
        <v>3925</v>
      </c>
      <c r="E764" t="s">
        <v>51</v>
      </c>
      <c r="F764" t="s">
        <v>1226</v>
      </c>
      <c r="G764" s="86">
        <v>44937</v>
      </c>
      <c r="H764">
        <v>5</v>
      </c>
      <c r="I764" t="s">
        <v>27</v>
      </c>
      <c r="J764" s="86">
        <v>44989</v>
      </c>
      <c r="K764">
        <v>1779.7</v>
      </c>
      <c r="L764">
        <v>1</v>
      </c>
      <c r="M764">
        <v>12</v>
      </c>
      <c r="N764" t="s">
        <v>30</v>
      </c>
      <c r="O764" t="s">
        <v>157</v>
      </c>
      <c r="P764" t="s">
        <v>68</v>
      </c>
      <c r="Q764" t="s">
        <v>69</v>
      </c>
    </row>
    <row r="765" spans="1:17" x14ac:dyDescent="0.3">
      <c r="A765" t="s">
        <v>3927</v>
      </c>
      <c r="B765" t="s">
        <v>3928</v>
      </c>
      <c r="C765">
        <v>38</v>
      </c>
      <c r="D765" t="s">
        <v>3929</v>
      </c>
      <c r="E765" t="s">
        <v>95</v>
      </c>
      <c r="F765" t="s">
        <v>2603</v>
      </c>
      <c r="G765" s="86">
        <v>45203</v>
      </c>
      <c r="H765">
        <v>2</v>
      </c>
      <c r="I765" t="s">
        <v>27</v>
      </c>
      <c r="J765" t="s">
        <v>3930</v>
      </c>
      <c r="K765">
        <v>107.63</v>
      </c>
      <c r="L765">
        <v>5</v>
      </c>
      <c r="M765">
        <v>5</v>
      </c>
      <c r="N765" t="s">
        <v>30</v>
      </c>
      <c r="O765" t="s">
        <v>31</v>
      </c>
      <c r="P765" t="s">
        <v>30</v>
      </c>
      <c r="Q765" t="s">
        <v>32</v>
      </c>
    </row>
    <row r="766" spans="1:17" x14ac:dyDescent="0.3">
      <c r="A766" t="s">
        <v>3932</v>
      </c>
      <c r="B766" t="s">
        <v>3933</v>
      </c>
      <c r="C766">
        <v>29</v>
      </c>
      <c r="D766" t="s">
        <v>3934</v>
      </c>
      <c r="E766" t="s">
        <v>61</v>
      </c>
      <c r="F766" s="86">
        <v>45203</v>
      </c>
      <c r="G766" t="s">
        <v>3935</v>
      </c>
      <c r="H766">
        <v>0</v>
      </c>
      <c r="I766" t="s">
        <v>52</v>
      </c>
      <c r="J766" t="s">
        <v>929</v>
      </c>
      <c r="K766">
        <v>312.62</v>
      </c>
      <c r="L766">
        <v>2</v>
      </c>
      <c r="M766">
        <v>21</v>
      </c>
      <c r="N766" t="s">
        <v>45</v>
      </c>
      <c r="O766" t="s">
        <v>135</v>
      </c>
      <c r="P766" t="s">
        <v>45</v>
      </c>
      <c r="Q766" t="s">
        <v>32</v>
      </c>
    </row>
    <row r="767" spans="1:17" x14ac:dyDescent="0.3">
      <c r="A767" t="s">
        <v>3937</v>
      </c>
      <c r="B767" t="s">
        <v>3938</v>
      </c>
      <c r="C767">
        <v>38</v>
      </c>
      <c r="D767" t="s">
        <v>3939</v>
      </c>
      <c r="E767" t="s">
        <v>95</v>
      </c>
      <c r="F767" s="86">
        <v>43961</v>
      </c>
      <c r="G767" s="86">
        <v>45394</v>
      </c>
      <c r="H767">
        <v>4</v>
      </c>
      <c r="I767" t="s">
        <v>64</v>
      </c>
      <c r="J767" t="s">
        <v>639</v>
      </c>
      <c r="K767">
        <v>296.94</v>
      </c>
      <c r="L767">
        <v>5</v>
      </c>
      <c r="M767">
        <v>36</v>
      </c>
      <c r="N767" t="s">
        <v>68</v>
      </c>
      <c r="O767" t="s">
        <v>157</v>
      </c>
      <c r="P767" t="s">
        <v>68</v>
      </c>
      <c r="Q767" t="s">
        <v>32</v>
      </c>
    </row>
    <row r="768" spans="1:17" x14ac:dyDescent="0.3">
      <c r="A768" t="s">
        <v>3941</v>
      </c>
      <c r="B768" t="s">
        <v>3942</v>
      </c>
      <c r="C768">
        <v>38</v>
      </c>
      <c r="D768" t="s">
        <v>3943</v>
      </c>
      <c r="E768" t="s">
        <v>95</v>
      </c>
      <c r="F768" s="86">
        <v>45019</v>
      </c>
      <c r="G768" t="s">
        <v>1852</v>
      </c>
      <c r="H768">
        <v>4</v>
      </c>
      <c r="I768" t="s">
        <v>52</v>
      </c>
      <c r="J768" s="86">
        <v>45577</v>
      </c>
      <c r="K768">
        <v>604.99</v>
      </c>
      <c r="L768">
        <v>3</v>
      </c>
      <c r="M768">
        <v>5</v>
      </c>
      <c r="N768" t="s">
        <v>56</v>
      </c>
      <c r="O768" t="s">
        <v>293</v>
      </c>
      <c r="P768" t="s">
        <v>45</v>
      </c>
      <c r="Q768" t="s">
        <v>69</v>
      </c>
    </row>
    <row r="769" spans="1:17" x14ac:dyDescent="0.3">
      <c r="A769" t="s">
        <v>3945</v>
      </c>
      <c r="B769" t="s">
        <v>3946</v>
      </c>
      <c r="C769">
        <v>67</v>
      </c>
      <c r="D769" t="s">
        <v>3947</v>
      </c>
      <c r="E769" t="s">
        <v>95</v>
      </c>
      <c r="F769" t="s">
        <v>3948</v>
      </c>
      <c r="G769" s="86">
        <v>45933</v>
      </c>
      <c r="H769">
        <v>2</v>
      </c>
      <c r="I769" t="s">
        <v>27</v>
      </c>
      <c r="J769" s="86">
        <v>45387</v>
      </c>
      <c r="K769">
        <v>267.93</v>
      </c>
      <c r="L769">
        <v>5</v>
      </c>
      <c r="M769">
        <v>19</v>
      </c>
      <c r="N769" t="s">
        <v>68</v>
      </c>
      <c r="O769" t="s">
        <v>855</v>
      </c>
      <c r="P769" t="s">
        <v>45</v>
      </c>
      <c r="Q769" t="s">
        <v>32</v>
      </c>
    </row>
    <row r="770" spans="1:17" x14ac:dyDescent="0.3">
      <c r="A770" t="s">
        <v>3950</v>
      </c>
      <c r="B770" t="s">
        <v>3951</v>
      </c>
      <c r="C770">
        <v>38</v>
      </c>
      <c r="D770" t="s">
        <v>3952</v>
      </c>
      <c r="E770" t="s">
        <v>61</v>
      </c>
      <c r="F770" s="86">
        <v>45143</v>
      </c>
      <c r="G770" t="s">
        <v>503</v>
      </c>
      <c r="H770">
        <v>0</v>
      </c>
      <c r="I770" t="s">
        <v>52</v>
      </c>
      <c r="J770" t="s">
        <v>3953</v>
      </c>
      <c r="K770">
        <v>452.36</v>
      </c>
      <c r="L770">
        <v>4</v>
      </c>
      <c r="M770">
        <v>48</v>
      </c>
      <c r="N770" t="s">
        <v>30</v>
      </c>
      <c r="O770" t="s">
        <v>837</v>
      </c>
      <c r="P770" t="s">
        <v>56</v>
      </c>
      <c r="Q770" t="s">
        <v>69</v>
      </c>
    </row>
    <row r="771" spans="1:17" x14ac:dyDescent="0.3">
      <c r="A771" t="s">
        <v>3955</v>
      </c>
      <c r="B771" t="s">
        <v>3956</v>
      </c>
      <c r="C771">
        <v>46</v>
      </c>
      <c r="D771" t="s">
        <v>3957</v>
      </c>
      <c r="E771" t="s">
        <v>25</v>
      </c>
      <c r="F771" s="86">
        <v>44328</v>
      </c>
      <c r="G771" t="s">
        <v>3958</v>
      </c>
      <c r="H771">
        <v>1</v>
      </c>
      <c r="I771" t="s">
        <v>27</v>
      </c>
      <c r="J771" s="86">
        <v>44875</v>
      </c>
      <c r="K771">
        <v>890.55</v>
      </c>
      <c r="L771">
        <v>2</v>
      </c>
      <c r="M771">
        <v>24</v>
      </c>
      <c r="N771" t="s">
        <v>56</v>
      </c>
      <c r="O771" t="s">
        <v>175</v>
      </c>
      <c r="P771" t="s">
        <v>56</v>
      </c>
      <c r="Q771" t="s">
        <v>69</v>
      </c>
    </row>
    <row r="772" spans="1:17" x14ac:dyDescent="0.3">
      <c r="A772" t="s">
        <v>3960</v>
      </c>
      <c r="B772" t="s">
        <v>3961</v>
      </c>
      <c r="C772">
        <v>27</v>
      </c>
      <c r="D772" t="s">
        <v>3962</v>
      </c>
      <c r="E772" t="s">
        <v>40</v>
      </c>
      <c r="F772" t="s">
        <v>934</v>
      </c>
      <c r="G772" s="86">
        <v>45907</v>
      </c>
      <c r="H772">
        <v>4</v>
      </c>
      <c r="I772" t="s">
        <v>27</v>
      </c>
      <c r="J772" s="86">
        <v>45174</v>
      </c>
      <c r="K772">
        <v>345.88</v>
      </c>
      <c r="L772">
        <v>2</v>
      </c>
      <c r="M772">
        <v>41</v>
      </c>
      <c r="N772" t="s">
        <v>45</v>
      </c>
      <c r="O772" t="s">
        <v>99</v>
      </c>
      <c r="P772" t="s">
        <v>56</v>
      </c>
      <c r="Q772" t="s">
        <v>32</v>
      </c>
    </row>
    <row r="773" spans="1:17" x14ac:dyDescent="0.3">
      <c r="A773" t="s">
        <v>3964</v>
      </c>
      <c r="B773" t="s">
        <v>3965</v>
      </c>
      <c r="C773">
        <v>23</v>
      </c>
      <c r="D773" t="s">
        <v>3966</v>
      </c>
      <c r="E773" t="s">
        <v>88</v>
      </c>
      <c r="F773" t="s">
        <v>3967</v>
      </c>
      <c r="G773" s="86">
        <v>45026</v>
      </c>
      <c r="H773">
        <v>0</v>
      </c>
      <c r="I773" t="s">
        <v>27</v>
      </c>
      <c r="J773" t="s">
        <v>2810</v>
      </c>
      <c r="K773">
        <v>104.9</v>
      </c>
      <c r="L773">
        <v>9</v>
      </c>
      <c r="M773">
        <v>26</v>
      </c>
      <c r="N773" t="s">
        <v>30</v>
      </c>
      <c r="O773" t="s">
        <v>610</v>
      </c>
      <c r="P773" t="s">
        <v>68</v>
      </c>
      <c r="Q773" t="s">
        <v>69</v>
      </c>
    </row>
    <row r="774" spans="1:17" x14ac:dyDescent="0.3">
      <c r="A774" t="s">
        <v>3969</v>
      </c>
      <c r="B774" t="s">
        <v>3970</v>
      </c>
      <c r="C774">
        <v>67</v>
      </c>
      <c r="D774" t="s">
        <v>3971</v>
      </c>
      <c r="E774" t="s">
        <v>40</v>
      </c>
      <c r="F774" t="s">
        <v>220</v>
      </c>
      <c r="G774" t="s">
        <v>946</v>
      </c>
      <c r="H774">
        <v>1</v>
      </c>
      <c r="I774" t="s">
        <v>27</v>
      </c>
      <c r="J774" t="s">
        <v>3972</v>
      </c>
      <c r="K774">
        <v>469.38</v>
      </c>
      <c r="L774">
        <v>4</v>
      </c>
      <c r="M774">
        <v>19</v>
      </c>
      <c r="N774" t="s">
        <v>45</v>
      </c>
      <c r="O774" t="s">
        <v>231</v>
      </c>
      <c r="P774" t="s">
        <v>30</v>
      </c>
      <c r="Q774" t="s">
        <v>69</v>
      </c>
    </row>
    <row r="775" spans="1:17" x14ac:dyDescent="0.3">
      <c r="A775" t="s">
        <v>3974</v>
      </c>
      <c r="B775" t="s">
        <v>3975</v>
      </c>
      <c r="C775">
        <v>30</v>
      </c>
      <c r="D775" t="s">
        <v>3976</v>
      </c>
      <c r="E775" t="s">
        <v>95</v>
      </c>
      <c r="F775" t="s">
        <v>3977</v>
      </c>
      <c r="G775" t="s">
        <v>912</v>
      </c>
      <c r="H775">
        <v>2</v>
      </c>
      <c r="I775" t="s">
        <v>27</v>
      </c>
      <c r="J775" t="s">
        <v>2858</v>
      </c>
      <c r="K775">
        <v>1603.98</v>
      </c>
      <c r="L775">
        <v>1</v>
      </c>
      <c r="M775">
        <v>11</v>
      </c>
      <c r="N775" t="s">
        <v>68</v>
      </c>
      <c r="O775" t="s">
        <v>425</v>
      </c>
      <c r="P775" t="s">
        <v>30</v>
      </c>
      <c r="Q775" t="s">
        <v>32</v>
      </c>
    </row>
    <row r="776" spans="1:17" x14ac:dyDescent="0.3">
      <c r="A776" t="s">
        <v>3979</v>
      </c>
      <c r="B776" t="s">
        <v>3980</v>
      </c>
      <c r="C776">
        <v>50</v>
      </c>
      <c r="D776" t="s">
        <v>3981</v>
      </c>
      <c r="E776" t="s">
        <v>40</v>
      </c>
      <c r="F776" t="s">
        <v>2538</v>
      </c>
      <c r="G776" s="86">
        <v>44414</v>
      </c>
      <c r="H776">
        <v>4</v>
      </c>
      <c r="I776" t="s">
        <v>27</v>
      </c>
      <c r="J776" s="86">
        <v>44968</v>
      </c>
      <c r="K776">
        <v>94.71</v>
      </c>
      <c r="L776">
        <v>9</v>
      </c>
      <c r="M776">
        <v>35</v>
      </c>
      <c r="N776" t="s">
        <v>30</v>
      </c>
      <c r="O776" t="s">
        <v>597</v>
      </c>
      <c r="P776" t="s">
        <v>45</v>
      </c>
      <c r="Q776" t="s">
        <v>322</v>
      </c>
    </row>
    <row r="777" spans="1:17" x14ac:dyDescent="0.3">
      <c r="A777" t="s">
        <v>3983</v>
      </c>
      <c r="B777" t="s">
        <v>3984</v>
      </c>
      <c r="C777">
        <v>47</v>
      </c>
      <c r="D777" t="s">
        <v>3985</v>
      </c>
      <c r="E777" t="s">
        <v>61</v>
      </c>
      <c r="F777" t="s">
        <v>3407</v>
      </c>
      <c r="G777" t="s">
        <v>2479</v>
      </c>
      <c r="H777">
        <v>2</v>
      </c>
      <c r="I777" t="s">
        <v>27</v>
      </c>
      <c r="J777" s="86">
        <v>45209</v>
      </c>
      <c r="K777">
        <v>356.64</v>
      </c>
      <c r="L777">
        <v>3</v>
      </c>
      <c r="M777">
        <v>10</v>
      </c>
      <c r="N777" t="s">
        <v>54</v>
      </c>
      <c r="O777" t="s">
        <v>238</v>
      </c>
      <c r="P777" t="s">
        <v>45</v>
      </c>
      <c r="Q777" t="s">
        <v>69</v>
      </c>
    </row>
    <row r="778" spans="1:17" x14ac:dyDescent="0.3">
      <c r="A778" t="s">
        <v>3987</v>
      </c>
      <c r="B778" t="s">
        <v>3988</v>
      </c>
      <c r="C778">
        <v>46</v>
      </c>
      <c r="D778" t="s">
        <v>3989</v>
      </c>
      <c r="E778" t="s">
        <v>51</v>
      </c>
      <c r="F778" s="86">
        <v>44749</v>
      </c>
      <c r="G778" s="86">
        <v>45566</v>
      </c>
      <c r="H778">
        <v>2</v>
      </c>
      <c r="I778" t="s">
        <v>52</v>
      </c>
      <c r="J778" t="s">
        <v>1572</v>
      </c>
      <c r="K778">
        <v>1866.7</v>
      </c>
      <c r="L778">
        <v>1</v>
      </c>
      <c r="M778">
        <v>22</v>
      </c>
      <c r="N778" t="s">
        <v>68</v>
      </c>
      <c r="O778" t="s">
        <v>142</v>
      </c>
      <c r="P778" t="s">
        <v>68</v>
      </c>
      <c r="Q778" t="s">
        <v>32</v>
      </c>
    </row>
    <row r="779" spans="1:17" x14ac:dyDescent="0.3">
      <c r="A779" t="s">
        <v>3991</v>
      </c>
      <c r="B779" t="s">
        <v>3992</v>
      </c>
      <c r="C779">
        <v>34</v>
      </c>
      <c r="D779" t="s">
        <v>3993</v>
      </c>
      <c r="E779" t="s">
        <v>40</v>
      </c>
      <c r="F779" t="s">
        <v>2790</v>
      </c>
      <c r="G779" t="s">
        <v>3994</v>
      </c>
      <c r="H779">
        <v>0</v>
      </c>
      <c r="I779" t="s">
        <v>27</v>
      </c>
      <c r="J779" t="s">
        <v>291</v>
      </c>
      <c r="K779">
        <v>163.69999999999999</v>
      </c>
      <c r="L779">
        <v>9</v>
      </c>
      <c r="M779">
        <v>14</v>
      </c>
      <c r="N779" t="s">
        <v>56</v>
      </c>
      <c r="O779" t="s">
        <v>610</v>
      </c>
      <c r="P779" t="s">
        <v>68</v>
      </c>
      <c r="Q779" t="s">
        <v>32</v>
      </c>
    </row>
    <row r="780" spans="1:17" x14ac:dyDescent="0.3">
      <c r="A780" t="s">
        <v>3996</v>
      </c>
      <c r="B780" t="s">
        <v>3997</v>
      </c>
      <c r="C780">
        <v>45</v>
      </c>
      <c r="D780" t="s">
        <v>3998</v>
      </c>
      <c r="E780" t="s">
        <v>51</v>
      </c>
      <c r="F780" s="86">
        <v>44146</v>
      </c>
      <c r="G780" t="s">
        <v>2098</v>
      </c>
      <c r="H780">
        <v>4</v>
      </c>
      <c r="I780" t="s">
        <v>52</v>
      </c>
      <c r="J780" t="s">
        <v>2848</v>
      </c>
      <c r="K780">
        <v>155.82</v>
      </c>
      <c r="L780">
        <v>4</v>
      </c>
      <c r="M780">
        <v>12</v>
      </c>
      <c r="N780" t="s">
        <v>30</v>
      </c>
      <c r="O780" t="s">
        <v>149</v>
      </c>
      <c r="P780" t="s">
        <v>30</v>
      </c>
      <c r="Q780" t="s">
        <v>32</v>
      </c>
    </row>
    <row r="781" spans="1:17" x14ac:dyDescent="0.3">
      <c r="A781" t="s">
        <v>4000</v>
      </c>
      <c r="B781" t="s">
        <v>4001</v>
      </c>
      <c r="C781">
        <v>48</v>
      </c>
      <c r="D781" t="s">
        <v>4002</v>
      </c>
      <c r="E781" t="s">
        <v>95</v>
      </c>
      <c r="F781" t="s">
        <v>1534</v>
      </c>
      <c r="G781" t="s">
        <v>1950</v>
      </c>
      <c r="H781">
        <v>0</v>
      </c>
      <c r="I781" t="s">
        <v>64</v>
      </c>
      <c r="J781" t="s">
        <v>2843</v>
      </c>
      <c r="K781">
        <v>106.1</v>
      </c>
      <c r="L781">
        <v>8</v>
      </c>
      <c r="M781">
        <v>4</v>
      </c>
      <c r="N781" t="s">
        <v>56</v>
      </c>
      <c r="O781" t="s">
        <v>44</v>
      </c>
      <c r="P781" t="s">
        <v>45</v>
      </c>
      <c r="Q781" t="s">
        <v>69</v>
      </c>
    </row>
    <row r="782" spans="1:17" x14ac:dyDescent="0.3">
      <c r="A782" t="s">
        <v>4004</v>
      </c>
      <c r="B782" t="s">
        <v>4005</v>
      </c>
      <c r="C782">
        <v>22</v>
      </c>
      <c r="D782" t="s">
        <v>4006</v>
      </c>
      <c r="E782" t="s">
        <v>61</v>
      </c>
      <c r="F782" t="s">
        <v>1955</v>
      </c>
      <c r="G782" s="86">
        <v>45234</v>
      </c>
      <c r="H782">
        <v>4</v>
      </c>
      <c r="I782" t="s">
        <v>27</v>
      </c>
      <c r="J782" t="s">
        <v>1169</v>
      </c>
      <c r="K782">
        <v>1612.53</v>
      </c>
      <c r="L782">
        <v>1</v>
      </c>
      <c r="M782">
        <v>17</v>
      </c>
      <c r="N782" t="s">
        <v>54</v>
      </c>
      <c r="O782" t="s">
        <v>67</v>
      </c>
      <c r="P782" t="s">
        <v>68</v>
      </c>
      <c r="Q782" t="s">
        <v>32</v>
      </c>
    </row>
    <row r="783" spans="1:17" x14ac:dyDescent="0.3">
      <c r="A783" t="s">
        <v>4008</v>
      </c>
      <c r="B783" t="s">
        <v>4009</v>
      </c>
      <c r="C783">
        <v>25</v>
      </c>
      <c r="D783" t="s">
        <v>4010</v>
      </c>
      <c r="E783" t="s">
        <v>40</v>
      </c>
      <c r="F783" s="86">
        <v>44867</v>
      </c>
      <c r="G783" t="s">
        <v>1189</v>
      </c>
      <c r="H783">
        <v>1</v>
      </c>
      <c r="I783" t="s">
        <v>27</v>
      </c>
      <c r="J783" s="86">
        <v>44632</v>
      </c>
      <c r="K783">
        <v>62.63</v>
      </c>
      <c r="L783">
        <v>9</v>
      </c>
      <c r="M783">
        <v>25</v>
      </c>
      <c r="N783" t="s">
        <v>54</v>
      </c>
      <c r="O783" t="s">
        <v>116</v>
      </c>
      <c r="P783" t="s">
        <v>54</v>
      </c>
      <c r="Q783" t="s">
        <v>32</v>
      </c>
    </row>
    <row r="784" spans="1:17" x14ac:dyDescent="0.3">
      <c r="A784" t="s">
        <v>4012</v>
      </c>
      <c r="B784" t="s">
        <v>4013</v>
      </c>
      <c r="C784">
        <v>57</v>
      </c>
      <c r="D784" t="s">
        <v>4014</v>
      </c>
      <c r="E784" t="s">
        <v>61</v>
      </c>
      <c r="F784" s="86">
        <v>45084</v>
      </c>
      <c r="G784" t="s">
        <v>2455</v>
      </c>
      <c r="H784">
        <v>2</v>
      </c>
      <c r="I784" t="s">
        <v>27</v>
      </c>
      <c r="J784" t="s">
        <v>4015</v>
      </c>
      <c r="K784">
        <v>119.67</v>
      </c>
      <c r="L784">
        <v>8</v>
      </c>
      <c r="M784">
        <v>27</v>
      </c>
      <c r="N784" t="s">
        <v>54</v>
      </c>
      <c r="O784" t="s">
        <v>245</v>
      </c>
      <c r="P784" t="s">
        <v>54</v>
      </c>
      <c r="Q784" t="s">
        <v>32</v>
      </c>
    </row>
    <row r="785" spans="1:17" x14ac:dyDescent="0.3">
      <c r="A785" t="s">
        <v>4017</v>
      </c>
      <c r="B785" t="s">
        <v>4018</v>
      </c>
      <c r="C785">
        <v>47</v>
      </c>
      <c r="D785" t="s">
        <v>4019</v>
      </c>
      <c r="E785" t="s">
        <v>51</v>
      </c>
      <c r="F785" t="s">
        <v>2408</v>
      </c>
      <c r="G785" s="86">
        <v>44934</v>
      </c>
      <c r="H785">
        <v>1</v>
      </c>
      <c r="I785" t="s">
        <v>27</v>
      </c>
      <c r="J785" t="s">
        <v>912</v>
      </c>
      <c r="K785">
        <v>521.39</v>
      </c>
      <c r="L785">
        <v>2</v>
      </c>
      <c r="M785">
        <v>45</v>
      </c>
      <c r="N785" t="s">
        <v>54</v>
      </c>
      <c r="O785" t="s">
        <v>122</v>
      </c>
      <c r="P785" t="s">
        <v>30</v>
      </c>
      <c r="Q785" t="s">
        <v>69</v>
      </c>
    </row>
    <row r="786" spans="1:17" x14ac:dyDescent="0.3">
      <c r="A786" t="s">
        <v>4021</v>
      </c>
      <c r="B786" t="s">
        <v>4022</v>
      </c>
      <c r="C786">
        <v>50</v>
      </c>
      <c r="D786" t="s">
        <v>4023</v>
      </c>
      <c r="E786" t="s">
        <v>95</v>
      </c>
      <c r="F786" s="86">
        <v>45172</v>
      </c>
      <c r="G786" s="86">
        <v>45333</v>
      </c>
      <c r="H786">
        <v>5</v>
      </c>
      <c r="I786" t="s">
        <v>64</v>
      </c>
      <c r="J786" s="86">
        <v>45263</v>
      </c>
      <c r="K786">
        <v>206.37</v>
      </c>
      <c r="L786">
        <v>9</v>
      </c>
      <c r="M786">
        <v>8</v>
      </c>
      <c r="N786" t="s">
        <v>56</v>
      </c>
      <c r="O786" t="s">
        <v>536</v>
      </c>
      <c r="P786" t="s">
        <v>68</v>
      </c>
      <c r="Q786" t="s">
        <v>32</v>
      </c>
    </row>
    <row r="787" spans="1:17" x14ac:dyDescent="0.3">
      <c r="A787" t="s">
        <v>4025</v>
      </c>
      <c r="B787" t="s">
        <v>4026</v>
      </c>
      <c r="C787">
        <v>43</v>
      </c>
      <c r="D787" t="s">
        <v>4027</v>
      </c>
      <c r="E787" t="s">
        <v>61</v>
      </c>
      <c r="F787" s="86">
        <v>45234</v>
      </c>
      <c r="G787" t="s">
        <v>1074</v>
      </c>
      <c r="H787">
        <v>1</v>
      </c>
      <c r="I787" t="s">
        <v>27</v>
      </c>
      <c r="J787" t="s">
        <v>4028</v>
      </c>
      <c r="K787">
        <v>415.32</v>
      </c>
      <c r="L787">
        <v>4</v>
      </c>
      <c r="M787">
        <v>17</v>
      </c>
      <c r="N787" t="s">
        <v>30</v>
      </c>
      <c r="O787" t="s">
        <v>109</v>
      </c>
      <c r="P787" t="s">
        <v>68</v>
      </c>
      <c r="Q787" t="s">
        <v>69</v>
      </c>
    </row>
    <row r="788" spans="1:17" x14ac:dyDescent="0.3">
      <c r="A788" t="s">
        <v>4030</v>
      </c>
      <c r="B788" t="s">
        <v>4031</v>
      </c>
      <c r="C788">
        <v>31</v>
      </c>
      <c r="D788" t="s">
        <v>4032</v>
      </c>
      <c r="E788" t="s">
        <v>88</v>
      </c>
      <c r="F788" t="s">
        <v>388</v>
      </c>
      <c r="G788" s="86">
        <v>45876</v>
      </c>
      <c r="H788">
        <v>5</v>
      </c>
      <c r="I788" t="s">
        <v>27</v>
      </c>
      <c r="J788" t="s">
        <v>4033</v>
      </c>
      <c r="K788">
        <v>591.74</v>
      </c>
      <c r="L788">
        <v>2</v>
      </c>
      <c r="M788">
        <v>27</v>
      </c>
      <c r="N788" t="s">
        <v>56</v>
      </c>
      <c r="O788" t="s">
        <v>128</v>
      </c>
      <c r="P788" t="s">
        <v>54</v>
      </c>
      <c r="Q788" t="s">
        <v>69</v>
      </c>
    </row>
    <row r="789" spans="1:17" x14ac:dyDescent="0.3">
      <c r="A789" t="s">
        <v>4035</v>
      </c>
      <c r="B789" t="s">
        <v>4036</v>
      </c>
      <c r="C789">
        <v>47</v>
      </c>
      <c r="D789" t="s">
        <v>4037</v>
      </c>
      <c r="E789" t="s">
        <v>25</v>
      </c>
      <c r="F789" t="s">
        <v>1873</v>
      </c>
      <c r="G789" t="s">
        <v>1536</v>
      </c>
      <c r="H789">
        <v>3</v>
      </c>
      <c r="I789" t="s">
        <v>52</v>
      </c>
      <c r="J789" s="86">
        <v>45994</v>
      </c>
      <c r="K789">
        <v>80.739999999999995</v>
      </c>
      <c r="L789">
        <v>8</v>
      </c>
      <c r="M789">
        <v>33</v>
      </c>
      <c r="N789" t="s">
        <v>45</v>
      </c>
      <c r="O789" t="s">
        <v>194</v>
      </c>
      <c r="P789" t="s">
        <v>56</v>
      </c>
      <c r="Q789" t="s">
        <v>32</v>
      </c>
    </row>
    <row r="790" spans="1:17" x14ac:dyDescent="0.3">
      <c r="A790" t="s">
        <v>4039</v>
      </c>
      <c r="B790" t="s">
        <v>4040</v>
      </c>
      <c r="C790">
        <v>24</v>
      </c>
      <c r="D790" t="s">
        <v>4041</v>
      </c>
      <c r="E790" t="s">
        <v>25</v>
      </c>
      <c r="F790" t="s">
        <v>4042</v>
      </c>
      <c r="G790" t="s">
        <v>4043</v>
      </c>
      <c r="H790">
        <v>2</v>
      </c>
      <c r="I790" t="s">
        <v>27</v>
      </c>
      <c r="J790" t="s">
        <v>209</v>
      </c>
      <c r="K790">
        <v>306.56</v>
      </c>
      <c r="L790">
        <v>6</v>
      </c>
      <c r="M790">
        <v>3</v>
      </c>
      <c r="N790" t="s">
        <v>30</v>
      </c>
      <c r="O790" t="s">
        <v>109</v>
      </c>
      <c r="P790" t="s">
        <v>68</v>
      </c>
      <c r="Q790" t="s">
        <v>32</v>
      </c>
    </row>
    <row r="791" spans="1:17" x14ac:dyDescent="0.3">
      <c r="A791" t="s">
        <v>4045</v>
      </c>
      <c r="B791" t="s">
        <v>4046</v>
      </c>
      <c r="C791">
        <v>21</v>
      </c>
      <c r="D791" t="s">
        <v>4047</v>
      </c>
      <c r="E791" t="s">
        <v>25</v>
      </c>
      <c r="F791" t="s">
        <v>457</v>
      </c>
      <c r="G791" s="86">
        <v>45811</v>
      </c>
      <c r="H791">
        <v>4</v>
      </c>
      <c r="I791" t="s">
        <v>52</v>
      </c>
      <c r="J791" t="s">
        <v>4048</v>
      </c>
      <c r="K791">
        <v>355.84</v>
      </c>
      <c r="L791">
        <v>5</v>
      </c>
      <c r="M791">
        <v>34</v>
      </c>
      <c r="N791" t="s">
        <v>68</v>
      </c>
      <c r="O791" t="s">
        <v>373</v>
      </c>
      <c r="P791" t="s">
        <v>54</v>
      </c>
      <c r="Q791" t="s">
        <v>32</v>
      </c>
    </row>
    <row r="792" spans="1:17" x14ac:dyDescent="0.3">
      <c r="A792" t="s">
        <v>4050</v>
      </c>
      <c r="B792" t="s">
        <v>4051</v>
      </c>
      <c r="C792">
        <v>61</v>
      </c>
      <c r="D792" t="s">
        <v>4052</v>
      </c>
      <c r="E792" t="s">
        <v>51</v>
      </c>
      <c r="F792" s="86">
        <v>44235</v>
      </c>
      <c r="G792" t="s">
        <v>1420</v>
      </c>
      <c r="H792">
        <v>4</v>
      </c>
      <c r="I792" t="s">
        <v>64</v>
      </c>
      <c r="J792" s="86">
        <v>45359</v>
      </c>
      <c r="K792">
        <v>1830.76</v>
      </c>
      <c r="L792">
        <v>1</v>
      </c>
      <c r="M792">
        <v>38</v>
      </c>
      <c r="N792" t="s">
        <v>56</v>
      </c>
      <c r="O792" t="s">
        <v>44</v>
      </c>
      <c r="P792" t="s">
        <v>45</v>
      </c>
      <c r="Q792" t="s">
        <v>32</v>
      </c>
    </row>
    <row r="793" spans="1:17" x14ac:dyDescent="0.3">
      <c r="A793" t="s">
        <v>4054</v>
      </c>
      <c r="B793" t="s">
        <v>4055</v>
      </c>
      <c r="C793">
        <v>30</v>
      </c>
      <c r="D793" t="s">
        <v>4056</v>
      </c>
      <c r="E793" t="s">
        <v>51</v>
      </c>
      <c r="F793" t="s">
        <v>4057</v>
      </c>
      <c r="G793" s="86">
        <v>45242</v>
      </c>
      <c r="H793">
        <v>2</v>
      </c>
      <c r="I793" t="s">
        <v>27</v>
      </c>
      <c r="J793" t="s">
        <v>2858</v>
      </c>
      <c r="K793">
        <v>160.18</v>
      </c>
      <c r="L793">
        <v>7</v>
      </c>
      <c r="M793">
        <v>5</v>
      </c>
      <c r="N793" t="s">
        <v>56</v>
      </c>
      <c r="O793" t="s">
        <v>67</v>
      </c>
      <c r="P793" t="s">
        <v>68</v>
      </c>
      <c r="Q793" t="s">
        <v>69</v>
      </c>
    </row>
    <row r="794" spans="1:17" x14ac:dyDescent="0.3">
      <c r="A794" t="s">
        <v>4059</v>
      </c>
      <c r="B794" t="s">
        <v>4060</v>
      </c>
      <c r="C794">
        <v>40</v>
      </c>
      <c r="D794" t="s">
        <v>4061</v>
      </c>
      <c r="E794" t="s">
        <v>61</v>
      </c>
      <c r="F794" t="s">
        <v>4062</v>
      </c>
      <c r="G794" t="s">
        <v>4063</v>
      </c>
      <c r="H794">
        <v>0</v>
      </c>
      <c r="I794" t="s">
        <v>27</v>
      </c>
      <c r="J794" s="86">
        <v>45149</v>
      </c>
      <c r="K794">
        <v>617.63</v>
      </c>
      <c r="L794">
        <v>3</v>
      </c>
      <c r="M794">
        <v>24</v>
      </c>
      <c r="N794" t="s">
        <v>68</v>
      </c>
      <c r="O794" t="s">
        <v>157</v>
      </c>
      <c r="P794" t="s">
        <v>68</v>
      </c>
      <c r="Q794" t="s">
        <v>32</v>
      </c>
    </row>
    <row r="795" spans="1:17" x14ac:dyDescent="0.3">
      <c r="A795" t="s">
        <v>4065</v>
      </c>
      <c r="B795" t="s">
        <v>4066</v>
      </c>
      <c r="C795">
        <v>50</v>
      </c>
      <c r="D795" t="s">
        <v>4067</v>
      </c>
      <c r="E795" t="s">
        <v>61</v>
      </c>
      <c r="F795" t="s">
        <v>429</v>
      </c>
      <c r="G795" t="s">
        <v>2250</v>
      </c>
      <c r="H795">
        <v>2</v>
      </c>
      <c r="I795" t="s">
        <v>52</v>
      </c>
      <c r="J795" t="s">
        <v>4068</v>
      </c>
      <c r="K795">
        <v>535.52</v>
      </c>
      <c r="L795">
        <v>3</v>
      </c>
      <c r="M795">
        <v>1</v>
      </c>
      <c r="N795" t="s">
        <v>54</v>
      </c>
      <c r="O795" t="s">
        <v>31</v>
      </c>
      <c r="P795" t="s">
        <v>30</v>
      </c>
      <c r="Q795" t="s">
        <v>32</v>
      </c>
    </row>
    <row r="796" spans="1:17" x14ac:dyDescent="0.3">
      <c r="A796" t="s">
        <v>4070</v>
      </c>
      <c r="B796" t="s">
        <v>4071</v>
      </c>
      <c r="C796">
        <v>67</v>
      </c>
      <c r="D796" t="s">
        <v>4072</v>
      </c>
      <c r="E796" t="s">
        <v>61</v>
      </c>
      <c r="F796" t="s">
        <v>4073</v>
      </c>
      <c r="G796" s="86">
        <v>45938</v>
      </c>
      <c r="H796">
        <v>2</v>
      </c>
      <c r="I796" t="s">
        <v>52</v>
      </c>
      <c r="J796" t="s">
        <v>4074</v>
      </c>
      <c r="K796">
        <v>182.19</v>
      </c>
      <c r="L796">
        <v>5</v>
      </c>
      <c r="M796">
        <v>19</v>
      </c>
      <c r="N796" t="s">
        <v>45</v>
      </c>
      <c r="O796" t="s">
        <v>175</v>
      </c>
      <c r="P796" t="s">
        <v>56</v>
      </c>
      <c r="Q796" t="s">
        <v>69</v>
      </c>
    </row>
    <row r="797" spans="1:17" x14ac:dyDescent="0.3">
      <c r="A797" t="s">
        <v>4076</v>
      </c>
      <c r="B797" t="s">
        <v>4077</v>
      </c>
      <c r="C797">
        <v>46</v>
      </c>
      <c r="D797" t="s">
        <v>4078</v>
      </c>
      <c r="E797" t="s">
        <v>95</v>
      </c>
      <c r="F797" s="86">
        <v>45019</v>
      </c>
      <c r="G797" s="86">
        <v>45356</v>
      </c>
      <c r="H797">
        <v>2</v>
      </c>
      <c r="I797" t="s">
        <v>27</v>
      </c>
      <c r="J797" t="s">
        <v>4079</v>
      </c>
      <c r="K797">
        <v>93.02</v>
      </c>
      <c r="L797">
        <v>4</v>
      </c>
      <c r="M797">
        <v>41</v>
      </c>
      <c r="N797" t="s">
        <v>45</v>
      </c>
      <c r="O797" t="s">
        <v>44</v>
      </c>
      <c r="P797" t="s">
        <v>45</v>
      </c>
      <c r="Q797" t="s">
        <v>32</v>
      </c>
    </row>
    <row r="798" spans="1:17" x14ac:dyDescent="0.3">
      <c r="A798" t="s">
        <v>4081</v>
      </c>
      <c r="B798" t="s">
        <v>4082</v>
      </c>
      <c r="C798">
        <v>20</v>
      </c>
      <c r="D798" t="s">
        <v>4083</v>
      </c>
      <c r="E798" t="s">
        <v>25</v>
      </c>
      <c r="F798" t="s">
        <v>2168</v>
      </c>
      <c r="G798" s="86">
        <v>45052</v>
      </c>
      <c r="H798">
        <v>1</v>
      </c>
      <c r="I798" t="s">
        <v>27</v>
      </c>
      <c r="J798" t="s">
        <v>745</v>
      </c>
      <c r="K798">
        <v>166</v>
      </c>
      <c r="L798">
        <v>8</v>
      </c>
      <c r="M798">
        <v>39</v>
      </c>
      <c r="N798" t="s">
        <v>68</v>
      </c>
      <c r="O798" t="s">
        <v>604</v>
      </c>
      <c r="P798" t="s">
        <v>45</v>
      </c>
      <c r="Q798" t="s">
        <v>69</v>
      </c>
    </row>
    <row r="799" spans="1:17" x14ac:dyDescent="0.3">
      <c r="A799" t="s">
        <v>4085</v>
      </c>
      <c r="B799" t="s">
        <v>4086</v>
      </c>
      <c r="C799">
        <v>54</v>
      </c>
      <c r="D799" t="s">
        <v>4087</v>
      </c>
      <c r="E799" t="s">
        <v>61</v>
      </c>
      <c r="F799" t="s">
        <v>632</v>
      </c>
      <c r="G799" s="86">
        <v>44813</v>
      </c>
      <c r="H799">
        <v>0</v>
      </c>
      <c r="I799" t="s">
        <v>27</v>
      </c>
      <c r="J799" t="s">
        <v>4088</v>
      </c>
      <c r="K799">
        <v>70.69</v>
      </c>
      <c r="L799">
        <v>6</v>
      </c>
      <c r="M799">
        <v>38</v>
      </c>
      <c r="N799" t="s">
        <v>30</v>
      </c>
      <c r="O799" t="s">
        <v>238</v>
      </c>
      <c r="P799" t="s">
        <v>45</v>
      </c>
      <c r="Q799" t="s">
        <v>32</v>
      </c>
    </row>
    <row r="800" spans="1:17" x14ac:dyDescent="0.3">
      <c r="A800" t="s">
        <v>4090</v>
      </c>
      <c r="B800" t="s">
        <v>4091</v>
      </c>
      <c r="C800">
        <v>42</v>
      </c>
      <c r="D800" t="s">
        <v>4092</v>
      </c>
      <c r="E800" t="s">
        <v>95</v>
      </c>
      <c r="F800" s="86">
        <v>44410</v>
      </c>
      <c r="G800" t="s">
        <v>2368</v>
      </c>
      <c r="H800">
        <v>1</v>
      </c>
      <c r="I800" t="s">
        <v>52</v>
      </c>
      <c r="J800" t="s">
        <v>3069</v>
      </c>
      <c r="K800">
        <v>389.13</v>
      </c>
      <c r="L800">
        <v>4</v>
      </c>
      <c r="M800">
        <v>38</v>
      </c>
      <c r="N800" t="s">
        <v>30</v>
      </c>
      <c r="O800" t="s">
        <v>425</v>
      </c>
      <c r="P800" t="s">
        <v>30</v>
      </c>
      <c r="Q800" t="s">
        <v>32</v>
      </c>
    </row>
    <row r="801" spans="1:17" x14ac:dyDescent="0.3">
      <c r="A801" t="s">
        <v>4094</v>
      </c>
      <c r="B801" t="s">
        <v>4095</v>
      </c>
      <c r="C801">
        <v>49</v>
      </c>
      <c r="D801" t="s">
        <v>4096</v>
      </c>
      <c r="E801" t="s">
        <v>88</v>
      </c>
      <c r="F801" t="s">
        <v>739</v>
      </c>
      <c r="G801" s="86">
        <v>45081</v>
      </c>
      <c r="H801">
        <v>3</v>
      </c>
      <c r="I801" t="s">
        <v>27</v>
      </c>
      <c r="J801" t="s">
        <v>2843</v>
      </c>
      <c r="K801">
        <v>775.47</v>
      </c>
      <c r="L801">
        <v>1</v>
      </c>
      <c r="M801">
        <v>36</v>
      </c>
      <c r="N801" t="s">
        <v>45</v>
      </c>
      <c r="O801" t="s">
        <v>624</v>
      </c>
      <c r="P801" t="s">
        <v>30</v>
      </c>
      <c r="Q801" t="s">
        <v>69</v>
      </c>
    </row>
    <row r="802" spans="1:17" x14ac:dyDescent="0.3">
      <c r="A802" t="s">
        <v>4098</v>
      </c>
      <c r="B802" t="s">
        <v>4099</v>
      </c>
      <c r="C802">
        <v>46</v>
      </c>
      <c r="D802" t="s">
        <v>4100</v>
      </c>
      <c r="E802" t="s">
        <v>95</v>
      </c>
      <c r="F802" t="s">
        <v>1454</v>
      </c>
      <c r="G802" s="86">
        <v>45540</v>
      </c>
      <c r="H802">
        <v>2</v>
      </c>
      <c r="I802" t="s">
        <v>27</v>
      </c>
      <c r="J802" t="s">
        <v>4101</v>
      </c>
      <c r="K802">
        <v>275.37</v>
      </c>
      <c r="L802">
        <v>6</v>
      </c>
      <c r="M802">
        <v>30</v>
      </c>
      <c r="N802" t="s">
        <v>30</v>
      </c>
      <c r="O802" t="s">
        <v>199</v>
      </c>
      <c r="P802" t="s">
        <v>54</v>
      </c>
      <c r="Q802" t="s">
        <v>32</v>
      </c>
    </row>
    <row r="803" spans="1:17" x14ac:dyDescent="0.3">
      <c r="A803" t="s">
        <v>4103</v>
      </c>
      <c r="B803" t="s">
        <v>4104</v>
      </c>
      <c r="C803">
        <v>24</v>
      </c>
      <c r="D803" t="s">
        <v>4105</v>
      </c>
      <c r="E803" t="s">
        <v>95</v>
      </c>
      <c r="F803" t="s">
        <v>4106</v>
      </c>
      <c r="G803" t="s">
        <v>4107</v>
      </c>
      <c r="H803">
        <v>2</v>
      </c>
      <c r="I803" t="s">
        <v>27</v>
      </c>
      <c r="J803" t="s">
        <v>2049</v>
      </c>
      <c r="K803">
        <v>70.36</v>
      </c>
      <c r="L803">
        <v>8</v>
      </c>
      <c r="M803">
        <v>45</v>
      </c>
      <c r="N803" t="s">
        <v>45</v>
      </c>
      <c r="O803" t="s">
        <v>269</v>
      </c>
      <c r="P803" t="s">
        <v>56</v>
      </c>
      <c r="Q803" t="s">
        <v>32</v>
      </c>
    </row>
    <row r="804" spans="1:17" x14ac:dyDescent="0.3">
      <c r="A804" t="s">
        <v>4109</v>
      </c>
      <c r="B804" t="s">
        <v>4110</v>
      </c>
      <c r="C804">
        <v>19</v>
      </c>
      <c r="D804" t="s">
        <v>4111</v>
      </c>
      <c r="E804" t="s">
        <v>95</v>
      </c>
      <c r="F804" t="s">
        <v>4112</v>
      </c>
      <c r="G804" t="s">
        <v>89</v>
      </c>
      <c r="H804">
        <v>1</v>
      </c>
      <c r="I804" t="s">
        <v>27</v>
      </c>
      <c r="J804" t="s">
        <v>4113</v>
      </c>
      <c r="K804">
        <v>584.12</v>
      </c>
      <c r="L804">
        <v>2</v>
      </c>
      <c r="M804">
        <v>38</v>
      </c>
      <c r="N804" t="s">
        <v>56</v>
      </c>
      <c r="O804" t="s">
        <v>109</v>
      </c>
      <c r="P804" t="s">
        <v>68</v>
      </c>
      <c r="Q804" t="s">
        <v>69</v>
      </c>
    </row>
    <row r="805" spans="1:17" x14ac:dyDescent="0.3">
      <c r="A805" t="s">
        <v>4115</v>
      </c>
      <c r="B805" t="s">
        <v>4116</v>
      </c>
      <c r="C805">
        <v>65</v>
      </c>
      <c r="D805" t="s">
        <v>4117</v>
      </c>
      <c r="E805" t="s">
        <v>25</v>
      </c>
      <c r="F805" s="86">
        <v>44259</v>
      </c>
      <c r="G805" s="86">
        <v>45634</v>
      </c>
      <c r="H805">
        <v>1</v>
      </c>
      <c r="I805" t="s">
        <v>52</v>
      </c>
      <c r="J805" t="s">
        <v>4118</v>
      </c>
      <c r="K805">
        <v>275.07</v>
      </c>
      <c r="L805">
        <v>7</v>
      </c>
      <c r="M805">
        <v>25</v>
      </c>
      <c r="N805" t="s">
        <v>30</v>
      </c>
      <c r="O805" t="s">
        <v>610</v>
      </c>
      <c r="P805" t="s">
        <v>68</v>
      </c>
      <c r="Q805" t="s">
        <v>69</v>
      </c>
    </row>
    <row r="806" spans="1:17" x14ac:dyDescent="0.3">
      <c r="A806" t="s">
        <v>4120</v>
      </c>
      <c r="B806" t="s">
        <v>4121</v>
      </c>
      <c r="C806">
        <v>19</v>
      </c>
      <c r="D806" t="s">
        <v>4122</v>
      </c>
      <c r="E806" t="s">
        <v>40</v>
      </c>
      <c r="F806" t="s">
        <v>3501</v>
      </c>
      <c r="G806" t="s">
        <v>3685</v>
      </c>
      <c r="H806">
        <v>3</v>
      </c>
      <c r="I806" t="s">
        <v>27</v>
      </c>
      <c r="J806" s="86">
        <v>44599</v>
      </c>
      <c r="K806">
        <v>228.54</v>
      </c>
      <c r="L806">
        <v>6</v>
      </c>
      <c r="M806">
        <v>18</v>
      </c>
      <c r="N806" t="s">
        <v>68</v>
      </c>
      <c r="O806" t="s">
        <v>293</v>
      </c>
      <c r="P806" t="s">
        <v>45</v>
      </c>
      <c r="Q806" t="s">
        <v>69</v>
      </c>
    </row>
    <row r="807" spans="1:17" x14ac:dyDescent="0.3">
      <c r="A807" t="s">
        <v>4124</v>
      </c>
      <c r="B807" t="s">
        <v>4125</v>
      </c>
      <c r="C807">
        <v>42</v>
      </c>
      <c r="D807" t="s">
        <v>4126</v>
      </c>
      <c r="E807" t="s">
        <v>88</v>
      </c>
      <c r="F807" s="86">
        <v>45261</v>
      </c>
      <c r="G807" t="s">
        <v>2162</v>
      </c>
      <c r="H807">
        <v>2</v>
      </c>
      <c r="I807" t="s">
        <v>52</v>
      </c>
      <c r="J807" s="86">
        <v>45361</v>
      </c>
      <c r="K807">
        <v>206.83</v>
      </c>
      <c r="L807">
        <v>6</v>
      </c>
      <c r="M807">
        <v>3</v>
      </c>
      <c r="N807" t="s">
        <v>45</v>
      </c>
      <c r="O807" t="s">
        <v>597</v>
      </c>
      <c r="P807" t="s">
        <v>45</v>
      </c>
      <c r="Q807" t="s">
        <v>32</v>
      </c>
    </row>
    <row r="808" spans="1:17" x14ac:dyDescent="0.3">
      <c r="A808" t="s">
        <v>4128</v>
      </c>
      <c r="B808" t="s">
        <v>4129</v>
      </c>
      <c r="C808">
        <v>30</v>
      </c>
      <c r="D808" t="s">
        <v>4130</v>
      </c>
      <c r="E808" t="s">
        <v>51</v>
      </c>
      <c r="F808" t="s">
        <v>690</v>
      </c>
      <c r="G808" t="s">
        <v>1273</v>
      </c>
      <c r="H808">
        <v>1</v>
      </c>
      <c r="I808" t="s">
        <v>27</v>
      </c>
      <c r="J808" t="s">
        <v>377</v>
      </c>
      <c r="K808">
        <v>164.25</v>
      </c>
      <c r="L808">
        <v>3</v>
      </c>
      <c r="M808">
        <v>8</v>
      </c>
      <c r="N808" t="s">
        <v>30</v>
      </c>
      <c r="O808" t="s">
        <v>821</v>
      </c>
      <c r="P808" t="s">
        <v>68</v>
      </c>
      <c r="Q808" t="s">
        <v>69</v>
      </c>
    </row>
    <row r="809" spans="1:17" x14ac:dyDescent="0.3">
      <c r="A809" t="s">
        <v>4132</v>
      </c>
      <c r="B809" t="s">
        <v>4133</v>
      </c>
      <c r="C809">
        <v>54</v>
      </c>
      <c r="D809" t="s">
        <v>4134</v>
      </c>
      <c r="E809" t="s">
        <v>61</v>
      </c>
      <c r="F809" t="s">
        <v>1420</v>
      </c>
      <c r="G809" t="s">
        <v>1918</v>
      </c>
      <c r="H809">
        <v>5</v>
      </c>
      <c r="I809" t="s">
        <v>64</v>
      </c>
      <c r="J809" s="86">
        <v>45723</v>
      </c>
      <c r="K809">
        <v>59.56</v>
      </c>
      <c r="L809">
        <v>9</v>
      </c>
      <c r="M809">
        <v>15</v>
      </c>
      <c r="N809" t="s">
        <v>30</v>
      </c>
      <c r="O809" t="s">
        <v>122</v>
      </c>
      <c r="P809" t="s">
        <v>30</v>
      </c>
      <c r="Q809" t="s">
        <v>32</v>
      </c>
    </row>
    <row r="810" spans="1:17" x14ac:dyDescent="0.3">
      <c r="A810" t="s">
        <v>4136</v>
      </c>
      <c r="B810" t="s">
        <v>4137</v>
      </c>
      <c r="C810">
        <v>68</v>
      </c>
      <c r="D810" t="s">
        <v>4138</v>
      </c>
      <c r="E810" t="s">
        <v>88</v>
      </c>
      <c r="F810" t="s">
        <v>1982</v>
      </c>
      <c r="G810" t="s">
        <v>2397</v>
      </c>
      <c r="H810">
        <v>0</v>
      </c>
      <c r="I810" t="s">
        <v>27</v>
      </c>
      <c r="J810" s="86">
        <v>44509</v>
      </c>
      <c r="K810">
        <v>321.07</v>
      </c>
      <c r="L810">
        <v>6</v>
      </c>
      <c r="M810">
        <v>37</v>
      </c>
      <c r="N810" t="s">
        <v>56</v>
      </c>
      <c r="O810" t="s">
        <v>31</v>
      </c>
      <c r="P810" t="s">
        <v>30</v>
      </c>
      <c r="Q810" t="s">
        <v>69</v>
      </c>
    </row>
    <row r="811" spans="1:17" x14ac:dyDescent="0.3">
      <c r="A811" t="s">
        <v>4140</v>
      </c>
      <c r="B811" t="s">
        <v>4141</v>
      </c>
      <c r="C811">
        <v>39</v>
      </c>
      <c r="D811" t="s">
        <v>4142</v>
      </c>
      <c r="E811" t="s">
        <v>61</v>
      </c>
      <c r="F811" s="86">
        <v>44415</v>
      </c>
      <c r="G811" t="s">
        <v>1622</v>
      </c>
      <c r="H811">
        <v>5</v>
      </c>
      <c r="I811" t="s">
        <v>52</v>
      </c>
      <c r="J811" s="86">
        <v>45206</v>
      </c>
      <c r="K811">
        <v>1727.6</v>
      </c>
      <c r="L811">
        <v>1</v>
      </c>
      <c r="M811">
        <v>38</v>
      </c>
      <c r="N811" t="s">
        <v>54</v>
      </c>
      <c r="O811" t="s">
        <v>199</v>
      </c>
      <c r="P811" t="s">
        <v>54</v>
      </c>
      <c r="Q811" t="s">
        <v>69</v>
      </c>
    </row>
    <row r="812" spans="1:17" x14ac:dyDescent="0.3">
      <c r="A812" t="s">
        <v>4144</v>
      </c>
      <c r="B812" t="s">
        <v>4145</v>
      </c>
      <c r="C812">
        <v>39</v>
      </c>
      <c r="D812" t="s">
        <v>4146</v>
      </c>
      <c r="E812" t="s">
        <v>95</v>
      </c>
      <c r="F812" t="s">
        <v>466</v>
      </c>
      <c r="G812" t="s">
        <v>2103</v>
      </c>
      <c r="H812">
        <v>5</v>
      </c>
      <c r="I812" t="s">
        <v>27</v>
      </c>
      <c r="J812" t="s">
        <v>4147</v>
      </c>
      <c r="K812">
        <v>636.4</v>
      </c>
      <c r="L812">
        <v>1</v>
      </c>
      <c r="M812">
        <v>38</v>
      </c>
      <c r="N812" t="s">
        <v>56</v>
      </c>
      <c r="O812" t="s">
        <v>142</v>
      </c>
      <c r="P812" t="s">
        <v>68</v>
      </c>
      <c r="Q812" t="s">
        <v>69</v>
      </c>
    </row>
    <row r="813" spans="1:17" x14ac:dyDescent="0.3">
      <c r="A813" t="s">
        <v>4149</v>
      </c>
      <c r="B813" t="s">
        <v>4150</v>
      </c>
      <c r="C813">
        <v>19</v>
      </c>
      <c r="D813" t="s">
        <v>4151</v>
      </c>
      <c r="E813" t="s">
        <v>40</v>
      </c>
      <c r="F813" t="s">
        <v>1447</v>
      </c>
      <c r="G813" s="86">
        <v>45020</v>
      </c>
      <c r="H813">
        <v>1</v>
      </c>
      <c r="I813" t="s">
        <v>27</v>
      </c>
      <c r="J813" t="s">
        <v>2072</v>
      </c>
      <c r="K813">
        <v>3.22</v>
      </c>
      <c r="L813">
        <v>8</v>
      </c>
      <c r="M813">
        <v>29</v>
      </c>
      <c r="N813" t="s">
        <v>68</v>
      </c>
      <c r="O813" t="s">
        <v>269</v>
      </c>
      <c r="P813" t="s">
        <v>56</v>
      </c>
      <c r="Q813" t="s">
        <v>69</v>
      </c>
    </row>
    <row r="814" spans="1:17" x14ac:dyDescent="0.3">
      <c r="A814" t="s">
        <v>4153</v>
      </c>
      <c r="B814" t="s">
        <v>4154</v>
      </c>
      <c r="C814">
        <v>31</v>
      </c>
      <c r="D814" t="s">
        <v>4155</v>
      </c>
      <c r="E814" t="s">
        <v>61</v>
      </c>
      <c r="F814" s="86">
        <v>44445</v>
      </c>
      <c r="G814" s="86">
        <v>44659</v>
      </c>
      <c r="H814">
        <v>3</v>
      </c>
      <c r="I814" t="s">
        <v>64</v>
      </c>
      <c r="J814" s="86">
        <v>44686</v>
      </c>
      <c r="K814">
        <v>412.53</v>
      </c>
      <c r="L814">
        <v>3</v>
      </c>
      <c r="M814">
        <v>15</v>
      </c>
      <c r="N814" t="s">
        <v>30</v>
      </c>
      <c r="O814" t="s">
        <v>604</v>
      </c>
      <c r="P814" t="s">
        <v>45</v>
      </c>
      <c r="Q814" t="s">
        <v>69</v>
      </c>
    </row>
    <row r="815" spans="1:17" x14ac:dyDescent="0.3">
      <c r="A815" t="s">
        <v>4157</v>
      </c>
      <c r="B815" t="s">
        <v>4158</v>
      </c>
      <c r="C815">
        <v>36</v>
      </c>
      <c r="D815" t="s">
        <v>4159</v>
      </c>
      <c r="E815" t="s">
        <v>88</v>
      </c>
      <c r="F815" s="86">
        <v>45079</v>
      </c>
      <c r="G815" t="s">
        <v>1063</v>
      </c>
      <c r="H815">
        <v>0</v>
      </c>
      <c r="I815" t="s">
        <v>27</v>
      </c>
      <c r="J815" t="s">
        <v>2231</v>
      </c>
      <c r="K815">
        <v>6.28</v>
      </c>
      <c r="L815">
        <v>6</v>
      </c>
      <c r="M815">
        <v>23</v>
      </c>
      <c r="N815" t="s">
        <v>45</v>
      </c>
      <c r="O815" t="s">
        <v>99</v>
      </c>
      <c r="P815" t="s">
        <v>56</v>
      </c>
      <c r="Q815" t="s">
        <v>32</v>
      </c>
    </row>
    <row r="816" spans="1:17" x14ac:dyDescent="0.3">
      <c r="A816" t="s">
        <v>4161</v>
      </c>
      <c r="B816" t="s">
        <v>4162</v>
      </c>
      <c r="C816">
        <v>48</v>
      </c>
      <c r="D816" t="s">
        <v>4163</v>
      </c>
      <c r="E816" t="s">
        <v>40</v>
      </c>
      <c r="F816" t="s">
        <v>4164</v>
      </c>
      <c r="G816" s="86">
        <v>45237</v>
      </c>
      <c r="H816">
        <v>4</v>
      </c>
      <c r="I816" t="s">
        <v>27</v>
      </c>
      <c r="J816" t="s">
        <v>711</v>
      </c>
      <c r="K816">
        <v>220.15</v>
      </c>
      <c r="L816">
        <v>4</v>
      </c>
      <c r="M816">
        <v>11</v>
      </c>
      <c r="N816" t="s">
        <v>30</v>
      </c>
      <c r="O816" t="s">
        <v>211</v>
      </c>
      <c r="P816" t="s">
        <v>68</v>
      </c>
      <c r="Q816" t="s">
        <v>32</v>
      </c>
    </row>
    <row r="817" spans="1:17" x14ac:dyDescent="0.3">
      <c r="A817" t="s">
        <v>4166</v>
      </c>
      <c r="B817" t="s">
        <v>4167</v>
      </c>
      <c r="C817">
        <v>32</v>
      </c>
      <c r="D817" t="s">
        <v>4168</v>
      </c>
      <c r="E817" t="s">
        <v>61</v>
      </c>
      <c r="F817" t="s">
        <v>4169</v>
      </c>
      <c r="G817" t="s">
        <v>1179</v>
      </c>
      <c r="H817">
        <v>1</v>
      </c>
      <c r="I817" t="s">
        <v>27</v>
      </c>
      <c r="J817" t="s">
        <v>572</v>
      </c>
      <c r="K817">
        <v>386.61</v>
      </c>
      <c r="L817">
        <v>3</v>
      </c>
      <c r="M817">
        <v>13</v>
      </c>
      <c r="N817" t="s">
        <v>68</v>
      </c>
      <c r="O817" t="s">
        <v>269</v>
      </c>
      <c r="P817" t="s">
        <v>56</v>
      </c>
      <c r="Q817" t="s">
        <v>69</v>
      </c>
    </row>
    <row r="818" spans="1:17" x14ac:dyDescent="0.3">
      <c r="A818" t="s">
        <v>4171</v>
      </c>
      <c r="B818" t="s">
        <v>4172</v>
      </c>
      <c r="C818">
        <v>66</v>
      </c>
      <c r="D818" t="s">
        <v>4173</v>
      </c>
      <c r="E818" t="s">
        <v>95</v>
      </c>
      <c r="F818" s="86">
        <v>44663</v>
      </c>
      <c r="G818" t="s">
        <v>3088</v>
      </c>
      <c r="H818">
        <v>1</v>
      </c>
      <c r="I818" t="s">
        <v>27</v>
      </c>
      <c r="J818" s="86">
        <v>45901</v>
      </c>
      <c r="K818">
        <v>133.37</v>
      </c>
      <c r="L818">
        <v>8</v>
      </c>
      <c r="M818">
        <v>33</v>
      </c>
      <c r="N818" t="s">
        <v>56</v>
      </c>
      <c r="O818" t="s">
        <v>99</v>
      </c>
      <c r="P818" t="s">
        <v>56</v>
      </c>
      <c r="Q818" t="s">
        <v>69</v>
      </c>
    </row>
    <row r="819" spans="1:17" x14ac:dyDescent="0.3">
      <c r="A819" t="s">
        <v>4175</v>
      </c>
      <c r="B819" t="s">
        <v>4176</v>
      </c>
      <c r="C819">
        <v>46</v>
      </c>
      <c r="D819" t="s">
        <v>4177</v>
      </c>
      <c r="E819" t="s">
        <v>88</v>
      </c>
      <c r="F819" s="86">
        <v>44871</v>
      </c>
      <c r="G819" t="s">
        <v>3112</v>
      </c>
      <c r="H819">
        <v>4</v>
      </c>
      <c r="I819" t="s">
        <v>64</v>
      </c>
      <c r="J819" s="86">
        <v>44962</v>
      </c>
      <c r="K819">
        <v>159.66</v>
      </c>
      <c r="L819">
        <v>8</v>
      </c>
      <c r="M819">
        <v>27</v>
      </c>
      <c r="N819" t="s">
        <v>68</v>
      </c>
      <c r="O819" t="s">
        <v>77</v>
      </c>
      <c r="P819" t="s">
        <v>54</v>
      </c>
      <c r="Q819" t="s">
        <v>32</v>
      </c>
    </row>
    <row r="820" spans="1:17" x14ac:dyDescent="0.3">
      <c r="A820" t="s">
        <v>4179</v>
      </c>
      <c r="B820" t="s">
        <v>4180</v>
      </c>
      <c r="C820">
        <v>47</v>
      </c>
      <c r="D820" t="s">
        <v>4181</v>
      </c>
      <c r="E820" t="s">
        <v>88</v>
      </c>
      <c r="F820" t="s">
        <v>3107</v>
      </c>
      <c r="G820" t="s">
        <v>1020</v>
      </c>
      <c r="H820">
        <v>1</v>
      </c>
      <c r="I820" t="s">
        <v>64</v>
      </c>
      <c r="J820" s="86">
        <v>45141</v>
      </c>
      <c r="K820">
        <v>777.63</v>
      </c>
      <c r="L820">
        <v>2</v>
      </c>
      <c r="M820">
        <v>5</v>
      </c>
      <c r="N820" t="s">
        <v>56</v>
      </c>
      <c r="O820" t="s">
        <v>610</v>
      </c>
      <c r="P820" t="s">
        <v>68</v>
      </c>
      <c r="Q820" t="s">
        <v>69</v>
      </c>
    </row>
    <row r="821" spans="1:17" x14ac:dyDescent="0.3">
      <c r="A821" t="s">
        <v>4183</v>
      </c>
      <c r="B821" t="s">
        <v>4184</v>
      </c>
      <c r="C821">
        <v>65</v>
      </c>
      <c r="D821" t="s">
        <v>4185</v>
      </c>
      <c r="E821" t="s">
        <v>25</v>
      </c>
      <c r="F821" t="s">
        <v>797</v>
      </c>
      <c r="G821" t="s">
        <v>4186</v>
      </c>
      <c r="H821">
        <v>0</v>
      </c>
      <c r="I821" t="s">
        <v>27</v>
      </c>
      <c r="J821" t="s">
        <v>1696</v>
      </c>
      <c r="K821">
        <v>160.33000000000001</v>
      </c>
      <c r="L821">
        <v>8</v>
      </c>
      <c r="M821">
        <v>49</v>
      </c>
      <c r="N821" t="s">
        <v>54</v>
      </c>
      <c r="O821" t="s">
        <v>231</v>
      </c>
      <c r="P821" t="s">
        <v>30</v>
      </c>
      <c r="Q821" t="s">
        <v>32</v>
      </c>
    </row>
    <row r="822" spans="1:17" x14ac:dyDescent="0.3">
      <c r="A822" t="s">
        <v>4188</v>
      </c>
      <c r="B822" t="s">
        <v>4189</v>
      </c>
      <c r="C822">
        <v>36</v>
      </c>
      <c r="D822" t="s">
        <v>4190</v>
      </c>
      <c r="E822" t="s">
        <v>40</v>
      </c>
      <c r="F822" t="s">
        <v>2533</v>
      </c>
      <c r="G822" t="s">
        <v>1205</v>
      </c>
      <c r="H822">
        <v>3</v>
      </c>
      <c r="I822" t="s">
        <v>52</v>
      </c>
      <c r="J822" t="s">
        <v>4191</v>
      </c>
      <c r="K822">
        <v>281.82</v>
      </c>
      <c r="L822">
        <v>6</v>
      </c>
      <c r="M822">
        <v>38</v>
      </c>
      <c r="N822" t="s">
        <v>54</v>
      </c>
      <c r="O822" t="s">
        <v>211</v>
      </c>
      <c r="P822" t="s">
        <v>68</v>
      </c>
      <c r="Q822" t="s">
        <v>32</v>
      </c>
    </row>
    <row r="823" spans="1:17" x14ac:dyDescent="0.3">
      <c r="A823" t="s">
        <v>4193</v>
      </c>
      <c r="B823" t="s">
        <v>4194</v>
      </c>
      <c r="C823">
        <v>54</v>
      </c>
      <c r="D823" t="s">
        <v>4195</v>
      </c>
      <c r="E823" t="s">
        <v>25</v>
      </c>
      <c r="F823" s="86">
        <v>44326</v>
      </c>
      <c r="G823" s="86">
        <v>45237</v>
      </c>
      <c r="H823">
        <v>2</v>
      </c>
      <c r="I823" t="s">
        <v>27</v>
      </c>
      <c r="J823" s="86">
        <v>44717</v>
      </c>
      <c r="K823">
        <v>32.79</v>
      </c>
      <c r="L823">
        <v>5</v>
      </c>
      <c r="M823">
        <v>8</v>
      </c>
      <c r="N823" t="s">
        <v>30</v>
      </c>
      <c r="O823" t="s">
        <v>536</v>
      </c>
      <c r="P823" t="s">
        <v>68</v>
      </c>
      <c r="Q823" t="s">
        <v>69</v>
      </c>
    </row>
    <row r="824" spans="1:17" x14ac:dyDescent="0.3">
      <c r="A824" t="s">
        <v>4197</v>
      </c>
      <c r="B824" t="s">
        <v>4198</v>
      </c>
      <c r="C824">
        <v>67</v>
      </c>
      <c r="D824" t="s">
        <v>4199</v>
      </c>
      <c r="E824" t="s">
        <v>40</v>
      </c>
      <c r="F824" t="s">
        <v>4200</v>
      </c>
      <c r="G824" s="86">
        <v>45239</v>
      </c>
      <c r="H824">
        <v>0</v>
      </c>
      <c r="I824" t="s">
        <v>27</v>
      </c>
      <c r="J824" s="86">
        <v>45575</v>
      </c>
      <c r="K824">
        <v>64.02</v>
      </c>
      <c r="L824">
        <v>9</v>
      </c>
      <c r="M824">
        <v>49</v>
      </c>
      <c r="N824" t="s">
        <v>68</v>
      </c>
      <c r="O824" t="s">
        <v>821</v>
      </c>
      <c r="P824" t="s">
        <v>68</v>
      </c>
      <c r="Q824" t="s">
        <v>69</v>
      </c>
    </row>
    <row r="825" spans="1:17" x14ac:dyDescent="0.3">
      <c r="A825" t="s">
        <v>4201</v>
      </c>
      <c r="B825" t="s">
        <v>4202</v>
      </c>
      <c r="C825">
        <v>65</v>
      </c>
      <c r="D825" t="s">
        <v>4203</v>
      </c>
      <c r="E825" t="s">
        <v>25</v>
      </c>
      <c r="F825" s="86">
        <v>44297</v>
      </c>
      <c r="G825" t="s">
        <v>545</v>
      </c>
      <c r="H825">
        <v>5</v>
      </c>
      <c r="I825" t="s">
        <v>27</v>
      </c>
      <c r="J825" s="86">
        <v>44777</v>
      </c>
      <c r="K825">
        <v>219.25</v>
      </c>
      <c r="L825">
        <v>6</v>
      </c>
      <c r="M825">
        <v>7</v>
      </c>
      <c r="N825" t="s">
        <v>56</v>
      </c>
      <c r="O825" t="s">
        <v>135</v>
      </c>
      <c r="P825" t="s">
        <v>45</v>
      </c>
      <c r="Q825" t="s">
        <v>32</v>
      </c>
    </row>
    <row r="826" spans="1:17" x14ac:dyDescent="0.3">
      <c r="A826" t="s">
        <v>4205</v>
      </c>
      <c r="B826" t="s">
        <v>4206</v>
      </c>
      <c r="C826">
        <v>36</v>
      </c>
      <c r="D826" t="s">
        <v>4207</v>
      </c>
      <c r="E826" t="s">
        <v>88</v>
      </c>
      <c r="F826" s="86">
        <v>44630</v>
      </c>
      <c r="G826" t="s">
        <v>792</v>
      </c>
      <c r="H826">
        <v>3</v>
      </c>
      <c r="I826" t="s">
        <v>52</v>
      </c>
      <c r="J826" t="s">
        <v>519</v>
      </c>
      <c r="K826">
        <v>240.97</v>
      </c>
      <c r="L826">
        <v>3</v>
      </c>
      <c r="M826">
        <v>12</v>
      </c>
      <c r="N826" t="s">
        <v>45</v>
      </c>
      <c r="O826" t="s">
        <v>128</v>
      </c>
      <c r="P826" t="s">
        <v>54</v>
      </c>
      <c r="Q826" t="s">
        <v>32</v>
      </c>
    </row>
    <row r="827" spans="1:17" x14ac:dyDescent="0.3">
      <c r="A827" t="s">
        <v>4209</v>
      </c>
      <c r="B827" t="s">
        <v>4210</v>
      </c>
      <c r="C827">
        <v>59</v>
      </c>
      <c r="D827" t="s">
        <v>4211</v>
      </c>
      <c r="E827" t="s">
        <v>88</v>
      </c>
      <c r="F827" t="s">
        <v>4212</v>
      </c>
      <c r="G827" s="86">
        <v>45203</v>
      </c>
      <c r="H827">
        <v>0</v>
      </c>
      <c r="I827" t="s">
        <v>52</v>
      </c>
      <c r="J827" s="86">
        <v>45451</v>
      </c>
      <c r="K827">
        <v>109.65</v>
      </c>
      <c r="L827">
        <v>8</v>
      </c>
      <c r="M827">
        <v>33</v>
      </c>
      <c r="N827" t="s">
        <v>30</v>
      </c>
      <c r="O827" t="s">
        <v>211</v>
      </c>
      <c r="P827" t="s">
        <v>68</v>
      </c>
      <c r="Q827" t="s">
        <v>322</v>
      </c>
    </row>
    <row r="828" spans="1:17" x14ac:dyDescent="0.3">
      <c r="A828" t="s">
        <v>4214</v>
      </c>
      <c r="B828" t="s">
        <v>4215</v>
      </c>
      <c r="C828">
        <v>63</v>
      </c>
      <c r="D828" t="s">
        <v>4216</v>
      </c>
      <c r="E828" t="s">
        <v>95</v>
      </c>
      <c r="F828" s="86">
        <v>44689</v>
      </c>
      <c r="G828" s="86">
        <v>45231</v>
      </c>
      <c r="H828">
        <v>5</v>
      </c>
      <c r="I828" t="s">
        <v>64</v>
      </c>
      <c r="J828" s="86">
        <v>45993</v>
      </c>
      <c r="K828">
        <v>147.47999999999999</v>
      </c>
      <c r="L828">
        <v>4</v>
      </c>
      <c r="M828">
        <v>33</v>
      </c>
      <c r="N828" t="s">
        <v>54</v>
      </c>
      <c r="O828" t="s">
        <v>91</v>
      </c>
      <c r="P828" t="s">
        <v>54</v>
      </c>
      <c r="Q828" t="s">
        <v>32</v>
      </c>
    </row>
    <row r="829" spans="1:17" x14ac:dyDescent="0.3">
      <c r="A829" t="s">
        <v>4218</v>
      </c>
      <c r="B829" t="s">
        <v>4219</v>
      </c>
      <c r="C829">
        <v>29</v>
      </c>
      <c r="D829" t="s">
        <v>4220</v>
      </c>
      <c r="E829" t="s">
        <v>88</v>
      </c>
      <c r="F829" t="s">
        <v>4221</v>
      </c>
      <c r="G829" t="s">
        <v>790</v>
      </c>
      <c r="H829">
        <v>0</v>
      </c>
      <c r="I829" t="s">
        <v>52</v>
      </c>
      <c r="J829" t="s">
        <v>4222</v>
      </c>
      <c r="K829">
        <v>285.81</v>
      </c>
      <c r="L829">
        <v>4</v>
      </c>
      <c r="M829">
        <v>22</v>
      </c>
      <c r="N829" t="s">
        <v>30</v>
      </c>
      <c r="O829" t="s">
        <v>821</v>
      </c>
      <c r="P829" t="s">
        <v>68</v>
      </c>
      <c r="Q829" t="s">
        <v>32</v>
      </c>
    </row>
    <row r="830" spans="1:17" x14ac:dyDescent="0.3">
      <c r="A830" t="s">
        <v>4224</v>
      </c>
      <c r="B830" t="s">
        <v>4225</v>
      </c>
      <c r="C830">
        <v>46</v>
      </c>
      <c r="D830" t="s">
        <v>4226</v>
      </c>
      <c r="E830" t="s">
        <v>95</v>
      </c>
      <c r="F830" s="86">
        <v>44416</v>
      </c>
      <c r="G830" t="s">
        <v>3699</v>
      </c>
      <c r="H830">
        <v>4</v>
      </c>
      <c r="I830" t="s">
        <v>64</v>
      </c>
      <c r="J830" s="86">
        <v>45780</v>
      </c>
      <c r="K830">
        <v>247.44</v>
      </c>
      <c r="L830">
        <v>2</v>
      </c>
      <c r="M830">
        <v>4</v>
      </c>
      <c r="N830" t="s">
        <v>54</v>
      </c>
      <c r="O830" t="s">
        <v>269</v>
      </c>
      <c r="P830" t="s">
        <v>56</v>
      </c>
      <c r="Q830" t="s">
        <v>69</v>
      </c>
    </row>
    <row r="831" spans="1:17" x14ac:dyDescent="0.3">
      <c r="A831" t="s">
        <v>4228</v>
      </c>
      <c r="B831" t="s">
        <v>4229</v>
      </c>
      <c r="C831">
        <v>61</v>
      </c>
      <c r="D831" t="s">
        <v>4230</v>
      </c>
      <c r="E831" t="s">
        <v>51</v>
      </c>
      <c r="F831" s="86">
        <v>43932</v>
      </c>
      <c r="G831" t="s">
        <v>1535</v>
      </c>
      <c r="H831">
        <v>4</v>
      </c>
      <c r="I831" t="s">
        <v>27</v>
      </c>
      <c r="J831" t="s">
        <v>918</v>
      </c>
      <c r="K831">
        <v>392.68</v>
      </c>
      <c r="L831">
        <v>5</v>
      </c>
      <c r="M831">
        <v>24</v>
      </c>
      <c r="N831" t="s">
        <v>30</v>
      </c>
      <c r="O831" t="s">
        <v>122</v>
      </c>
      <c r="P831" t="s">
        <v>30</v>
      </c>
      <c r="Q831" t="s">
        <v>69</v>
      </c>
    </row>
    <row r="832" spans="1:17" x14ac:dyDescent="0.3">
      <c r="A832" t="s">
        <v>4232</v>
      </c>
      <c r="B832" t="s">
        <v>4233</v>
      </c>
      <c r="C832">
        <v>21</v>
      </c>
      <c r="D832" t="s">
        <v>4234</v>
      </c>
      <c r="E832" t="s">
        <v>40</v>
      </c>
      <c r="F832" s="86">
        <v>44451</v>
      </c>
      <c r="G832" t="s">
        <v>1221</v>
      </c>
      <c r="H832">
        <v>1</v>
      </c>
      <c r="I832" t="s">
        <v>64</v>
      </c>
      <c r="J832" s="86">
        <v>44898</v>
      </c>
      <c r="K832">
        <v>571.02</v>
      </c>
      <c r="L832">
        <v>2</v>
      </c>
      <c r="M832">
        <v>47</v>
      </c>
      <c r="N832" t="s">
        <v>68</v>
      </c>
      <c r="O832" t="s">
        <v>77</v>
      </c>
      <c r="P832" t="s">
        <v>54</v>
      </c>
      <c r="Q832" t="s">
        <v>32</v>
      </c>
    </row>
    <row r="833" spans="1:17" x14ac:dyDescent="0.3">
      <c r="A833" t="s">
        <v>4236</v>
      </c>
      <c r="B833" t="s">
        <v>4237</v>
      </c>
      <c r="C833">
        <v>67</v>
      </c>
      <c r="D833" t="s">
        <v>4238</v>
      </c>
      <c r="E833" t="s">
        <v>88</v>
      </c>
      <c r="F833" t="s">
        <v>1594</v>
      </c>
      <c r="G833" t="s">
        <v>1617</v>
      </c>
      <c r="H833">
        <v>0</v>
      </c>
      <c r="I833" t="s">
        <v>27</v>
      </c>
      <c r="J833" s="86">
        <v>45323</v>
      </c>
      <c r="K833">
        <v>193.46</v>
      </c>
      <c r="L833">
        <v>9</v>
      </c>
      <c r="M833">
        <v>1</v>
      </c>
      <c r="N833" t="s">
        <v>68</v>
      </c>
      <c r="O833" t="s">
        <v>67</v>
      </c>
      <c r="P833" t="s">
        <v>68</v>
      </c>
      <c r="Q833" t="s">
        <v>32</v>
      </c>
    </row>
    <row r="834" spans="1:17" x14ac:dyDescent="0.3">
      <c r="A834" t="s">
        <v>4240</v>
      </c>
      <c r="B834" t="s">
        <v>4241</v>
      </c>
      <c r="C834">
        <v>60</v>
      </c>
      <c r="D834" t="s">
        <v>4242</v>
      </c>
      <c r="E834" t="s">
        <v>25</v>
      </c>
      <c r="F834" t="s">
        <v>4243</v>
      </c>
      <c r="G834" s="86">
        <v>45903</v>
      </c>
      <c r="H834">
        <v>0</v>
      </c>
      <c r="I834" t="s">
        <v>52</v>
      </c>
      <c r="J834" t="s">
        <v>4244</v>
      </c>
      <c r="K834">
        <v>212.68</v>
      </c>
      <c r="L834">
        <v>9</v>
      </c>
      <c r="M834">
        <v>10</v>
      </c>
      <c r="N834" t="s">
        <v>68</v>
      </c>
      <c r="O834" t="s">
        <v>597</v>
      </c>
      <c r="P834" t="s">
        <v>45</v>
      </c>
      <c r="Q834" t="s">
        <v>32</v>
      </c>
    </row>
    <row r="835" spans="1:17" x14ac:dyDescent="0.3">
      <c r="A835" t="s">
        <v>4246</v>
      </c>
      <c r="B835" t="s">
        <v>4247</v>
      </c>
      <c r="C835">
        <v>26</v>
      </c>
      <c r="D835" t="s">
        <v>4248</v>
      </c>
      <c r="E835" t="s">
        <v>61</v>
      </c>
      <c r="F835" t="s">
        <v>3493</v>
      </c>
      <c r="G835" t="s">
        <v>393</v>
      </c>
      <c r="H835">
        <v>5</v>
      </c>
      <c r="I835" t="s">
        <v>27</v>
      </c>
      <c r="J835" t="s">
        <v>756</v>
      </c>
      <c r="K835">
        <v>630.94000000000005</v>
      </c>
      <c r="L835">
        <v>3</v>
      </c>
      <c r="M835">
        <v>26</v>
      </c>
      <c r="N835" t="s">
        <v>68</v>
      </c>
      <c r="O835" t="s">
        <v>55</v>
      </c>
      <c r="P835" t="s">
        <v>56</v>
      </c>
      <c r="Q835" t="s">
        <v>69</v>
      </c>
    </row>
    <row r="836" spans="1:17" x14ac:dyDescent="0.3">
      <c r="A836" t="s">
        <v>4250</v>
      </c>
      <c r="B836" t="s">
        <v>4251</v>
      </c>
      <c r="C836">
        <v>47</v>
      </c>
      <c r="D836" t="s">
        <v>4252</v>
      </c>
      <c r="E836" t="s">
        <v>51</v>
      </c>
      <c r="F836" s="86">
        <v>44022</v>
      </c>
      <c r="G836" t="s">
        <v>1934</v>
      </c>
      <c r="H836">
        <v>1</v>
      </c>
      <c r="I836" t="s">
        <v>64</v>
      </c>
      <c r="J836" t="s">
        <v>4253</v>
      </c>
      <c r="K836">
        <v>1649.05</v>
      </c>
      <c r="L836">
        <v>1</v>
      </c>
      <c r="M836">
        <v>18</v>
      </c>
      <c r="N836" t="s">
        <v>68</v>
      </c>
      <c r="O836" t="s">
        <v>122</v>
      </c>
      <c r="P836" t="s">
        <v>30</v>
      </c>
      <c r="Q836" t="s">
        <v>69</v>
      </c>
    </row>
    <row r="837" spans="1:17" x14ac:dyDescent="0.3">
      <c r="A837" t="s">
        <v>4255</v>
      </c>
      <c r="B837" t="s">
        <v>4256</v>
      </c>
      <c r="C837">
        <v>67</v>
      </c>
      <c r="D837" t="s">
        <v>4257</v>
      </c>
      <c r="E837" t="s">
        <v>95</v>
      </c>
      <c r="F837" t="s">
        <v>690</v>
      </c>
      <c r="G837" t="s">
        <v>1514</v>
      </c>
      <c r="H837">
        <v>5</v>
      </c>
      <c r="I837" t="s">
        <v>27</v>
      </c>
      <c r="J837" t="s">
        <v>133</v>
      </c>
      <c r="K837">
        <v>235.74</v>
      </c>
      <c r="L837">
        <v>7</v>
      </c>
      <c r="M837">
        <v>4</v>
      </c>
      <c r="N837" t="s">
        <v>68</v>
      </c>
      <c r="O837" t="s">
        <v>135</v>
      </c>
      <c r="P837" t="s">
        <v>45</v>
      </c>
      <c r="Q837" t="s">
        <v>32</v>
      </c>
    </row>
    <row r="838" spans="1:17" x14ac:dyDescent="0.3">
      <c r="A838" t="s">
        <v>4259</v>
      </c>
      <c r="B838" t="s">
        <v>4260</v>
      </c>
      <c r="C838">
        <v>57</v>
      </c>
      <c r="D838" t="s">
        <v>4261</v>
      </c>
      <c r="E838" t="s">
        <v>61</v>
      </c>
      <c r="F838" t="s">
        <v>3278</v>
      </c>
      <c r="G838" t="s">
        <v>601</v>
      </c>
      <c r="H838">
        <v>0</v>
      </c>
      <c r="I838" t="s">
        <v>52</v>
      </c>
      <c r="J838" t="s">
        <v>773</v>
      </c>
      <c r="K838">
        <v>280.06</v>
      </c>
      <c r="L838">
        <v>2</v>
      </c>
      <c r="M838">
        <v>36</v>
      </c>
      <c r="N838" t="s">
        <v>45</v>
      </c>
      <c r="O838" t="s">
        <v>624</v>
      </c>
      <c r="P838" t="s">
        <v>30</v>
      </c>
      <c r="Q838" t="s">
        <v>322</v>
      </c>
    </row>
    <row r="839" spans="1:17" x14ac:dyDescent="0.3">
      <c r="A839" t="s">
        <v>4263</v>
      </c>
      <c r="B839" t="s">
        <v>4264</v>
      </c>
      <c r="C839">
        <v>61</v>
      </c>
      <c r="D839" t="s">
        <v>4265</v>
      </c>
      <c r="E839" t="s">
        <v>25</v>
      </c>
      <c r="F839" s="86">
        <v>44265</v>
      </c>
      <c r="G839" t="s">
        <v>1600</v>
      </c>
      <c r="H839">
        <v>3</v>
      </c>
      <c r="I839" t="s">
        <v>64</v>
      </c>
      <c r="J839" s="86">
        <v>45871</v>
      </c>
      <c r="K839">
        <v>407.36</v>
      </c>
      <c r="L839">
        <v>2</v>
      </c>
      <c r="M839">
        <v>7</v>
      </c>
      <c r="N839" t="s">
        <v>45</v>
      </c>
      <c r="O839" t="s">
        <v>597</v>
      </c>
      <c r="P839" t="s">
        <v>45</v>
      </c>
      <c r="Q839" t="s">
        <v>322</v>
      </c>
    </row>
    <row r="840" spans="1:17" x14ac:dyDescent="0.3">
      <c r="A840" t="s">
        <v>4267</v>
      </c>
      <c r="B840" t="s">
        <v>4268</v>
      </c>
      <c r="C840">
        <v>49</v>
      </c>
      <c r="D840" t="s">
        <v>4269</v>
      </c>
      <c r="E840" t="s">
        <v>61</v>
      </c>
      <c r="F840" s="86">
        <v>44201</v>
      </c>
      <c r="G840" t="s">
        <v>2408</v>
      </c>
      <c r="H840">
        <v>0</v>
      </c>
      <c r="I840" t="s">
        <v>52</v>
      </c>
      <c r="J840" t="s">
        <v>2225</v>
      </c>
      <c r="K840">
        <v>15.74</v>
      </c>
      <c r="L840">
        <v>6</v>
      </c>
      <c r="M840">
        <v>38</v>
      </c>
      <c r="N840" t="s">
        <v>68</v>
      </c>
      <c r="O840" t="s">
        <v>31</v>
      </c>
      <c r="P840" t="s">
        <v>30</v>
      </c>
      <c r="Q840" t="s">
        <v>69</v>
      </c>
    </row>
    <row r="841" spans="1:17" x14ac:dyDescent="0.3">
      <c r="A841" t="s">
        <v>4271</v>
      </c>
      <c r="B841" t="s">
        <v>4272</v>
      </c>
      <c r="C841">
        <v>36</v>
      </c>
      <c r="D841" t="s">
        <v>4273</v>
      </c>
      <c r="E841" t="s">
        <v>51</v>
      </c>
      <c r="F841" t="s">
        <v>2971</v>
      </c>
      <c r="G841" s="86">
        <v>45511</v>
      </c>
      <c r="H841">
        <v>5</v>
      </c>
      <c r="I841" t="s">
        <v>52</v>
      </c>
      <c r="J841" t="s">
        <v>4274</v>
      </c>
      <c r="K841">
        <v>192.7</v>
      </c>
      <c r="L841">
        <v>6</v>
      </c>
      <c r="M841">
        <v>6</v>
      </c>
      <c r="N841" t="s">
        <v>54</v>
      </c>
      <c r="O841" t="s">
        <v>373</v>
      </c>
      <c r="P841" t="s">
        <v>54</v>
      </c>
      <c r="Q841" t="s">
        <v>32</v>
      </c>
    </row>
    <row r="842" spans="1:17" x14ac:dyDescent="0.3">
      <c r="A842" t="s">
        <v>4276</v>
      </c>
      <c r="B842" t="s">
        <v>4277</v>
      </c>
      <c r="C842">
        <v>27</v>
      </c>
      <c r="D842" t="s">
        <v>4278</v>
      </c>
      <c r="E842" t="s">
        <v>88</v>
      </c>
      <c r="F842" t="s">
        <v>4106</v>
      </c>
      <c r="G842" t="s">
        <v>2982</v>
      </c>
      <c r="H842">
        <v>3</v>
      </c>
      <c r="I842" t="s">
        <v>27</v>
      </c>
      <c r="J842" s="86">
        <v>45144</v>
      </c>
      <c r="K842">
        <v>69.180000000000007</v>
      </c>
      <c r="L842">
        <v>5</v>
      </c>
      <c r="M842">
        <v>36</v>
      </c>
      <c r="N842" t="s">
        <v>68</v>
      </c>
      <c r="O842" t="s">
        <v>597</v>
      </c>
      <c r="P842" t="s">
        <v>45</v>
      </c>
      <c r="Q842" t="s">
        <v>32</v>
      </c>
    </row>
    <row r="843" spans="1:17" x14ac:dyDescent="0.3">
      <c r="A843" t="s">
        <v>4280</v>
      </c>
      <c r="B843" t="s">
        <v>4281</v>
      </c>
      <c r="C843">
        <v>42</v>
      </c>
      <c r="D843" t="s">
        <v>4282</v>
      </c>
      <c r="E843" t="s">
        <v>88</v>
      </c>
      <c r="F843" t="s">
        <v>4283</v>
      </c>
      <c r="G843" t="s">
        <v>256</v>
      </c>
      <c r="H843">
        <v>5</v>
      </c>
      <c r="I843" t="s">
        <v>52</v>
      </c>
      <c r="J843" t="s">
        <v>784</v>
      </c>
      <c r="K843">
        <v>579.37</v>
      </c>
      <c r="L843">
        <v>3</v>
      </c>
      <c r="M843">
        <v>40</v>
      </c>
      <c r="N843" t="s">
        <v>30</v>
      </c>
      <c r="O843" t="s">
        <v>837</v>
      </c>
      <c r="P843" t="s">
        <v>56</v>
      </c>
      <c r="Q843" t="s">
        <v>69</v>
      </c>
    </row>
    <row r="844" spans="1:17" x14ac:dyDescent="0.3">
      <c r="A844" t="s">
        <v>4285</v>
      </c>
      <c r="B844" t="s">
        <v>4286</v>
      </c>
      <c r="C844">
        <v>32</v>
      </c>
      <c r="D844" t="s">
        <v>4287</v>
      </c>
      <c r="E844" t="s">
        <v>61</v>
      </c>
      <c r="F844" t="s">
        <v>3775</v>
      </c>
      <c r="G844" s="86">
        <v>44837</v>
      </c>
      <c r="H844">
        <v>1</v>
      </c>
      <c r="I844" t="s">
        <v>64</v>
      </c>
      <c r="J844" s="86">
        <v>44962</v>
      </c>
      <c r="K844">
        <v>394.58</v>
      </c>
      <c r="L844">
        <v>3</v>
      </c>
      <c r="M844">
        <v>39</v>
      </c>
      <c r="N844" t="s">
        <v>68</v>
      </c>
      <c r="O844" t="s">
        <v>624</v>
      </c>
      <c r="P844" t="s">
        <v>30</v>
      </c>
      <c r="Q844" t="s">
        <v>32</v>
      </c>
    </row>
    <row r="845" spans="1:17" x14ac:dyDescent="0.3">
      <c r="A845" t="s">
        <v>4289</v>
      </c>
      <c r="B845" t="s">
        <v>4290</v>
      </c>
      <c r="C845">
        <v>62</v>
      </c>
      <c r="D845" t="s">
        <v>4291</v>
      </c>
      <c r="E845" t="s">
        <v>25</v>
      </c>
      <c r="F845" t="s">
        <v>4292</v>
      </c>
      <c r="G845" s="86">
        <v>45906</v>
      </c>
      <c r="H845">
        <v>0</v>
      </c>
      <c r="I845" t="s">
        <v>27</v>
      </c>
      <c r="J845" t="s">
        <v>4293</v>
      </c>
      <c r="K845">
        <v>225.37</v>
      </c>
      <c r="L845">
        <v>5</v>
      </c>
      <c r="M845">
        <v>38</v>
      </c>
      <c r="N845" t="s">
        <v>68</v>
      </c>
      <c r="O845" t="s">
        <v>837</v>
      </c>
      <c r="P845" t="s">
        <v>56</v>
      </c>
      <c r="Q845" t="s">
        <v>32</v>
      </c>
    </row>
    <row r="846" spans="1:17" x14ac:dyDescent="0.3">
      <c r="A846" t="s">
        <v>4295</v>
      </c>
      <c r="B846" t="s">
        <v>4296</v>
      </c>
      <c r="C846">
        <v>29</v>
      </c>
      <c r="D846" t="s">
        <v>4297</v>
      </c>
      <c r="E846" t="s">
        <v>95</v>
      </c>
      <c r="F846" s="86">
        <v>45083</v>
      </c>
      <c r="G846" s="86">
        <v>45782</v>
      </c>
      <c r="H846">
        <v>2</v>
      </c>
      <c r="I846" t="s">
        <v>52</v>
      </c>
      <c r="J846" t="s">
        <v>2455</v>
      </c>
      <c r="K846">
        <v>134.1</v>
      </c>
      <c r="L846">
        <v>3</v>
      </c>
      <c r="M846">
        <v>34</v>
      </c>
      <c r="N846" t="s">
        <v>68</v>
      </c>
      <c r="O846" t="s">
        <v>418</v>
      </c>
      <c r="P846" t="s">
        <v>56</v>
      </c>
      <c r="Q846" t="s">
        <v>322</v>
      </c>
    </row>
    <row r="847" spans="1:17" x14ac:dyDescent="0.3">
      <c r="A847" t="s">
        <v>4299</v>
      </c>
      <c r="B847" t="s">
        <v>4300</v>
      </c>
      <c r="C847">
        <v>60</v>
      </c>
      <c r="D847" t="s">
        <v>4301</v>
      </c>
      <c r="E847" t="s">
        <v>25</v>
      </c>
      <c r="F847" t="s">
        <v>945</v>
      </c>
      <c r="G847" t="s">
        <v>4302</v>
      </c>
      <c r="H847">
        <v>2</v>
      </c>
      <c r="I847" t="s">
        <v>52</v>
      </c>
      <c r="J847" s="86">
        <v>45452</v>
      </c>
      <c r="K847">
        <v>271.52999999999997</v>
      </c>
      <c r="L847">
        <v>5</v>
      </c>
      <c r="M847">
        <v>45</v>
      </c>
      <c r="N847" t="s">
        <v>68</v>
      </c>
      <c r="O847" t="s">
        <v>135</v>
      </c>
      <c r="P847" t="s">
        <v>45</v>
      </c>
      <c r="Q847" t="s">
        <v>32</v>
      </c>
    </row>
    <row r="848" spans="1:17" x14ac:dyDescent="0.3">
      <c r="A848" t="s">
        <v>4304</v>
      </c>
      <c r="B848" t="s">
        <v>4305</v>
      </c>
      <c r="C848">
        <v>53</v>
      </c>
      <c r="D848" t="s">
        <v>4306</v>
      </c>
      <c r="E848" t="s">
        <v>61</v>
      </c>
      <c r="F848" t="s">
        <v>945</v>
      </c>
      <c r="G848" s="86">
        <v>45779</v>
      </c>
      <c r="H848">
        <v>3</v>
      </c>
      <c r="I848" t="s">
        <v>52</v>
      </c>
      <c r="J848" t="s">
        <v>2743</v>
      </c>
      <c r="K848">
        <v>185.23</v>
      </c>
      <c r="L848">
        <v>4</v>
      </c>
      <c r="M848">
        <v>5</v>
      </c>
      <c r="N848" t="s">
        <v>68</v>
      </c>
      <c r="O848" t="s">
        <v>366</v>
      </c>
      <c r="P848" t="s">
        <v>54</v>
      </c>
      <c r="Q848" t="s">
        <v>32</v>
      </c>
    </row>
    <row r="849" spans="1:17" x14ac:dyDescent="0.3">
      <c r="A849" t="s">
        <v>4308</v>
      </c>
      <c r="B849" t="s">
        <v>4309</v>
      </c>
      <c r="C849">
        <v>28</v>
      </c>
      <c r="D849" t="s">
        <v>4310</v>
      </c>
      <c r="E849" t="s">
        <v>88</v>
      </c>
      <c r="F849" t="s">
        <v>1090</v>
      </c>
      <c r="G849" s="86">
        <v>44509</v>
      </c>
      <c r="H849">
        <v>1</v>
      </c>
      <c r="I849" t="s">
        <v>27</v>
      </c>
      <c r="J849" t="s">
        <v>2219</v>
      </c>
      <c r="K849">
        <v>659.34</v>
      </c>
      <c r="L849">
        <v>3</v>
      </c>
      <c r="M849">
        <v>1</v>
      </c>
      <c r="N849" t="s">
        <v>68</v>
      </c>
      <c r="O849" t="s">
        <v>91</v>
      </c>
      <c r="P849" t="s">
        <v>54</v>
      </c>
      <c r="Q849" t="s">
        <v>69</v>
      </c>
    </row>
    <row r="850" spans="1:17" x14ac:dyDescent="0.3">
      <c r="A850" t="s">
        <v>4312</v>
      </c>
      <c r="B850" t="s">
        <v>4313</v>
      </c>
      <c r="C850">
        <v>69</v>
      </c>
      <c r="D850" t="s">
        <v>4314</v>
      </c>
      <c r="E850" t="s">
        <v>88</v>
      </c>
      <c r="F850" t="s">
        <v>1955</v>
      </c>
      <c r="G850" t="s">
        <v>1755</v>
      </c>
      <c r="H850">
        <v>4</v>
      </c>
      <c r="I850" t="s">
        <v>52</v>
      </c>
      <c r="J850" t="s">
        <v>1324</v>
      </c>
      <c r="K850">
        <v>115.48</v>
      </c>
      <c r="L850">
        <v>2</v>
      </c>
      <c r="M850">
        <v>35</v>
      </c>
      <c r="N850" t="s">
        <v>68</v>
      </c>
      <c r="O850" t="s">
        <v>169</v>
      </c>
      <c r="P850" t="s">
        <v>30</v>
      </c>
      <c r="Q850" t="s">
        <v>32</v>
      </c>
    </row>
    <row r="851" spans="1:17" x14ac:dyDescent="0.3">
      <c r="A851" t="s">
        <v>4316</v>
      </c>
      <c r="B851" t="s">
        <v>4317</v>
      </c>
      <c r="C851">
        <v>23</v>
      </c>
      <c r="D851" t="s">
        <v>4318</v>
      </c>
      <c r="E851" t="s">
        <v>88</v>
      </c>
      <c r="F851" s="86">
        <v>44200</v>
      </c>
      <c r="G851" t="s">
        <v>1020</v>
      </c>
      <c r="H851">
        <v>0</v>
      </c>
      <c r="I851" t="s">
        <v>27</v>
      </c>
      <c r="J851" t="s">
        <v>4319</v>
      </c>
      <c r="K851">
        <v>216.91</v>
      </c>
      <c r="L851">
        <v>4</v>
      </c>
      <c r="M851">
        <v>41</v>
      </c>
      <c r="N851" t="s">
        <v>68</v>
      </c>
      <c r="O851" t="s">
        <v>175</v>
      </c>
      <c r="P851" t="s">
        <v>56</v>
      </c>
      <c r="Q851" t="s">
        <v>69</v>
      </c>
    </row>
    <row r="852" spans="1:17" x14ac:dyDescent="0.3">
      <c r="A852" t="s">
        <v>4321</v>
      </c>
      <c r="B852" t="s">
        <v>4322</v>
      </c>
      <c r="C852">
        <v>55</v>
      </c>
      <c r="D852" t="s">
        <v>4323</v>
      </c>
      <c r="E852" t="s">
        <v>88</v>
      </c>
      <c r="F852" t="s">
        <v>3107</v>
      </c>
      <c r="G852" t="s">
        <v>1431</v>
      </c>
      <c r="H852">
        <v>1</v>
      </c>
      <c r="I852" t="s">
        <v>27</v>
      </c>
      <c r="J852" t="s">
        <v>3832</v>
      </c>
      <c r="K852">
        <v>565.54</v>
      </c>
      <c r="L852">
        <v>2</v>
      </c>
      <c r="M852">
        <v>15</v>
      </c>
      <c r="N852" t="s">
        <v>30</v>
      </c>
      <c r="O852" t="s">
        <v>269</v>
      </c>
      <c r="P852" t="s">
        <v>56</v>
      </c>
      <c r="Q852" t="s">
        <v>69</v>
      </c>
    </row>
    <row r="853" spans="1:17" x14ac:dyDescent="0.3">
      <c r="A853" t="s">
        <v>4325</v>
      </c>
      <c r="B853" t="s">
        <v>4326</v>
      </c>
      <c r="C853">
        <v>38</v>
      </c>
      <c r="D853" t="s">
        <v>4327</v>
      </c>
      <c r="E853" t="s">
        <v>88</v>
      </c>
      <c r="F853" t="s">
        <v>1205</v>
      </c>
      <c r="G853" s="86">
        <v>45810</v>
      </c>
      <c r="H853">
        <v>2</v>
      </c>
      <c r="I853" t="s">
        <v>52</v>
      </c>
      <c r="J853" s="86">
        <v>45181</v>
      </c>
      <c r="K853">
        <v>1146.75</v>
      </c>
      <c r="L853">
        <v>1</v>
      </c>
      <c r="M853">
        <v>31</v>
      </c>
      <c r="N853" t="s">
        <v>30</v>
      </c>
      <c r="O853" t="s">
        <v>231</v>
      </c>
      <c r="P853" t="s">
        <v>30</v>
      </c>
      <c r="Q853" t="s">
        <v>32</v>
      </c>
    </row>
    <row r="854" spans="1:17" x14ac:dyDescent="0.3">
      <c r="A854" t="s">
        <v>4329</v>
      </c>
      <c r="B854" t="s">
        <v>4330</v>
      </c>
      <c r="C854">
        <v>21</v>
      </c>
      <c r="D854" t="s">
        <v>4331</v>
      </c>
      <c r="E854" t="s">
        <v>61</v>
      </c>
      <c r="F854" s="86">
        <v>44233</v>
      </c>
      <c r="G854" t="s">
        <v>1821</v>
      </c>
      <c r="H854">
        <v>4</v>
      </c>
      <c r="I854" t="s">
        <v>64</v>
      </c>
      <c r="J854" s="86">
        <v>44263</v>
      </c>
      <c r="K854">
        <v>308.27</v>
      </c>
      <c r="L854">
        <v>6</v>
      </c>
      <c r="M854">
        <v>29</v>
      </c>
      <c r="N854" t="s">
        <v>45</v>
      </c>
      <c r="O854" t="s">
        <v>175</v>
      </c>
      <c r="P854" t="s">
        <v>56</v>
      </c>
      <c r="Q854" t="s">
        <v>69</v>
      </c>
    </row>
    <row r="855" spans="1:17" x14ac:dyDescent="0.3">
      <c r="A855" t="s">
        <v>4333</v>
      </c>
      <c r="B855" t="s">
        <v>4334</v>
      </c>
      <c r="C855">
        <v>57</v>
      </c>
      <c r="D855" t="s">
        <v>4335</v>
      </c>
      <c r="E855" t="s">
        <v>40</v>
      </c>
      <c r="F855" s="86">
        <v>44298</v>
      </c>
      <c r="G855" t="s">
        <v>519</v>
      </c>
      <c r="H855">
        <v>0</v>
      </c>
      <c r="I855" t="s">
        <v>27</v>
      </c>
      <c r="J855" t="s">
        <v>4336</v>
      </c>
      <c r="K855">
        <v>35.94</v>
      </c>
      <c r="L855">
        <v>6</v>
      </c>
      <c r="M855">
        <v>47</v>
      </c>
      <c r="N855" t="s">
        <v>45</v>
      </c>
      <c r="O855" t="s">
        <v>31</v>
      </c>
      <c r="P855" t="s">
        <v>30</v>
      </c>
      <c r="Q855" t="s">
        <v>69</v>
      </c>
    </row>
    <row r="856" spans="1:17" x14ac:dyDescent="0.3">
      <c r="A856" t="s">
        <v>4338</v>
      </c>
      <c r="B856" t="s">
        <v>4339</v>
      </c>
      <c r="C856">
        <v>42</v>
      </c>
      <c r="D856" t="s">
        <v>4340</v>
      </c>
      <c r="E856" t="s">
        <v>25</v>
      </c>
      <c r="F856" t="s">
        <v>4118</v>
      </c>
      <c r="G856" t="s">
        <v>4341</v>
      </c>
      <c r="H856">
        <v>4</v>
      </c>
      <c r="I856" t="s">
        <v>27</v>
      </c>
      <c r="J856" s="86">
        <v>44903</v>
      </c>
      <c r="K856">
        <v>59.83</v>
      </c>
      <c r="L856">
        <v>7</v>
      </c>
      <c r="M856">
        <v>40</v>
      </c>
      <c r="N856" t="s">
        <v>54</v>
      </c>
      <c r="O856" t="s">
        <v>231</v>
      </c>
      <c r="P856" t="s">
        <v>30</v>
      </c>
      <c r="Q856" t="s">
        <v>32</v>
      </c>
    </row>
    <row r="857" spans="1:17" x14ac:dyDescent="0.3">
      <c r="A857" t="s">
        <v>4343</v>
      </c>
      <c r="B857" t="s">
        <v>4344</v>
      </c>
      <c r="C857">
        <v>49</v>
      </c>
      <c r="D857" t="s">
        <v>4345</v>
      </c>
      <c r="E857" t="s">
        <v>40</v>
      </c>
      <c r="F857" s="86">
        <v>44991</v>
      </c>
      <c r="G857" s="86">
        <v>45812</v>
      </c>
      <c r="H857">
        <v>0</v>
      </c>
      <c r="I857" t="s">
        <v>27</v>
      </c>
      <c r="J857" s="86">
        <v>45421</v>
      </c>
      <c r="K857">
        <v>71.23</v>
      </c>
      <c r="L857">
        <v>5</v>
      </c>
      <c r="M857">
        <v>28</v>
      </c>
      <c r="N857" t="s">
        <v>30</v>
      </c>
      <c r="O857" t="s">
        <v>142</v>
      </c>
      <c r="P857" t="s">
        <v>68</v>
      </c>
      <c r="Q857" t="s">
        <v>32</v>
      </c>
    </row>
    <row r="858" spans="1:17" x14ac:dyDescent="0.3">
      <c r="A858" t="s">
        <v>4347</v>
      </c>
      <c r="B858" t="s">
        <v>4348</v>
      </c>
      <c r="C858">
        <v>57</v>
      </c>
      <c r="D858" t="s">
        <v>4349</v>
      </c>
      <c r="E858" t="s">
        <v>88</v>
      </c>
      <c r="F858" s="86">
        <v>45266</v>
      </c>
      <c r="G858" s="86">
        <v>44933</v>
      </c>
      <c r="H858">
        <v>3</v>
      </c>
      <c r="I858" t="s">
        <v>27</v>
      </c>
      <c r="J858" s="86">
        <v>45421</v>
      </c>
      <c r="K858">
        <v>57.8</v>
      </c>
      <c r="L858">
        <v>9</v>
      </c>
      <c r="M858">
        <v>37</v>
      </c>
      <c r="N858" t="s">
        <v>45</v>
      </c>
      <c r="O858" t="s">
        <v>44</v>
      </c>
      <c r="P858" t="s">
        <v>45</v>
      </c>
      <c r="Q858" t="s">
        <v>32</v>
      </c>
    </row>
    <row r="859" spans="1:17" x14ac:dyDescent="0.3">
      <c r="A859" t="s">
        <v>4351</v>
      </c>
      <c r="B859" t="s">
        <v>4352</v>
      </c>
      <c r="C859">
        <v>66</v>
      </c>
      <c r="D859" t="s">
        <v>4353</v>
      </c>
      <c r="E859" t="s">
        <v>40</v>
      </c>
      <c r="F859" t="s">
        <v>2598</v>
      </c>
      <c r="G859" s="86">
        <v>45143</v>
      </c>
      <c r="H859">
        <v>3</v>
      </c>
      <c r="I859" t="s">
        <v>27</v>
      </c>
      <c r="J859" t="s">
        <v>4354</v>
      </c>
      <c r="K859">
        <v>168.42</v>
      </c>
      <c r="L859">
        <v>8</v>
      </c>
      <c r="M859">
        <v>36</v>
      </c>
      <c r="N859" t="s">
        <v>30</v>
      </c>
      <c r="O859" t="s">
        <v>149</v>
      </c>
      <c r="P859" t="s">
        <v>30</v>
      </c>
      <c r="Q859" t="s">
        <v>32</v>
      </c>
    </row>
    <row r="860" spans="1:17" x14ac:dyDescent="0.3">
      <c r="A860" t="s">
        <v>4356</v>
      </c>
      <c r="B860" t="s">
        <v>4357</v>
      </c>
      <c r="C860">
        <v>59</v>
      </c>
      <c r="D860" t="s">
        <v>4358</v>
      </c>
      <c r="E860" t="s">
        <v>40</v>
      </c>
      <c r="F860" s="86">
        <v>45143</v>
      </c>
      <c r="G860" t="s">
        <v>1726</v>
      </c>
      <c r="H860">
        <v>3</v>
      </c>
      <c r="I860" t="s">
        <v>27</v>
      </c>
      <c r="J860" t="s">
        <v>4359</v>
      </c>
      <c r="K860">
        <v>459.91</v>
      </c>
      <c r="L860">
        <v>4</v>
      </c>
      <c r="M860">
        <v>20</v>
      </c>
      <c r="N860" t="s">
        <v>30</v>
      </c>
      <c r="O860" t="s">
        <v>269</v>
      </c>
      <c r="P860" t="s">
        <v>56</v>
      </c>
      <c r="Q860" t="s">
        <v>69</v>
      </c>
    </row>
    <row r="861" spans="1:17" x14ac:dyDescent="0.3">
      <c r="A861" t="s">
        <v>4361</v>
      </c>
      <c r="B861" t="s">
        <v>4362</v>
      </c>
      <c r="C861">
        <v>19</v>
      </c>
      <c r="D861" t="s">
        <v>4363</v>
      </c>
      <c r="E861" t="s">
        <v>61</v>
      </c>
      <c r="F861" t="s">
        <v>446</v>
      </c>
      <c r="G861" t="s">
        <v>3493</v>
      </c>
      <c r="H861">
        <v>3</v>
      </c>
      <c r="I861" t="s">
        <v>27</v>
      </c>
      <c r="J861" t="s">
        <v>3553</v>
      </c>
      <c r="K861">
        <v>553.70000000000005</v>
      </c>
      <c r="L861">
        <v>3</v>
      </c>
      <c r="M861">
        <v>34</v>
      </c>
      <c r="N861" t="s">
        <v>56</v>
      </c>
      <c r="O861" t="s">
        <v>354</v>
      </c>
      <c r="P861" t="s">
        <v>45</v>
      </c>
      <c r="Q861" t="s">
        <v>69</v>
      </c>
    </row>
    <row r="862" spans="1:17" x14ac:dyDescent="0.3">
      <c r="A862" t="s">
        <v>4365</v>
      </c>
      <c r="B862" t="s">
        <v>4366</v>
      </c>
      <c r="C862">
        <v>35</v>
      </c>
      <c r="D862" t="s">
        <v>4367</v>
      </c>
      <c r="E862" t="s">
        <v>88</v>
      </c>
      <c r="F862" s="86">
        <v>44622</v>
      </c>
      <c r="G862" s="86">
        <v>45236</v>
      </c>
      <c r="H862">
        <v>1</v>
      </c>
      <c r="I862" t="s">
        <v>64</v>
      </c>
      <c r="J862" s="86">
        <v>45085</v>
      </c>
      <c r="K862">
        <v>109.72</v>
      </c>
      <c r="L862">
        <v>9</v>
      </c>
      <c r="M862">
        <v>46</v>
      </c>
      <c r="N862" t="s">
        <v>45</v>
      </c>
      <c r="O862" t="s">
        <v>604</v>
      </c>
      <c r="P862" t="s">
        <v>45</v>
      </c>
      <c r="Q862" t="s">
        <v>32</v>
      </c>
    </row>
    <row r="863" spans="1:17" x14ac:dyDescent="0.3">
      <c r="A863" t="s">
        <v>4369</v>
      </c>
      <c r="B863" t="s">
        <v>4370</v>
      </c>
      <c r="C863">
        <v>30</v>
      </c>
      <c r="D863" t="s">
        <v>4371</v>
      </c>
      <c r="E863" t="s">
        <v>25</v>
      </c>
      <c r="F863" s="86">
        <v>44260</v>
      </c>
      <c r="G863" t="s">
        <v>106</v>
      </c>
      <c r="H863">
        <v>4</v>
      </c>
      <c r="I863" t="s">
        <v>27</v>
      </c>
      <c r="J863" s="86">
        <v>44388</v>
      </c>
      <c r="K863">
        <v>185.49</v>
      </c>
      <c r="L863">
        <v>8</v>
      </c>
      <c r="M863">
        <v>5</v>
      </c>
      <c r="N863" t="s">
        <v>30</v>
      </c>
      <c r="O863" t="s">
        <v>31</v>
      </c>
      <c r="P863" t="s">
        <v>30</v>
      </c>
      <c r="Q863" t="s">
        <v>32</v>
      </c>
    </row>
    <row r="864" spans="1:17" x14ac:dyDescent="0.3">
      <c r="A864" t="s">
        <v>4373</v>
      </c>
      <c r="B864" t="s">
        <v>4374</v>
      </c>
      <c r="C864">
        <v>65</v>
      </c>
      <c r="D864" t="s">
        <v>4375</v>
      </c>
      <c r="E864" t="s">
        <v>88</v>
      </c>
      <c r="F864" s="86">
        <v>44232</v>
      </c>
      <c r="G864" t="s">
        <v>351</v>
      </c>
      <c r="H864">
        <v>3</v>
      </c>
      <c r="I864" t="s">
        <v>52</v>
      </c>
      <c r="J864" s="86">
        <v>45418</v>
      </c>
      <c r="K864">
        <v>120.62</v>
      </c>
      <c r="L864">
        <v>7</v>
      </c>
      <c r="M864">
        <v>43</v>
      </c>
      <c r="N864" t="s">
        <v>45</v>
      </c>
      <c r="O864" t="s">
        <v>135</v>
      </c>
      <c r="P864" t="s">
        <v>45</v>
      </c>
      <c r="Q864" t="s">
        <v>32</v>
      </c>
    </row>
    <row r="865" spans="1:17" x14ac:dyDescent="0.3">
      <c r="A865" t="s">
        <v>4376</v>
      </c>
      <c r="B865" t="s">
        <v>4377</v>
      </c>
      <c r="C865">
        <v>31</v>
      </c>
      <c r="D865" t="s">
        <v>4378</v>
      </c>
      <c r="E865" t="s">
        <v>40</v>
      </c>
      <c r="F865" t="s">
        <v>1970</v>
      </c>
      <c r="G865" t="s">
        <v>4341</v>
      </c>
      <c r="H865">
        <v>4</v>
      </c>
      <c r="I865" t="s">
        <v>27</v>
      </c>
      <c r="J865" s="86">
        <v>45483</v>
      </c>
      <c r="K865">
        <v>12.13</v>
      </c>
      <c r="L865">
        <v>8</v>
      </c>
      <c r="M865">
        <v>49</v>
      </c>
      <c r="N865" t="s">
        <v>54</v>
      </c>
      <c r="O865" t="s">
        <v>199</v>
      </c>
      <c r="P865" t="s">
        <v>54</v>
      </c>
      <c r="Q865" t="s">
        <v>69</v>
      </c>
    </row>
    <row r="866" spans="1:17" x14ac:dyDescent="0.3">
      <c r="A866" t="s">
        <v>4380</v>
      </c>
      <c r="B866" t="s">
        <v>4381</v>
      </c>
      <c r="C866">
        <v>62</v>
      </c>
      <c r="D866" t="s">
        <v>4382</v>
      </c>
      <c r="E866" t="s">
        <v>51</v>
      </c>
      <c r="F866" t="s">
        <v>4383</v>
      </c>
      <c r="G866" s="86">
        <v>45540</v>
      </c>
      <c r="H866">
        <v>0</v>
      </c>
      <c r="I866" t="s">
        <v>27</v>
      </c>
      <c r="J866" t="s">
        <v>1154</v>
      </c>
      <c r="K866">
        <v>125.67</v>
      </c>
      <c r="L866">
        <v>8</v>
      </c>
      <c r="M866">
        <v>4</v>
      </c>
      <c r="N866" t="s">
        <v>68</v>
      </c>
      <c r="O866" t="s">
        <v>536</v>
      </c>
      <c r="P866" t="s">
        <v>68</v>
      </c>
      <c r="Q866" t="s">
        <v>69</v>
      </c>
    </row>
    <row r="867" spans="1:17" x14ac:dyDescent="0.3">
      <c r="A867" t="s">
        <v>4385</v>
      </c>
      <c r="B867" t="s">
        <v>4386</v>
      </c>
      <c r="C867">
        <v>61</v>
      </c>
      <c r="D867" t="s">
        <v>4387</v>
      </c>
      <c r="E867" t="s">
        <v>88</v>
      </c>
      <c r="F867" s="86">
        <v>44294</v>
      </c>
      <c r="G867" t="s">
        <v>1356</v>
      </c>
      <c r="H867">
        <v>1</v>
      </c>
      <c r="I867" t="s">
        <v>27</v>
      </c>
      <c r="J867" s="86">
        <v>45294</v>
      </c>
      <c r="K867">
        <v>257.64</v>
      </c>
      <c r="L867">
        <v>5</v>
      </c>
      <c r="M867">
        <v>11</v>
      </c>
      <c r="N867" t="s">
        <v>45</v>
      </c>
      <c r="O867" t="s">
        <v>354</v>
      </c>
      <c r="P867" t="s">
        <v>45</v>
      </c>
      <c r="Q867" t="s">
        <v>69</v>
      </c>
    </row>
    <row r="868" spans="1:17" x14ac:dyDescent="0.3">
      <c r="A868" t="s">
        <v>4389</v>
      </c>
      <c r="B868" t="s">
        <v>4390</v>
      </c>
      <c r="C868">
        <v>47</v>
      </c>
      <c r="D868" t="s">
        <v>4391</v>
      </c>
      <c r="E868" t="s">
        <v>51</v>
      </c>
      <c r="F868" s="86">
        <v>43871</v>
      </c>
      <c r="G868" s="86">
        <v>45750</v>
      </c>
      <c r="H868">
        <v>4</v>
      </c>
      <c r="I868" t="s">
        <v>52</v>
      </c>
      <c r="J868" t="s">
        <v>4392</v>
      </c>
      <c r="K868">
        <v>271.11</v>
      </c>
      <c r="L868">
        <v>3</v>
      </c>
      <c r="M868">
        <v>30</v>
      </c>
      <c r="N868" t="s">
        <v>45</v>
      </c>
      <c r="O868" t="s">
        <v>624</v>
      </c>
      <c r="P868" t="s">
        <v>30</v>
      </c>
      <c r="Q868" t="s">
        <v>32</v>
      </c>
    </row>
    <row r="869" spans="1:17" x14ac:dyDescent="0.3">
      <c r="A869" t="s">
        <v>4394</v>
      </c>
      <c r="B869" t="s">
        <v>4395</v>
      </c>
      <c r="C869">
        <v>48</v>
      </c>
      <c r="D869" t="s">
        <v>4396</v>
      </c>
      <c r="E869" t="s">
        <v>40</v>
      </c>
      <c r="F869" t="s">
        <v>4397</v>
      </c>
      <c r="G869" t="s">
        <v>466</v>
      </c>
      <c r="H869">
        <v>4</v>
      </c>
      <c r="I869" t="s">
        <v>52</v>
      </c>
      <c r="J869" t="s">
        <v>740</v>
      </c>
      <c r="K869">
        <v>163.32</v>
      </c>
      <c r="L869">
        <v>9</v>
      </c>
      <c r="M869">
        <v>45</v>
      </c>
      <c r="N869" t="s">
        <v>68</v>
      </c>
      <c r="O869" t="s">
        <v>109</v>
      </c>
      <c r="P869" t="s">
        <v>68</v>
      </c>
      <c r="Q869" t="s">
        <v>32</v>
      </c>
    </row>
    <row r="870" spans="1:17" x14ac:dyDescent="0.3">
      <c r="A870" t="s">
        <v>4399</v>
      </c>
      <c r="B870" t="s">
        <v>4400</v>
      </c>
      <c r="C870">
        <v>53</v>
      </c>
      <c r="D870" t="s">
        <v>4401</v>
      </c>
      <c r="E870" t="s">
        <v>40</v>
      </c>
      <c r="F870" t="s">
        <v>4048</v>
      </c>
      <c r="G870" t="s">
        <v>4402</v>
      </c>
      <c r="H870">
        <v>4</v>
      </c>
      <c r="I870" t="s">
        <v>27</v>
      </c>
      <c r="J870" t="s">
        <v>4403</v>
      </c>
      <c r="K870">
        <v>392.26</v>
      </c>
      <c r="L870">
        <v>5</v>
      </c>
      <c r="M870">
        <v>1</v>
      </c>
      <c r="N870" t="s">
        <v>30</v>
      </c>
      <c r="O870" t="s">
        <v>122</v>
      </c>
      <c r="P870" t="s">
        <v>30</v>
      </c>
      <c r="Q870" t="s">
        <v>32</v>
      </c>
    </row>
    <row r="871" spans="1:17" x14ac:dyDescent="0.3">
      <c r="A871" t="s">
        <v>4405</v>
      </c>
      <c r="B871" t="s">
        <v>4406</v>
      </c>
      <c r="C871">
        <v>55</v>
      </c>
      <c r="D871" t="s">
        <v>4407</v>
      </c>
      <c r="E871" t="s">
        <v>88</v>
      </c>
      <c r="F871" t="s">
        <v>2604</v>
      </c>
      <c r="G871" t="s">
        <v>485</v>
      </c>
      <c r="H871">
        <v>3</v>
      </c>
      <c r="I871" t="s">
        <v>27</v>
      </c>
      <c r="J871" s="86">
        <v>45394</v>
      </c>
      <c r="K871">
        <v>13.61</v>
      </c>
      <c r="L871">
        <v>6</v>
      </c>
      <c r="M871">
        <v>4</v>
      </c>
      <c r="N871" t="s">
        <v>68</v>
      </c>
      <c r="O871" t="s">
        <v>821</v>
      </c>
      <c r="P871" t="s">
        <v>68</v>
      </c>
      <c r="Q871" t="s">
        <v>32</v>
      </c>
    </row>
    <row r="872" spans="1:17" x14ac:dyDescent="0.3">
      <c r="A872" t="s">
        <v>4409</v>
      </c>
      <c r="B872" t="s">
        <v>4410</v>
      </c>
      <c r="C872">
        <v>68</v>
      </c>
      <c r="D872" t="s">
        <v>4411</v>
      </c>
      <c r="E872" t="s">
        <v>51</v>
      </c>
      <c r="F872" t="s">
        <v>589</v>
      </c>
      <c r="G872" s="86">
        <v>44807</v>
      </c>
      <c r="H872">
        <v>5</v>
      </c>
      <c r="I872" t="s">
        <v>27</v>
      </c>
      <c r="J872" t="s">
        <v>3493</v>
      </c>
      <c r="K872">
        <v>216.65</v>
      </c>
      <c r="L872">
        <v>3</v>
      </c>
      <c r="M872">
        <v>7</v>
      </c>
      <c r="N872" t="s">
        <v>45</v>
      </c>
      <c r="O872" t="s">
        <v>55</v>
      </c>
      <c r="P872" t="s">
        <v>56</v>
      </c>
      <c r="Q872" t="s">
        <v>32</v>
      </c>
    </row>
    <row r="873" spans="1:17" x14ac:dyDescent="0.3">
      <c r="A873" t="s">
        <v>4413</v>
      </c>
      <c r="B873" t="s">
        <v>4414</v>
      </c>
      <c r="C873">
        <v>67</v>
      </c>
      <c r="D873" t="s">
        <v>4415</v>
      </c>
      <c r="E873" t="s">
        <v>51</v>
      </c>
      <c r="F873" t="s">
        <v>4416</v>
      </c>
      <c r="G873" s="86">
        <v>44876</v>
      </c>
      <c r="H873">
        <v>3</v>
      </c>
      <c r="I873" t="s">
        <v>52</v>
      </c>
      <c r="J873" t="s">
        <v>4417</v>
      </c>
      <c r="K873">
        <v>16.71</v>
      </c>
      <c r="L873">
        <v>2</v>
      </c>
      <c r="M873">
        <v>40</v>
      </c>
      <c r="N873" t="s">
        <v>56</v>
      </c>
      <c r="O873" t="s">
        <v>238</v>
      </c>
      <c r="P873" t="s">
        <v>45</v>
      </c>
      <c r="Q873" t="s">
        <v>32</v>
      </c>
    </row>
    <row r="874" spans="1:17" x14ac:dyDescent="0.3">
      <c r="A874" t="s">
        <v>4419</v>
      </c>
      <c r="B874" t="s">
        <v>4420</v>
      </c>
      <c r="C874">
        <v>18</v>
      </c>
      <c r="D874" t="s">
        <v>4421</v>
      </c>
      <c r="E874" t="s">
        <v>25</v>
      </c>
      <c r="F874" t="s">
        <v>1562</v>
      </c>
      <c r="G874" s="86">
        <v>44622</v>
      </c>
      <c r="H874">
        <v>0</v>
      </c>
      <c r="I874" t="s">
        <v>64</v>
      </c>
      <c r="J874" s="86">
        <v>45086</v>
      </c>
      <c r="K874">
        <v>175.08</v>
      </c>
      <c r="L874">
        <v>9</v>
      </c>
      <c r="M874">
        <v>22</v>
      </c>
      <c r="N874" t="s">
        <v>30</v>
      </c>
      <c r="O874" t="s">
        <v>238</v>
      </c>
      <c r="P874" t="s">
        <v>45</v>
      </c>
      <c r="Q874" t="s">
        <v>69</v>
      </c>
    </row>
    <row r="875" spans="1:17" x14ac:dyDescent="0.3">
      <c r="A875" t="s">
        <v>4423</v>
      </c>
      <c r="B875" t="s">
        <v>4424</v>
      </c>
      <c r="C875">
        <v>32</v>
      </c>
      <c r="D875" t="s">
        <v>4425</v>
      </c>
      <c r="E875" t="s">
        <v>88</v>
      </c>
      <c r="F875" t="s">
        <v>422</v>
      </c>
      <c r="G875" t="s">
        <v>4426</v>
      </c>
      <c r="H875">
        <v>1</v>
      </c>
      <c r="I875" t="s">
        <v>27</v>
      </c>
      <c r="J875" s="86">
        <v>45630</v>
      </c>
      <c r="K875">
        <v>14.48</v>
      </c>
      <c r="L875">
        <v>3</v>
      </c>
      <c r="M875">
        <v>43</v>
      </c>
      <c r="N875" t="s">
        <v>56</v>
      </c>
      <c r="O875" t="s">
        <v>55</v>
      </c>
      <c r="P875" t="s">
        <v>56</v>
      </c>
      <c r="Q875" t="s">
        <v>69</v>
      </c>
    </row>
    <row r="876" spans="1:17" x14ac:dyDescent="0.3">
      <c r="A876" t="s">
        <v>4428</v>
      </c>
      <c r="B876" t="s">
        <v>4429</v>
      </c>
      <c r="C876">
        <v>46</v>
      </c>
      <c r="D876" t="s">
        <v>4430</v>
      </c>
      <c r="E876" t="s">
        <v>88</v>
      </c>
      <c r="F876" t="s">
        <v>4293</v>
      </c>
      <c r="G876" s="86">
        <v>45658</v>
      </c>
      <c r="H876">
        <v>2</v>
      </c>
      <c r="I876" t="s">
        <v>27</v>
      </c>
      <c r="J876" s="86">
        <v>43962</v>
      </c>
      <c r="K876">
        <v>278.55</v>
      </c>
      <c r="L876">
        <v>7</v>
      </c>
      <c r="M876">
        <v>46</v>
      </c>
      <c r="N876" t="s">
        <v>68</v>
      </c>
      <c r="O876" t="s">
        <v>194</v>
      </c>
      <c r="P876" t="s">
        <v>56</v>
      </c>
      <c r="Q876" t="s">
        <v>69</v>
      </c>
    </row>
    <row r="877" spans="1:17" x14ac:dyDescent="0.3">
      <c r="A877" t="s">
        <v>4432</v>
      </c>
      <c r="B877" t="s">
        <v>4433</v>
      </c>
      <c r="C877">
        <v>62</v>
      </c>
      <c r="D877" t="s">
        <v>4434</v>
      </c>
      <c r="E877" t="s">
        <v>61</v>
      </c>
      <c r="F877" t="s">
        <v>415</v>
      </c>
      <c r="G877" s="86">
        <v>45171</v>
      </c>
      <c r="H877">
        <v>1</v>
      </c>
      <c r="I877" t="s">
        <v>27</v>
      </c>
      <c r="J877" t="s">
        <v>2810</v>
      </c>
      <c r="K877">
        <v>214.18</v>
      </c>
      <c r="L877">
        <v>9</v>
      </c>
      <c r="M877">
        <v>2</v>
      </c>
      <c r="N877" t="s">
        <v>30</v>
      </c>
      <c r="O877" t="s">
        <v>604</v>
      </c>
      <c r="P877" t="s">
        <v>45</v>
      </c>
      <c r="Q877" t="s">
        <v>32</v>
      </c>
    </row>
    <row r="878" spans="1:17" x14ac:dyDescent="0.3">
      <c r="A878" t="s">
        <v>4436</v>
      </c>
      <c r="B878" t="s">
        <v>4437</v>
      </c>
      <c r="C878">
        <v>23</v>
      </c>
      <c r="D878" t="s">
        <v>4438</v>
      </c>
      <c r="E878" t="s">
        <v>88</v>
      </c>
      <c r="F878" s="86">
        <v>44746</v>
      </c>
      <c r="G878" t="s">
        <v>274</v>
      </c>
      <c r="H878">
        <v>5</v>
      </c>
      <c r="I878" t="s">
        <v>52</v>
      </c>
      <c r="J878" t="s">
        <v>1307</v>
      </c>
      <c r="K878">
        <v>230.54</v>
      </c>
      <c r="L878">
        <v>3</v>
      </c>
      <c r="M878">
        <v>49</v>
      </c>
      <c r="N878" t="s">
        <v>30</v>
      </c>
      <c r="O878" t="s">
        <v>624</v>
      </c>
      <c r="P878" t="s">
        <v>30</v>
      </c>
      <c r="Q878" t="s">
        <v>32</v>
      </c>
    </row>
    <row r="879" spans="1:17" x14ac:dyDescent="0.3">
      <c r="A879" t="s">
        <v>4440</v>
      </c>
      <c r="B879" t="s">
        <v>4441</v>
      </c>
      <c r="C879">
        <v>20</v>
      </c>
      <c r="D879" t="s">
        <v>4442</v>
      </c>
      <c r="E879" t="s">
        <v>61</v>
      </c>
      <c r="F879" t="s">
        <v>3354</v>
      </c>
      <c r="G879" t="s">
        <v>900</v>
      </c>
      <c r="H879">
        <v>5</v>
      </c>
      <c r="I879" t="s">
        <v>64</v>
      </c>
      <c r="J879" t="s">
        <v>1988</v>
      </c>
      <c r="K879">
        <v>389.52</v>
      </c>
      <c r="L879">
        <v>3</v>
      </c>
      <c r="M879">
        <v>32</v>
      </c>
      <c r="N879" t="s">
        <v>45</v>
      </c>
      <c r="O879" t="s">
        <v>99</v>
      </c>
      <c r="P879" t="s">
        <v>56</v>
      </c>
      <c r="Q879" t="s">
        <v>32</v>
      </c>
    </row>
    <row r="880" spans="1:17" x14ac:dyDescent="0.3">
      <c r="A880" t="s">
        <v>4444</v>
      </c>
      <c r="B880" t="s">
        <v>4445</v>
      </c>
      <c r="C880">
        <v>66</v>
      </c>
      <c r="D880" t="s">
        <v>4446</v>
      </c>
      <c r="E880" t="s">
        <v>88</v>
      </c>
      <c r="F880" t="s">
        <v>4447</v>
      </c>
      <c r="G880" t="s">
        <v>2208</v>
      </c>
      <c r="H880">
        <v>2</v>
      </c>
      <c r="I880" t="s">
        <v>64</v>
      </c>
      <c r="J880" t="s">
        <v>2649</v>
      </c>
      <c r="K880">
        <v>51.37</v>
      </c>
      <c r="L880">
        <v>7</v>
      </c>
      <c r="M880">
        <v>38</v>
      </c>
      <c r="N880" t="s">
        <v>45</v>
      </c>
      <c r="O880" t="s">
        <v>122</v>
      </c>
      <c r="P880" t="s">
        <v>30</v>
      </c>
      <c r="Q880" t="s">
        <v>69</v>
      </c>
    </row>
    <row r="881" spans="1:17" x14ac:dyDescent="0.3">
      <c r="A881" t="s">
        <v>4449</v>
      </c>
      <c r="B881" t="s">
        <v>4450</v>
      </c>
      <c r="C881">
        <v>57</v>
      </c>
      <c r="D881" t="s">
        <v>4451</v>
      </c>
      <c r="E881" t="s">
        <v>25</v>
      </c>
      <c r="F881" t="s">
        <v>3407</v>
      </c>
      <c r="G881" t="s">
        <v>2213</v>
      </c>
      <c r="H881">
        <v>1</v>
      </c>
      <c r="I881" t="s">
        <v>52</v>
      </c>
      <c r="J881" s="86">
        <v>45207</v>
      </c>
      <c r="K881">
        <v>122.69</v>
      </c>
      <c r="L881">
        <v>3</v>
      </c>
      <c r="M881">
        <v>2</v>
      </c>
      <c r="N881" t="s">
        <v>54</v>
      </c>
      <c r="O881" t="s">
        <v>418</v>
      </c>
      <c r="P881" t="s">
        <v>56</v>
      </c>
      <c r="Q881" t="s">
        <v>32</v>
      </c>
    </row>
    <row r="882" spans="1:17" x14ac:dyDescent="0.3">
      <c r="A882" t="s">
        <v>4453</v>
      </c>
      <c r="B882" t="s">
        <v>4454</v>
      </c>
      <c r="C882">
        <v>69</v>
      </c>
      <c r="D882" t="s">
        <v>4455</v>
      </c>
      <c r="E882" t="s">
        <v>40</v>
      </c>
      <c r="F882" t="s">
        <v>440</v>
      </c>
      <c r="G882" t="s">
        <v>4456</v>
      </c>
      <c r="H882">
        <v>2</v>
      </c>
      <c r="I882" t="s">
        <v>27</v>
      </c>
      <c r="J882" t="s">
        <v>4457</v>
      </c>
      <c r="K882">
        <v>330.62</v>
      </c>
      <c r="L882">
        <v>6</v>
      </c>
      <c r="M882">
        <v>14</v>
      </c>
      <c r="N882" t="s">
        <v>30</v>
      </c>
      <c r="O882" t="s">
        <v>837</v>
      </c>
      <c r="P882" t="s">
        <v>56</v>
      </c>
      <c r="Q882" t="s">
        <v>322</v>
      </c>
    </row>
    <row r="883" spans="1:17" x14ac:dyDescent="0.3">
      <c r="A883" t="s">
        <v>4459</v>
      </c>
      <c r="B883" t="s">
        <v>4460</v>
      </c>
      <c r="C883">
        <v>18</v>
      </c>
      <c r="D883" t="s">
        <v>4461</v>
      </c>
      <c r="E883" t="s">
        <v>40</v>
      </c>
      <c r="F883" s="86">
        <v>44780</v>
      </c>
      <c r="G883" s="86">
        <v>44987</v>
      </c>
      <c r="H883">
        <v>3</v>
      </c>
      <c r="I883" t="s">
        <v>27</v>
      </c>
      <c r="J883" t="s">
        <v>2276</v>
      </c>
      <c r="K883">
        <v>158.04</v>
      </c>
      <c r="L883">
        <v>9</v>
      </c>
      <c r="M883">
        <v>19</v>
      </c>
      <c r="N883" t="s">
        <v>54</v>
      </c>
      <c r="O883" t="s">
        <v>55</v>
      </c>
      <c r="P883" t="s">
        <v>56</v>
      </c>
      <c r="Q883" t="s">
        <v>69</v>
      </c>
    </row>
    <row r="884" spans="1:17" x14ac:dyDescent="0.3">
      <c r="A884" t="s">
        <v>4463</v>
      </c>
      <c r="B884" t="s">
        <v>4464</v>
      </c>
      <c r="C884">
        <v>33</v>
      </c>
      <c r="D884" t="s">
        <v>4465</v>
      </c>
      <c r="E884" t="s">
        <v>88</v>
      </c>
      <c r="F884" t="s">
        <v>3174</v>
      </c>
      <c r="G884" s="86">
        <v>45937</v>
      </c>
      <c r="H884">
        <v>4</v>
      </c>
      <c r="I884" t="s">
        <v>27</v>
      </c>
      <c r="J884" t="s">
        <v>4466</v>
      </c>
      <c r="K884">
        <v>206.38</v>
      </c>
      <c r="L884">
        <v>3</v>
      </c>
      <c r="M884">
        <v>10</v>
      </c>
      <c r="N884" t="s">
        <v>54</v>
      </c>
      <c r="O884" t="s">
        <v>610</v>
      </c>
      <c r="P884" t="s">
        <v>68</v>
      </c>
      <c r="Q884" t="s">
        <v>69</v>
      </c>
    </row>
    <row r="885" spans="1:17" x14ac:dyDescent="0.3">
      <c r="A885" t="s">
        <v>4468</v>
      </c>
      <c r="B885" t="s">
        <v>4469</v>
      </c>
      <c r="C885">
        <v>24</v>
      </c>
      <c r="D885" t="s">
        <v>4470</v>
      </c>
      <c r="E885" t="s">
        <v>95</v>
      </c>
      <c r="F885" t="s">
        <v>4471</v>
      </c>
      <c r="G885" t="s">
        <v>236</v>
      </c>
      <c r="H885">
        <v>3</v>
      </c>
      <c r="I885" t="s">
        <v>64</v>
      </c>
      <c r="J885" t="s">
        <v>669</v>
      </c>
      <c r="K885">
        <v>79.180000000000007</v>
      </c>
      <c r="L885">
        <v>8</v>
      </c>
      <c r="M885">
        <v>35</v>
      </c>
      <c r="N885" t="s">
        <v>56</v>
      </c>
      <c r="O885" t="s">
        <v>169</v>
      </c>
      <c r="P885" t="s">
        <v>30</v>
      </c>
      <c r="Q885" t="s">
        <v>32</v>
      </c>
    </row>
    <row r="886" spans="1:17" x14ac:dyDescent="0.3">
      <c r="A886" t="s">
        <v>4473</v>
      </c>
      <c r="B886" t="s">
        <v>4474</v>
      </c>
      <c r="C886">
        <v>45</v>
      </c>
      <c r="D886" t="s">
        <v>4475</v>
      </c>
      <c r="E886" t="s">
        <v>88</v>
      </c>
      <c r="F886" t="s">
        <v>3700</v>
      </c>
      <c r="G886" t="s">
        <v>2208</v>
      </c>
      <c r="H886">
        <v>2</v>
      </c>
      <c r="I886" t="s">
        <v>52</v>
      </c>
      <c r="J886" s="86">
        <v>45905</v>
      </c>
      <c r="K886">
        <v>255.14</v>
      </c>
      <c r="L886">
        <v>6</v>
      </c>
      <c r="M886">
        <v>39</v>
      </c>
      <c r="N886" t="s">
        <v>30</v>
      </c>
      <c r="O886" t="s">
        <v>604</v>
      </c>
      <c r="P886" t="s">
        <v>45</v>
      </c>
      <c r="Q886" t="s">
        <v>32</v>
      </c>
    </row>
    <row r="887" spans="1:17" x14ac:dyDescent="0.3">
      <c r="A887" t="s">
        <v>4477</v>
      </c>
      <c r="B887" t="s">
        <v>4478</v>
      </c>
      <c r="C887">
        <v>57</v>
      </c>
      <c r="D887" t="s">
        <v>4479</v>
      </c>
      <c r="E887" t="s">
        <v>61</v>
      </c>
      <c r="F887" t="s">
        <v>651</v>
      </c>
      <c r="G887" t="s">
        <v>3102</v>
      </c>
      <c r="H887">
        <v>1</v>
      </c>
      <c r="I887" t="s">
        <v>27</v>
      </c>
      <c r="J887" t="s">
        <v>873</v>
      </c>
      <c r="K887">
        <v>37.299999999999997</v>
      </c>
      <c r="L887">
        <v>8</v>
      </c>
      <c r="M887">
        <v>35</v>
      </c>
      <c r="N887" t="s">
        <v>30</v>
      </c>
      <c r="O887" t="s">
        <v>624</v>
      </c>
      <c r="P887" t="s">
        <v>30</v>
      </c>
      <c r="Q887" t="s">
        <v>32</v>
      </c>
    </row>
    <row r="888" spans="1:17" x14ac:dyDescent="0.3">
      <c r="A888" t="s">
        <v>4481</v>
      </c>
      <c r="B888" t="s">
        <v>4482</v>
      </c>
      <c r="C888">
        <v>61</v>
      </c>
      <c r="D888" t="s">
        <v>4483</v>
      </c>
      <c r="E888" t="s">
        <v>51</v>
      </c>
      <c r="F888" t="s">
        <v>4484</v>
      </c>
      <c r="G888" t="s">
        <v>1174</v>
      </c>
      <c r="H888">
        <v>5</v>
      </c>
      <c r="I888" t="s">
        <v>27</v>
      </c>
      <c r="J888" t="s">
        <v>1950</v>
      </c>
      <c r="K888">
        <v>204.47</v>
      </c>
      <c r="L888">
        <v>8</v>
      </c>
      <c r="M888">
        <v>19</v>
      </c>
      <c r="N888" t="s">
        <v>45</v>
      </c>
      <c r="O888" t="s">
        <v>269</v>
      </c>
      <c r="P888" t="s">
        <v>56</v>
      </c>
      <c r="Q888" t="s">
        <v>32</v>
      </c>
    </row>
    <row r="889" spans="1:17" x14ac:dyDescent="0.3">
      <c r="A889" t="s">
        <v>4486</v>
      </c>
      <c r="B889" t="s">
        <v>4487</v>
      </c>
      <c r="C889">
        <v>46</v>
      </c>
      <c r="D889" t="s">
        <v>4488</v>
      </c>
      <c r="E889" t="s">
        <v>88</v>
      </c>
      <c r="F889" s="86">
        <v>44202</v>
      </c>
      <c r="G889" s="86">
        <v>45209</v>
      </c>
      <c r="H889">
        <v>5</v>
      </c>
      <c r="I889" t="s">
        <v>52</v>
      </c>
      <c r="J889" s="86">
        <v>45996</v>
      </c>
      <c r="K889">
        <v>67.58</v>
      </c>
      <c r="L889">
        <v>2</v>
      </c>
      <c r="M889">
        <v>34</v>
      </c>
      <c r="N889" t="s">
        <v>56</v>
      </c>
      <c r="O889" t="s">
        <v>169</v>
      </c>
      <c r="P889" t="s">
        <v>30</v>
      </c>
      <c r="Q889" t="s">
        <v>32</v>
      </c>
    </row>
    <row r="890" spans="1:17" x14ac:dyDescent="0.3">
      <c r="A890" t="s">
        <v>4490</v>
      </c>
      <c r="B890" t="s">
        <v>4491</v>
      </c>
      <c r="C890">
        <v>61</v>
      </c>
      <c r="D890" t="s">
        <v>4492</v>
      </c>
      <c r="E890" t="s">
        <v>61</v>
      </c>
      <c r="F890" s="86">
        <v>44473</v>
      </c>
      <c r="G890" t="s">
        <v>917</v>
      </c>
      <c r="H890">
        <v>0</v>
      </c>
      <c r="I890" t="s">
        <v>27</v>
      </c>
      <c r="J890" t="s">
        <v>1884</v>
      </c>
      <c r="K890">
        <v>120.78</v>
      </c>
      <c r="L890">
        <v>8</v>
      </c>
      <c r="M890">
        <v>36</v>
      </c>
      <c r="N890" t="s">
        <v>54</v>
      </c>
      <c r="O890" t="s">
        <v>31</v>
      </c>
      <c r="P890" t="s">
        <v>30</v>
      </c>
      <c r="Q890" t="s">
        <v>69</v>
      </c>
    </row>
    <row r="891" spans="1:17" x14ac:dyDescent="0.3">
      <c r="A891" t="s">
        <v>4494</v>
      </c>
      <c r="B891" t="s">
        <v>4495</v>
      </c>
      <c r="C891">
        <v>51</v>
      </c>
      <c r="D891" t="s">
        <v>4496</v>
      </c>
      <c r="E891" t="s">
        <v>95</v>
      </c>
      <c r="F891" t="s">
        <v>1705</v>
      </c>
      <c r="G891" t="s">
        <v>1827</v>
      </c>
      <c r="H891">
        <v>4</v>
      </c>
      <c r="I891" t="s">
        <v>27</v>
      </c>
      <c r="J891" s="86">
        <v>45141</v>
      </c>
      <c r="K891">
        <v>11.14</v>
      </c>
      <c r="L891">
        <v>5</v>
      </c>
      <c r="M891">
        <v>1</v>
      </c>
      <c r="N891" t="s">
        <v>45</v>
      </c>
      <c r="O891" t="s">
        <v>425</v>
      </c>
      <c r="P891" t="s">
        <v>30</v>
      </c>
      <c r="Q891" t="s">
        <v>69</v>
      </c>
    </row>
    <row r="892" spans="1:17" x14ac:dyDescent="0.3">
      <c r="A892" t="s">
        <v>4498</v>
      </c>
      <c r="B892" t="s">
        <v>4499</v>
      </c>
      <c r="C892">
        <v>48</v>
      </c>
      <c r="D892" t="s">
        <v>4500</v>
      </c>
      <c r="E892" t="s">
        <v>40</v>
      </c>
      <c r="F892" s="86">
        <v>44238</v>
      </c>
      <c r="G892" t="s">
        <v>2966</v>
      </c>
      <c r="H892">
        <v>0</v>
      </c>
      <c r="I892" t="s">
        <v>27</v>
      </c>
      <c r="J892" t="s">
        <v>377</v>
      </c>
      <c r="K892">
        <v>1928.31</v>
      </c>
      <c r="L892">
        <v>1</v>
      </c>
      <c r="M892">
        <v>21</v>
      </c>
      <c r="N892" t="s">
        <v>45</v>
      </c>
      <c r="O892" t="s">
        <v>91</v>
      </c>
      <c r="P892" t="s">
        <v>54</v>
      </c>
      <c r="Q892" t="s">
        <v>32</v>
      </c>
    </row>
    <row r="893" spans="1:17" x14ac:dyDescent="0.3">
      <c r="A893" t="s">
        <v>4502</v>
      </c>
      <c r="B893" t="s">
        <v>4503</v>
      </c>
      <c r="C893">
        <v>50</v>
      </c>
      <c r="D893" t="s">
        <v>4504</v>
      </c>
      <c r="E893" t="s">
        <v>88</v>
      </c>
      <c r="F893" t="s">
        <v>2201</v>
      </c>
      <c r="G893" t="s">
        <v>4505</v>
      </c>
      <c r="H893">
        <v>0</v>
      </c>
      <c r="I893" t="s">
        <v>27</v>
      </c>
      <c r="J893" s="86">
        <v>45635</v>
      </c>
      <c r="K893">
        <v>90.22</v>
      </c>
      <c r="L893">
        <v>9</v>
      </c>
      <c r="M893">
        <v>5</v>
      </c>
      <c r="N893" t="s">
        <v>68</v>
      </c>
      <c r="O893" t="s">
        <v>223</v>
      </c>
      <c r="P893" t="s">
        <v>56</v>
      </c>
      <c r="Q893" t="s">
        <v>32</v>
      </c>
    </row>
    <row r="894" spans="1:17" x14ac:dyDescent="0.3">
      <c r="A894" t="s">
        <v>4507</v>
      </c>
      <c r="B894" t="s">
        <v>4508</v>
      </c>
      <c r="C894">
        <v>55</v>
      </c>
      <c r="D894" t="s">
        <v>4509</v>
      </c>
      <c r="E894" t="s">
        <v>95</v>
      </c>
      <c r="F894" t="s">
        <v>3831</v>
      </c>
      <c r="G894" t="s">
        <v>846</v>
      </c>
      <c r="H894">
        <v>1</v>
      </c>
      <c r="I894" t="s">
        <v>64</v>
      </c>
      <c r="J894" s="86">
        <v>44322</v>
      </c>
      <c r="K894">
        <v>571.94000000000005</v>
      </c>
      <c r="L894">
        <v>3</v>
      </c>
      <c r="M894">
        <v>24</v>
      </c>
      <c r="N894" t="s">
        <v>45</v>
      </c>
      <c r="O894" t="s">
        <v>373</v>
      </c>
      <c r="P894" t="s">
        <v>54</v>
      </c>
      <c r="Q894" t="s">
        <v>32</v>
      </c>
    </row>
    <row r="895" spans="1:17" x14ac:dyDescent="0.3">
      <c r="A895" t="s">
        <v>4511</v>
      </c>
      <c r="B895" t="s">
        <v>4512</v>
      </c>
      <c r="C895">
        <v>35</v>
      </c>
      <c r="D895" t="s">
        <v>4513</v>
      </c>
      <c r="E895" t="s">
        <v>61</v>
      </c>
      <c r="F895" s="86">
        <v>44512</v>
      </c>
      <c r="G895" t="s">
        <v>1095</v>
      </c>
      <c r="H895">
        <v>0</v>
      </c>
      <c r="I895" t="s">
        <v>52</v>
      </c>
      <c r="J895" t="s">
        <v>1725</v>
      </c>
      <c r="K895">
        <v>294.41000000000003</v>
      </c>
      <c r="L895">
        <v>5</v>
      </c>
      <c r="M895">
        <v>32</v>
      </c>
      <c r="N895" t="s">
        <v>45</v>
      </c>
      <c r="O895" t="s">
        <v>44</v>
      </c>
      <c r="P895" t="s">
        <v>45</v>
      </c>
      <c r="Q895" t="s">
        <v>32</v>
      </c>
    </row>
    <row r="896" spans="1:17" x14ac:dyDescent="0.3">
      <c r="A896" t="s">
        <v>4515</v>
      </c>
      <c r="B896" t="s">
        <v>4516</v>
      </c>
      <c r="C896">
        <v>21</v>
      </c>
      <c r="D896" t="s">
        <v>4517</v>
      </c>
      <c r="E896" t="s">
        <v>51</v>
      </c>
      <c r="F896" t="s">
        <v>3921</v>
      </c>
      <c r="G896" s="86">
        <v>45482</v>
      </c>
      <c r="H896">
        <v>0</v>
      </c>
      <c r="I896" t="s">
        <v>64</v>
      </c>
      <c r="J896" t="s">
        <v>1100</v>
      </c>
      <c r="K896">
        <v>68.209999999999994</v>
      </c>
      <c r="L896">
        <v>7</v>
      </c>
      <c r="M896">
        <v>22</v>
      </c>
      <c r="N896" t="s">
        <v>56</v>
      </c>
      <c r="O896" t="s">
        <v>610</v>
      </c>
      <c r="P896" t="s">
        <v>68</v>
      </c>
      <c r="Q896" t="s">
        <v>322</v>
      </c>
    </row>
    <row r="897" spans="1:17" x14ac:dyDescent="0.3">
      <c r="A897" t="s">
        <v>4518</v>
      </c>
      <c r="B897" t="s">
        <v>4519</v>
      </c>
      <c r="C897">
        <v>51</v>
      </c>
      <c r="D897" t="s">
        <v>4520</v>
      </c>
      <c r="E897" t="s">
        <v>88</v>
      </c>
      <c r="F897" t="s">
        <v>1923</v>
      </c>
      <c r="G897" t="s">
        <v>2790</v>
      </c>
      <c r="H897">
        <v>2</v>
      </c>
      <c r="I897" t="s">
        <v>27</v>
      </c>
      <c r="J897" t="s">
        <v>2579</v>
      </c>
      <c r="K897">
        <v>134.68</v>
      </c>
      <c r="L897">
        <v>3</v>
      </c>
      <c r="M897">
        <v>31</v>
      </c>
      <c r="N897" t="s">
        <v>68</v>
      </c>
      <c r="O897" t="s">
        <v>175</v>
      </c>
      <c r="P897" t="s">
        <v>56</v>
      </c>
      <c r="Q897" t="s">
        <v>32</v>
      </c>
    </row>
    <row r="898" spans="1:17" x14ac:dyDescent="0.3">
      <c r="A898" t="s">
        <v>4522</v>
      </c>
      <c r="B898" t="s">
        <v>4523</v>
      </c>
      <c r="C898">
        <v>50</v>
      </c>
      <c r="D898" t="s">
        <v>4524</v>
      </c>
      <c r="E898" t="s">
        <v>51</v>
      </c>
      <c r="F898" s="86">
        <v>44632</v>
      </c>
      <c r="G898" t="s">
        <v>1064</v>
      </c>
      <c r="H898">
        <v>5</v>
      </c>
      <c r="I898" t="s">
        <v>27</v>
      </c>
      <c r="J898" s="86">
        <v>45144</v>
      </c>
      <c r="K898">
        <v>295.07</v>
      </c>
      <c r="L898">
        <v>5</v>
      </c>
      <c r="M898">
        <v>42</v>
      </c>
      <c r="N898" t="s">
        <v>45</v>
      </c>
      <c r="O898" t="s">
        <v>597</v>
      </c>
      <c r="P898" t="s">
        <v>45</v>
      </c>
      <c r="Q898" t="s">
        <v>322</v>
      </c>
    </row>
    <row r="899" spans="1:17" x14ac:dyDescent="0.3">
      <c r="A899" t="s">
        <v>4526</v>
      </c>
      <c r="B899" t="s">
        <v>4527</v>
      </c>
      <c r="C899">
        <v>44</v>
      </c>
      <c r="D899" t="s">
        <v>4528</v>
      </c>
      <c r="E899" t="s">
        <v>51</v>
      </c>
      <c r="F899" s="86">
        <v>44472</v>
      </c>
      <c r="G899" s="86">
        <v>45598</v>
      </c>
      <c r="H899">
        <v>5</v>
      </c>
      <c r="I899" t="s">
        <v>27</v>
      </c>
      <c r="J899" t="s">
        <v>3972</v>
      </c>
      <c r="K899">
        <v>168.3</v>
      </c>
      <c r="L899">
        <v>9</v>
      </c>
      <c r="M899">
        <v>17</v>
      </c>
      <c r="N899" t="s">
        <v>68</v>
      </c>
      <c r="O899" t="s">
        <v>31</v>
      </c>
      <c r="P899" t="s">
        <v>30</v>
      </c>
      <c r="Q899" t="s">
        <v>32</v>
      </c>
    </row>
    <row r="900" spans="1:17" x14ac:dyDescent="0.3">
      <c r="A900" t="s">
        <v>4530</v>
      </c>
      <c r="B900" t="s">
        <v>4531</v>
      </c>
      <c r="C900">
        <v>39</v>
      </c>
      <c r="D900" t="s">
        <v>4532</v>
      </c>
      <c r="E900" t="s">
        <v>61</v>
      </c>
      <c r="F900" t="s">
        <v>4533</v>
      </c>
      <c r="G900" t="s">
        <v>339</v>
      </c>
      <c r="H900">
        <v>3</v>
      </c>
      <c r="I900" t="s">
        <v>64</v>
      </c>
      <c r="J900" s="86">
        <v>44595</v>
      </c>
      <c r="K900">
        <v>134.51</v>
      </c>
      <c r="L900">
        <v>9</v>
      </c>
      <c r="M900">
        <v>32</v>
      </c>
      <c r="N900" t="s">
        <v>54</v>
      </c>
      <c r="O900" t="s">
        <v>624</v>
      </c>
      <c r="P900" t="s">
        <v>30</v>
      </c>
      <c r="Q900" t="s">
        <v>69</v>
      </c>
    </row>
    <row r="901" spans="1:17" x14ac:dyDescent="0.3">
      <c r="A901" t="s">
        <v>4535</v>
      </c>
      <c r="B901" t="s">
        <v>4536</v>
      </c>
      <c r="C901">
        <v>50</v>
      </c>
      <c r="D901" t="s">
        <v>4537</v>
      </c>
      <c r="E901" t="s">
        <v>40</v>
      </c>
      <c r="F901" t="s">
        <v>4538</v>
      </c>
      <c r="G901" s="86">
        <v>44654</v>
      </c>
      <c r="H901">
        <v>1</v>
      </c>
      <c r="I901" t="s">
        <v>52</v>
      </c>
      <c r="J901" t="s">
        <v>4539</v>
      </c>
      <c r="K901">
        <v>203.05</v>
      </c>
      <c r="L901">
        <v>7</v>
      </c>
      <c r="M901">
        <v>43</v>
      </c>
      <c r="N901" t="s">
        <v>54</v>
      </c>
      <c r="O901" t="s">
        <v>231</v>
      </c>
      <c r="P901" t="s">
        <v>30</v>
      </c>
      <c r="Q901" t="s">
        <v>69</v>
      </c>
    </row>
    <row r="902" spans="1:17" x14ac:dyDescent="0.3">
      <c r="A902" t="s">
        <v>4540</v>
      </c>
      <c r="B902" t="s">
        <v>4541</v>
      </c>
      <c r="C902">
        <v>32</v>
      </c>
      <c r="D902" t="s">
        <v>4542</v>
      </c>
      <c r="E902" t="s">
        <v>40</v>
      </c>
      <c r="F902" s="86">
        <v>45233</v>
      </c>
      <c r="G902" s="86">
        <v>45505</v>
      </c>
      <c r="H902">
        <v>2</v>
      </c>
      <c r="I902" t="s">
        <v>27</v>
      </c>
      <c r="J902" t="s">
        <v>1617</v>
      </c>
      <c r="K902">
        <v>645.38</v>
      </c>
      <c r="L902">
        <v>3</v>
      </c>
      <c r="M902">
        <v>9</v>
      </c>
      <c r="N902" t="s">
        <v>68</v>
      </c>
      <c r="O902" t="s">
        <v>199</v>
      </c>
      <c r="P902" t="s">
        <v>54</v>
      </c>
      <c r="Q902" t="s">
        <v>69</v>
      </c>
    </row>
    <row r="903" spans="1:17" x14ac:dyDescent="0.3">
      <c r="A903" t="s">
        <v>4544</v>
      </c>
      <c r="B903" t="s">
        <v>4545</v>
      </c>
      <c r="C903">
        <v>64</v>
      </c>
      <c r="D903" t="s">
        <v>4546</v>
      </c>
      <c r="E903" t="s">
        <v>88</v>
      </c>
      <c r="F903" s="86">
        <v>44086</v>
      </c>
      <c r="G903" t="s">
        <v>4547</v>
      </c>
      <c r="H903">
        <v>1</v>
      </c>
      <c r="I903" t="s">
        <v>27</v>
      </c>
      <c r="J903" t="s">
        <v>2388</v>
      </c>
      <c r="K903">
        <v>395.81</v>
      </c>
      <c r="L903">
        <v>4</v>
      </c>
      <c r="M903">
        <v>44</v>
      </c>
      <c r="N903" t="s">
        <v>54</v>
      </c>
      <c r="O903" t="s">
        <v>77</v>
      </c>
      <c r="P903" t="s">
        <v>54</v>
      </c>
      <c r="Q903" t="s">
        <v>69</v>
      </c>
    </row>
    <row r="904" spans="1:17" x14ac:dyDescent="0.3">
      <c r="A904" t="s">
        <v>4549</v>
      </c>
      <c r="B904" t="s">
        <v>4550</v>
      </c>
      <c r="C904">
        <v>32</v>
      </c>
      <c r="D904" t="s">
        <v>4551</v>
      </c>
      <c r="E904" t="s">
        <v>95</v>
      </c>
      <c r="F904" s="86">
        <v>44960</v>
      </c>
      <c r="G904" t="s">
        <v>154</v>
      </c>
      <c r="H904">
        <v>5</v>
      </c>
      <c r="I904" t="s">
        <v>27</v>
      </c>
      <c r="J904" s="86">
        <v>45638</v>
      </c>
      <c r="K904">
        <v>326.37</v>
      </c>
      <c r="L904">
        <v>4</v>
      </c>
      <c r="M904">
        <v>2</v>
      </c>
      <c r="N904" t="s">
        <v>30</v>
      </c>
      <c r="O904" t="s">
        <v>223</v>
      </c>
      <c r="P904" t="s">
        <v>56</v>
      </c>
      <c r="Q904" t="s">
        <v>69</v>
      </c>
    </row>
    <row r="905" spans="1:17" x14ac:dyDescent="0.3">
      <c r="A905" t="s">
        <v>4553</v>
      </c>
      <c r="B905" t="s">
        <v>4554</v>
      </c>
      <c r="C905">
        <v>20</v>
      </c>
      <c r="D905" t="s">
        <v>4555</v>
      </c>
      <c r="E905" t="s">
        <v>61</v>
      </c>
      <c r="F905" t="s">
        <v>2201</v>
      </c>
      <c r="G905" s="86">
        <v>45573</v>
      </c>
      <c r="H905">
        <v>1</v>
      </c>
      <c r="I905" t="s">
        <v>27</v>
      </c>
      <c r="J905" t="s">
        <v>659</v>
      </c>
      <c r="K905">
        <v>1200.43</v>
      </c>
      <c r="L905">
        <v>1</v>
      </c>
      <c r="M905">
        <v>31</v>
      </c>
      <c r="N905" t="s">
        <v>30</v>
      </c>
      <c r="O905" t="s">
        <v>821</v>
      </c>
      <c r="P905" t="s">
        <v>68</v>
      </c>
      <c r="Q905" t="s">
        <v>32</v>
      </c>
    </row>
    <row r="906" spans="1:17" x14ac:dyDescent="0.3">
      <c r="A906" t="s">
        <v>4557</v>
      </c>
      <c r="B906" t="s">
        <v>4558</v>
      </c>
      <c r="C906">
        <v>44</v>
      </c>
      <c r="D906" t="s">
        <v>4559</v>
      </c>
      <c r="E906" t="s">
        <v>40</v>
      </c>
      <c r="F906" t="s">
        <v>1210</v>
      </c>
      <c r="G906" s="86">
        <v>45963</v>
      </c>
      <c r="H906">
        <v>2</v>
      </c>
      <c r="I906" t="s">
        <v>27</v>
      </c>
      <c r="J906" t="s">
        <v>846</v>
      </c>
      <c r="K906">
        <v>772.71</v>
      </c>
      <c r="L906">
        <v>2</v>
      </c>
      <c r="M906">
        <v>4</v>
      </c>
      <c r="N906" t="s">
        <v>68</v>
      </c>
      <c r="O906" t="s">
        <v>199</v>
      </c>
      <c r="P906" t="s">
        <v>54</v>
      </c>
      <c r="Q906" t="s">
        <v>32</v>
      </c>
    </row>
    <row r="907" spans="1:17" x14ac:dyDescent="0.3">
      <c r="A907" t="s">
        <v>4561</v>
      </c>
      <c r="B907" t="s">
        <v>4562</v>
      </c>
      <c r="C907">
        <v>40</v>
      </c>
      <c r="D907" t="s">
        <v>4563</v>
      </c>
      <c r="E907" t="s">
        <v>40</v>
      </c>
      <c r="F907" s="86">
        <v>44021</v>
      </c>
      <c r="G907" s="86">
        <v>45998</v>
      </c>
      <c r="H907">
        <v>4</v>
      </c>
      <c r="I907" t="s">
        <v>27</v>
      </c>
      <c r="J907" t="s">
        <v>1031</v>
      </c>
      <c r="K907">
        <v>23.66</v>
      </c>
      <c r="L907">
        <v>7</v>
      </c>
      <c r="M907">
        <v>46</v>
      </c>
      <c r="N907" t="s">
        <v>45</v>
      </c>
      <c r="O907" t="s">
        <v>418</v>
      </c>
      <c r="P907" t="s">
        <v>56</v>
      </c>
      <c r="Q907" t="s">
        <v>32</v>
      </c>
    </row>
    <row r="908" spans="1:17" x14ac:dyDescent="0.3">
      <c r="A908" t="s">
        <v>4565</v>
      </c>
      <c r="B908" t="s">
        <v>4566</v>
      </c>
      <c r="C908">
        <v>24</v>
      </c>
      <c r="D908" t="s">
        <v>4567</v>
      </c>
      <c r="E908" t="s">
        <v>88</v>
      </c>
      <c r="F908" t="s">
        <v>841</v>
      </c>
      <c r="G908" s="86">
        <v>45962</v>
      </c>
      <c r="H908">
        <v>4</v>
      </c>
      <c r="I908" t="s">
        <v>27</v>
      </c>
      <c r="J908" s="86">
        <v>45478</v>
      </c>
      <c r="K908">
        <v>285.94</v>
      </c>
      <c r="L908">
        <v>6</v>
      </c>
      <c r="M908">
        <v>31</v>
      </c>
      <c r="N908" t="s">
        <v>68</v>
      </c>
      <c r="O908" t="s">
        <v>837</v>
      </c>
      <c r="P908" t="s">
        <v>56</v>
      </c>
      <c r="Q908" t="s">
        <v>69</v>
      </c>
    </row>
    <row r="909" spans="1:17" x14ac:dyDescent="0.3">
      <c r="A909" t="s">
        <v>4569</v>
      </c>
      <c r="B909" t="s">
        <v>4570</v>
      </c>
      <c r="C909">
        <v>21</v>
      </c>
      <c r="D909" t="s">
        <v>4571</v>
      </c>
      <c r="E909" t="s">
        <v>95</v>
      </c>
      <c r="F909" t="s">
        <v>3340</v>
      </c>
      <c r="G909" t="s">
        <v>4572</v>
      </c>
      <c r="H909">
        <v>1</v>
      </c>
      <c r="I909" t="s">
        <v>27</v>
      </c>
      <c r="J909" s="86">
        <v>45969</v>
      </c>
      <c r="K909">
        <v>412.26</v>
      </c>
      <c r="L909">
        <v>4</v>
      </c>
      <c r="M909">
        <v>9</v>
      </c>
      <c r="N909" t="s">
        <v>45</v>
      </c>
      <c r="O909" t="s">
        <v>175</v>
      </c>
      <c r="P909" t="s">
        <v>56</v>
      </c>
      <c r="Q909" t="s">
        <v>32</v>
      </c>
    </row>
    <row r="910" spans="1:17" x14ac:dyDescent="0.3">
      <c r="A910" t="s">
        <v>4574</v>
      </c>
      <c r="B910" t="s">
        <v>4575</v>
      </c>
      <c r="C910">
        <v>54</v>
      </c>
      <c r="D910" t="s">
        <v>4576</v>
      </c>
      <c r="E910" t="s">
        <v>88</v>
      </c>
      <c r="F910" s="86">
        <v>44262</v>
      </c>
      <c r="G910" t="s">
        <v>1519</v>
      </c>
      <c r="H910">
        <v>3</v>
      </c>
      <c r="I910" t="s">
        <v>27</v>
      </c>
      <c r="J910" t="s">
        <v>2658</v>
      </c>
      <c r="K910">
        <v>111.59</v>
      </c>
      <c r="L910">
        <v>7</v>
      </c>
      <c r="M910">
        <v>42</v>
      </c>
      <c r="N910" t="s">
        <v>30</v>
      </c>
      <c r="O910" t="s">
        <v>366</v>
      </c>
      <c r="P910" t="s">
        <v>54</v>
      </c>
      <c r="Q910" t="s">
        <v>69</v>
      </c>
    </row>
    <row r="911" spans="1:17" x14ac:dyDescent="0.3">
      <c r="A911" t="s">
        <v>4578</v>
      </c>
      <c r="B911" t="s">
        <v>4579</v>
      </c>
      <c r="C911">
        <v>23</v>
      </c>
      <c r="D911" t="s">
        <v>4580</v>
      </c>
      <c r="E911" t="s">
        <v>40</v>
      </c>
      <c r="F911" t="s">
        <v>4581</v>
      </c>
      <c r="G911" t="s">
        <v>4582</v>
      </c>
      <c r="H911">
        <v>5</v>
      </c>
      <c r="I911" t="s">
        <v>27</v>
      </c>
      <c r="J911" s="86">
        <v>45148</v>
      </c>
      <c r="K911">
        <v>135.86000000000001</v>
      </c>
      <c r="L911">
        <v>7</v>
      </c>
      <c r="M911">
        <v>29</v>
      </c>
      <c r="N911" t="s">
        <v>68</v>
      </c>
      <c r="O911" t="s">
        <v>425</v>
      </c>
      <c r="P911" t="s">
        <v>30</v>
      </c>
      <c r="Q911" t="s">
        <v>69</v>
      </c>
    </row>
    <row r="912" spans="1:17" x14ac:dyDescent="0.3">
      <c r="A912" t="s">
        <v>4584</v>
      </c>
      <c r="B912" t="s">
        <v>4585</v>
      </c>
      <c r="C912">
        <v>64</v>
      </c>
      <c r="D912" t="s">
        <v>4586</v>
      </c>
      <c r="E912" t="s">
        <v>95</v>
      </c>
      <c r="F912" s="86">
        <v>44420</v>
      </c>
      <c r="G912" s="86">
        <v>44747</v>
      </c>
      <c r="H912">
        <v>3</v>
      </c>
      <c r="I912" t="s">
        <v>64</v>
      </c>
      <c r="J912" s="86">
        <v>45511</v>
      </c>
      <c r="K912">
        <v>652.41</v>
      </c>
      <c r="L912">
        <v>3</v>
      </c>
      <c r="M912">
        <v>26</v>
      </c>
      <c r="N912" t="s">
        <v>56</v>
      </c>
      <c r="O912" t="s">
        <v>122</v>
      </c>
      <c r="P912" t="s">
        <v>30</v>
      </c>
      <c r="Q912" t="s">
        <v>32</v>
      </c>
    </row>
    <row r="913" spans="1:17" x14ac:dyDescent="0.3">
      <c r="A913" t="s">
        <v>4588</v>
      </c>
      <c r="B913" t="s">
        <v>4589</v>
      </c>
      <c r="C913">
        <v>62</v>
      </c>
      <c r="D913" t="s">
        <v>4590</v>
      </c>
      <c r="E913" t="s">
        <v>25</v>
      </c>
      <c r="F913" t="s">
        <v>939</v>
      </c>
      <c r="G913" s="86">
        <v>45386</v>
      </c>
      <c r="H913">
        <v>3</v>
      </c>
      <c r="I913" t="s">
        <v>27</v>
      </c>
      <c r="J913" s="86">
        <v>44967</v>
      </c>
      <c r="K913">
        <v>27.29</v>
      </c>
      <c r="L913">
        <v>7</v>
      </c>
      <c r="M913">
        <v>34</v>
      </c>
      <c r="N913" t="s">
        <v>30</v>
      </c>
      <c r="O913" t="s">
        <v>175</v>
      </c>
      <c r="P913" t="s">
        <v>56</v>
      </c>
      <c r="Q913" t="s">
        <v>32</v>
      </c>
    </row>
    <row r="914" spans="1:17" x14ac:dyDescent="0.3">
      <c r="A914" t="s">
        <v>4592</v>
      </c>
      <c r="B914" t="s">
        <v>4593</v>
      </c>
      <c r="C914">
        <v>23</v>
      </c>
      <c r="D914" t="s">
        <v>4594</v>
      </c>
      <c r="E914" t="s">
        <v>40</v>
      </c>
      <c r="F914" s="86">
        <v>45020</v>
      </c>
      <c r="G914" t="s">
        <v>2368</v>
      </c>
      <c r="H914">
        <v>1</v>
      </c>
      <c r="I914" t="s">
        <v>52</v>
      </c>
      <c r="J914" t="s">
        <v>4595</v>
      </c>
      <c r="K914">
        <v>113.52</v>
      </c>
      <c r="L914">
        <v>8</v>
      </c>
      <c r="M914">
        <v>43</v>
      </c>
      <c r="N914" t="s">
        <v>54</v>
      </c>
      <c r="O914" t="s">
        <v>99</v>
      </c>
      <c r="P914" t="s">
        <v>56</v>
      </c>
      <c r="Q914" t="s">
        <v>32</v>
      </c>
    </row>
    <row r="915" spans="1:17" x14ac:dyDescent="0.3">
      <c r="A915" t="s">
        <v>4596</v>
      </c>
      <c r="B915" t="s">
        <v>4597</v>
      </c>
      <c r="C915">
        <v>28</v>
      </c>
      <c r="D915" t="s">
        <v>4598</v>
      </c>
      <c r="E915" t="s">
        <v>61</v>
      </c>
      <c r="F915" s="86">
        <v>45145</v>
      </c>
      <c r="G915" s="86">
        <v>45659</v>
      </c>
      <c r="H915">
        <v>3</v>
      </c>
      <c r="I915" t="s">
        <v>52</v>
      </c>
      <c r="J915" t="s">
        <v>1971</v>
      </c>
      <c r="K915">
        <v>162.82</v>
      </c>
      <c r="L915">
        <v>4</v>
      </c>
      <c r="M915">
        <v>11</v>
      </c>
      <c r="N915" t="s">
        <v>45</v>
      </c>
      <c r="O915" t="s">
        <v>199</v>
      </c>
      <c r="P915" t="s">
        <v>54</v>
      </c>
      <c r="Q915" t="s">
        <v>69</v>
      </c>
    </row>
    <row r="916" spans="1:17" x14ac:dyDescent="0.3">
      <c r="A916" t="s">
        <v>4600</v>
      </c>
      <c r="B916" t="s">
        <v>4601</v>
      </c>
      <c r="C916">
        <v>63</v>
      </c>
      <c r="D916" t="s">
        <v>4602</v>
      </c>
      <c r="E916" t="s">
        <v>88</v>
      </c>
      <c r="F916" t="s">
        <v>2533</v>
      </c>
      <c r="G916" s="86">
        <v>45546</v>
      </c>
      <c r="H916">
        <v>5</v>
      </c>
      <c r="I916" t="s">
        <v>52</v>
      </c>
      <c r="J916" t="s">
        <v>4603</v>
      </c>
      <c r="K916">
        <v>12.45</v>
      </c>
      <c r="L916">
        <v>8</v>
      </c>
      <c r="M916">
        <v>8</v>
      </c>
      <c r="N916" t="s">
        <v>56</v>
      </c>
      <c r="O916" t="s">
        <v>354</v>
      </c>
      <c r="P916" t="s">
        <v>45</v>
      </c>
      <c r="Q916" t="s">
        <v>32</v>
      </c>
    </row>
    <row r="917" spans="1:17" x14ac:dyDescent="0.3">
      <c r="A917" t="s">
        <v>4605</v>
      </c>
      <c r="B917" t="s">
        <v>4606</v>
      </c>
      <c r="C917">
        <v>38</v>
      </c>
      <c r="D917" t="s">
        <v>4607</v>
      </c>
      <c r="E917" t="s">
        <v>40</v>
      </c>
      <c r="F917" s="86">
        <v>44744</v>
      </c>
      <c r="G917" t="s">
        <v>4608</v>
      </c>
      <c r="H917">
        <v>0</v>
      </c>
      <c r="I917" t="s">
        <v>52</v>
      </c>
      <c r="J917" s="86">
        <v>44927</v>
      </c>
      <c r="K917">
        <v>105.53</v>
      </c>
      <c r="L917">
        <v>2</v>
      </c>
      <c r="M917">
        <v>26</v>
      </c>
      <c r="N917" t="s">
        <v>30</v>
      </c>
      <c r="O917" t="s">
        <v>837</v>
      </c>
      <c r="P917" t="s">
        <v>56</v>
      </c>
      <c r="Q917" t="s">
        <v>32</v>
      </c>
    </row>
    <row r="918" spans="1:17" x14ac:dyDescent="0.3">
      <c r="A918" t="s">
        <v>4610</v>
      </c>
      <c r="B918" t="s">
        <v>4611</v>
      </c>
      <c r="C918">
        <v>51</v>
      </c>
      <c r="D918" t="s">
        <v>4612</v>
      </c>
      <c r="E918" t="s">
        <v>40</v>
      </c>
      <c r="F918" s="86">
        <v>44872</v>
      </c>
      <c r="G918" t="s">
        <v>4613</v>
      </c>
      <c r="H918">
        <v>5</v>
      </c>
      <c r="I918" t="s">
        <v>52</v>
      </c>
      <c r="J918" t="s">
        <v>284</v>
      </c>
      <c r="K918">
        <v>177.37</v>
      </c>
      <c r="L918">
        <v>9</v>
      </c>
      <c r="M918">
        <v>37</v>
      </c>
      <c r="N918" t="s">
        <v>45</v>
      </c>
      <c r="O918" t="s">
        <v>837</v>
      </c>
      <c r="P918" t="s">
        <v>56</v>
      </c>
      <c r="Q918" t="s">
        <v>32</v>
      </c>
    </row>
    <row r="919" spans="1:17" x14ac:dyDescent="0.3">
      <c r="A919" t="s">
        <v>4615</v>
      </c>
      <c r="B919" t="s">
        <v>4616</v>
      </c>
      <c r="C919">
        <v>67</v>
      </c>
      <c r="D919" t="s">
        <v>4617</v>
      </c>
      <c r="E919" t="s">
        <v>25</v>
      </c>
      <c r="F919" t="s">
        <v>4618</v>
      </c>
      <c r="G919" t="s">
        <v>1154</v>
      </c>
      <c r="H919">
        <v>5</v>
      </c>
      <c r="I919" t="s">
        <v>27</v>
      </c>
      <c r="J919" t="s">
        <v>2035</v>
      </c>
      <c r="K919">
        <v>236.75</v>
      </c>
      <c r="L919">
        <v>1</v>
      </c>
      <c r="M919">
        <v>24</v>
      </c>
      <c r="N919" t="s">
        <v>68</v>
      </c>
      <c r="O919" t="s">
        <v>245</v>
      </c>
      <c r="P919" t="s">
        <v>54</v>
      </c>
      <c r="Q919" t="s">
        <v>69</v>
      </c>
    </row>
    <row r="920" spans="1:17" x14ac:dyDescent="0.3">
      <c r="A920" t="s">
        <v>4620</v>
      </c>
      <c r="B920" t="s">
        <v>4621</v>
      </c>
      <c r="C920">
        <v>51</v>
      </c>
      <c r="D920" t="s">
        <v>4622</v>
      </c>
      <c r="E920" t="s">
        <v>51</v>
      </c>
      <c r="F920" s="86">
        <v>44876</v>
      </c>
      <c r="G920" t="s">
        <v>3948</v>
      </c>
      <c r="H920">
        <v>0</v>
      </c>
      <c r="I920" t="s">
        <v>27</v>
      </c>
      <c r="J920" s="86">
        <v>45419</v>
      </c>
      <c r="K920">
        <v>89.84</v>
      </c>
      <c r="L920">
        <v>6</v>
      </c>
      <c r="M920">
        <v>43</v>
      </c>
      <c r="N920" t="s">
        <v>56</v>
      </c>
      <c r="O920" t="s">
        <v>122</v>
      </c>
      <c r="P920" t="s">
        <v>30</v>
      </c>
      <c r="Q920" t="s">
        <v>32</v>
      </c>
    </row>
    <row r="921" spans="1:17" x14ac:dyDescent="0.3">
      <c r="A921" t="s">
        <v>4624</v>
      </c>
      <c r="B921" t="s">
        <v>4625</v>
      </c>
      <c r="C921">
        <v>31</v>
      </c>
      <c r="D921" t="s">
        <v>4626</v>
      </c>
      <c r="E921" t="s">
        <v>51</v>
      </c>
      <c r="F921" t="s">
        <v>4627</v>
      </c>
      <c r="G921" t="s">
        <v>1425</v>
      </c>
      <c r="H921">
        <v>5</v>
      </c>
      <c r="I921" t="s">
        <v>27</v>
      </c>
      <c r="J921" s="86">
        <v>44354</v>
      </c>
      <c r="K921">
        <v>236.87</v>
      </c>
      <c r="L921">
        <v>8</v>
      </c>
      <c r="M921">
        <v>40</v>
      </c>
      <c r="N921" t="s">
        <v>54</v>
      </c>
      <c r="O921" t="s">
        <v>175</v>
      </c>
      <c r="P921" t="s">
        <v>56</v>
      </c>
      <c r="Q921" t="s">
        <v>32</v>
      </c>
    </row>
    <row r="922" spans="1:17" x14ac:dyDescent="0.3">
      <c r="A922" t="s">
        <v>4629</v>
      </c>
      <c r="B922" t="s">
        <v>4630</v>
      </c>
      <c r="C922">
        <v>48</v>
      </c>
      <c r="D922" t="s">
        <v>4631</v>
      </c>
      <c r="E922" t="s">
        <v>51</v>
      </c>
      <c r="F922" s="86">
        <v>44839</v>
      </c>
      <c r="G922" s="86">
        <v>45181</v>
      </c>
      <c r="H922">
        <v>2</v>
      </c>
      <c r="I922" t="s">
        <v>52</v>
      </c>
      <c r="J922" s="86">
        <v>45717</v>
      </c>
      <c r="K922">
        <v>485.77</v>
      </c>
      <c r="L922">
        <v>4</v>
      </c>
      <c r="M922">
        <v>49</v>
      </c>
      <c r="N922" t="s">
        <v>54</v>
      </c>
      <c r="O922" t="s">
        <v>855</v>
      </c>
      <c r="P922" t="s">
        <v>45</v>
      </c>
      <c r="Q922" t="s">
        <v>69</v>
      </c>
    </row>
    <row r="923" spans="1:17" x14ac:dyDescent="0.3">
      <c r="A923" t="s">
        <v>4633</v>
      </c>
      <c r="B923" t="s">
        <v>4634</v>
      </c>
      <c r="C923">
        <v>36</v>
      </c>
      <c r="D923" t="s">
        <v>4635</v>
      </c>
      <c r="E923" t="s">
        <v>61</v>
      </c>
      <c r="F923" t="s">
        <v>745</v>
      </c>
      <c r="G923" t="s">
        <v>1976</v>
      </c>
      <c r="H923">
        <v>5</v>
      </c>
      <c r="I923" t="s">
        <v>27</v>
      </c>
      <c r="J923" s="86">
        <v>45084</v>
      </c>
      <c r="K923">
        <v>223.3</v>
      </c>
      <c r="L923">
        <v>6</v>
      </c>
      <c r="M923">
        <v>22</v>
      </c>
      <c r="N923" t="s">
        <v>45</v>
      </c>
      <c r="O923" t="s">
        <v>624</v>
      </c>
      <c r="P923" t="s">
        <v>30</v>
      </c>
      <c r="Q923" t="s">
        <v>69</v>
      </c>
    </row>
    <row r="924" spans="1:17" x14ac:dyDescent="0.3">
      <c r="A924" t="s">
        <v>4637</v>
      </c>
      <c r="B924" t="s">
        <v>4638</v>
      </c>
      <c r="C924">
        <v>68</v>
      </c>
      <c r="D924" t="s">
        <v>4639</v>
      </c>
      <c r="E924" t="s">
        <v>25</v>
      </c>
      <c r="F924" s="86">
        <v>43842</v>
      </c>
      <c r="G924" t="s">
        <v>3251</v>
      </c>
      <c r="H924">
        <v>2</v>
      </c>
      <c r="I924" t="s">
        <v>52</v>
      </c>
      <c r="J924" s="86">
        <v>44990</v>
      </c>
      <c r="K924">
        <v>141.79</v>
      </c>
      <c r="L924">
        <v>8</v>
      </c>
      <c r="M924">
        <v>17</v>
      </c>
      <c r="N924" t="s">
        <v>56</v>
      </c>
      <c r="O924" t="s">
        <v>354</v>
      </c>
      <c r="P924" t="s">
        <v>45</v>
      </c>
      <c r="Q924" t="s">
        <v>32</v>
      </c>
    </row>
    <row r="925" spans="1:17" x14ac:dyDescent="0.3">
      <c r="A925" t="s">
        <v>4641</v>
      </c>
      <c r="B925" t="s">
        <v>4642</v>
      </c>
      <c r="C925">
        <v>44</v>
      </c>
      <c r="D925" t="s">
        <v>4643</v>
      </c>
      <c r="E925" t="s">
        <v>40</v>
      </c>
      <c r="F925" s="86">
        <v>44320</v>
      </c>
      <c r="G925" s="86">
        <v>44595</v>
      </c>
      <c r="H925">
        <v>4</v>
      </c>
      <c r="I925" t="s">
        <v>27</v>
      </c>
      <c r="J925" s="86">
        <v>45571</v>
      </c>
      <c r="K925">
        <v>316.20999999999998</v>
      </c>
      <c r="L925">
        <v>6</v>
      </c>
      <c r="M925">
        <v>22</v>
      </c>
      <c r="N925" t="s">
        <v>30</v>
      </c>
      <c r="O925" t="s">
        <v>251</v>
      </c>
      <c r="P925" t="s">
        <v>30</v>
      </c>
      <c r="Q925" t="s">
        <v>69</v>
      </c>
    </row>
    <row r="926" spans="1:17" x14ac:dyDescent="0.3">
      <c r="A926" t="s">
        <v>4645</v>
      </c>
      <c r="B926" t="s">
        <v>4646</v>
      </c>
      <c r="C926">
        <v>66</v>
      </c>
      <c r="D926" t="s">
        <v>4647</v>
      </c>
      <c r="E926" t="s">
        <v>95</v>
      </c>
      <c r="F926" t="s">
        <v>3460</v>
      </c>
      <c r="G926" s="86">
        <v>45874</v>
      </c>
      <c r="H926">
        <v>1</v>
      </c>
      <c r="I926" t="s">
        <v>27</v>
      </c>
      <c r="J926" s="86">
        <v>45843</v>
      </c>
      <c r="K926">
        <v>253.96</v>
      </c>
      <c r="L926">
        <v>1</v>
      </c>
      <c r="M926">
        <v>37</v>
      </c>
      <c r="N926" t="s">
        <v>56</v>
      </c>
      <c r="O926" t="s">
        <v>293</v>
      </c>
      <c r="P926" t="s">
        <v>45</v>
      </c>
      <c r="Q926" t="s">
        <v>32</v>
      </c>
    </row>
    <row r="927" spans="1:17" x14ac:dyDescent="0.3">
      <c r="A927" t="s">
        <v>4649</v>
      </c>
      <c r="B927" t="s">
        <v>4650</v>
      </c>
      <c r="C927">
        <v>33</v>
      </c>
      <c r="D927" t="s">
        <v>4651</v>
      </c>
      <c r="E927" t="s">
        <v>61</v>
      </c>
      <c r="F927" t="s">
        <v>945</v>
      </c>
      <c r="G927" t="s">
        <v>1227</v>
      </c>
      <c r="H927">
        <v>0</v>
      </c>
      <c r="I927" t="s">
        <v>64</v>
      </c>
      <c r="J927" t="s">
        <v>2625</v>
      </c>
      <c r="K927">
        <v>314.54000000000002</v>
      </c>
      <c r="L927">
        <v>1</v>
      </c>
      <c r="M927">
        <v>39</v>
      </c>
      <c r="N927" t="s">
        <v>54</v>
      </c>
      <c r="O927" t="s">
        <v>604</v>
      </c>
      <c r="P927" t="s">
        <v>45</v>
      </c>
      <c r="Q927" t="s">
        <v>32</v>
      </c>
    </row>
    <row r="928" spans="1:17" x14ac:dyDescent="0.3">
      <c r="A928" t="s">
        <v>4653</v>
      </c>
      <c r="B928" t="s">
        <v>4654</v>
      </c>
      <c r="C928">
        <v>44</v>
      </c>
      <c r="D928" t="s">
        <v>4655</v>
      </c>
      <c r="E928" t="s">
        <v>95</v>
      </c>
      <c r="F928" s="86">
        <v>44412</v>
      </c>
      <c r="G928" t="s">
        <v>883</v>
      </c>
      <c r="H928">
        <v>4</v>
      </c>
      <c r="I928" t="s">
        <v>27</v>
      </c>
      <c r="J928" s="86">
        <v>45241</v>
      </c>
      <c r="K928">
        <v>183.6</v>
      </c>
      <c r="L928">
        <v>7</v>
      </c>
      <c r="M928">
        <v>30</v>
      </c>
      <c r="N928" t="s">
        <v>56</v>
      </c>
      <c r="O928" t="s">
        <v>128</v>
      </c>
      <c r="P928" t="s">
        <v>54</v>
      </c>
      <c r="Q928" t="s">
        <v>322</v>
      </c>
    </row>
    <row r="929" spans="1:17" x14ac:dyDescent="0.3">
      <c r="A929" t="s">
        <v>4657</v>
      </c>
      <c r="B929" t="s">
        <v>4658</v>
      </c>
      <c r="C929">
        <v>54</v>
      </c>
      <c r="D929" t="s">
        <v>4659</v>
      </c>
      <c r="E929" t="s">
        <v>88</v>
      </c>
      <c r="F929" t="s">
        <v>4627</v>
      </c>
      <c r="G929" s="86">
        <v>45208</v>
      </c>
      <c r="H929">
        <v>3</v>
      </c>
      <c r="I929" t="s">
        <v>64</v>
      </c>
      <c r="J929" t="s">
        <v>318</v>
      </c>
      <c r="K929">
        <v>326.2</v>
      </c>
      <c r="L929">
        <v>5</v>
      </c>
      <c r="M929">
        <v>16</v>
      </c>
      <c r="N929" t="s">
        <v>45</v>
      </c>
      <c r="O929" t="s">
        <v>44</v>
      </c>
      <c r="P929" t="s">
        <v>45</v>
      </c>
      <c r="Q929" t="s">
        <v>32</v>
      </c>
    </row>
    <row r="930" spans="1:17" x14ac:dyDescent="0.3">
      <c r="A930" t="s">
        <v>4661</v>
      </c>
      <c r="B930" t="s">
        <v>4662</v>
      </c>
      <c r="C930">
        <v>19</v>
      </c>
      <c r="D930" t="s">
        <v>4663</v>
      </c>
      <c r="E930" t="s">
        <v>61</v>
      </c>
      <c r="F930" t="s">
        <v>1436</v>
      </c>
      <c r="G930" t="s">
        <v>1026</v>
      </c>
      <c r="H930">
        <v>1</v>
      </c>
      <c r="I930" t="s">
        <v>64</v>
      </c>
      <c r="J930" t="s">
        <v>4664</v>
      </c>
      <c r="K930">
        <v>203.29</v>
      </c>
      <c r="L930">
        <v>9</v>
      </c>
      <c r="M930">
        <v>8</v>
      </c>
      <c r="N930" t="s">
        <v>54</v>
      </c>
      <c r="O930" t="s">
        <v>67</v>
      </c>
      <c r="P930" t="s">
        <v>68</v>
      </c>
      <c r="Q930" t="s">
        <v>69</v>
      </c>
    </row>
    <row r="931" spans="1:17" x14ac:dyDescent="0.3">
      <c r="A931" t="s">
        <v>4666</v>
      </c>
      <c r="B931" t="s">
        <v>4667</v>
      </c>
      <c r="C931">
        <v>21</v>
      </c>
      <c r="D931" t="s">
        <v>4668</v>
      </c>
      <c r="E931" t="s">
        <v>95</v>
      </c>
      <c r="F931" t="s">
        <v>3846</v>
      </c>
      <c r="G931" s="86">
        <v>44566</v>
      </c>
      <c r="H931">
        <v>0</v>
      </c>
      <c r="I931" t="s">
        <v>27</v>
      </c>
      <c r="J931" t="s">
        <v>4302</v>
      </c>
      <c r="K931">
        <v>287.98</v>
      </c>
      <c r="L931">
        <v>4</v>
      </c>
      <c r="M931">
        <v>38</v>
      </c>
      <c r="N931" t="s">
        <v>54</v>
      </c>
      <c r="O931" t="s">
        <v>418</v>
      </c>
      <c r="P931" t="s">
        <v>56</v>
      </c>
      <c r="Q931" t="s">
        <v>322</v>
      </c>
    </row>
    <row r="932" spans="1:17" x14ac:dyDescent="0.3">
      <c r="A932" t="s">
        <v>4670</v>
      </c>
      <c r="B932" t="s">
        <v>4671</v>
      </c>
      <c r="C932">
        <v>42</v>
      </c>
      <c r="D932" t="s">
        <v>4672</v>
      </c>
      <c r="E932" t="s">
        <v>51</v>
      </c>
      <c r="F932" t="s">
        <v>326</v>
      </c>
      <c r="G932" t="s">
        <v>4608</v>
      </c>
      <c r="H932">
        <v>3</v>
      </c>
      <c r="I932" t="s">
        <v>27</v>
      </c>
      <c r="J932" s="86">
        <v>45513</v>
      </c>
      <c r="K932">
        <v>1187.1500000000001</v>
      </c>
      <c r="L932">
        <v>1</v>
      </c>
      <c r="M932">
        <v>37</v>
      </c>
      <c r="N932" t="s">
        <v>68</v>
      </c>
      <c r="O932" t="s">
        <v>135</v>
      </c>
      <c r="P932" t="s">
        <v>45</v>
      </c>
      <c r="Q932" t="s">
        <v>32</v>
      </c>
    </row>
    <row r="933" spans="1:17" x14ac:dyDescent="0.3">
      <c r="A933" t="s">
        <v>4674</v>
      </c>
      <c r="B933" t="s">
        <v>4675</v>
      </c>
      <c r="C933">
        <v>31</v>
      </c>
      <c r="D933" t="s">
        <v>4676</v>
      </c>
      <c r="E933" t="s">
        <v>40</v>
      </c>
      <c r="F933" t="s">
        <v>1982</v>
      </c>
      <c r="G933" t="s">
        <v>1546</v>
      </c>
      <c r="H933">
        <v>1</v>
      </c>
      <c r="I933" t="s">
        <v>27</v>
      </c>
      <c r="J933" t="s">
        <v>2685</v>
      </c>
      <c r="K933">
        <v>41.26</v>
      </c>
      <c r="L933">
        <v>2</v>
      </c>
      <c r="M933">
        <v>43</v>
      </c>
      <c r="N933" t="s">
        <v>54</v>
      </c>
      <c r="O933" t="s">
        <v>231</v>
      </c>
      <c r="P933" t="s">
        <v>30</v>
      </c>
      <c r="Q933" t="s">
        <v>32</v>
      </c>
    </row>
    <row r="934" spans="1:17" x14ac:dyDescent="0.3">
      <c r="A934" t="s">
        <v>4678</v>
      </c>
      <c r="B934" t="s">
        <v>4679</v>
      </c>
      <c r="C934">
        <v>25</v>
      </c>
      <c r="D934" t="s">
        <v>4680</v>
      </c>
      <c r="E934" t="s">
        <v>95</v>
      </c>
      <c r="F934" s="86">
        <v>44021</v>
      </c>
      <c r="G934" t="s">
        <v>4186</v>
      </c>
      <c r="H934">
        <v>5</v>
      </c>
      <c r="I934" t="s">
        <v>27</v>
      </c>
      <c r="J934" t="s">
        <v>3412</v>
      </c>
      <c r="K934">
        <v>442.11</v>
      </c>
      <c r="L934">
        <v>4</v>
      </c>
      <c r="M934">
        <v>32</v>
      </c>
      <c r="N934" t="s">
        <v>30</v>
      </c>
      <c r="O934" t="s">
        <v>821</v>
      </c>
      <c r="P934" t="s">
        <v>68</v>
      </c>
      <c r="Q934" t="s">
        <v>69</v>
      </c>
    </row>
    <row r="935" spans="1:17" x14ac:dyDescent="0.3">
      <c r="A935" t="s">
        <v>4682</v>
      </c>
      <c r="B935" t="s">
        <v>4683</v>
      </c>
      <c r="C935">
        <v>21</v>
      </c>
      <c r="D935" t="s">
        <v>4684</v>
      </c>
      <c r="E935" t="s">
        <v>25</v>
      </c>
      <c r="F935" s="86">
        <v>44417</v>
      </c>
      <c r="G935" t="s">
        <v>4685</v>
      </c>
      <c r="H935">
        <v>0</v>
      </c>
      <c r="I935" t="s">
        <v>27</v>
      </c>
      <c r="J935" t="s">
        <v>2828</v>
      </c>
      <c r="K935">
        <v>157.4</v>
      </c>
      <c r="L935">
        <v>7</v>
      </c>
      <c r="M935">
        <v>45</v>
      </c>
      <c r="N935" t="s">
        <v>30</v>
      </c>
      <c r="O935" t="s">
        <v>211</v>
      </c>
      <c r="P935" t="s">
        <v>68</v>
      </c>
      <c r="Q935" t="s">
        <v>69</v>
      </c>
    </row>
    <row r="936" spans="1:17" x14ac:dyDescent="0.3">
      <c r="A936" t="s">
        <v>4686</v>
      </c>
      <c r="B936" t="s">
        <v>4687</v>
      </c>
      <c r="C936">
        <v>30</v>
      </c>
      <c r="D936" t="s">
        <v>4688</v>
      </c>
      <c r="E936" t="s">
        <v>40</v>
      </c>
      <c r="F936" s="86">
        <v>44684</v>
      </c>
      <c r="G936" s="86">
        <v>45873</v>
      </c>
      <c r="H936">
        <v>0</v>
      </c>
      <c r="I936" t="s">
        <v>27</v>
      </c>
      <c r="J936" s="86">
        <v>45543</v>
      </c>
      <c r="K936">
        <v>840.86</v>
      </c>
      <c r="L936">
        <v>2</v>
      </c>
      <c r="M936">
        <v>21</v>
      </c>
      <c r="N936" t="s">
        <v>45</v>
      </c>
      <c r="O936" t="s">
        <v>231</v>
      </c>
      <c r="P936" t="s">
        <v>30</v>
      </c>
      <c r="Q936" t="s">
        <v>32</v>
      </c>
    </row>
    <row r="937" spans="1:17" x14ac:dyDescent="0.3">
      <c r="A937" t="s">
        <v>4690</v>
      </c>
      <c r="B937" t="s">
        <v>4691</v>
      </c>
      <c r="C937">
        <v>43</v>
      </c>
      <c r="D937" t="s">
        <v>4692</v>
      </c>
      <c r="E937" t="s">
        <v>25</v>
      </c>
      <c r="F937" t="s">
        <v>4693</v>
      </c>
      <c r="G937" s="86">
        <v>45417</v>
      </c>
      <c r="H937">
        <v>3</v>
      </c>
      <c r="I937" t="s">
        <v>64</v>
      </c>
      <c r="J937" t="s">
        <v>1174</v>
      </c>
      <c r="K937">
        <v>267.94</v>
      </c>
      <c r="L937">
        <v>6</v>
      </c>
      <c r="M937">
        <v>40</v>
      </c>
      <c r="N937" t="s">
        <v>30</v>
      </c>
      <c r="O937" t="s">
        <v>44</v>
      </c>
      <c r="P937" t="s">
        <v>45</v>
      </c>
      <c r="Q937" t="s">
        <v>32</v>
      </c>
    </row>
    <row r="938" spans="1:17" x14ac:dyDescent="0.3">
      <c r="A938" t="s">
        <v>4695</v>
      </c>
      <c r="B938" t="s">
        <v>4696</v>
      </c>
      <c r="C938">
        <v>40</v>
      </c>
      <c r="D938" t="s">
        <v>4697</v>
      </c>
      <c r="E938" t="s">
        <v>95</v>
      </c>
      <c r="F938" t="s">
        <v>4698</v>
      </c>
      <c r="G938" t="s">
        <v>1811</v>
      </c>
      <c r="H938">
        <v>5</v>
      </c>
      <c r="I938" t="s">
        <v>27</v>
      </c>
      <c r="J938" t="s">
        <v>2550</v>
      </c>
      <c r="K938">
        <v>221.07</v>
      </c>
      <c r="L938">
        <v>8</v>
      </c>
      <c r="M938">
        <v>27</v>
      </c>
      <c r="N938" t="s">
        <v>56</v>
      </c>
      <c r="O938" t="s">
        <v>238</v>
      </c>
      <c r="P938" t="s">
        <v>45</v>
      </c>
      <c r="Q938" t="s">
        <v>69</v>
      </c>
    </row>
    <row r="939" spans="1:17" x14ac:dyDescent="0.3">
      <c r="A939" t="s">
        <v>4700</v>
      </c>
      <c r="B939" t="s">
        <v>4701</v>
      </c>
      <c r="C939">
        <v>52</v>
      </c>
      <c r="D939" t="s">
        <v>4702</v>
      </c>
      <c r="E939" t="s">
        <v>88</v>
      </c>
      <c r="F939" t="s">
        <v>4703</v>
      </c>
      <c r="G939" t="s">
        <v>468</v>
      </c>
      <c r="H939">
        <v>0</v>
      </c>
      <c r="I939" t="s">
        <v>52</v>
      </c>
      <c r="J939" s="86">
        <v>45694</v>
      </c>
      <c r="K939">
        <v>198.6</v>
      </c>
      <c r="L939">
        <v>4</v>
      </c>
      <c r="M939">
        <v>47</v>
      </c>
      <c r="N939" t="s">
        <v>54</v>
      </c>
      <c r="O939" t="s">
        <v>269</v>
      </c>
      <c r="P939" t="s">
        <v>56</v>
      </c>
      <c r="Q939" t="s">
        <v>69</v>
      </c>
    </row>
    <row r="940" spans="1:17" x14ac:dyDescent="0.3">
      <c r="A940" t="s">
        <v>4705</v>
      </c>
      <c r="B940" t="s">
        <v>4706</v>
      </c>
      <c r="C940">
        <v>69</v>
      </c>
      <c r="D940" t="s">
        <v>4707</v>
      </c>
      <c r="E940" t="s">
        <v>25</v>
      </c>
      <c r="F940" s="86">
        <v>43963</v>
      </c>
      <c r="G940" t="s">
        <v>1454</v>
      </c>
      <c r="H940">
        <v>1</v>
      </c>
      <c r="I940" t="s">
        <v>27</v>
      </c>
      <c r="J940" s="86">
        <v>44781</v>
      </c>
      <c r="K940">
        <v>1782.82</v>
      </c>
      <c r="L940">
        <v>1</v>
      </c>
      <c r="M940">
        <v>47</v>
      </c>
      <c r="N940" t="s">
        <v>30</v>
      </c>
      <c r="O940" t="s">
        <v>122</v>
      </c>
      <c r="P940" t="s">
        <v>30</v>
      </c>
      <c r="Q940" t="s">
        <v>32</v>
      </c>
    </row>
    <row r="941" spans="1:17" x14ac:dyDescent="0.3">
      <c r="A941" t="s">
        <v>4709</v>
      </c>
      <c r="B941" t="s">
        <v>4710</v>
      </c>
      <c r="C941">
        <v>45</v>
      </c>
      <c r="D941" t="s">
        <v>4711</v>
      </c>
      <c r="E941" t="s">
        <v>51</v>
      </c>
      <c r="F941" t="s">
        <v>4712</v>
      </c>
      <c r="G941" t="s">
        <v>4713</v>
      </c>
      <c r="H941">
        <v>3</v>
      </c>
      <c r="I941" t="s">
        <v>52</v>
      </c>
      <c r="J941" t="s">
        <v>670</v>
      </c>
      <c r="K941">
        <v>246.91</v>
      </c>
      <c r="L941">
        <v>7</v>
      </c>
      <c r="M941">
        <v>25</v>
      </c>
      <c r="N941" t="s">
        <v>45</v>
      </c>
      <c r="O941" t="s">
        <v>91</v>
      </c>
      <c r="P941" t="s">
        <v>54</v>
      </c>
      <c r="Q941" t="s">
        <v>69</v>
      </c>
    </row>
    <row r="942" spans="1:17" x14ac:dyDescent="0.3">
      <c r="A942" t="s">
        <v>4715</v>
      </c>
      <c r="B942" t="s">
        <v>4716</v>
      </c>
      <c r="C942">
        <v>26</v>
      </c>
      <c r="D942" t="s">
        <v>4717</v>
      </c>
      <c r="E942" t="s">
        <v>51</v>
      </c>
      <c r="F942" s="86">
        <v>44415</v>
      </c>
      <c r="G942" t="s">
        <v>1143</v>
      </c>
      <c r="H942">
        <v>0</v>
      </c>
      <c r="I942" t="s">
        <v>64</v>
      </c>
      <c r="J942" s="86">
        <v>45606</v>
      </c>
      <c r="K942">
        <v>41.5</v>
      </c>
      <c r="L942">
        <v>7</v>
      </c>
      <c r="M942">
        <v>7</v>
      </c>
      <c r="N942" t="s">
        <v>54</v>
      </c>
      <c r="O942" t="s">
        <v>169</v>
      </c>
      <c r="P942" t="s">
        <v>30</v>
      </c>
      <c r="Q942" t="s">
        <v>69</v>
      </c>
    </row>
    <row r="943" spans="1:17" x14ac:dyDescent="0.3">
      <c r="A943" t="s">
        <v>4719</v>
      </c>
      <c r="B943" t="s">
        <v>4720</v>
      </c>
      <c r="C943">
        <v>27</v>
      </c>
      <c r="D943" t="s">
        <v>4721</v>
      </c>
      <c r="E943" t="s">
        <v>40</v>
      </c>
      <c r="F943" s="86">
        <v>44723</v>
      </c>
      <c r="G943" t="s">
        <v>2035</v>
      </c>
      <c r="H943">
        <v>3</v>
      </c>
      <c r="I943" t="s">
        <v>27</v>
      </c>
      <c r="J943" s="86">
        <v>44965</v>
      </c>
      <c r="K943">
        <v>49.54</v>
      </c>
      <c r="L943">
        <v>5</v>
      </c>
      <c r="M943">
        <v>2</v>
      </c>
      <c r="N943" t="s">
        <v>54</v>
      </c>
      <c r="O943" t="s">
        <v>169</v>
      </c>
      <c r="P943" t="s">
        <v>30</v>
      </c>
      <c r="Q943" t="s">
        <v>69</v>
      </c>
    </row>
    <row r="944" spans="1:17" x14ac:dyDescent="0.3">
      <c r="A944" t="s">
        <v>4723</v>
      </c>
      <c r="B944" t="s">
        <v>4724</v>
      </c>
      <c r="C944">
        <v>56</v>
      </c>
      <c r="D944" t="s">
        <v>4725</v>
      </c>
      <c r="E944" t="s">
        <v>95</v>
      </c>
      <c r="F944" s="86">
        <v>44717</v>
      </c>
      <c r="G944" t="s">
        <v>4726</v>
      </c>
      <c r="H944">
        <v>1</v>
      </c>
      <c r="I944" t="s">
        <v>27</v>
      </c>
      <c r="J944" t="s">
        <v>670</v>
      </c>
      <c r="K944">
        <v>394.99</v>
      </c>
      <c r="L944">
        <v>5</v>
      </c>
      <c r="M944">
        <v>35</v>
      </c>
      <c r="N944" t="s">
        <v>45</v>
      </c>
      <c r="O944" t="s">
        <v>99</v>
      </c>
      <c r="P944" t="s">
        <v>56</v>
      </c>
      <c r="Q944" t="s">
        <v>32</v>
      </c>
    </row>
    <row r="945" spans="1:17" x14ac:dyDescent="0.3">
      <c r="A945" t="s">
        <v>4728</v>
      </c>
      <c r="B945" t="s">
        <v>4729</v>
      </c>
      <c r="C945">
        <v>38</v>
      </c>
      <c r="D945" t="s">
        <v>4730</v>
      </c>
      <c r="E945" t="s">
        <v>88</v>
      </c>
      <c r="F945" t="s">
        <v>4731</v>
      </c>
      <c r="G945" s="86">
        <v>45020</v>
      </c>
      <c r="H945">
        <v>0</v>
      </c>
      <c r="I945" t="s">
        <v>27</v>
      </c>
      <c r="J945" s="86">
        <v>45025</v>
      </c>
      <c r="K945">
        <v>117.48</v>
      </c>
      <c r="L945">
        <v>6</v>
      </c>
      <c r="M945">
        <v>47</v>
      </c>
      <c r="N945" t="s">
        <v>45</v>
      </c>
      <c r="O945" t="s">
        <v>624</v>
      </c>
      <c r="P945" t="s">
        <v>30</v>
      </c>
      <c r="Q945" t="s">
        <v>32</v>
      </c>
    </row>
    <row r="946" spans="1:17" x14ac:dyDescent="0.3">
      <c r="A946" t="s">
        <v>4733</v>
      </c>
      <c r="B946" t="s">
        <v>4734</v>
      </c>
      <c r="C946">
        <v>33</v>
      </c>
      <c r="D946" t="s">
        <v>4735</v>
      </c>
      <c r="E946" t="s">
        <v>61</v>
      </c>
      <c r="F946" t="s">
        <v>1464</v>
      </c>
      <c r="G946" t="s">
        <v>1442</v>
      </c>
      <c r="H946">
        <v>5</v>
      </c>
      <c r="I946" t="s">
        <v>52</v>
      </c>
      <c r="J946" s="86">
        <v>44414</v>
      </c>
      <c r="K946">
        <v>262.89</v>
      </c>
      <c r="L946">
        <v>4</v>
      </c>
      <c r="M946">
        <v>14</v>
      </c>
      <c r="N946" t="s">
        <v>45</v>
      </c>
      <c r="O946" t="s">
        <v>31</v>
      </c>
      <c r="P946" t="s">
        <v>30</v>
      </c>
      <c r="Q946" t="s">
        <v>69</v>
      </c>
    </row>
    <row r="947" spans="1:17" x14ac:dyDescent="0.3">
      <c r="A947" t="s">
        <v>4736</v>
      </c>
      <c r="B947" t="s">
        <v>4737</v>
      </c>
      <c r="C947">
        <v>19</v>
      </c>
      <c r="D947" t="s">
        <v>4738</v>
      </c>
      <c r="E947" t="s">
        <v>25</v>
      </c>
      <c r="F947" s="86">
        <v>44685</v>
      </c>
      <c r="G947" s="86">
        <v>44754</v>
      </c>
      <c r="H947">
        <v>0</v>
      </c>
      <c r="I947" t="s">
        <v>64</v>
      </c>
      <c r="J947" t="s">
        <v>4147</v>
      </c>
      <c r="K947">
        <v>113.64</v>
      </c>
      <c r="L947">
        <v>9</v>
      </c>
      <c r="M947">
        <v>17</v>
      </c>
      <c r="N947" t="s">
        <v>54</v>
      </c>
      <c r="O947" t="s">
        <v>536</v>
      </c>
      <c r="P947" t="s">
        <v>68</v>
      </c>
      <c r="Q947" t="s">
        <v>69</v>
      </c>
    </row>
    <row r="948" spans="1:17" x14ac:dyDescent="0.3">
      <c r="A948" t="s">
        <v>4740</v>
      </c>
      <c r="B948" t="s">
        <v>4741</v>
      </c>
      <c r="C948">
        <v>44</v>
      </c>
      <c r="D948" t="s">
        <v>4742</v>
      </c>
      <c r="E948" t="s">
        <v>88</v>
      </c>
      <c r="F948" t="s">
        <v>2588</v>
      </c>
      <c r="G948" t="s">
        <v>4359</v>
      </c>
      <c r="H948">
        <v>1</v>
      </c>
      <c r="I948" t="s">
        <v>64</v>
      </c>
      <c r="J948" t="s">
        <v>4743</v>
      </c>
      <c r="K948">
        <v>871.85</v>
      </c>
      <c r="L948">
        <v>2</v>
      </c>
      <c r="M948">
        <v>23</v>
      </c>
      <c r="N948" t="s">
        <v>54</v>
      </c>
      <c r="O948" t="s">
        <v>194</v>
      </c>
      <c r="P948" t="s">
        <v>56</v>
      </c>
      <c r="Q948" t="s">
        <v>32</v>
      </c>
    </row>
    <row r="949" spans="1:17" x14ac:dyDescent="0.3">
      <c r="A949" t="s">
        <v>4745</v>
      </c>
      <c r="B949" t="s">
        <v>4746</v>
      </c>
      <c r="C949">
        <v>69</v>
      </c>
      <c r="D949" t="s">
        <v>4747</v>
      </c>
      <c r="E949" t="s">
        <v>40</v>
      </c>
      <c r="F949" t="s">
        <v>803</v>
      </c>
      <c r="G949" t="s">
        <v>1122</v>
      </c>
      <c r="H949">
        <v>5</v>
      </c>
      <c r="I949" t="s">
        <v>27</v>
      </c>
      <c r="J949" t="s">
        <v>1143</v>
      </c>
      <c r="K949">
        <v>470.37</v>
      </c>
      <c r="L949">
        <v>3</v>
      </c>
      <c r="M949">
        <v>37</v>
      </c>
      <c r="N949" t="s">
        <v>54</v>
      </c>
      <c r="O949" t="s">
        <v>245</v>
      </c>
      <c r="P949" t="s">
        <v>54</v>
      </c>
      <c r="Q949" t="s">
        <v>69</v>
      </c>
    </row>
    <row r="950" spans="1:17" x14ac:dyDescent="0.3">
      <c r="A950" t="s">
        <v>4749</v>
      </c>
      <c r="B950" t="s">
        <v>4750</v>
      </c>
      <c r="C950">
        <v>39</v>
      </c>
      <c r="D950" t="s">
        <v>4751</v>
      </c>
      <c r="E950" t="s">
        <v>40</v>
      </c>
      <c r="F950" s="86">
        <v>44147</v>
      </c>
      <c r="G950" s="86">
        <v>44383</v>
      </c>
      <c r="H950">
        <v>5</v>
      </c>
      <c r="I950" t="s">
        <v>27</v>
      </c>
      <c r="J950" t="s">
        <v>1090</v>
      </c>
      <c r="K950">
        <v>349.45</v>
      </c>
      <c r="L950">
        <v>5</v>
      </c>
      <c r="M950">
        <v>22</v>
      </c>
      <c r="N950" t="s">
        <v>54</v>
      </c>
      <c r="O950" t="s">
        <v>149</v>
      </c>
      <c r="P950" t="s">
        <v>30</v>
      </c>
      <c r="Q950" t="s">
        <v>69</v>
      </c>
    </row>
    <row r="951" spans="1:17" x14ac:dyDescent="0.3">
      <c r="A951" t="s">
        <v>4753</v>
      </c>
      <c r="B951" t="s">
        <v>4754</v>
      </c>
      <c r="C951">
        <v>67</v>
      </c>
      <c r="D951" t="s">
        <v>4755</v>
      </c>
      <c r="E951" t="s">
        <v>61</v>
      </c>
      <c r="F951" t="s">
        <v>894</v>
      </c>
      <c r="G951" t="s">
        <v>808</v>
      </c>
      <c r="H951">
        <v>0</v>
      </c>
      <c r="I951" t="s">
        <v>64</v>
      </c>
      <c r="J951" t="s">
        <v>566</v>
      </c>
      <c r="K951">
        <v>246.71</v>
      </c>
      <c r="L951">
        <v>6</v>
      </c>
      <c r="M951">
        <v>12</v>
      </c>
      <c r="N951" t="s">
        <v>56</v>
      </c>
      <c r="O951" t="s">
        <v>142</v>
      </c>
      <c r="P951" t="s">
        <v>68</v>
      </c>
      <c r="Q951" t="s">
        <v>32</v>
      </c>
    </row>
    <row r="952" spans="1:17" x14ac:dyDescent="0.3">
      <c r="A952" t="s">
        <v>4757</v>
      </c>
      <c r="B952" t="s">
        <v>4758</v>
      </c>
      <c r="C952">
        <v>22</v>
      </c>
      <c r="D952" t="s">
        <v>4759</v>
      </c>
      <c r="E952" t="s">
        <v>88</v>
      </c>
      <c r="F952" s="86">
        <v>45173</v>
      </c>
      <c r="G952" t="s">
        <v>4760</v>
      </c>
      <c r="H952">
        <v>2</v>
      </c>
      <c r="I952" t="s">
        <v>27</v>
      </c>
      <c r="J952" t="s">
        <v>1929</v>
      </c>
      <c r="K952">
        <v>219.88</v>
      </c>
      <c r="L952">
        <v>4</v>
      </c>
      <c r="M952">
        <v>48</v>
      </c>
      <c r="N952" t="s">
        <v>56</v>
      </c>
      <c r="O952" t="s">
        <v>837</v>
      </c>
      <c r="P952" t="s">
        <v>56</v>
      </c>
      <c r="Q952" t="s">
        <v>69</v>
      </c>
    </row>
    <row r="953" spans="1:17" x14ac:dyDescent="0.3">
      <c r="A953" t="s">
        <v>4762</v>
      </c>
      <c r="B953" t="s">
        <v>4763</v>
      </c>
      <c r="C953">
        <v>57</v>
      </c>
      <c r="D953" t="s">
        <v>4764</v>
      </c>
      <c r="E953" t="s">
        <v>25</v>
      </c>
      <c r="F953" s="86">
        <v>44813</v>
      </c>
      <c r="G953" s="86">
        <v>44966</v>
      </c>
      <c r="H953">
        <v>5</v>
      </c>
      <c r="I953" t="s">
        <v>27</v>
      </c>
      <c r="J953" s="86">
        <v>44875</v>
      </c>
      <c r="K953">
        <v>38.9</v>
      </c>
      <c r="L953">
        <v>7</v>
      </c>
      <c r="M953">
        <v>48</v>
      </c>
      <c r="N953" t="s">
        <v>30</v>
      </c>
      <c r="O953" t="s">
        <v>135</v>
      </c>
      <c r="P953" t="s">
        <v>45</v>
      </c>
      <c r="Q953" t="s">
        <v>32</v>
      </c>
    </row>
    <row r="954" spans="1:17" x14ac:dyDescent="0.3">
      <c r="A954" t="s">
        <v>4766</v>
      </c>
      <c r="B954" t="s">
        <v>4767</v>
      </c>
      <c r="C954">
        <v>18</v>
      </c>
      <c r="D954" t="s">
        <v>4768</v>
      </c>
      <c r="E954" t="s">
        <v>51</v>
      </c>
      <c r="F954" t="s">
        <v>1836</v>
      </c>
      <c r="G954" t="s">
        <v>669</v>
      </c>
      <c r="H954">
        <v>5</v>
      </c>
      <c r="I954" t="s">
        <v>27</v>
      </c>
      <c r="J954" t="s">
        <v>2763</v>
      </c>
      <c r="K954">
        <v>235.66</v>
      </c>
      <c r="L954">
        <v>6</v>
      </c>
      <c r="M954">
        <v>9</v>
      </c>
      <c r="N954" t="s">
        <v>56</v>
      </c>
      <c r="O954" t="s">
        <v>536</v>
      </c>
      <c r="P954" t="s">
        <v>68</v>
      </c>
      <c r="Q954" t="s">
        <v>69</v>
      </c>
    </row>
    <row r="955" spans="1:17" x14ac:dyDescent="0.3">
      <c r="A955" t="s">
        <v>4770</v>
      </c>
      <c r="B955" t="s">
        <v>4771</v>
      </c>
      <c r="C955">
        <v>30</v>
      </c>
      <c r="D955" t="s">
        <v>4772</v>
      </c>
      <c r="E955" t="s">
        <v>25</v>
      </c>
      <c r="F955" t="s">
        <v>4773</v>
      </c>
      <c r="G955" t="s">
        <v>2956</v>
      </c>
      <c r="H955">
        <v>1</v>
      </c>
      <c r="I955" t="s">
        <v>27</v>
      </c>
      <c r="J955" t="s">
        <v>1899</v>
      </c>
      <c r="K955">
        <v>1880.02</v>
      </c>
      <c r="L955">
        <v>1</v>
      </c>
      <c r="M955">
        <v>48</v>
      </c>
      <c r="N955" t="s">
        <v>56</v>
      </c>
      <c r="O955" t="s">
        <v>293</v>
      </c>
      <c r="P955" t="s">
        <v>45</v>
      </c>
      <c r="Q955" t="s">
        <v>32</v>
      </c>
    </row>
    <row r="956" spans="1:17" x14ac:dyDescent="0.3">
      <c r="A956" t="s">
        <v>4775</v>
      </c>
      <c r="B956" t="s">
        <v>4776</v>
      </c>
      <c r="C956">
        <v>64</v>
      </c>
      <c r="D956" t="s">
        <v>4777</v>
      </c>
      <c r="E956" t="s">
        <v>51</v>
      </c>
      <c r="F956" t="s">
        <v>740</v>
      </c>
      <c r="G956" t="s">
        <v>1005</v>
      </c>
      <c r="H956">
        <v>4</v>
      </c>
      <c r="I956" t="s">
        <v>52</v>
      </c>
      <c r="J956" t="s">
        <v>622</v>
      </c>
      <c r="K956">
        <v>55.52</v>
      </c>
      <c r="L956">
        <v>9</v>
      </c>
      <c r="M956">
        <v>42</v>
      </c>
      <c r="N956" t="s">
        <v>30</v>
      </c>
      <c r="O956" t="s">
        <v>169</v>
      </c>
      <c r="P956" t="s">
        <v>30</v>
      </c>
      <c r="Q956" t="s">
        <v>69</v>
      </c>
    </row>
    <row r="957" spans="1:17" x14ac:dyDescent="0.3">
      <c r="A957" t="s">
        <v>4779</v>
      </c>
      <c r="B957" t="s">
        <v>4780</v>
      </c>
      <c r="C957">
        <v>45</v>
      </c>
      <c r="D957" t="s">
        <v>4781</v>
      </c>
      <c r="E957" t="s">
        <v>40</v>
      </c>
      <c r="F957" s="86">
        <v>45234</v>
      </c>
      <c r="G957" s="86">
        <v>45902</v>
      </c>
      <c r="H957">
        <v>1</v>
      </c>
      <c r="I957" t="s">
        <v>27</v>
      </c>
      <c r="J957" t="s">
        <v>675</v>
      </c>
      <c r="K957">
        <v>73.02</v>
      </c>
      <c r="L957">
        <v>6</v>
      </c>
      <c r="M957">
        <v>21</v>
      </c>
      <c r="N957" t="s">
        <v>68</v>
      </c>
      <c r="O957" t="s">
        <v>142</v>
      </c>
      <c r="P957" t="s">
        <v>68</v>
      </c>
      <c r="Q957" t="s">
        <v>32</v>
      </c>
    </row>
    <row r="958" spans="1:17" x14ac:dyDescent="0.3">
      <c r="A958" t="s">
        <v>4783</v>
      </c>
      <c r="B958" t="s">
        <v>4784</v>
      </c>
      <c r="C958">
        <v>58</v>
      </c>
      <c r="D958" t="s">
        <v>4785</v>
      </c>
      <c r="E958" t="s">
        <v>51</v>
      </c>
      <c r="F958" t="s">
        <v>4786</v>
      </c>
      <c r="G958" t="s">
        <v>1929</v>
      </c>
      <c r="H958">
        <v>3</v>
      </c>
      <c r="I958" t="s">
        <v>27</v>
      </c>
      <c r="J958" s="86">
        <v>45140</v>
      </c>
      <c r="K958">
        <v>1802.85</v>
      </c>
      <c r="L958">
        <v>1</v>
      </c>
      <c r="M958">
        <v>37</v>
      </c>
      <c r="N958" t="s">
        <v>54</v>
      </c>
      <c r="O958" t="s">
        <v>223</v>
      </c>
      <c r="P958" t="s">
        <v>56</v>
      </c>
      <c r="Q958" t="s">
        <v>69</v>
      </c>
    </row>
    <row r="959" spans="1:17" x14ac:dyDescent="0.3">
      <c r="A959" t="s">
        <v>4788</v>
      </c>
      <c r="B959" t="s">
        <v>4789</v>
      </c>
      <c r="C959">
        <v>21</v>
      </c>
      <c r="D959" t="s">
        <v>4790</v>
      </c>
      <c r="E959" t="s">
        <v>51</v>
      </c>
      <c r="F959" s="86">
        <v>44540</v>
      </c>
      <c r="G959" t="s">
        <v>1323</v>
      </c>
      <c r="H959">
        <v>5</v>
      </c>
      <c r="I959" t="s">
        <v>52</v>
      </c>
      <c r="J959" s="86">
        <v>45149</v>
      </c>
      <c r="K959">
        <v>778.38</v>
      </c>
      <c r="L959">
        <v>2</v>
      </c>
      <c r="M959">
        <v>28</v>
      </c>
      <c r="N959" t="s">
        <v>45</v>
      </c>
      <c r="O959" t="s">
        <v>175</v>
      </c>
      <c r="P959" t="s">
        <v>56</v>
      </c>
      <c r="Q959" t="s">
        <v>69</v>
      </c>
    </row>
    <row r="960" spans="1:17" x14ac:dyDescent="0.3">
      <c r="A960" t="s">
        <v>4792</v>
      </c>
      <c r="B960" t="s">
        <v>4793</v>
      </c>
      <c r="C960">
        <v>22</v>
      </c>
      <c r="D960" t="s">
        <v>4794</v>
      </c>
      <c r="E960" t="s">
        <v>51</v>
      </c>
      <c r="F960" t="s">
        <v>4795</v>
      </c>
      <c r="G960" t="s">
        <v>1075</v>
      </c>
      <c r="H960">
        <v>3</v>
      </c>
      <c r="I960" t="s">
        <v>52</v>
      </c>
      <c r="J960" t="s">
        <v>155</v>
      </c>
      <c r="K960">
        <v>128.13999999999999</v>
      </c>
      <c r="L960">
        <v>9</v>
      </c>
      <c r="M960">
        <v>9</v>
      </c>
      <c r="N960" t="s">
        <v>45</v>
      </c>
      <c r="O960" t="s">
        <v>366</v>
      </c>
      <c r="P960" t="s">
        <v>54</v>
      </c>
      <c r="Q960" t="s">
        <v>32</v>
      </c>
    </row>
    <row r="961" spans="1:17" x14ac:dyDescent="0.3">
      <c r="A961" t="s">
        <v>4797</v>
      </c>
      <c r="B961" t="s">
        <v>4798</v>
      </c>
      <c r="C961">
        <v>36</v>
      </c>
      <c r="D961" t="s">
        <v>4799</v>
      </c>
      <c r="E961" t="s">
        <v>88</v>
      </c>
      <c r="F961" s="86">
        <v>44235</v>
      </c>
      <c r="G961" s="86">
        <v>44780</v>
      </c>
      <c r="H961">
        <v>3</v>
      </c>
      <c r="I961" t="s">
        <v>27</v>
      </c>
      <c r="J961" s="86">
        <v>44969</v>
      </c>
      <c r="K961">
        <v>175.21</v>
      </c>
      <c r="L961">
        <v>7</v>
      </c>
      <c r="M961">
        <v>5</v>
      </c>
      <c r="N961" t="s">
        <v>54</v>
      </c>
      <c r="O961" t="s">
        <v>251</v>
      </c>
      <c r="P961" t="s">
        <v>30</v>
      </c>
      <c r="Q961" t="s">
        <v>32</v>
      </c>
    </row>
    <row r="962" spans="1:17" x14ac:dyDescent="0.3">
      <c r="A962" t="s">
        <v>4801</v>
      </c>
      <c r="B962" t="s">
        <v>4802</v>
      </c>
      <c r="C962">
        <v>24</v>
      </c>
      <c r="D962" t="s">
        <v>4803</v>
      </c>
      <c r="E962" t="s">
        <v>61</v>
      </c>
      <c r="F962" s="86">
        <v>43900</v>
      </c>
      <c r="G962" t="s">
        <v>319</v>
      </c>
      <c r="H962">
        <v>4</v>
      </c>
      <c r="I962" t="s">
        <v>52</v>
      </c>
      <c r="J962" t="s">
        <v>1811</v>
      </c>
      <c r="K962">
        <v>178.84</v>
      </c>
      <c r="L962">
        <v>3</v>
      </c>
      <c r="M962">
        <v>34</v>
      </c>
      <c r="N962" t="s">
        <v>30</v>
      </c>
      <c r="O962" t="s">
        <v>251</v>
      </c>
      <c r="P962" t="s">
        <v>30</v>
      </c>
      <c r="Q962" t="s">
        <v>69</v>
      </c>
    </row>
    <row r="963" spans="1:17" x14ac:dyDescent="0.3">
      <c r="A963" t="s">
        <v>4805</v>
      </c>
      <c r="B963" t="s">
        <v>4806</v>
      </c>
      <c r="C963">
        <v>65</v>
      </c>
      <c r="D963" t="s">
        <v>4807</v>
      </c>
      <c r="E963" t="s">
        <v>25</v>
      </c>
      <c r="F963" t="s">
        <v>1381</v>
      </c>
      <c r="G963" t="s">
        <v>994</v>
      </c>
      <c r="H963">
        <v>1</v>
      </c>
      <c r="I963" t="s">
        <v>27</v>
      </c>
      <c r="J963" t="s">
        <v>2763</v>
      </c>
      <c r="K963">
        <v>100.8</v>
      </c>
      <c r="L963">
        <v>6</v>
      </c>
      <c r="M963">
        <v>38</v>
      </c>
      <c r="N963" t="s">
        <v>68</v>
      </c>
      <c r="O963" t="s">
        <v>604</v>
      </c>
      <c r="P963" t="s">
        <v>45</v>
      </c>
      <c r="Q963" t="s">
        <v>32</v>
      </c>
    </row>
    <row r="964" spans="1:17" x14ac:dyDescent="0.3">
      <c r="A964" t="s">
        <v>4809</v>
      </c>
      <c r="B964" t="s">
        <v>4810</v>
      </c>
      <c r="C964">
        <v>56</v>
      </c>
      <c r="D964" t="s">
        <v>4811</v>
      </c>
      <c r="E964" t="s">
        <v>40</v>
      </c>
      <c r="F964" t="s">
        <v>4812</v>
      </c>
      <c r="G964" t="s">
        <v>2421</v>
      </c>
      <c r="H964">
        <v>0</v>
      </c>
      <c r="I964" t="s">
        <v>27</v>
      </c>
      <c r="J964" t="s">
        <v>1737</v>
      </c>
      <c r="K964">
        <v>469.18</v>
      </c>
      <c r="L964">
        <v>3</v>
      </c>
      <c r="M964">
        <v>12</v>
      </c>
      <c r="N964" t="s">
        <v>54</v>
      </c>
      <c r="O964" t="s">
        <v>77</v>
      </c>
      <c r="P964" t="s">
        <v>54</v>
      </c>
      <c r="Q964" t="s">
        <v>69</v>
      </c>
    </row>
    <row r="965" spans="1:17" x14ac:dyDescent="0.3">
      <c r="A965" t="s">
        <v>4814</v>
      </c>
      <c r="B965" t="s">
        <v>4815</v>
      </c>
      <c r="C965">
        <v>21</v>
      </c>
      <c r="D965" t="s">
        <v>4816</v>
      </c>
      <c r="E965" t="s">
        <v>61</v>
      </c>
      <c r="F965" t="s">
        <v>215</v>
      </c>
      <c r="G965" t="s">
        <v>1278</v>
      </c>
      <c r="H965">
        <v>1</v>
      </c>
      <c r="I965" t="s">
        <v>52</v>
      </c>
      <c r="J965" t="s">
        <v>4817</v>
      </c>
      <c r="K965">
        <v>395.18</v>
      </c>
      <c r="L965">
        <v>5</v>
      </c>
      <c r="M965">
        <v>7</v>
      </c>
      <c r="N965" t="s">
        <v>45</v>
      </c>
      <c r="O965" t="s">
        <v>175</v>
      </c>
      <c r="P965" t="s">
        <v>56</v>
      </c>
      <c r="Q965" t="s">
        <v>69</v>
      </c>
    </row>
    <row r="966" spans="1:17" x14ac:dyDescent="0.3">
      <c r="A966" t="s">
        <v>4819</v>
      </c>
      <c r="B966" t="s">
        <v>4820</v>
      </c>
      <c r="C966">
        <v>39</v>
      </c>
      <c r="D966" t="s">
        <v>4821</v>
      </c>
      <c r="E966" t="s">
        <v>25</v>
      </c>
      <c r="F966" t="s">
        <v>440</v>
      </c>
      <c r="G966" s="86">
        <v>45662</v>
      </c>
      <c r="H966">
        <v>3</v>
      </c>
      <c r="I966" t="s">
        <v>27</v>
      </c>
      <c r="J966" s="86">
        <v>45302</v>
      </c>
      <c r="K966">
        <v>66.900000000000006</v>
      </c>
      <c r="L966">
        <v>7</v>
      </c>
      <c r="M966">
        <v>5</v>
      </c>
      <c r="N966" t="s">
        <v>54</v>
      </c>
      <c r="O966" t="s">
        <v>223</v>
      </c>
      <c r="P966" t="s">
        <v>56</v>
      </c>
      <c r="Q966" t="s">
        <v>32</v>
      </c>
    </row>
    <row r="967" spans="1:17" x14ac:dyDescent="0.3">
      <c r="A967" t="s">
        <v>4823</v>
      </c>
      <c r="B967" t="s">
        <v>4824</v>
      </c>
      <c r="C967">
        <v>39</v>
      </c>
      <c r="D967" t="s">
        <v>4825</v>
      </c>
      <c r="E967" t="s">
        <v>51</v>
      </c>
      <c r="F967" s="86">
        <v>44297</v>
      </c>
      <c r="G967" t="s">
        <v>4826</v>
      </c>
      <c r="H967">
        <v>3</v>
      </c>
      <c r="I967" t="s">
        <v>52</v>
      </c>
      <c r="J967" s="86">
        <v>44622</v>
      </c>
      <c r="K967">
        <v>228.96</v>
      </c>
      <c r="L967">
        <v>7</v>
      </c>
      <c r="M967">
        <v>11</v>
      </c>
      <c r="N967" t="s">
        <v>54</v>
      </c>
      <c r="O967" t="s">
        <v>175</v>
      </c>
      <c r="P967" t="s">
        <v>56</v>
      </c>
      <c r="Q967" t="s">
        <v>32</v>
      </c>
    </row>
    <row r="968" spans="1:17" x14ac:dyDescent="0.3">
      <c r="A968" t="s">
        <v>4828</v>
      </c>
      <c r="B968" t="s">
        <v>4829</v>
      </c>
      <c r="C968">
        <v>29</v>
      </c>
      <c r="D968" t="s">
        <v>4830</v>
      </c>
      <c r="E968" t="s">
        <v>40</v>
      </c>
      <c r="F968" t="s">
        <v>1474</v>
      </c>
      <c r="G968" t="s">
        <v>1069</v>
      </c>
      <c r="H968">
        <v>2</v>
      </c>
      <c r="I968" t="s">
        <v>64</v>
      </c>
      <c r="J968" s="86">
        <v>45081</v>
      </c>
      <c r="K968">
        <v>150.30000000000001</v>
      </c>
      <c r="L968">
        <v>5</v>
      </c>
      <c r="M968">
        <v>44</v>
      </c>
      <c r="N968" t="s">
        <v>30</v>
      </c>
      <c r="O968" t="s">
        <v>142</v>
      </c>
      <c r="P968" t="s">
        <v>68</v>
      </c>
      <c r="Q968" t="s">
        <v>69</v>
      </c>
    </row>
    <row r="969" spans="1:17" x14ac:dyDescent="0.3">
      <c r="A969" t="s">
        <v>4832</v>
      </c>
      <c r="B969" t="s">
        <v>4833</v>
      </c>
      <c r="C969">
        <v>32</v>
      </c>
      <c r="D969" t="s">
        <v>4834</v>
      </c>
      <c r="E969" t="s">
        <v>88</v>
      </c>
      <c r="F969" t="s">
        <v>3002</v>
      </c>
      <c r="G969" t="s">
        <v>2603</v>
      </c>
      <c r="H969">
        <v>2</v>
      </c>
      <c r="I969" t="s">
        <v>52</v>
      </c>
      <c r="J969" s="86">
        <v>45755</v>
      </c>
      <c r="K969">
        <v>77.12</v>
      </c>
      <c r="L969">
        <v>3</v>
      </c>
      <c r="M969">
        <v>31</v>
      </c>
      <c r="N969" t="s">
        <v>56</v>
      </c>
      <c r="O969" t="s">
        <v>597</v>
      </c>
      <c r="P969" t="s">
        <v>45</v>
      </c>
      <c r="Q969" t="s">
        <v>69</v>
      </c>
    </row>
    <row r="970" spans="1:17" x14ac:dyDescent="0.3">
      <c r="A970" t="s">
        <v>4836</v>
      </c>
      <c r="B970" t="s">
        <v>4837</v>
      </c>
      <c r="C970">
        <v>54</v>
      </c>
      <c r="D970" t="s">
        <v>4838</v>
      </c>
      <c r="E970" t="s">
        <v>51</v>
      </c>
      <c r="F970" s="86">
        <v>44472</v>
      </c>
      <c r="G970" s="86">
        <v>45632</v>
      </c>
      <c r="H970">
        <v>1</v>
      </c>
      <c r="I970" t="s">
        <v>27</v>
      </c>
      <c r="J970" t="s">
        <v>4839</v>
      </c>
      <c r="K970">
        <v>72.209999999999994</v>
      </c>
      <c r="L970">
        <v>6</v>
      </c>
      <c r="M970">
        <v>29</v>
      </c>
      <c r="N970" t="s">
        <v>54</v>
      </c>
      <c r="O970" t="s">
        <v>354</v>
      </c>
      <c r="P970" t="s">
        <v>45</v>
      </c>
      <c r="Q970" t="s">
        <v>32</v>
      </c>
    </row>
    <row r="971" spans="1:17" x14ac:dyDescent="0.3">
      <c r="A971" t="s">
        <v>4841</v>
      </c>
      <c r="B971" t="s">
        <v>4842</v>
      </c>
      <c r="C971">
        <v>36</v>
      </c>
      <c r="D971" t="s">
        <v>4843</v>
      </c>
      <c r="E971" t="s">
        <v>61</v>
      </c>
      <c r="F971" t="s">
        <v>578</v>
      </c>
      <c r="G971" s="86">
        <v>45608</v>
      </c>
      <c r="H971">
        <v>1</v>
      </c>
      <c r="I971" t="s">
        <v>52</v>
      </c>
      <c r="J971" s="86">
        <v>45116</v>
      </c>
      <c r="K971">
        <v>196.33</v>
      </c>
      <c r="L971">
        <v>3</v>
      </c>
      <c r="M971">
        <v>22</v>
      </c>
      <c r="N971" t="s">
        <v>68</v>
      </c>
      <c r="O971" t="s">
        <v>116</v>
      </c>
      <c r="P971" t="s">
        <v>54</v>
      </c>
      <c r="Q971" t="s">
        <v>69</v>
      </c>
    </row>
    <row r="972" spans="1:17" x14ac:dyDescent="0.3">
      <c r="A972" t="s">
        <v>4845</v>
      </c>
      <c r="B972" t="s">
        <v>4846</v>
      </c>
      <c r="C972">
        <v>47</v>
      </c>
      <c r="D972" t="s">
        <v>4847</v>
      </c>
      <c r="E972" t="s">
        <v>88</v>
      </c>
      <c r="F972" t="s">
        <v>4603</v>
      </c>
      <c r="G972" t="s">
        <v>4848</v>
      </c>
      <c r="H972">
        <v>4</v>
      </c>
      <c r="I972" t="s">
        <v>27</v>
      </c>
      <c r="J972" s="86">
        <v>45150</v>
      </c>
      <c r="K972">
        <v>3.79</v>
      </c>
      <c r="L972">
        <v>6</v>
      </c>
      <c r="M972">
        <v>47</v>
      </c>
      <c r="N972" t="s">
        <v>56</v>
      </c>
      <c r="O972" t="s">
        <v>610</v>
      </c>
      <c r="P972" t="s">
        <v>68</v>
      </c>
      <c r="Q972" t="s">
        <v>69</v>
      </c>
    </row>
    <row r="973" spans="1:17" x14ac:dyDescent="0.3">
      <c r="A973" t="s">
        <v>4850</v>
      </c>
      <c r="B973" t="s">
        <v>4851</v>
      </c>
      <c r="C973">
        <v>29</v>
      </c>
      <c r="D973" t="s">
        <v>4852</v>
      </c>
      <c r="E973" t="s">
        <v>61</v>
      </c>
      <c r="F973" t="s">
        <v>3493</v>
      </c>
      <c r="G973" t="s">
        <v>4079</v>
      </c>
      <c r="H973">
        <v>5</v>
      </c>
      <c r="I973" t="s">
        <v>27</v>
      </c>
      <c r="J973" t="s">
        <v>1790</v>
      </c>
      <c r="K973">
        <v>106.22</v>
      </c>
      <c r="L973">
        <v>3</v>
      </c>
      <c r="M973">
        <v>36</v>
      </c>
      <c r="N973" t="s">
        <v>54</v>
      </c>
      <c r="O973" t="s">
        <v>604</v>
      </c>
      <c r="P973" t="s">
        <v>45</v>
      </c>
      <c r="Q973" t="s">
        <v>32</v>
      </c>
    </row>
    <row r="974" spans="1:17" x14ac:dyDescent="0.3">
      <c r="A974" t="s">
        <v>4854</v>
      </c>
      <c r="B974" t="s">
        <v>4855</v>
      </c>
      <c r="C974">
        <v>62</v>
      </c>
      <c r="D974" t="s">
        <v>4856</v>
      </c>
      <c r="E974" t="s">
        <v>61</v>
      </c>
      <c r="F974" s="86">
        <v>45047</v>
      </c>
      <c r="G974" t="s">
        <v>3972</v>
      </c>
      <c r="H974">
        <v>2</v>
      </c>
      <c r="I974" t="s">
        <v>52</v>
      </c>
      <c r="J974" t="s">
        <v>1318</v>
      </c>
      <c r="K974">
        <v>180.75</v>
      </c>
      <c r="L974">
        <v>3</v>
      </c>
      <c r="M974">
        <v>37</v>
      </c>
      <c r="N974" t="s">
        <v>54</v>
      </c>
      <c r="O974" t="s">
        <v>109</v>
      </c>
      <c r="P974" t="s">
        <v>68</v>
      </c>
      <c r="Q974" t="s">
        <v>32</v>
      </c>
    </row>
    <row r="975" spans="1:17" x14ac:dyDescent="0.3">
      <c r="A975" t="s">
        <v>4858</v>
      </c>
      <c r="B975" t="s">
        <v>4859</v>
      </c>
      <c r="C975">
        <v>61</v>
      </c>
      <c r="D975" t="s">
        <v>4860</v>
      </c>
      <c r="E975" t="s">
        <v>51</v>
      </c>
      <c r="F975" t="s">
        <v>1874</v>
      </c>
      <c r="G975" t="s">
        <v>4861</v>
      </c>
      <c r="H975">
        <v>3</v>
      </c>
      <c r="I975" t="s">
        <v>27</v>
      </c>
      <c r="J975" s="86">
        <v>44843</v>
      </c>
      <c r="K975">
        <v>296.92</v>
      </c>
      <c r="L975">
        <v>4</v>
      </c>
      <c r="M975">
        <v>28</v>
      </c>
      <c r="N975" t="s">
        <v>54</v>
      </c>
      <c r="O975" t="s">
        <v>116</v>
      </c>
      <c r="P975" t="s">
        <v>54</v>
      </c>
      <c r="Q975" t="s">
        <v>32</v>
      </c>
    </row>
    <row r="976" spans="1:17" x14ac:dyDescent="0.3">
      <c r="A976" t="s">
        <v>4863</v>
      </c>
      <c r="B976" t="s">
        <v>4864</v>
      </c>
      <c r="C976">
        <v>63</v>
      </c>
      <c r="D976" t="s">
        <v>4865</v>
      </c>
      <c r="E976" t="s">
        <v>25</v>
      </c>
      <c r="F976" s="86">
        <v>44595</v>
      </c>
      <c r="G976" t="s">
        <v>2680</v>
      </c>
      <c r="H976">
        <v>5</v>
      </c>
      <c r="I976" t="s">
        <v>27</v>
      </c>
      <c r="J976" t="s">
        <v>486</v>
      </c>
      <c r="K976">
        <v>29.5</v>
      </c>
      <c r="L976">
        <v>8</v>
      </c>
      <c r="M976">
        <v>14</v>
      </c>
      <c r="N976" t="s">
        <v>45</v>
      </c>
      <c r="O976" t="s">
        <v>99</v>
      </c>
      <c r="P976" t="s">
        <v>56</v>
      </c>
      <c r="Q976" t="s">
        <v>69</v>
      </c>
    </row>
    <row r="977" spans="1:17" x14ac:dyDescent="0.3">
      <c r="A977" t="s">
        <v>4867</v>
      </c>
      <c r="B977" t="s">
        <v>4868</v>
      </c>
      <c r="C977">
        <v>53</v>
      </c>
      <c r="D977" t="s">
        <v>4869</v>
      </c>
      <c r="E977" t="s">
        <v>61</v>
      </c>
      <c r="F977" s="86">
        <v>44717</v>
      </c>
      <c r="G977" t="s">
        <v>4456</v>
      </c>
      <c r="H977">
        <v>2</v>
      </c>
      <c r="I977" t="s">
        <v>27</v>
      </c>
      <c r="J977" s="86">
        <v>45139</v>
      </c>
      <c r="K977">
        <v>31.86</v>
      </c>
      <c r="L977">
        <v>9</v>
      </c>
      <c r="M977">
        <v>14</v>
      </c>
      <c r="N977" t="s">
        <v>68</v>
      </c>
      <c r="O977" t="s">
        <v>91</v>
      </c>
      <c r="P977" t="s">
        <v>54</v>
      </c>
      <c r="Q977" t="s">
        <v>32</v>
      </c>
    </row>
    <row r="978" spans="1:17" x14ac:dyDescent="0.3">
      <c r="A978" t="s">
        <v>4871</v>
      </c>
      <c r="B978" t="s">
        <v>4872</v>
      </c>
      <c r="C978">
        <v>43</v>
      </c>
      <c r="D978" t="s">
        <v>4873</v>
      </c>
      <c r="E978" t="s">
        <v>40</v>
      </c>
      <c r="F978" s="86">
        <v>45266</v>
      </c>
      <c r="G978" s="86">
        <v>45118</v>
      </c>
      <c r="H978">
        <v>0</v>
      </c>
      <c r="I978" t="s">
        <v>27</v>
      </c>
      <c r="J978" t="s">
        <v>1950</v>
      </c>
      <c r="K978">
        <v>145.88</v>
      </c>
      <c r="L978">
        <v>7</v>
      </c>
      <c r="M978">
        <v>9</v>
      </c>
      <c r="N978" t="s">
        <v>56</v>
      </c>
      <c r="O978" t="s">
        <v>251</v>
      </c>
      <c r="P978" t="s">
        <v>30</v>
      </c>
      <c r="Q978" t="s">
        <v>32</v>
      </c>
    </row>
    <row r="979" spans="1:17" x14ac:dyDescent="0.3">
      <c r="A979" t="s">
        <v>4875</v>
      </c>
      <c r="B979" t="s">
        <v>4876</v>
      </c>
      <c r="C979">
        <v>63</v>
      </c>
      <c r="D979" t="s">
        <v>4877</v>
      </c>
      <c r="E979" t="s">
        <v>25</v>
      </c>
      <c r="F979" t="s">
        <v>4878</v>
      </c>
      <c r="G979" s="86">
        <v>44632</v>
      </c>
      <c r="H979">
        <v>5</v>
      </c>
      <c r="I979" t="s">
        <v>27</v>
      </c>
      <c r="J979" t="s">
        <v>107</v>
      </c>
      <c r="K979">
        <v>296.35000000000002</v>
      </c>
      <c r="L979">
        <v>4</v>
      </c>
      <c r="M979">
        <v>8</v>
      </c>
      <c r="N979" t="s">
        <v>68</v>
      </c>
      <c r="O979" t="s">
        <v>116</v>
      </c>
      <c r="P979" t="s">
        <v>54</v>
      </c>
      <c r="Q979" t="s">
        <v>69</v>
      </c>
    </row>
    <row r="980" spans="1:17" x14ac:dyDescent="0.3">
      <c r="A980" t="s">
        <v>4880</v>
      </c>
      <c r="B980" t="s">
        <v>4881</v>
      </c>
      <c r="C980">
        <v>61</v>
      </c>
      <c r="D980" t="s">
        <v>4882</v>
      </c>
      <c r="E980" t="s">
        <v>51</v>
      </c>
      <c r="F980" t="s">
        <v>1513</v>
      </c>
      <c r="G980" t="s">
        <v>2843</v>
      </c>
      <c r="H980">
        <v>0</v>
      </c>
      <c r="I980" t="s">
        <v>27</v>
      </c>
      <c r="J980" t="s">
        <v>4883</v>
      </c>
      <c r="K980">
        <v>488.66</v>
      </c>
      <c r="L980">
        <v>4</v>
      </c>
      <c r="M980">
        <v>20</v>
      </c>
      <c r="N980" t="s">
        <v>45</v>
      </c>
      <c r="O980" t="s">
        <v>116</v>
      </c>
      <c r="P980" t="s">
        <v>54</v>
      </c>
      <c r="Q980" t="s">
        <v>69</v>
      </c>
    </row>
    <row r="981" spans="1:17" x14ac:dyDescent="0.3">
      <c r="A981" t="s">
        <v>4885</v>
      </c>
      <c r="B981" t="s">
        <v>4886</v>
      </c>
      <c r="C981">
        <v>29</v>
      </c>
      <c r="D981" t="s">
        <v>4887</v>
      </c>
      <c r="E981" t="s">
        <v>25</v>
      </c>
      <c r="F981" s="86">
        <v>44627</v>
      </c>
      <c r="G981" t="s">
        <v>2928</v>
      </c>
      <c r="H981">
        <v>1</v>
      </c>
      <c r="I981" t="s">
        <v>64</v>
      </c>
      <c r="J981" t="s">
        <v>4888</v>
      </c>
      <c r="K981">
        <v>132.21</v>
      </c>
      <c r="L981">
        <v>4</v>
      </c>
      <c r="M981">
        <v>6</v>
      </c>
      <c r="N981" t="s">
        <v>68</v>
      </c>
      <c r="O981" t="s">
        <v>211</v>
      </c>
      <c r="P981" t="s">
        <v>68</v>
      </c>
      <c r="Q981" t="s">
        <v>32</v>
      </c>
    </row>
    <row r="982" spans="1:17" x14ac:dyDescent="0.3">
      <c r="A982" t="s">
        <v>4890</v>
      </c>
      <c r="B982" t="s">
        <v>4891</v>
      </c>
      <c r="C982">
        <v>64</v>
      </c>
      <c r="D982" t="s">
        <v>4892</v>
      </c>
      <c r="E982" t="s">
        <v>51</v>
      </c>
      <c r="F982" t="s">
        <v>3493</v>
      </c>
      <c r="G982" t="s">
        <v>1402</v>
      </c>
      <c r="H982">
        <v>3</v>
      </c>
      <c r="I982" t="s">
        <v>64</v>
      </c>
      <c r="J982" t="s">
        <v>1841</v>
      </c>
      <c r="K982">
        <v>213.5</v>
      </c>
      <c r="L982">
        <v>7</v>
      </c>
      <c r="M982">
        <v>39</v>
      </c>
      <c r="N982" t="s">
        <v>45</v>
      </c>
      <c r="O982" t="s">
        <v>99</v>
      </c>
      <c r="P982" t="s">
        <v>56</v>
      </c>
      <c r="Q982" t="s">
        <v>32</v>
      </c>
    </row>
    <row r="983" spans="1:17" x14ac:dyDescent="0.3">
      <c r="A983" t="s">
        <v>4894</v>
      </c>
      <c r="B983" t="s">
        <v>4895</v>
      </c>
      <c r="C983">
        <v>46</v>
      </c>
      <c r="D983" t="s">
        <v>4896</v>
      </c>
      <c r="E983" t="s">
        <v>95</v>
      </c>
      <c r="F983" t="s">
        <v>2352</v>
      </c>
      <c r="G983" t="s">
        <v>358</v>
      </c>
      <c r="H983">
        <v>3</v>
      </c>
      <c r="I983" t="s">
        <v>52</v>
      </c>
      <c r="J983" s="86">
        <v>45326</v>
      </c>
      <c r="K983">
        <v>160.9</v>
      </c>
      <c r="L983">
        <v>7</v>
      </c>
      <c r="M983">
        <v>41</v>
      </c>
      <c r="N983" t="s">
        <v>30</v>
      </c>
      <c r="O983" t="s">
        <v>55</v>
      </c>
      <c r="P983" t="s">
        <v>56</v>
      </c>
      <c r="Q983" t="s">
        <v>69</v>
      </c>
    </row>
    <row r="984" spans="1:17" x14ac:dyDescent="0.3">
      <c r="A984" t="s">
        <v>4898</v>
      </c>
      <c r="B984" t="s">
        <v>4899</v>
      </c>
      <c r="C984">
        <v>67</v>
      </c>
      <c r="D984" t="s">
        <v>4900</v>
      </c>
      <c r="E984" t="s">
        <v>51</v>
      </c>
      <c r="F984" t="s">
        <v>4627</v>
      </c>
      <c r="G984" s="86">
        <v>44874</v>
      </c>
      <c r="H984">
        <v>1</v>
      </c>
      <c r="I984" t="s">
        <v>52</v>
      </c>
      <c r="J984" t="s">
        <v>4627</v>
      </c>
      <c r="K984">
        <v>58.81</v>
      </c>
      <c r="L984">
        <v>7</v>
      </c>
      <c r="M984">
        <v>46</v>
      </c>
      <c r="N984" t="s">
        <v>56</v>
      </c>
      <c r="O984" t="s">
        <v>211</v>
      </c>
      <c r="P984" t="s">
        <v>68</v>
      </c>
      <c r="Q984" t="s">
        <v>69</v>
      </c>
    </row>
    <row r="985" spans="1:17" x14ac:dyDescent="0.3">
      <c r="A985" t="s">
        <v>4902</v>
      </c>
      <c r="B985" t="s">
        <v>4903</v>
      </c>
      <c r="C985">
        <v>37</v>
      </c>
      <c r="D985" t="s">
        <v>4904</v>
      </c>
      <c r="E985" t="s">
        <v>95</v>
      </c>
      <c r="F985" s="86">
        <v>44838</v>
      </c>
      <c r="G985" t="s">
        <v>1375</v>
      </c>
      <c r="H985">
        <v>0</v>
      </c>
      <c r="I985" t="s">
        <v>27</v>
      </c>
      <c r="J985" s="86">
        <v>44871</v>
      </c>
      <c r="K985">
        <v>211.84</v>
      </c>
      <c r="L985">
        <v>6</v>
      </c>
      <c r="M985">
        <v>30</v>
      </c>
      <c r="N985" t="s">
        <v>68</v>
      </c>
      <c r="O985" t="s">
        <v>116</v>
      </c>
      <c r="P985" t="s">
        <v>54</v>
      </c>
      <c r="Q985" t="s">
        <v>69</v>
      </c>
    </row>
    <row r="986" spans="1:17" x14ac:dyDescent="0.3">
      <c r="A986" t="s">
        <v>4906</v>
      </c>
      <c r="B986" t="s">
        <v>4907</v>
      </c>
      <c r="C986">
        <v>25</v>
      </c>
      <c r="D986" t="s">
        <v>4908</v>
      </c>
      <c r="E986" t="s">
        <v>61</v>
      </c>
      <c r="F986" t="s">
        <v>2538</v>
      </c>
      <c r="G986" s="86">
        <v>44840</v>
      </c>
      <c r="H986">
        <v>1</v>
      </c>
      <c r="I986" t="s">
        <v>27</v>
      </c>
      <c r="J986" t="s">
        <v>4909</v>
      </c>
      <c r="K986">
        <v>1982.82</v>
      </c>
      <c r="L986">
        <v>1</v>
      </c>
      <c r="M986">
        <v>7</v>
      </c>
      <c r="N986" t="s">
        <v>30</v>
      </c>
      <c r="O986" t="s">
        <v>175</v>
      </c>
      <c r="P986" t="s">
        <v>56</v>
      </c>
      <c r="Q986" t="s">
        <v>69</v>
      </c>
    </row>
    <row r="987" spans="1:17" x14ac:dyDescent="0.3">
      <c r="A987" t="s">
        <v>4911</v>
      </c>
      <c r="B987" t="s">
        <v>4912</v>
      </c>
      <c r="C987">
        <v>22</v>
      </c>
      <c r="D987" t="s">
        <v>4913</v>
      </c>
      <c r="E987" t="s">
        <v>51</v>
      </c>
      <c r="F987" s="86">
        <v>45079</v>
      </c>
      <c r="G987" s="86">
        <v>45476</v>
      </c>
      <c r="H987">
        <v>3</v>
      </c>
      <c r="I987" t="s">
        <v>64</v>
      </c>
      <c r="J987" t="s">
        <v>147</v>
      </c>
      <c r="K987">
        <v>9.93</v>
      </c>
      <c r="L987">
        <v>8</v>
      </c>
      <c r="M987">
        <v>28</v>
      </c>
      <c r="N987" t="s">
        <v>68</v>
      </c>
      <c r="O987" t="s">
        <v>231</v>
      </c>
      <c r="P987" t="s">
        <v>30</v>
      </c>
      <c r="Q987" t="s">
        <v>69</v>
      </c>
    </row>
    <row r="988" spans="1:17" x14ac:dyDescent="0.3">
      <c r="A988" t="s">
        <v>4915</v>
      </c>
      <c r="B988" t="s">
        <v>4916</v>
      </c>
      <c r="C988">
        <v>54</v>
      </c>
      <c r="D988" t="s">
        <v>4917</v>
      </c>
      <c r="E988" t="s">
        <v>88</v>
      </c>
      <c r="F988" s="86">
        <v>44200</v>
      </c>
      <c r="G988" s="86">
        <v>45384</v>
      </c>
      <c r="H988">
        <v>3</v>
      </c>
      <c r="I988" t="s">
        <v>27</v>
      </c>
      <c r="J988" t="s">
        <v>4918</v>
      </c>
      <c r="K988">
        <v>7.25</v>
      </c>
      <c r="L988">
        <v>8</v>
      </c>
      <c r="M988">
        <v>29</v>
      </c>
      <c r="N988" t="s">
        <v>45</v>
      </c>
      <c r="O988" t="s">
        <v>418</v>
      </c>
      <c r="P988" t="s">
        <v>56</v>
      </c>
      <c r="Q988" t="s">
        <v>69</v>
      </c>
    </row>
    <row r="989" spans="1:17" x14ac:dyDescent="0.3">
      <c r="A989" t="s">
        <v>4920</v>
      </c>
      <c r="B989" t="s">
        <v>4921</v>
      </c>
      <c r="C989">
        <v>18</v>
      </c>
      <c r="D989" t="s">
        <v>4922</v>
      </c>
      <c r="E989" t="s">
        <v>95</v>
      </c>
      <c r="F989" t="s">
        <v>790</v>
      </c>
      <c r="G989" t="s">
        <v>1420</v>
      </c>
      <c r="H989">
        <v>4</v>
      </c>
      <c r="I989" t="s">
        <v>27</v>
      </c>
      <c r="J989" t="s">
        <v>1748</v>
      </c>
      <c r="K989">
        <v>21.48</v>
      </c>
      <c r="L989">
        <v>9</v>
      </c>
      <c r="M989">
        <v>17</v>
      </c>
      <c r="N989" t="s">
        <v>56</v>
      </c>
      <c r="O989" t="s">
        <v>366</v>
      </c>
      <c r="P989" t="s">
        <v>54</v>
      </c>
      <c r="Q989" t="s">
        <v>32</v>
      </c>
    </row>
    <row r="990" spans="1:17" x14ac:dyDescent="0.3">
      <c r="A990" t="s">
        <v>4924</v>
      </c>
      <c r="B990" t="s">
        <v>4925</v>
      </c>
      <c r="C990">
        <v>44</v>
      </c>
      <c r="D990" t="s">
        <v>4926</v>
      </c>
      <c r="E990" t="s">
        <v>88</v>
      </c>
      <c r="F990" s="86">
        <v>45139</v>
      </c>
      <c r="G990" t="s">
        <v>2208</v>
      </c>
      <c r="H990">
        <v>4</v>
      </c>
      <c r="I990" t="s">
        <v>27</v>
      </c>
      <c r="J990" s="86">
        <v>44961</v>
      </c>
      <c r="K990">
        <v>211.96</v>
      </c>
      <c r="L990">
        <v>1</v>
      </c>
      <c r="M990">
        <v>3</v>
      </c>
      <c r="N990" t="s">
        <v>45</v>
      </c>
      <c r="O990" t="s">
        <v>597</v>
      </c>
      <c r="P990" t="s">
        <v>45</v>
      </c>
      <c r="Q990" t="s">
        <v>69</v>
      </c>
    </row>
    <row r="991" spans="1:17" x14ac:dyDescent="0.3">
      <c r="A991" t="s">
        <v>4928</v>
      </c>
      <c r="B991" t="s">
        <v>4929</v>
      </c>
      <c r="C991">
        <v>62</v>
      </c>
      <c r="D991" t="s">
        <v>4930</v>
      </c>
      <c r="E991" t="s">
        <v>61</v>
      </c>
      <c r="F991" t="s">
        <v>492</v>
      </c>
      <c r="G991" s="86">
        <v>45479</v>
      </c>
      <c r="H991">
        <v>0</v>
      </c>
      <c r="I991" t="s">
        <v>27</v>
      </c>
      <c r="J991" t="s">
        <v>3930</v>
      </c>
      <c r="K991">
        <v>231.71</v>
      </c>
      <c r="L991">
        <v>4</v>
      </c>
      <c r="M991">
        <v>2</v>
      </c>
      <c r="N991" t="s">
        <v>54</v>
      </c>
      <c r="O991" t="s">
        <v>293</v>
      </c>
      <c r="P991" t="s">
        <v>45</v>
      </c>
      <c r="Q991" t="s">
        <v>32</v>
      </c>
    </row>
    <row r="992" spans="1:17" x14ac:dyDescent="0.3">
      <c r="A992" t="s">
        <v>4932</v>
      </c>
      <c r="B992" t="s">
        <v>4933</v>
      </c>
      <c r="C992">
        <v>42</v>
      </c>
      <c r="D992" t="s">
        <v>4934</v>
      </c>
      <c r="E992" t="s">
        <v>95</v>
      </c>
      <c r="F992" t="s">
        <v>2722</v>
      </c>
      <c r="G992" t="s">
        <v>711</v>
      </c>
      <c r="H992">
        <v>1</v>
      </c>
      <c r="I992" t="s">
        <v>27</v>
      </c>
      <c r="J992" s="86">
        <v>45505</v>
      </c>
      <c r="K992">
        <v>186.02</v>
      </c>
      <c r="L992">
        <v>6</v>
      </c>
      <c r="M992">
        <v>11</v>
      </c>
      <c r="N992" t="s">
        <v>54</v>
      </c>
      <c r="O992" t="s">
        <v>67</v>
      </c>
      <c r="P992" t="s">
        <v>68</v>
      </c>
      <c r="Q992" t="s">
        <v>32</v>
      </c>
    </row>
    <row r="993" spans="1:17" x14ac:dyDescent="0.3">
      <c r="A993" t="s">
        <v>4936</v>
      </c>
      <c r="B993" t="s">
        <v>4937</v>
      </c>
      <c r="C993">
        <v>53</v>
      </c>
      <c r="D993" t="s">
        <v>4938</v>
      </c>
      <c r="E993" t="s">
        <v>51</v>
      </c>
      <c r="F993" s="86">
        <v>44502</v>
      </c>
      <c r="G993" t="s">
        <v>65</v>
      </c>
      <c r="H993">
        <v>1</v>
      </c>
      <c r="I993" t="s">
        <v>64</v>
      </c>
      <c r="J993" t="s">
        <v>2522</v>
      </c>
      <c r="K993">
        <v>437.26</v>
      </c>
      <c r="L993">
        <v>1</v>
      </c>
      <c r="M993">
        <v>8</v>
      </c>
      <c r="N993" t="s">
        <v>45</v>
      </c>
      <c r="O993" t="s">
        <v>199</v>
      </c>
      <c r="P993" t="s">
        <v>54</v>
      </c>
      <c r="Q993" t="s">
        <v>32</v>
      </c>
    </row>
    <row r="994" spans="1:17" x14ac:dyDescent="0.3">
      <c r="A994" t="s">
        <v>4940</v>
      </c>
      <c r="B994" t="s">
        <v>4941</v>
      </c>
      <c r="C994">
        <v>26</v>
      </c>
      <c r="D994" t="s">
        <v>4942</v>
      </c>
      <c r="E994" t="s">
        <v>51</v>
      </c>
      <c r="F994" t="s">
        <v>2430</v>
      </c>
      <c r="G994" t="s">
        <v>4943</v>
      </c>
      <c r="H994">
        <v>1</v>
      </c>
      <c r="I994" t="s">
        <v>52</v>
      </c>
      <c r="J994" t="s">
        <v>4944</v>
      </c>
      <c r="K994">
        <v>139.94</v>
      </c>
      <c r="L994">
        <v>3</v>
      </c>
      <c r="M994">
        <v>33</v>
      </c>
      <c r="N994" t="s">
        <v>45</v>
      </c>
      <c r="O994" t="s">
        <v>142</v>
      </c>
      <c r="P994" t="s">
        <v>68</v>
      </c>
      <c r="Q994" t="s">
        <v>322</v>
      </c>
    </row>
    <row r="995" spans="1:17" x14ac:dyDescent="0.3">
      <c r="A995" t="s">
        <v>4946</v>
      </c>
      <c r="B995" t="s">
        <v>4947</v>
      </c>
      <c r="C995">
        <v>40</v>
      </c>
      <c r="D995" t="s">
        <v>4948</v>
      </c>
      <c r="E995" t="s">
        <v>95</v>
      </c>
      <c r="F995" t="s">
        <v>4949</v>
      </c>
      <c r="G995" t="s">
        <v>3393</v>
      </c>
      <c r="H995">
        <v>2</v>
      </c>
      <c r="I995" t="s">
        <v>27</v>
      </c>
      <c r="J995" s="86">
        <v>45445</v>
      </c>
      <c r="K995">
        <v>125.24</v>
      </c>
      <c r="L995">
        <v>4</v>
      </c>
      <c r="M995">
        <v>3</v>
      </c>
      <c r="N995" t="s">
        <v>30</v>
      </c>
      <c r="O995" t="s">
        <v>199</v>
      </c>
      <c r="P995" t="s">
        <v>54</v>
      </c>
      <c r="Q995" t="s">
        <v>32</v>
      </c>
    </row>
    <row r="996" spans="1:17" x14ac:dyDescent="0.3">
      <c r="A996" t="s">
        <v>4951</v>
      </c>
      <c r="B996" t="s">
        <v>4952</v>
      </c>
      <c r="C996">
        <v>49</v>
      </c>
      <c r="D996" t="s">
        <v>4953</v>
      </c>
      <c r="E996" t="s">
        <v>51</v>
      </c>
      <c r="F996" s="86">
        <v>44086</v>
      </c>
      <c r="G996" t="s">
        <v>4954</v>
      </c>
      <c r="H996">
        <v>5</v>
      </c>
      <c r="I996" t="s">
        <v>27</v>
      </c>
      <c r="J996" s="86">
        <v>45721</v>
      </c>
      <c r="K996">
        <v>404.7</v>
      </c>
      <c r="L996">
        <v>1</v>
      </c>
      <c r="M996">
        <v>19</v>
      </c>
      <c r="N996" t="s">
        <v>68</v>
      </c>
      <c r="O996" t="s">
        <v>44</v>
      </c>
      <c r="P996" t="s">
        <v>45</v>
      </c>
      <c r="Q996" t="s">
        <v>32</v>
      </c>
    </row>
    <row r="997" spans="1:17" x14ac:dyDescent="0.3">
      <c r="A997" t="s">
        <v>4956</v>
      </c>
      <c r="B997" t="s">
        <v>4957</v>
      </c>
      <c r="C997">
        <v>32</v>
      </c>
      <c r="D997" t="s">
        <v>4958</v>
      </c>
      <c r="E997" t="s">
        <v>51</v>
      </c>
      <c r="F997" t="s">
        <v>4164</v>
      </c>
      <c r="G997" s="86">
        <v>45112</v>
      </c>
      <c r="H997">
        <v>5</v>
      </c>
      <c r="I997" t="s">
        <v>27</v>
      </c>
      <c r="J997" t="s">
        <v>601</v>
      </c>
      <c r="K997">
        <v>141.68</v>
      </c>
      <c r="L997">
        <v>8</v>
      </c>
      <c r="M997">
        <v>21</v>
      </c>
      <c r="N997" t="s">
        <v>45</v>
      </c>
      <c r="O997" t="s">
        <v>142</v>
      </c>
      <c r="P997" t="s">
        <v>68</v>
      </c>
      <c r="Q997" t="s">
        <v>32</v>
      </c>
    </row>
    <row r="998" spans="1:17" x14ac:dyDescent="0.3">
      <c r="A998" t="s">
        <v>4960</v>
      </c>
      <c r="B998" t="s">
        <v>4961</v>
      </c>
      <c r="C998">
        <v>39</v>
      </c>
      <c r="D998" t="s">
        <v>4962</v>
      </c>
      <c r="E998" t="s">
        <v>25</v>
      </c>
      <c r="F998" t="s">
        <v>3501</v>
      </c>
      <c r="G998" s="86">
        <v>45783</v>
      </c>
      <c r="H998">
        <v>1</v>
      </c>
      <c r="I998" t="s">
        <v>27</v>
      </c>
      <c r="J998" s="86">
        <v>44655</v>
      </c>
      <c r="K998">
        <v>297.66000000000003</v>
      </c>
      <c r="L998">
        <v>5</v>
      </c>
      <c r="M998">
        <v>27</v>
      </c>
      <c r="N998" t="s">
        <v>30</v>
      </c>
      <c r="O998" t="s">
        <v>169</v>
      </c>
      <c r="P998" t="s">
        <v>30</v>
      </c>
      <c r="Q998" t="s">
        <v>69</v>
      </c>
    </row>
    <row r="999" spans="1:17" x14ac:dyDescent="0.3">
      <c r="A999" t="s">
        <v>4964</v>
      </c>
      <c r="B999" t="s">
        <v>4965</v>
      </c>
      <c r="C999">
        <v>53</v>
      </c>
      <c r="D999" t="s">
        <v>4966</v>
      </c>
      <c r="E999" t="s">
        <v>95</v>
      </c>
      <c r="F999" t="s">
        <v>4967</v>
      </c>
      <c r="G999" t="s">
        <v>4968</v>
      </c>
      <c r="H999">
        <v>2</v>
      </c>
      <c r="I999" t="s">
        <v>27</v>
      </c>
      <c r="J999" s="86">
        <v>45267</v>
      </c>
      <c r="K999">
        <v>36.92</v>
      </c>
      <c r="L999">
        <v>5</v>
      </c>
      <c r="M999">
        <v>24</v>
      </c>
      <c r="N999" t="s">
        <v>30</v>
      </c>
      <c r="O999" t="s">
        <v>31</v>
      </c>
      <c r="P999" t="s">
        <v>30</v>
      </c>
      <c r="Q999" t="s">
        <v>32</v>
      </c>
    </row>
    <row r="1000" spans="1:17" x14ac:dyDescent="0.3">
      <c r="A1000" t="s">
        <v>4970</v>
      </c>
      <c r="B1000" t="s">
        <v>4971</v>
      </c>
      <c r="C1000">
        <v>68</v>
      </c>
      <c r="D1000" t="s">
        <v>4972</v>
      </c>
      <c r="E1000" t="s">
        <v>25</v>
      </c>
      <c r="F1000" s="86">
        <v>45048</v>
      </c>
      <c r="G1000" s="86">
        <v>44962</v>
      </c>
      <c r="H1000">
        <v>1</v>
      </c>
      <c r="I1000" t="s">
        <v>27</v>
      </c>
      <c r="J1000" t="s">
        <v>81</v>
      </c>
      <c r="K1000">
        <v>11.28</v>
      </c>
      <c r="L1000">
        <v>2</v>
      </c>
      <c r="M1000">
        <v>32</v>
      </c>
      <c r="N1000" t="s">
        <v>30</v>
      </c>
      <c r="O1000" t="s">
        <v>149</v>
      </c>
      <c r="P1000" t="s">
        <v>30</v>
      </c>
      <c r="Q1000" t="s">
        <v>32</v>
      </c>
    </row>
    <row r="1001" spans="1:17" x14ac:dyDescent="0.3">
      <c r="A1001" t="s">
        <v>4974</v>
      </c>
      <c r="B1001" t="s">
        <v>4975</v>
      </c>
      <c r="C1001">
        <v>63</v>
      </c>
      <c r="D1001" t="s">
        <v>4976</v>
      </c>
      <c r="E1001" t="s">
        <v>88</v>
      </c>
      <c r="F1001" s="86">
        <v>44631</v>
      </c>
      <c r="G1001" s="86">
        <v>45231</v>
      </c>
      <c r="H1001">
        <v>4</v>
      </c>
      <c r="I1001" t="s">
        <v>52</v>
      </c>
      <c r="J1001" s="86">
        <v>45872</v>
      </c>
      <c r="K1001">
        <v>62.25</v>
      </c>
      <c r="L1001">
        <v>3</v>
      </c>
      <c r="M1001">
        <v>40</v>
      </c>
      <c r="N1001" t="s">
        <v>30</v>
      </c>
      <c r="O1001" t="s">
        <v>169</v>
      </c>
      <c r="P1001" t="s">
        <v>30</v>
      </c>
      <c r="Q1001" t="s">
        <v>69</v>
      </c>
    </row>
    <row r="1002" spans="1:17" x14ac:dyDescent="0.3">
      <c r="A1002" t="s">
        <v>4978</v>
      </c>
      <c r="B1002" t="s">
        <v>4979</v>
      </c>
      <c r="C1002">
        <v>40</v>
      </c>
      <c r="D1002" t="s">
        <v>4980</v>
      </c>
      <c r="E1002" t="s">
        <v>40</v>
      </c>
      <c r="F1002" t="s">
        <v>2598</v>
      </c>
      <c r="G1002" s="86">
        <v>45962</v>
      </c>
      <c r="H1002">
        <v>2</v>
      </c>
      <c r="I1002" t="s">
        <v>64</v>
      </c>
      <c r="J1002" t="s">
        <v>4981</v>
      </c>
      <c r="K1002">
        <v>317.92</v>
      </c>
      <c r="L1002">
        <v>4</v>
      </c>
      <c r="M1002">
        <v>48</v>
      </c>
      <c r="N1002" t="s">
        <v>68</v>
      </c>
      <c r="O1002" t="s">
        <v>536</v>
      </c>
      <c r="P1002" t="s">
        <v>68</v>
      </c>
      <c r="Q1002" t="s">
        <v>69</v>
      </c>
    </row>
    <row r="1003" spans="1:17" x14ac:dyDescent="0.3">
      <c r="A1003" t="s">
        <v>4983</v>
      </c>
      <c r="B1003" t="s">
        <v>4984</v>
      </c>
      <c r="C1003">
        <v>50</v>
      </c>
      <c r="D1003" t="s">
        <v>4985</v>
      </c>
      <c r="E1003" t="s">
        <v>25</v>
      </c>
      <c r="F1003" s="86">
        <v>44932</v>
      </c>
      <c r="G1003" s="86">
        <v>45056</v>
      </c>
      <c r="H1003">
        <v>5</v>
      </c>
      <c r="I1003" t="s">
        <v>27</v>
      </c>
      <c r="J1003" s="86">
        <v>45177</v>
      </c>
      <c r="K1003">
        <v>273.87</v>
      </c>
      <c r="L1003">
        <v>6</v>
      </c>
      <c r="M1003">
        <v>22</v>
      </c>
      <c r="N1003" t="s">
        <v>56</v>
      </c>
      <c r="O1003" t="s">
        <v>157</v>
      </c>
      <c r="P1003" t="s">
        <v>68</v>
      </c>
      <c r="Q1003" t="s">
        <v>69</v>
      </c>
    </row>
    <row r="1004" spans="1:17" x14ac:dyDescent="0.3">
      <c r="A1004" t="s">
        <v>4987</v>
      </c>
      <c r="B1004" t="s">
        <v>4988</v>
      </c>
      <c r="C1004">
        <v>55</v>
      </c>
      <c r="D1004" t="s">
        <v>4989</v>
      </c>
      <c r="E1004" t="s">
        <v>88</v>
      </c>
      <c r="F1004" s="86">
        <v>44205</v>
      </c>
      <c r="G1004" t="s">
        <v>284</v>
      </c>
      <c r="H1004">
        <v>5</v>
      </c>
      <c r="I1004" t="s">
        <v>52</v>
      </c>
      <c r="J1004" s="86">
        <v>45416</v>
      </c>
      <c r="K1004">
        <v>408.29</v>
      </c>
      <c r="L1004">
        <v>2</v>
      </c>
      <c r="M1004">
        <v>37</v>
      </c>
      <c r="N1004" t="s">
        <v>56</v>
      </c>
      <c r="O1004" t="s">
        <v>245</v>
      </c>
      <c r="P1004" t="s">
        <v>54</v>
      </c>
      <c r="Q1004" t="s">
        <v>69</v>
      </c>
    </row>
    <row r="1005" spans="1:17" x14ac:dyDescent="0.3">
      <c r="A1005" t="s">
        <v>4991</v>
      </c>
      <c r="B1005" t="s">
        <v>4992</v>
      </c>
      <c r="C1005">
        <v>66</v>
      </c>
      <c r="D1005" t="s">
        <v>4993</v>
      </c>
      <c r="E1005" t="s">
        <v>95</v>
      </c>
      <c r="F1005" t="s">
        <v>249</v>
      </c>
      <c r="G1005" s="86">
        <v>45413</v>
      </c>
      <c r="H1005">
        <v>0</v>
      </c>
      <c r="I1005" t="s">
        <v>27</v>
      </c>
      <c r="J1005" s="86">
        <v>45935</v>
      </c>
      <c r="K1005">
        <v>168.28</v>
      </c>
      <c r="L1005">
        <v>7</v>
      </c>
      <c r="M1005">
        <v>48</v>
      </c>
      <c r="N1005" t="s">
        <v>30</v>
      </c>
      <c r="O1005" t="s">
        <v>238</v>
      </c>
      <c r="P1005" t="s">
        <v>45</v>
      </c>
      <c r="Q1005" t="s">
        <v>32</v>
      </c>
    </row>
    <row r="1006" spans="1:17" x14ac:dyDescent="0.3">
      <c r="A1006" t="s">
        <v>4995</v>
      </c>
      <c r="B1006" t="s">
        <v>4996</v>
      </c>
      <c r="C1006">
        <v>55</v>
      </c>
      <c r="D1006" t="s">
        <v>4997</v>
      </c>
      <c r="E1006" t="s">
        <v>95</v>
      </c>
      <c r="F1006" t="s">
        <v>4998</v>
      </c>
      <c r="G1006" s="86">
        <v>45696</v>
      </c>
      <c r="H1006">
        <v>0</v>
      </c>
      <c r="I1006" t="s">
        <v>27</v>
      </c>
      <c r="J1006" t="s">
        <v>773</v>
      </c>
      <c r="K1006">
        <v>365.91</v>
      </c>
      <c r="L1006">
        <v>3</v>
      </c>
      <c r="M1006">
        <v>34</v>
      </c>
      <c r="N1006" t="s">
        <v>56</v>
      </c>
      <c r="O1006" t="s">
        <v>624</v>
      </c>
      <c r="P1006" t="s">
        <v>30</v>
      </c>
      <c r="Q1006" t="s">
        <v>69</v>
      </c>
    </row>
    <row r="1007" spans="1:17" x14ac:dyDescent="0.3">
      <c r="A1007" t="s">
        <v>5000</v>
      </c>
      <c r="B1007" t="s">
        <v>5001</v>
      </c>
      <c r="C1007">
        <v>26</v>
      </c>
      <c r="D1007" t="s">
        <v>5002</v>
      </c>
      <c r="E1007" t="s">
        <v>61</v>
      </c>
      <c r="F1007" t="s">
        <v>3958</v>
      </c>
      <c r="G1007" s="86">
        <v>45475</v>
      </c>
      <c r="H1007">
        <v>2</v>
      </c>
      <c r="I1007" t="s">
        <v>64</v>
      </c>
      <c r="J1007" s="86">
        <v>45413</v>
      </c>
      <c r="K1007">
        <v>54.74</v>
      </c>
      <c r="L1007">
        <v>9</v>
      </c>
      <c r="M1007">
        <v>20</v>
      </c>
      <c r="N1007" t="s">
        <v>54</v>
      </c>
      <c r="O1007" t="s">
        <v>269</v>
      </c>
      <c r="P1007" t="s">
        <v>56</v>
      </c>
      <c r="Q1007" t="s">
        <v>32</v>
      </c>
    </row>
    <row r="1008" spans="1:17" x14ac:dyDescent="0.3">
      <c r="A1008" t="s">
        <v>5004</v>
      </c>
      <c r="B1008" t="s">
        <v>5005</v>
      </c>
      <c r="C1008">
        <v>36</v>
      </c>
      <c r="D1008" t="s">
        <v>5006</v>
      </c>
      <c r="E1008" t="s">
        <v>61</v>
      </c>
      <c r="F1008" t="s">
        <v>1747</v>
      </c>
      <c r="G1008" s="86">
        <v>45055</v>
      </c>
      <c r="H1008">
        <v>5</v>
      </c>
      <c r="I1008" t="s">
        <v>27</v>
      </c>
      <c r="J1008" t="s">
        <v>297</v>
      </c>
      <c r="K1008">
        <v>343.61</v>
      </c>
      <c r="L1008">
        <v>5</v>
      </c>
      <c r="M1008">
        <v>5</v>
      </c>
      <c r="N1008" t="s">
        <v>30</v>
      </c>
      <c r="O1008" t="s">
        <v>142</v>
      </c>
      <c r="P1008" t="s">
        <v>68</v>
      </c>
      <c r="Q1008" t="s">
        <v>69</v>
      </c>
    </row>
    <row r="1009" spans="1:17" x14ac:dyDescent="0.3">
      <c r="A1009" t="s">
        <v>5008</v>
      </c>
      <c r="B1009" t="s">
        <v>5009</v>
      </c>
      <c r="C1009">
        <v>36</v>
      </c>
      <c r="D1009" t="s">
        <v>5010</v>
      </c>
      <c r="E1009" t="s">
        <v>88</v>
      </c>
      <c r="F1009" t="s">
        <v>4074</v>
      </c>
      <c r="G1009" s="86">
        <v>45267</v>
      </c>
      <c r="H1009">
        <v>3</v>
      </c>
      <c r="I1009" t="s">
        <v>64</v>
      </c>
      <c r="J1009" s="86">
        <v>44835</v>
      </c>
      <c r="K1009">
        <v>144.61000000000001</v>
      </c>
      <c r="L1009">
        <v>8</v>
      </c>
      <c r="M1009">
        <v>16</v>
      </c>
      <c r="N1009" t="s">
        <v>54</v>
      </c>
      <c r="O1009" t="s">
        <v>142</v>
      </c>
      <c r="P1009" t="s">
        <v>68</v>
      </c>
      <c r="Q1009" t="s">
        <v>69</v>
      </c>
    </row>
    <row r="1010" spans="1:17" x14ac:dyDescent="0.3">
      <c r="A1010" t="s">
        <v>5012</v>
      </c>
      <c r="B1010" t="s">
        <v>5013</v>
      </c>
      <c r="C1010">
        <v>46</v>
      </c>
      <c r="D1010" t="s">
        <v>5014</v>
      </c>
      <c r="E1010" t="s">
        <v>51</v>
      </c>
      <c r="F1010" t="s">
        <v>275</v>
      </c>
      <c r="G1010" t="s">
        <v>2353</v>
      </c>
      <c r="H1010">
        <v>5</v>
      </c>
      <c r="I1010" t="s">
        <v>52</v>
      </c>
      <c r="J1010" t="s">
        <v>579</v>
      </c>
      <c r="K1010">
        <v>232.44</v>
      </c>
      <c r="L1010">
        <v>5</v>
      </c>
      <c r="M1010">
        <v>38</v>
      </c>
      <c r="N1010" t="s">
        <v>30</v>
      </c>
      <c r="O1010" t="s">
        <v>169</v>
      </c>
      <c r="P1010" t="s">
        <v>30</v>
      </c>
      <c r="Q1010" t="s">
        <v>69</v>
      </c>
    </row>
    <row r="1011" spans="1:17" x14ac:dyDescent="0.3">
      <c r="A1011" t="s">
        <v>5016</v>
      </c>
      <c r="B1011" t="s">
        <v>5017</v>
      </c>
      <c r="C1011">
        <v>68</v>
      </c>
      <c r="D1011" t="s">
        <v>5018</v>
      </c>
      <c r="E1011" t="s">
        <v>88</v>
      </c>
      <c r="F1011" s="86">
        <v>44410</v>
      </c>
      <c r="G1011" t="s">
        <v>1396</v>
      </c>
      <c r="H1011">
        <v>2</v>
      </c>
      <c r="I1011" t="s">
        <v>27</v>
      </c>
      <c r="J1011" t="s">
        <v>2809</v>
      </c>
      <c r="K1011">
        <v>379.58</v>
      </c>
      <c r="L1011">
        <v>3</v>
      </c>
      <c r="M1011">
        <v>20</v>
      </c>
      <c r="N1011" t="s">
        <v>56</v>
      </c>
      <c r="O1011" t="s">
        <v>366</v>
      </c>
      <c r="P1011" t="s">
        <v>54</v>
      </c>
      <c r="Q1011" t="s">
        <v>32</v>
      </c>
    </row>
    <row r="1012" spans="1:17" x14ac:dyDescent="0.3">
      <c r="A1012" t="s">
        <v>5020</v>
      </c>
      <c r="B1012" t="s">
        <v>5021</v>
      </c>
      <c r="C1012">
        <v>40</v>
      </c>
      <c r="D1012" t="s">
        <v>5022</v>
      </c>
      <c r="E1012" t="s">
        <v>95</v>
      </c>
      <c r="F1012" s="86">
        <v>44198</v>
      </c>
      <c r="G1012" t="s">
        <v>1243</v>
      </c>
      <c r="H1012">
        <v>1</v>
      </c>
      <c r="I1012" t="s">
        <v>27</v>
      </c>
      <c r="J1012" t="s">
        <v>5023</v>
      </c>
      <c r="K1012">
        <v>95.69</v>
      </c>
      <c r="L1012">
        <v>9</v>
      </c>
      <c r="M1012">
        <v>2</v>
      </c>
      <c r="N1012" t="s">
        <v>30</v>
      </c>
      <c r="O1012" t="s">
        <v>44</v>
      </c>
      <c r="P1012" t="s">
        <v>45</v>
      </c>
      <c r="Q1012" t="s">
        <v>322</v>
      </c>
    </row>
    <row r="1013" spans="1:17" x14ac:dyDescent="0.3">
      <c r="A1013" t="s">
        <v>5025</v>
      </c>
      <c r="B1013" t="s">
        <v>5026</v>
      </c>
      <c r="C1013">
        <v>57</v>
      </c>
      <c r="D1013" t="s">
        <v>5027</v>
      </c>
      <c r="E1013" t="s">
        <v>95</v>
      </c>
      <c r="F1013" s="86">
        <v>44479</v>
      </c>
      <c r="G1013" t="s">
        <v>3899</v>
      </c>
      <c r="H1013">
        <v>4</v>
      </c>
      <c r="I1013" t="s">
        <v>27</v>
      </c>
      <c r="J1013" t="s">
        <v>3890</v>
      </c>
      <c r="K1013">
        <v>349.76</v>
      </c>
      <c r="L1013">
        <v>5</v>
      </c>
      <c r="M1013">
        <v>21</v>
      </c>
      <c r="N1013" t="s">
        <v>54</v>
      </c>
      <c r="O1013" t="s">
        <v>425</v>
      </c>
      <c r="P1013" t="s">
        <v>30</v>
      </c>
      <c r="Q1013" t="s">
        <v>69</v>
      </c>
    </row>
    <row r="1014" spans="1:17" x14ac:dyDescent="0.3">
      <c r="A1014" t="s">
        <v>5029</v>
      </c>
      <c r="B1014" t="s">
        <v>5030</v>
      </c>
      <c r="C1014">
        <v>60</v>
      </c>
      <c r="D1014" t="s">
        <v>5031</v>
      </c>
      <c r="E1014" t="s">
        <v>88</v>
      </c>
      <c r="F1014" t="s">
        <v>4603</v>
      </c>
      <c r="G1014" s="86">
        <v>45932</v>
      </c>
      <c r="H1014">
        <v>2</v>
      </c>
      <c r="I1014" t="s">
        <v>27</v>
      </c>
      <c r="J1014" t="s">
        <v>2173</v>
      </c>
      <c r="K1014">
        <v>9.35</v>
      </c>
      <c r="L1014">
        <v>5</v>
      </c>
      <c r="M1014">
        <v>21</v>
      </c>
      <c r="N1014" t="s">
        <v>54</v>
      </c>
      <c r="O1014" t="s">
        <v>55</v>
      </c>
      <c r="P1014" t="s">
        <v>56</v>
      </c>
      <c r="Q1014" t="s">
        <v>32</v>
      </c>
    </row>
    <row r="1015" spans="1:17" x14ac:dyDescent="0.3">
      <c r="A1015" t="s">
        <v>5033</v>
      </c>
      <c r="B1015" t="s">
        <v>5034</v>
      </c>
      <c r="C1015">
        <v>55</v>
      </c>
      <c r="D1015" t="s">
        <v>5035</v>
      </c>
      <c r="E1015" t="s">
        <v>61</v>
      </c>
      <c r="F1015" s="86">
        <v>44259</v>
      </c>
      <c r="G1015" t="s">
        <v>2810</v>
      </c>
      <c r="H1015">
        <v>2</v>
      </c>
      <c r="I1015" t="s">
        <v>64</v>
      </c>
      <c r="J1015" t="s">
        <v>5036</v>
      </c>
      <c r="K1015">
        <v>869.42</v>
      </c>
      <c r="L1015">
        <v>1</v>
      </c>
      <c r="M1015">
        <v>7</v>
      </c>
      <c r="N1015" t="s">
        <v>68</v>
      </c>
      <c r="O1015" t="s">
        <v>837</v>
      </c>
      <c r="P1015" t="s">
        <v>56</v>
      </c>
      <c r="Q1015" t="s">
        <v>69</v>
      </c>
    </row>
    <row r="1016" spans="1:17" x14ac:dyDescent="0.3">
      <c r="A1016" t="s">
        <v>5038</v>
      </c>
      <c r="B1016" t="s">
        <v>5039</v>
      </c>
      <c r="C1016">
        <v>50</v>
      </c>
      <c r="D1016" t="s">
        <v>5040</v>
      </c>
      <c r="E1016" t="s">
        <v>25</v>
      </c>
      <c r="F1016" t="s">
        <v>2849</v>
      </c>
      <c r="G1016" s="86">
        <v>45569</v>
      </c>
      <c r="H1016">
        <v>0</v>
      </c>
      <c r="I1016" t="s">
        <v>27</v>
      </c>
      <c r="J1016" t="s">
        <v>2550</v>
      </c>
      <c r="K1016">
        <v>328.95</v>
      </c>
      <c r="L1016">
        <v>2</v>
      </c>
      <c r="M1016">
        <v>48</v>
      </c>
      <c r="N1016" t="s">
        <v>30</v>
      </c>
      <c r="O1016" t="s">
        <v>77</v>
      </c>
      <c r="P1016" t="s">
        <v>54</v>
      </c>
      <c r="Q1016" t="s">
        <v>69</v>
      </c>
    </row>
    <row r="1017" spans="1:17" x14ac:dyDescent="0.3">
      <c r="A1017" t="s">
        <v>5042</v>
      </c>
      <c r="B1017" t="s">
        <v>5043</v>
      </c>
      <c r="C1017">
        <v>40</v>
      </c>
      <c r="D1017" t="s">
        <v>5044</v>
      </c>
      <c r="E1017" t="s">
        <v>25</v>
      </c>
      <c r="F1017" t="s">
        <v>1085</v>
      </c>
      <c r="G1017" t="s">
        <v>5045</v>
      </c>
      <c r="H1017">
        <v>3</v>
      </c>
      <c r="I1017" t="s">
        <v>52</v>
      </c>
      <c r="J1017" t="s">
        <v>2517</v>
      </c>
      <c r="K1017">
        <v>204.01</v>
      </c>
      <c r="L1017">
        <v>4</v>
      </c>
      <c r="M1017">
        <v>12</v>
      </c>
      <c r="N1017" t="s">
        <v>68</v>
      </c>
      <c r="O1017" t="s">
        <v>624</v>
      </c>
      <c r="P1017" t="s">
        <v>30</v>
      </c>
      <c r="Q1017" t="s">
        <v>32</v>
      </c>
    </row>
    <row r="1018" spans="1:17" x14ac:dyDescent="0.3">
      <c r="A1018" t="s">
        <v>5047</v>
      </c>
      <c r="B1018" t="s">
        <v>5048</v>
      </c>
      <c r="C1018">
        <v>27</v>
      </c>
      <c r="D1018" t="s">
        <v>5049</v>
      </c>
      <c r="E1018" t="s">
        <v>51</v>
      </c>
      <c r="F1018" s="86">
        <v>43932</v>
      </c>
      <c r="G1018" t="s">
        <v>1200</v>
      </c>
      <c r="H1018">
        <v>1</v>
      </c>
      <c r="I1018" t="s">
        <v>64</v>
      </c>
      <c r="J1018" t="s">
        <v>1333</v>
      </c>
      <c r="K1018">
        <v>246.98</v>
      </c>
      <c r="L1018">
        <v>3</v>
      </c>
      <c r="M1018">
        <v>16</v>
      </c>
      <c r="N1018" t="s">
        <v>68</v>
      </c>
      <c r="O1018" t="s">
        <v>211</v>
      </c>
      <c r="P1018" t="s">
        <v>68</v>
      </c>
      <c r="Q1018" t="s">
        <v>32</v>
      </c>
    </row>
    <row r="1019" spans="1:17" x14ac:dyDescent="0.3">
      <c r="A1019" t="s">
        <v>5051</v>
      </c>
      <c r="B1019" t="s">
        <v>5052</v>
      </c>
      <c r="C1019">
        <v>48</v>
      </c>
      <c r="D1019" t="s">
        <v>5053</v>
      </c>
      <c r="E1019" t="s">
        <v>61</v>
      </c>
      <c r="F1019" t="s">
        <v>1142</v>
      </c>
      <c r="G1019" t="s">
        <v>771</v>
      </c>
      <c r="H1019">
        <v>4</v>
      </c>
      <c r="I1019" t="s">
        <v>64</v>
      </c>
      <c r="J1019" s="86">
        <v>45181</v>
      </c>
      <c r="K1019">
        <v>324.77999999999997</v>
      </c>
      <c r="L1019">
        <v>4</v>
      </c>
      <c r="M1019">
        <v>39</v>
      </c>
      <c r="N1019" t="s">
        <v>45</v>
      </c>
      <c r="O1019" t="s">
        <v>223</v>
      </c>
      <c r="P1019" t="s">
        <v>56</v>
      </c>
      <c r="Q1019" t="s">
        <v>32</v>
      </c>
    </row>
    <row r="1020" spans="1:17" x14ac:dyDescent="0.3">
      <c r="A1020" t="s">
        <v>5055</v>
      </c>
      <c r="B1020" t="s">
        <v>5056</v>
      </c>
      <c r="C1020">
        <v>39</v>
      </c>
      <c r="D1020" t="s">
        <v>5057</v>
      </c>
      <c r="E1020" t="s">
        <v>95</v>
      </c>
      <c r="F1020" t="s">
        <v>502</v>
      </c>
      <c r="G1020" s="86">
        <v>45171</v>
      </c>
      <c r="H1020">
        <v>2</v>
      </c>
      <c r="I1020" t="s">
        <v>64</v>
      </c>
      <c r="J1020" s="86">
        <v>44936</v>
      </c>
      <c r="K1020">
        <v>288.74</v>
      </c>
      <c r="L1020">
        <v>4</v>
      </c>
      <c r="M1020">
        <v>20</v>
      </c>
      <c r="N1020" t="s">
        <v>30</v>
      </c>
      <c r="O1020" t="s">
        <v>211</v>
      </c>
      <c r="P1020" t="s">
        <v>68</v>
      </c>
      <c r="Q1020" t="s">
        <v>32</v>
      </c>
    </row>
    <row r="1021" spans="1:17" x14ac:dyDescent="0.3">
      <c r="A1021" t="s">
        <v>5059</v>
      </c>
      <c r="B1021" t="s">
        <v>5060</v>
      </c>
      <c r="C1021">
        <v>67</v>
      </c>
      <c r="D1021" t="s">
        <v>5061</v>
      </c>
      <c r="E1021" t="s">
        <v>95</v>
      </c>
      <c r="F1021" t="s">
        <v>1789</v>
      </c>
      <c r="G1021" s="86">
        <v>44419</v>
      </c>
      <c r="H1021">
        <v>4</v>
      </c>
      <c r="I1021" t="s">
        <v>52</v>
      </c>
      <c r="J1021" t="s">
        <v>2738</v>
      </c>
      <c r="K1021">
        <v>259.66000000000003</v>
      </c>
      <c r="L1021">
        <v>6</v>
      </c>
      <c r="M1021">
        <v>42</v>
      </c>
      <c r="N1021" t="s">
        <v>54</v>
      </c>
      <c r="O1021" t="s">
        <v>99</v>
      </c>
      <c r="P1021" t="s">
        <v>56</v>
      </c>
      <c r="Q1021" t="s">
        <v>32</v>
      </c>
    </row>
    <row r="1022" spans="1:17" x14ac:dyDescent="0.3">
      <c r="A1022" t="s">
        <v>5063</v>
      </c>
      <c r="B1022" t="s">
        <v>5064</v>
      </c>
      <c r="C1022">
        <v>36</v>
      </c>
      <c r="D1022" t="s">
        <v>5065</v>
      </c>
      <c r="E1022" t="s">
        <v>40</v>
      </c>
      <c r="F1022" t="s">
        <v>3690</v>
      </c>
      <c r="G1022" t="s">
        <v>2225</v>
      </c>
      <c r="H1022">
        <v>5</v>
      </c>
      <c r="I1022" t="s">
        <v>27</v>
      </c>
      <c r="J1022" t="s">
        <v>2763</v>
      </c>
      <c r="K1022">
        <v>93.98</v>
      </c>
      <c r="L1022">
        <v>8</v>
      </c>
      <c r="M1022">
        <v>49</v>
      </c>
      <c r="N1022" t="s">
        <v>30</v>
      </c>
      <c r="O1022" t="s">
        <v>855</v>
      </c>
      <c r="P1022" t="s">
        <v>45</v>
      </c>
      <c r="Q1022" t="s">
        <v>69</v>
      </c>
    </row>
    <row r="1023" spans="1:17" x14ac:dyDescent="0.3">
      <c r="A1023" t="s">
        <v>5067</v>
      </c>
      <c r="B1023" t="s">
        <v>5068</v>
      </c>
      <c r="C1023">
        <v>32</v>
      </c>
      <c r="D1023" t="s">
        <v>5069</v>
      </c>
      <c r="E1023" t="s">
        <v>95</v>
      </c>
      <c r="F1023" s="86">
        <v>44986</v>
      </c>
      <c r="G1023" s="86">
        <v>45750</v>
      </c>
      <c r="H1023">
        <v>2</v>
      </c>
      <c r="I1023" t="s">
        <v>27</v>
      </c>
      <c r="J1023" s="86">
        <v>45696</v>
      </c>
      <c r="K1023">
        <v>617.66999999999996</v>
      </c>
      <c r="L1023">
        <v>2</v>
      </c>
      <c r="M1023">
        <v>46</v>
      </c>
      <c r="N1023" t="s">
        <v>68</v>
      </c>
      <c r="O1023" t="s">
        <v>624</v>
      </c>
      <c r="P1023" t="s">
        <v>30</v>
      </c>
      <c r="Q1023" t="s">
        <v>69</v>
      </c>
    </row>
    <row r="1024" spans="1:17" x14ac:dyDescent="0.3">
      <c r="A1024" t="s">
        <v>5071</v>
      </c>
      <c r="B1024" t="s">
        <v>5072</v>
      </c>
      <c r="C1024">
        <v>32</v>
      </c>
      <c r="D1024" t="s">
        <v>5073</v>
      </c>
      <c r="E1024" t="s">
        <v>88</v>
      </c>
      <c r="F1024" t="s">
        <v>3002</v>
      </c>
      <c r="G1024" s="86">
        <v>45116</v>
      </c>
      <c r="H1024">
        <v>4</v>
      </c>
      <c r="I1024" t="s">
        <v>27</v>
      </c>
      <c r="J1024" t="s">
        <v>1918</v>
      </c>
      <c r="K1024">
        <v>208.08</v>
      </c>
      <c r="L1024">
        <v>7</v>
      </c>
      <c r="M1024">
        <v>39</v>
      </c>
      <c r="N1024" t="s">
        <v>56</v>
      </c>
      <c r="O1024" t="s">
        <v>31</v>
      </c>
      <c r="P1024" t="s">
        <v>30</v>
      </c>
      <c r="Q1024" t="s">
        <v>69</v>
      </c>
    </row>
    <row r="1025" spans="1:17" x14ac:dyDescent="0.3">
      <c r="A1025" t="s">
        <v>5075</v>
      </c>
      <c r="B1025" t="s">
        <v>5076</v>
      </c>
      <c r="C1025">
        <v>27</v>
      </c>
      <c r="D1025" t="s">
        <v>5077</v>
      </c>
      <c r="E1025" t="s">
        <v>40</v>
      </c>
      <c r="F1025" t="s">
        <v>4533</v>
      </c>
      <c r="G1025" t="s">
        <v>3238</v>
      </c>
      <c r="H1025">
        <v>2</v>
      </c>
      <c r="I1025" t="s">
        <v>52</v>
      </c>
      <c r="J1025" t="s">
        <v>5078</v>
      </c>
      <c r="K1025">
        <v>352.3</v>
      </c>
      <c r="L1025">
        <v>4</v>
      </c>
      <c r="M1025">
        <v>18</v>
      </c>
      <c r="N1025" t="s">
        <v>54</v>
      </c>
      <c r="O1025" t="s">
        <v>44</v>
      </c>
      <c r="P1025" t="s">
        <v>45</v>
      </c>
      <c r="Q1025" t="s">
        <v>32</v>
      </c>
    </row>
    <row r="1026" spans="1:17" x14ac:dyDescent="0.3">
      <c r="A1026" t="s">
        <v>5080</v>
      </c>
      <c r="B1026" t="s">
        <v>5081</v>
      </c>
      <c r="C1026">
        <v>57</v>
      </c>
      <c r="D1026" t="s">
        <v>5082</v>
      </c>
      <c r="E1026" t="s">
        <v>40</v>
      </c>
      <c r="F1026" t="s">
        <v>1354</v>
      </c>
      <c r="G1026" t="s">
        <v>1923</v>
      </c>
      <c r="H1026">
        <v>1</v>
      </c>
      <c r="I1026" t="s">
        <v>27</v>
      </c>
      <c r="J1026" s="86">
        <v>44928</v>
      </c>
      <c r="K1026">
        <v>1129.55</v>
      </c>
      <c r="L1026">
        <v>1</v>
      </c>
      <c r="M1026">
        <v>4</v>
      </c>
      <c r="N1026" t="s">
        <v>56</v>
      </c>
      <c r="O1026" t="s">
        <v>624</v>
      </c>
      <c r="P1026" t="s">
        <v>30</v>
      </c>
      <c r="Q1026" t="s">
        <v>32</v>
      </c>
    </row>
    <row r="1027" spans="1:17" x14ac:dyDescent="0.3">
      <c r="A1027" t="s">
        <v>5084</v>
      </c>
      <c r="B1027" t="s">
        <v>5085</v>
      </c>
      <c r="C1027">
        <v>42</v>
      </c>
      <c r="D1027" t="s">
        <v>5086</v>
      </c>
      <c r="E1027" t="s">
        <v>25</v>
      </c>
      <c r="F1027" t="s">
        <v>388</v>
      </c>
      <c r="G1027" t="s">
        <v>5087</v>
      </c>
      <c r="H1027">
        <v>3</v>
      </c>
      <c r="I1027" t="s">
        <v>27</v>
      </c>
      <c r="J1027" s="86">
        <v>45541</v>
      </c>
      <c r="K1027">
        <v>578.41999999999996</v>
      </c>
      <c r="L1027">
        <v>1</v>
      </c>
      <c r="M1027">
        <v>41</v>
      </c>
      <c r="N1027" t="s">
        <v>45</v>
      </c>
      <c r="O1027" t="s">
        <v>425</v>
      </c>
      <c r="P1027" t="s">
        <v>30</v>
      </c>
      <c r="Q1027" t="s">
        <v>69</v>
      </c>
    </row>
    <row r="1028" spans="1:17" x14ac:dyDescent="0.3">
      <c r="A1028" t="s">
        <v>5089</v>
      </c>
      <c r="B1028" t="s">
        <v>5090</v>
      </c>
      <c r="C1028">
        <v>27</v>
      </c>
      <c r="D1028" t="s">
        <v>5091</v>
      </c>
      <c r="E1028" t="s">
        <v>25</v>
      </c>
      <c r="F1028" t="s">
        <v>2810</v>
      </c>
      <c r="G1028" t="s">
        <v>319</v>
      </c>
      <c r="H1028">
        <v>1</v>
      </c>
      <c r="I1028" t="s">
        <v>27</v>
      </c>
      <c r="J1028" s="86">
        <v>45055</v>
      </c>
      <c r="K1028">
        <v>179.48</v>
      </c>
      <c r="L1028">
        <v>4</v>
      </c>
      <c r="M1028">
        <v>37</v>
      </c>
      <c r="N1028" t="s">
        <v>68</v>
      </c>
      <c r="O1028" t="s">
        <v>199</v>
      </c>
      <c r="P1028" t="s">
        <v>54</v>
      </c>
      <c r="Q1028" t="s">
        <v>69</v>
      </c>
    </row>
    <row r="1029" spans="1:17" x14ac:dyDescent="0.3">
      <c r="A1029" t="s">
        <v>5093</v>
      </c>
      <c r="B1029" t="s">
        <v>5094</v>
      </c>
      <c r="C1029">
        <v>19</v>
      </c>
      <c r="D1029" t="s">
        <v>5095</v>
      </c>
      <c r="E1029" t="s">
        <v>61</v>
      </c>
      <c r="F1029" t="s">
        <v>5096</v>
      </c>
      <c r="G1029" s="86">
        <v>45781</v>
      </c>
      <c r="H1029">
        <v>4</v>
      </c>
      <c r="I1029" t="s">
        <v>27</v>
      </c>
      <c r="J1029" t="s">
        <v>229</v>
      </c>
      <c r="K1029">
        <v>157.13</v>
      </c>
      <c r="L1029">
        <v>7</v>
      </c>
      <c r="M1029">
        <v>5</v>
      </c>
      <c r="N1029" t="s">
        <v>30</v>
      </c>
      <c r="O1029" t="s">
        <v>238</v>
      </c>
      <c r="P1029" t="s">
        <v>45</v>
      </c>
      <c r="Q1029" t="s">
        <v>32</v>
      </c>
    </row>
    <row r="1030" spans="1:17" x14ac:dyDescent="0.3">
      <c r="A1030" t="s">
        <v>5098</v>
      </c>
      <c r="B1030" t="s">
        <v>5099</v>
      </c>
      <c r="C1030">
        <v>24</v>
      </c>
      <c r="D1030" t="s">
        <v>5100</v>
      </c>
      <c r="E1030" t="s">
        <v>40</v>
      </c>
      <c r="F1030" t="s">
        <v>640</v>
      </c>
      <c r="G1030" t="s">
        <v>5101</v>
      </c>
      <c r="H1030">
        <v>0</v>
      </c>
      <c r="I1030" t="s">
        <v>27</v>
      </c>
      <c r="J1030" t="s">
        <v>2294</v>
      </c>
      <c r="K1030">
        <v>21.02</v>
      </c>
      <c r="L1030">
        <v>6</v>
      </c>
      <c r="M1030">
        <v>2</v>
      </c>
      <c r="N1030" t="s">
        <v>56</v>
      </c>
      <c r="O1030" t="s">
        <v>122</v>
      </c>
      <c r="P1030" t="s">
        <v>30</v>
      </c>
      <c r="Q1030" t="s">
        <v>32</v>
      </c>
    </row>
    <row r="1031" spans="1:17" x14ac:dyDescent="0.3">
      <c r="A1031" t="s">
        <v>5103</v>
      </c>
      <c r="B1031" t="s">
        <v>5104</v>
      </c>
      <c r="C1031">
        <v>53</v>
      </c>
      <c r="D1031" t="s">
        <v>5105</v>
      </c>
      <c r="E1031" t="s">
        <v>25</v>
      </c>
      <c r="F1031" s="86">
        <v>45206</v>
      </c>
      <c r="G1031" t="s">
        <v>1929</v>
      </c>
      <c r="H1031">
        <v>1</v>
      </c>
      <c r="I1031" t="s">
        <v>52</v>
      </c>
      <c r="J1031" t="s">
        <v>1960</v>
      </c>
      <c r="K1031">
        <v>251.82</v>
      </c>
      <c r="L1031">
        <v>2</v>
      </c>
      <c r="M1031">
        <v>25</v>
      </c>
      <c r="N1031" t="s">
        <v>68</v>
      </c>
      <c r="O1031" t="s">
        <v>821</v>
      </c>
      <c r="P1031" t="s">
        <v>68</v>
      </c>
      <c r="Q1031" t="s">
        <v>32</v>
      </c>
    </row>
    <row r="1032" spans="1:17" x14ac:dyDescent="0.3">
      <c r="A1032" t="s">
        <v>5107</v>
      </c>
      <c r="B1032" t="s">
        <v>5108</v>
      </c>
      <c r="C1032">
        <v>54</v>
      </c>
      <c r="D1032" t="s">
        <v>5109</v>
      </c>
      <c r="E1032" t="s">
        <v>61</v>
      </c>
      <c r="F1032" t="s">
        <v>5110</v>
      </c>
      <c r="G1032" s="86">
        <v>45481</v>
      </c>
      <c r="H1032">
        <v>4</v>
      </c>
      <c r="I1032" t="s">
        <v>64</v>
      </c>
      <c r="J1032" t="s">
        <v>5111</v>
      </c>
      <c r="K1032">
        <v>158.76</v>
      </c>
      <c r="L1032">
        <v>6</v>
      </c>
      <c r="M1032">
        <v>25</v>
      </c>
      <c r="N1032" t="s">
        <v>54</v>
      </c>
      <c r="O1032" t="s">
        <v>55</v>
      </c>
      <c r="P1032" t="s">
        <v>56</v>
      </c>
      <c r="Q1032" t="s">
        <v>69</v>
      </c>
    </row>
    <row r="1033" spans="1:17" x14ac:dyDescent="0.3">
      <c r="A1033" t="s">
        <v>5113</v>
      </c>
      <c r="B1033" t="s">
        <v>5114</v>
      </c>
      <c r="C1033">
        <v>37</v>
      </c>
      <c r="D1033" t="s">
        <v>5115</v>
      </c>
      <c r="E1033" t="s">
        <v>88</v>
      </c>
      <c r="F1033" t="s">
        <v>2179</v>
      </c>
      <c r="G1033" s="86">
        <v>44229</v>
      </c>
      <c r="H1033">
        <v>1</v>
      </c>
      <c r="I1033" t="s">
        <v>52</v>
      </c>
      <c r="J1033" s="86">
        <v>44321</v>
      </c>
      <c r="K1033">
        <v>384.21</v>
      </c>
      <c r="L1033">
        <v>4</v>
      </c>
      <c r="M1033">
        <v>14</v>
      </c>
      <c r="N1033" t="s">
        <v>30</v>
      </c>
      <c r="O1033" t="s">
        <v>373</v>
      </c>
      <c r="P1033" t="s">
        <v>54</v>
      </c>
      <c r="Q1033" t="s">
        <v>32</v>
      </c>
    </row>
    <row r="1034" spans="1:17" x14ac:dyDescent="0.3">
      <c r="A1034" t="s">
        <v>5117</v>
      </c>
      <c r="B1034" t="s">
        <v>5118</v>
      </c>
      <c r="C1034">
        <v>49</v>
      </c>
      <c r="D1034" t="s">
        <v>5119</v>
      </c>
      <c r="E1034" t="s">
        <v>88</v>
      </c>
      <c r="F1034" t="s">
        <v>337</v>
      </c>
      <c r="G1034" t="s">
        <v>2809</v>
      </c>
      <c r="H1034">
        <v>3</v>
      </c>
      <c r="I1034" t="s">
        <v>27</v>
      </c>
      <c r="J1034" t="s">
        <v>1397</v>
      </c>
      <c r="K1034">
        <v>456.94</v>
      </c>
      <c r="L1034">
        <v>1</v>
      </c>
      <c r="M1034">
        <v>20</v>
      </c>
      <c r="N1034" t="s">
        <v>45</v>
      </c>
      <c r="O1034" t="s">
        <v>238</v>
      </c>
      <c r="P1034" t="s">
        <v>45</v>
      </c>
      <c r="Q1034" t="s">
        <v>32</v>
      </c>
    </row>
    <row r="1035" spans="1:17" x14ac:dyDescent="0.3">
      <c r="A1035" t="s">
        <v>5121</v>
      </c>
      <c r="B1035" t="s">
        <v>5122</v>
      </c>
      <c r="C1035">
        <v>68</v>
      </c>
      <c r="D1035" t="s">
        <v>5123</v>
      </c>
      <c r="E1035" t="s">
        <v>25</v>
      </c>
      <c r="F1035" t="s">
        <v>2533</v>
      </c>
      <c r="G1035" t="s">
        <v>2314</v>
      </c>
      <c r="H1035">
        <v>2</v>
      </c>
      <c r="I1035" t="s">
        <v>52</v>
      </c>
      <c r="J1035" t="s">
        <v>2560</v>
      </c>
      <c r="K1035">
        <v>60.37</v>
      </c>
      <c r="L1035">
        <v>8</v>
      </c>
      <c r="M1035">
        <v>7</v>
      </c>
      <c r="N1035" t="s">
        <v>54</v>
      </c>
      <c r="O1035" t="s">
        <v>293</v>
      </c>
      <c r="P1035" t="s">
        <v>45</v>
      </c>
      <c r="Q1035" t="s">
        <v>32</v>
      </c>
    </row>
    <row r="1036" spans="1:17" x14ac:dyDescent="0.3">
      <c r="A1036" t="s">
        <v>5125</v>
      </c>
      <c r="B1036" t="s">
        <v>5126</v>
      </c>
      <c r="C1036">
        <v>56</v>
      </c>
      <c r="D1036" t="s">
        <v>5127</v>
      </c>
      <c r="E1036" t="s">
        <v>61</v>
      </c>
      <c r="F1036" t="s">
        <v>4274</v>
      </c>
      <c r="G1036" t="s">
        <v>2486</v>
      </c>
      <c r="H1036">
        <v>3</v>
      </c>
      <c r="I1036" t="s">
        <v>52</v>
      </c>
      <c r="J1036" t="s">
        <v>3130</v>
      </c>
      <c r="K1036">
        <v>88.97</v>
      </c>
      <c r="L1036">
        <v>8</v>
      </c>
      <c r="M1036">
        <v>22</v>
      </c>
      <c r="N1036" t="s">
        <v>56</v>
      </c>
      <c r="O1036" t="s">
        <v>128</v>
      </c>
      <c r="P1036" t="s">
        <v>54</v>
      </c>
      <c r="Q1036" t="s">
        <v>32</v>
      </c>
    </row>
    <row r="1037" spans="1:17" x14ac:dyDescent="0.3">
      <c r="A1037" t="s">
        <v>5129</v>
      </c>
      <c r="B1037" t="s">
        <v>5130</v>
      </c>
      <c r="C1037">
        <v>26</v>
      </c>
      <c r="D1037" t="s">
        <v>5131</v>
      </c>
      <c r="E1037" t="s">
        <v>51</v>
      </c>
      <c r="F1037" t="s">
        <v>2522</v>
      </c>
      <c r="G1037" t="s">
        <v>2093</v>
      </c>
      <c r="H1037">
        <v>1</v>
      </c>
      <c r="I1037" t="s">
        <v>27</v>
      </c>
      <c r="J1037" s="86">
        <v>45839</v>
      </c>
      <c r="K1037">
        <v>110.67</v>
      </c>
      <c r="L1037">
        <v>7</v>
      </c>
      <c r="M1037">
        <v>36</v>
      </c>
      <c r="N1037" t="s">
        <v>45</v>
      </c>
      <c r="O1037" t="s">
        <v>231</v>
      </c>
      <c r="P1037" t="s">
        <v>30</v>
      </c>
      <c r="Q1037" t="s">
        <v>32</v>
      </c>
    </row>
    <row r="1038" spans="1:17" x14ac:dyDescent="0.3">
      <c r="A1038" t="s">
        <v>5133</v>
      </c>
      <c r="B1038" t="s">
        <v>5134</v>
      </c>
      <c r="C1038">
        <v>32</v>
      </c>
      <c r="D1038" t="s">
        <v>5135</v>
      </c>
      <c r="E1038" t="s">
        <v>95</v>
      </c>
      <c r="F1038" s="86">
        <v>44262</v>
      </c>
      <c r="G1038" s="86">
        <v>44622</v>
      </c>
      <c r="H1038">
        <v>2</v>
      </c>
      <c r="I1038" t="s">
        <v>52</v>
      </c>
      <c r="J1038" t="s">
        <v>5136</v>
      </c>
      <c r="K1038">
        <v>791.7</v>
      </c>
      <c r="L1038">
        <v>2</v>
      </c>
      <c r="M1038">
        <v>23</v>
      </c>
      <c r="N1038" t="s">
        <v>68</v>
      </c>
      <c r="O1038" t="s">
        <v>821</v>
      </c>
      <c r="P1038" t="s">
        <v>68</v>
      </c>
      <c r="Q1038" t="s">
        <v>69</v>
      </c>
    </row>
    <row r="1039" spans="1:17" x14ac:dyDescent="0.3">
      <c r="A1039" t="s">
        <v>5138</v>
      </c>
      <c r="B1039" t="s">
        <v>5139</v>
      </c>
      <c r="C1039">
        <v>54</v>
      </c>
      <c r="D1039" t="s">
        <v>5140</v>
      </c>
      <c r="E1039" t="s">
        <v>40</v>
      </c>
      <c r="F1039" s="86">
        <v>44682</v>
      </c>
      <c r="G1039" t="s">
        <v>5141</v>
      </c>
      <c r="H1039">
        <v>2</v>
      </c>
      <c r="I1039" t="s">
        <v>64</v>
      </c>
      <c r="J1039" t="s">
        <v>2691</v>
      </c>
      <c r="K1039">
        <v>811.8</v>
      </c>
      <c r="L1039">
        <v>2</v>
      </c>
      <c r="M1039">
        <v>29</v>
      </c>
      <c r="N1039" t="s">
        <v>30</v>
      </c>
      <c r="O1039" t="s">
        <v>149</v>
      </c>
      <c r="P1039" t="s">
        <v>30</v>
      </c>
      <c r="Q1039" t="s">
        <v>32</v>
      </c>
    </row>
    <row r="1040" spans="1:17" x14ac:dyDescent="0.3">
      <c r="A1040" t="s">
        <v>5143</v>
      </c>
      <c r="B1040" t="s">
        <v>5144</v>
      </c>
      <c r="C1040">
        <v>63</v>
      </c>
      <c r="D1040" t="s">
        <v>5145</v>
      </c>
      <c r="E1040" t="s">
        <v>25</v>
      </c>
      <c r="F1040" s="86">
        <v>44567</v>
      </c>
      <c r="G1040" s="86">
        <v>45720</v>
      </c>
      <c r="H1040">
        <v>0</v>
      </c>
      <c r="I1040" t="s">
        <v>52</v>
      </c>
      <c r="J1040" t="s">
        <v>345</v>
      </c>
      <c r="K1040">
        <v>71.400000000000006</v>
      </c>
      <c r="L1040">
        <v>9</v>
      </c>
      <c r="M1040">
        <v>27</v>
      </c>
      <c r="N1040" t="s">
        <v>54</v>
      </c>
      <c r="O1040" t="s">
        <v>175</v>
      </c>
      <c r="P1040" t="s">
        <v>56</v>
      </c>
      <c r="Q1040" t="s">
        <v>32</v>
      </c>
    </row>
    <row r="1041" spans="1:17" x14ac:dyDescent="0.3">
      <c r="A1041" t="s">
        <v>5147</v>
      </c>
      <c r="B1041" t="s">
        <v>5148</v>
      </c>
      <c r="C1041">
        <v>19</v>
      </c>
      <c r="D1041" t="s">
        <v>5149</v>
      </c>
      <c r="E1041" t="s">
        <v>51</v>
      </c>
      <c r="F1041" s="86">
        <v>44900</v>
      </c>
      <c r="G1041" s="86">
        <v>44968</v>
      </c>
      <c r="H1041">
        <v>0</v>
      </c>
      <c r="I1041" t="s">
        <v>64</v>
      </c>
      <c r="J1041" s="86">
        <v>44602</v>
      </c>
      <c r="K1041">
        <v>164.17</v>
      </c>
      <c r="L1041">
        <v>6</v>
      </c>
      <c r="M1041">
        <v>41</v>
      </c>
      <c r="N1041" t="s">
        <v>68</v>
      </c>
      <c r="O1041" t="s">
        <v>77</v>
      </c>
      <c r="P1041" t="s">
        <v>54</v>
      </c>
      <c r="Q1041" t="s">
        <v>69</v>
      </c>
    </row>
    <row r="1042" spans="1:17" x14ac:dyDescent="0.3">
      <c r="A1042" t="s">
        <v>5151</v>
      </c>
      <c r="B1042" t="s">
        <v>5152</v>
      </c>
      <c r="C1042">
        <v>61</v>
      </c>
      <c r="D1042" t="s">
        <v>5153</v>
      </c>
      <c r="E1042" t="s">
        <v>61</v>
      </c>
      <c r="F1042" t="s">
        <v>1333</v>
      </c>
      <c r="G1042" t="s">
        <v>1715</v>
      </c>
      <c r="H1042">
        <v>2</v>
      </c>
      <c r="I1042" t="s">
        <v>27</v>
      </c>
      <c r="J1042" t="s">
        <v>4664</v>
      </c>
      <c r="K1042">
        <v>439.94</v>
      </c>
      <c r="L1042">
        <v>4</v>
      </c>
      <c r="M1042">
        <v>46</v>
      </c>
      <c r="N1042" t="s">
        <v>56</v>
      </c>
      <c r="O1042" t="s">
        <v>837</v>
      </c>
      <c r="P1042" t="s">
        <v>56</v>
      </c>
      <c r="Q1042" t="s">
        <v>32</v>
      </c>
    </row>
    <row r="1043" spans="1:17" x14ac:dyDescent="0.3">
      <c r="A1043" t="s">
        <v>5155</v>
      </c>
      <c r="B1043" t="s">
        <v>5156</v>
      </c>
      <c r="C1043">
        <v>22</v>
      </c>
      <c r="D1043" t="s">
        <v>5157</v>
      </c>
      <c r="E1043" t="s">
        <v>40</v>
      </c>
      <c r="F1043" t="s">
        <v>352</v>
      </c>
      <c r="G1043" t="s">
        <v>584</v>
      </c>
      <c r="H1043">
        <v>1</v>
      </c>
      <c r="I1043" t="s">
        <v>52</v>
      </c>
      <c r="J1043" t="s">
        <v>344</v>
      </c>
      <c r="K1043">
        <v>156.82</v>
      </c>
      <c r="L1043">
        <v>2</v>
      </c>
      <c r="M1043">
        <v>47</v>
      </c>
      <c r="N1043" t="s">
        <v>45</v>
      </c>
      <c r="O1043" t="s">
        <v>269</v>
      </c>
      <c r="P1043" t="s">
        <v>56</v>
      </c>
      <c r="Q1043" t="s">
        <v>69</v>
      </c>
    </row>
    <row r="1044" spans="1:17" x14ac:dyDescent="0.3">
      <c r="A1044" t="s">
        <v>5159</v>
      </c>
      <c r="B1044" t="s">
        <v>5160</v>
      </c>
      <c r="C1044">
        <v>51</v>
      </c>
      <c r="D1044" t="s">
        <v>5161</v>
      </c>
      <c r="E1044" t="s">
        <v>51</v>
      </c>
      <c r="F1044" s="86">
        <v>44382</v>
      </c>
      <c r="G1044" t="s">
        <v>3088</v>
      </c>
      <c r="H1044">
        <v>2</v>
      </c>
      <c r="I1044" t="s">
        <v>52</v>
      </c>
      <c r="J1044" t="s">
        <v>946</v>
      </c>
      <c r="K1044">
        <v>62.14</v>
      </c>
      <c r="L1044">
        <v>5</v>
      </c>
      <c r="M1044">
        <v>33</v>
      </c>
      <c r="N1044" t="s">
        <v>45</v>
      </c>
      <c r="O1044" t="s">
        <v>425</v>
      </c>
      <c r="P1044" t="s">
        <v>30</v>
      </c>
      <c r="Q1044" t="s">
        <v>69</v>
      </c>
    </row>
    <row r="1045" spans="1:17" x14ac:dyDescent="0.3">
      <c r="A1045" t="s">
        <v>5163</v>
      </c>
      <c r="B1045" t="s">
        <v>5164</v>
      </c>
      <c r="C1045">
        <v>53</v>
      </c>
      <c r="D1045" t="s">
        <v>5165</v>
      </c>
      <c r="E1045" t="s">
        <v>95</v>
      </c>
      <c r="F1045" t="s">
        <v>1594</v>
      </c>
      <c r="G1045" t="s">
        <v>5166</v>
      </c>
      <c r="H1045">
        <v>1</v>
      </c>
      <c r="I1045" t="s">
        <v>52</v>
      </c>
      <c r="J1045" s="86">
        <v>44996</v>
      </c>
      <c r="K1045">
        <v>34.67</v>
      </c>
      <c r="L1045">
        <v>7</v>
      </c>
      <c r="M1045">
        <v>37</v>
      </c>
      <c r="N1045" t="s">
        <v>30</v>
      </c>
      <c r="O1045" t="s">
        <v>99</v>
      </c>
      <c r="P1045" t="s">
        <v>56</v>
      </c>
      <c r="Q1045" t="s">
        <v>69</v>
      </c>
    </row>
    <row r="1046" spans="1:17" x14ac:dyDescent="0.3">
      <c r="A1046" t="s">
        <v>5168</v>
      </c>
      <c r="B1046" t="s">
        <v>5169</v>
      </c>
      <c r="C1046">
        <v>52</v>
      </c>
      <c r="D1046" t="s">
        <v>5170</v>
      </c>
      <c r="E1046" t="s">
        <v>40</v>
      </c>
      <c r="F1046" t="s">
        <v>410</v>
      </c>
      <c r="G1046" s="86">
        <v>45359</v>
      </c>
      <c r="H1046">
        <v>2</v>
      </c>
      <c r="I1046" t="s">
        <v>27</v>
      </c>
      <c r="J1046" t="s">
        <v>5171</v>
      </c>
      <c r="K1046">
        <v>1707.78</v>
      </c>
      <c r="L1046">
        <v>1</v>
      </c>
      <c r="M1046">
        <v>1</v>
      </c>
      <c r="N1046" t="s">
        <v>54</v>
      </c>
      <c r="O1046" t="s">
        <v>837</v>
      </c>
      <c r="P1046" t="s">
        <v>56</v>
      </c>
      <c r="Q1046" t="s">
        <v>32</v>
      </c>
    </row>
    <row r="1047" spans="1:17" x14ac:dyDescent="0.3">
      <c r="A1047" t="s">
        <v>5173</v>
      </c>
      <c r="B1047" t="s">
        <v>5174</v>
      </c>
      <c r="C1047">
        <v>39</v>
      </c>
      <c r="D1047" t="s">
        <v>5175</v>
      </c>
      <c r="E1047" t="s">
        <v>61</v>
      </c>
      <c r="F1047" t="s">
        <v>267</v>
      </c>
      <c r="G1047" t="s">
        <v>3130</v>
      </c>
      <c r="H1047">
        <v>2</v>
      </c>
      <c r="I1047" t="s">
        <v>27</v>
      </c>
      <c r="J1047" t="s">
        <v>147</v>
      </c>
      <c r="K1047">
        <v>264.01</v>
      </c>
      <c r="L1047">
        <v>6</v>
      </c>
      <c r="M1047">
        <v>27</v>
      </c>
      <c r="N1047" t="s">
        <v>30</v>
      </c>
      <c r="O1047" t="s">
        <v>610</v>
      </c>
      <c r="P1047" t="s">
        <v>68</v>
      </c>
      <c r="Q1047" t="s">
        <v>69</v>
      </c>
    </row>
    <row r="1048" spans="1:17" x14ac:dyDescent="0.3">
      <c r="A1048" t="s">
        <v>5177</v>
      </c>
      <c r="B1048" t="s">
        <v>5178</v>
      </c>
      <c r="C1048">
        <v>31</v>
      </c>
      <c r="D1048" t="s">
        <v>5179</v>
      </c>
      <c r="E1048" t="s">
        <v>61</v>
      </c>
      <c r="F1048" s="86">
        <v>44541</v>
      </c>
      <c r="G1048" t="s">
        <v>1442</v>
      </c>
      <c r="H1048">
        <v>2</v>
      </c>
      <c r="I1048" t="s">
        <v>27</v>
      </c>
      <c r="J1048" t="s">
        <v>659</v>
      </c>
      <c r="K1048">
        <v>87.51</v>
      </c>
      <c r="L1048">
        <v>5</v>
      </c>
      <c r="M1048">
        <v>13</v>
      </c>
      <c r="N1048" t="s">
        <v>56</v>
      </c>
      <c r="O1048" t="s">
        <v>223</v>
      </c>
      <c r="P1048" t="s">
        <v>56</v>
      </c>
      <c r="Q1048" t="s">
        <v>32</v>
      </c>
    </row>
    <row r="1049" spans="1:17" x14ac:dyDescent="0.3">
      <c r="A1049" t="s">
        <v>5181</v>
      </c>
      <c r="B1049" t="s">
        <v>5182</v>
      </c>
      <c r="C1049">
        <v>22</v>
      </c>
      <c r="D1049" t="s">
        <v>5183</v>
      </c>
      <c r="E1049" t="s">
        <v>40</v>
      </c>
      <c r="F1049" t="s">
        <v>934</v>
      </c>
      <c r="G1049" t="s">
        <v>924</v>
      </c>
      <c r="H1049">
        <v>0</v>
      </c>
      <c r="I1049" t="s">
        <v>27</v>
      </c>
      <c r="J1049" t="s">
        <v>929</v>
      </c>
      <c r="K1049">
        <v>243.13</v>
      </c>
      <c r="L1049">
        <v>5</v>
      </c>
      <c r="M1049">
        <v>35</v>
      </c>
      <c r="N1049" t="s">
        <v>45</v>
      </c>
      <c r="O1049" t="s">
        <v>67</v>
      </c>
      <c r="P1049" t="s">
        <v>68</v>
      </c>
      <c r="Q1049" t="s">
        <v>69</v>
      </c>
    </row>
    <row r="1050" spans="1:17" x14ac:dyDescent="0.3">
      <c r="A1050" t="s">
        <v>5185</v>
      </c>
      <c r="B1050" t="s">
        <v>5186</v>
      </c>
      <c r="C1050">
        <v>61</v>
      </c>
      <c r="D1050" t="s">
        <v>5187</v>
      </c>
      <c r="E1050" t="s">
        <v>88</v>
      </c>
      <c r="F1050" t="s">
        <v>236</v>
      </c>
      <c r="G1050" t="s">
        <v>3568</v>
      </c>
      <c r="H1050">
        <v>1</v>
      </c>
      <c r="I1050" t="s">
        <v>52</v>
      </c>
      <c r="J1050" s="86">
        <v>44594</v>
      </c>
      <c r="K1050">
        <v>880.36</v>
      </c>
      <c r="L1050">
        <v>2</v>
      </c>
      <c r="M1050">
        <v>27</v>
      </c>
      <c r="N1050" t="s">
        <v>56</v>
      </c>
      <c r="O1050" t="s">
        <v>366</v>
      </c>
      <c r="P1050" t="s">
        <v>54</v>
      </c>
      <c r="Q1050" t="s">
        <v>32</v>
      </c>
    </row>
    <row r="1051" spans="1:17" x14ac:dyDescent="0.3">
      <c r="A1051" t="s">
        <v>5189</v>
      </c>
      <c r="B1051" t="s">
        <v>5190</v>
      </c>
      <c r="C1051">
        <v>47</v>
      </c>
      <c r="D1051" t="s">
        <v>5191</v>
      </c>
      <c r="E1051" t="s">
        <v>25</v>
      </c>
      <c r="F1051" s="86">
        <v>44234</v>
      </c>
      <c r="G1051" t="s">
        <v>2679</v>
      </c>
      <c r="H1051">
        <v>4</v>
      </c>
      <c r="I1051" t="s">
        <v>52</v>
      </c>
      <c r="J1051" s="86">
        <v>45323</v>
      </c>
      <c r="K1051">
        <v>793.56</v>
      </c>
      <c r="L1051">
        <v>1</v>
      </c>
      <c r="M1051">
        <v>31</v>
      </c>
      <c r="N1051" t="s">
        <v>30</v>
      </c>
      <c r="O1051" t="s">
        <v>354</v>
      </c>
      <c r="P1051" t="s">
        <v>45</v>
      </c>
      <c r="Q1051" t="s">
        <v>32</v>
      </c>
    </row>
    <row r="1052" spans="1:17" x14ac:dyDescent="0.3">
      <c r="A1052" t="s">
        <v>5193</v>
      </c>
      <c r="B1052" t="s">
        <v>5194</v>
      </c>
      <c r="C1052">
        <v>29</v>
      </c>
      <c r="D1052" t="s">
        <v>5195</v>
      </c>
      <c r="E1052" t="s">
        <v>25</v>
      </c>
      <c r="F1052" t="s">
        <v>1391</v>
      </c>
      <c r="G1052" s="86">
        <v>45454</v>
      </c>
      <c r="H1052">
        <v>1</v>
      </c>
      <c r="I1052" t="s">
        <v>64</v>
      </c>
      <c r="J1052" t="s">
        <v>404</v>
      </c>
      <c r="K1052">
        <v>100.04</v>
      </c>
      <c r="L1052">
        <v>9</v>
      </c>
      <c r="M1052">
        <v>11</v>
      </c>
      <c r="N1052" t="s">
        <v>68</v>
      </c>
      <c r="O1052" t="s">
        <v>211</v>
      </c>
      <c r="P1052" t="s">
        <v>68</v>
      </c>
      <c r="Q1052" t="s">
        <v>32</v>
      </c>
    </row>
    <row r="1053" spans="1:17" x14ac:dyDescent="0.3">
      <c r="A1053" t="s">
        <v>5197</v>
      </c>
      <c r="B1053" t="s">
        <v>5198</v>
      </c>
      <c r="C1053">
        <v>38</v>
      </c>
      <c r="D1053" t="s">
        <v>5199</v>
      </c>
      <c r="E1053" t="s">
        <v>40</v>
      </c>
      <c r="F1053" s="86">
        <v>44785</v>
      </c>
      <c r="G1053" s="86">
        <v>45840</v>
      </c>
      <c r="H1053">
        <v>0</v>
      </c>
      <c r="I1053" t="s">
        <v>27</v>
      </c>
      <c r="J1053" t="s">
        <v>2332</v>
      </c>
      <c r="K1053">
        <v>207.64</v>
      </c>
      <c r="L1053">
        <v>7</v>
      </c>
      <c r="M1053">
        <v>14</v>
      </c>
      <c r="N1053" t="s">
        <v>68</v>
      </c>
      <c r="O1053" t="s">
        <v>610</v>
      </c>
      <c r="P1053" t="s">
        <v>68</v>
      </c>
      <c r="Q1053" t="s">
        <v>32</v>
      </c>
    </row>
    <row r="1054" spans="1:17" x14ac:dyDescent="0.3">
      <c r="A1054" t="s">
        <v>5201</v>
      </c>
      <c r="B1054" t="s">
        <v>5202</v>
      </c>
      <c r="C1054">
        <v>56</v>
      </c>
      <c r="D1054" t="s">
        <v>5203</v>
      </c>
      <c r="E1054" t="s">
        <v>25</v>
      </c>
      <c r="F1054" s="86">
        <v>44630</v>
      </c>
      <c r="G1054" t="s">
        <v>1307</v>
      </c>
      <c r="H1054">
        <v>3</v>
      </c>
      <c r="I1054" t="s">
        <v>52</v>
      </c>
      <c r="J1054" t="s">
        <v>615</v>
      </c>
      <c r="K1054">
        <v>96.98</v>
      </c>
      <c r="L1054">
        <v>8</v>
      </c>
      <c r="M1054">
        <v>38</v>
      </c>
      <c r="N1054" t="s">
        <v>56</v>
      </c>
      <c r="O1054" t="s">
        <v>245</v>
      </c>
      <c r="P1054" t="s">
        <v>54</v>
      </c>
      <c r="Q1054" t="s">
        <v>32</v>
      </c>
    </row>
    <row r="1055" spans="1:17" x14ac:dyDescent="0.3">
      <c r="A1055" t="s">
        <v>5205</v>
      </c>
      <c r="B1055" t="s">
        <v>5206</v>
      </c>
      <c r="C1055">
        <v>23</v>
      </c>
      <c r="D1055" t="s">
        <v>5207</v>
      </c>
      <c r="E1055" t="s">
        <v>51</v>
      </c>
      <c r="F1055" t="s">
        <v>2722</v>
      </c>
      <c r="G1055" t="s">
        <v>486</v>
      </c>
      <c r="H1055">
        <v>3</v>
      </c>
      <c r="I1055" t="s">
        <v>64</v>
      </c>
      <c r="J1055" t="s">
        <v>2966</v>
      </c>
      <c r="K1055">
        <v>149</v>
      </c>
      <c r="L1055">
        <v>4</v>
      </c>
      <c r="M1055">
        <v>1</v>
      </c>
      <c r="N1055" t="s">
        <v>54</v>
      </c>
      <c r="O1055" t="s">
        <v>67</v>
      </c>
      <c r="P1055" t="s">
        <v>68</v>
      </c>
      <c r="Q1055" t="s">
        <v>32</v>
      </c>
    </row>
    <row r="1056" spans="1:17" x14ac:dyDescent="0.3">
      <c r="A1056" t="s">
        <v>5209</v>
      </c>
      <c r="B1056" t="s">
        <v>5210</v>
      </c>
      <c r="C1056">
        <v>50</v>
      </c>
      <c r="D1056" t="s">
        <v>5211</v>
      </c>
      <c r="E1056" t="s">
        <v>61</v>
      </c>
      <c r="F1056" t="s">
        <v>1420</v>
      </c>
      <c r="G1056" t="s">
        <v>4760</v>
      </c>
      <c r="H1056">
        <v>1</v>
      </c>
      <c r="I1056" t="s">
        <v>27</v>
      </c>
      <c r="J1056" s="86">
        <v>45662</v>
      </c>
      <c r="K1056">
        <v>451.57</v>
      </c>
      <c r="L1056">
        <v>2</v>
      </c>
      <c r="M1056">
        <v>21</v>
      </c>
      <c r="N1056" t="s">
        <v>56</v>
      </c>
      <c r="O1056" t="s">
        <v>245</v>
      </c>
      <c r="P1056" t="s">
        <v>54</v>
      </c>
      <c r="Q1056" t="s">
        <v>32</v>
      </c>
    </row>
    <row r="1057" spans="1:17" x14ac:dyDescent="0.3">
      <c r="A1057" t="s">
        <v>5213</v>
      </c>
      <c r="B1057" t="s">
        <v>5214</v>
      </c>
      <c r="C1057">
        <v>38</v>
      </c>
      <c r="D1057" t="s">
        <v>5215</v>
      </c>
      <c r="E1057" t="s">
        <v>51</v>
      </c>
      <c r="F1057" t="s">
        <v>3652</v>
      </c>
      <c r="G1057" s="86">
        <v>45148</v>
      </c>
      <c r="H1057">
        <v>0</v>
      </c>
      <c r="I1057" t="s">
        <v>64</v>
      </c>
      <c r="J1057" s="86">
        <v>45749</v>
      </c>
      <c r="K1057">
        <v>292.95999999999998</v>
      </c>
      <c r="L1057">
        <v>4</v>
      </c>
      <c r="M1057">
        <v>36</v>
      </c>
      <c r="N1057" t="s">
        <v>54</v>
      </c>
      <c r="O1057" t="s">
        <v>199</v>
      </c>
      <c r="P1057" t="s">
        <v>54</v>
      </c>
      <c r="Q1057" t="s">
        <v>69</v>
      </c>
    </row>
    <row r="1058" spans="1:17" x14ac:dyDescent="0.3">
      <c r="A1058" t="s">
        <v>5217</v>
      </c>
      <c r="B1058" t="s">
        <v>5218</v>
      </c>
      <c r="C1058">
        <v>40</v>
      </c>
      <c r="D1058" t="s">
        <v>5219</v>
      </c>
      <c r="E1058" t="s">
        <v>61</v>
      </c>
      <c r="F1058" t="s">
        <v>4817</v>
      </c>
      <c r="G1058" t="s">
        <v>28</v>
      </c>
      <c r="H1058">
        <v>2</v>
      </c>
      <c r="I1058" t="s">
        <v>27</v>
      </c>
      <c r="J1058" t="s">
        <v>2744</v>
      </c>
      <c r="K1058">
        <v>1825.62</v>
      </c>
      <c r="L1058">
        <v>1</v>
      </c>
      <c r="M1058">
        <v>9</v>
      </c>
      <c r="N1058" t="s">
        <v>30</v>
      </c>
      <c r="O1058" t="s">
        <v>418</v>
      </c>
      <c r="P1058" t="s">
        <v>56</v>
      </c>
      <c r="Q1058" t="s">
        <v>69</v>
      </c>
    </row>
    <row r="1059" spans="1:17" x14ac:dyDescent="0.3">
      <c r="A1059" t="s">
        <v>5221</v>
      </c>
      <c r="B1059" t="s">
        <v>5222</v>
      </c>
      <c r="C1059">
        <v>50</v>
      </c>
      <c r="D1059" t="s">
        <v>5223</v>
      </c>
      <c r="E1059" t="s">
        <v>95</v>
      </c>
      <c r="F1059" t="s">
        <v>3831</v>
      </c>
      <c r="G1059" s="86">
        <v>45839</v>
      </c>
      <c r="H1059">
        <v>3</v>
      </c>
      <c r="I1059" t="s">
        <v>27</v>
      </c>
      <c r="J1059" t="s">
        <v>371</v>
      </c>
      <c r="K1059">
        <v>152.66</v>
      </c>
      <c r="L1059">
        <v>6</v>
      </c>
      <c r="M1059">
        <v>28</v>
      </c>
      <c r="N1059" t="s">
        <v>45</v>
      </c>
      <c r="O1059" t="s">
        <v>837</v>
      </c>
      <c r="P1059" t="s">
        <v>56</v>
      </c>
      <c r="Q1059" t="s">
        <v>69</v>
      </c>
    </row>
    <row r="1060" spans="1:17" x14ac:dyDescent="0.3">
      <c r="A1060" t="s">
        <v>5225</v>
      </c>
      <c r="B1060" t="s">
        <v>5226</v>
      </c>
      <c r="C1060">
        <v>61</v>
      </c>
      <c r="D1060" t="s">
        <v>5227</v>
      </c>
      <c r="E1060" t="s">
        <v>95</v>
      </c>
      <c r="F1060" t="s">
        <v>2029</v>
      </c>
      <c r="G1060" t="s">
        <v>2933</v>
      </c>
      <c r="H1060">
        <v>0</v>
      </c>
      <c r="I1060" t="s">
        <v>52</v>
      </c>
      <c r="J1060" s="86">
        <v>45262</v>
      </c>
      <c r="K1060">
        <v>190.72</v>
      </c>
      <c r="L1060">
        <v>2</v>
      </c>
      <c r="M1060">
        <v>14</v>
      </c>
      <c r="N1060" t="s">
        <v>56</v>
      </c>
      <c r="O1060" t="s">
        <v>31</v>
      </c>
      <c r="P1060" t="s">
        <v>30</v>
      </c>
      <c r="Q1060" t="s">
        <v>69</v>
      </c>
    </row>
    <row r="1061" spans="1:17" x14ac:dyDescent="0.3">
      <c r="A1061" t="s">
        <v>5229</v>
      </c>
      <c r="B1061" t="s">
        <v>5230</v>
      </c>
      <c r="C1061">
        <v>22</v>
      </c>
      <c r="D1061" t="s">
        <v>5231</v>
      </c>
      <c r="E1061" t="s">
        <v>95</v>
      </c>
      <c r="F1061" t="s">
        <v>1153</v>
      </c>
      <c r="G1061" s="86">
        <v>45423</v>
      </c>
      <c r="H1061">
        <v>5</v>
      </c>
      <c r="I1061" t="s">
        <v>52</v>
      </c>
      <c r="J1061" s="86">
        <v>44938</v>
      </c>
      <c r="K1061">
        <v>632.95000000000005</v>
      </c>
      <c r="L1061">
        <v>2</v>
      </c>
      <c r="M1061">
        <v>21</v>
      </c>
      <c r="N1061" t="s">
        <v>30</v>
      </c>
      <c r="O1061" t="s">
        <v>149</v>
      </c>
      <c r="P1061" t="s">
        <v>30</v>
      </c>
      <c r="Q1061" t="s">
        <v>32</v>
      </c>
    </row>
    <row r="1062" spans="1:17" x14ac:dyDescent="0.3">
      <c r="A1062" t="s">
        <v>5233</v>
      </c>
      <c r="B1062" t="s">
        <v>5234</v>
      </c>
      <c r="C1062">
        <v>49</v>
      </c>
      <c r="D1062" t="s">
        <v>5235</v>
      </c>
      <c r="E1062" t="s">
        <v>25</v>
      </c>
      <c r="F1062" t="s">
        <v>1774</v>
      </c>
      <c r="G1062" t="s">
        <v>4848</v>
      </c>
      <c r="H1062">
        <v>3</v>
      </c>
      <c r="I1062" t="s">
        <v>27</v>
      </c>
      <c r="J1062" t="s">
        <v>364</v>
      </c>
      <c r="K1062">
        <v>181.65</v>
      </c>
      <c r="L1062">
        <v>5</v>
      </c>
      <c r="M1062">
        <v>38</v>
      </c>
      <c r="N1062" t="s">
        <v>45</v>
      </c>
      <c r="O1062" t="s">
        <v>122</v>
      </c>
      <c r="P1062" t="s">
        <v>30</v>
      </c>
      <c r="Q1062" t="s">
        <v>69</v>
      </c>
    </row>
    <row r="1063" spans="1:17" x14ac:dyDescent="0.3">
      <c r="A1063" t="s">
        <v>5237</v>
      </c>
      <c r="B1063" t="s">
        <v>5238</v>
      </c>
      <c r="C1063">
        <v>47</v>
      </c>
      <c r="D1063" t="s">
        <v>5239</v>
      </c>
      <c r="E1063" t="s">
        <v>88</v>
      </c>
      <c r="F1063" s="86">
        <v>44784</v>
      </c>
      <c r="G1063" s="86">
        <v>45231</v>
      </c>
      <c r="H1063">
        <v>3</v>
      </c>
      <c r="I1063" t="s">
        <v>27</v>
      </c>
      <c r="J1063" s="86">
        <v>45547</v>
      </c>
      <c r="K1063">
        <v>109.38</v>
      </c>
      <c r="L1063">
        <v>9</v>
      </c>
      <c r="M1063">
        <v>34</v>
      </c>
      <c r="N1063" t="s">
        <v>56</v>
      </c>
      <c r="O1063" t="s">
        <v>135</v>
      </c>
      <c r="P1063" t="s">
        <v>45</v>
      </c>
      <c r="Q1063" t="s">
        <v>32</v>
      </c>
    </row>
    <row r="1064" spans="1:17" x14ac:dyDescent="0.3">
      <c r="A1064" t="s">
        <v>5241</v>
      </c>
      <c r="B1064" t="s">
        <v>5242</v>
      </c>
      <c r="C1064">
        <v>67</v>
      </c>
      <c r="D1064" t="s">
        <v>5243</v>
      </c>
      <c r="E1064" t="s">
        <v>88</v>
      </c>
      <c r="F1064" t="s">
        <v>3002</v>
      </c>
      <c r="G1064" s="86">
        <v>45627</v>
      </c>
      <c r="H1064">
        <v>4</v>
      </c>
      <c r="I1064" t="s">
        <v>64</v>
      </c>
      <c r="J1064" s="86">
        <v>45513</v>
      </c>
      <c r="K1064">
        <v>159.55000000000001</v>
      </c>
      <c r="L1064">
        <v>6</v>
      </c>
      <c r="M1064">
        <v>31</v>
      </c>
      <c r="N1064" t="s">
        <v>45</v>
      </c>
      <c r="O1064" t="s">
        <v>597</v>
      </c>
      <c r="P1064" t="s">
        <v>45</v>
      </c>
      <c r="Q1064" t="s">
        <v>69</v>
      </c>
    </row>
    <row r="1065" spans="1:17" x14ac:dyDescent="0.3">
      <c r="A1065" t="s">
        <v>5245</v>
      </c>
      <c r="B1065" t="s">
        <v>5246</v>
      </c>
      <c r="C1065">
        <v>20</v>
      </c>
      <c r="D1065" t="s">
        <v>5247</v>
      </c>
      <c r="E1065" t="s">
        <v>25</v>
      </c>
      <c r="F1065" t="s">
        <v>2951</v>
      </c>
      <c r="G1065" t="s">
        <v>4107</v>
      </c>
      <c r="H1065">
        <v>5</v>
      </c>
      <c r="I1065" t="s">
        <v>52</v>
      </c>
      <c r="J1065" s="86">
        <v>45570</v>
      </c>
      <c r="K1065">
        <v>688.6</v>
      </c>
      <c r="L1065">
        <v>1</v>
      </c>
      <c r="M1065">
        <v>21</v>
      </c>
      <c r="N1065" t="s">
        <v>54</v>
      </c>
      <c r="O1065" t="s">
        <v>157</v>
      </c>
      <c r="P1065" t="s">
        <v>68</v>
      </c>
      <c r="Q1065" t="s">
        <v>32</v>
      </c>
    </row>
    <row r="1066" spans="1:17" x14ac:dyDescent="0.3">
      <c r="A1066" t="s">
        <v>5249</v>
      </c>
      <c r="B1066" t="s">
        <v>5250</v>
      </c>
      <c r="C1066">
        <v>62</v>
      </c>
      <c r="D1066" t="s">
        <v>5251</v>
      </c>
      <c r="E1066" t="s">
        <v>95</v>
      </c>
      <c r="F1066" t="s">
        <v>2522</v>
      </c>
      <c r="G1066" t="s">
        <v>404</v>
      </c>
      <c r="H1066">
        <v>3</v>
      </c>
      <c r="I1066" t="s">
        <v>52</v>
      </c>
      <c r="J1066" s="86">
        <v>45811</v>
      </c>
      <c r="K1066">
        <v>232.71</v>
      </c>
      <c r="L1066">
        <v>7</v>
      </c>
      <c r="M1066">
        <v>37</v>
      </c>
      <c r="N1066" t="s">
        <v>30</v>
      </c>
      <c r="O1066" t="s">
        <v>44</v>
      </c>
      <c r="P1066" t="s">
        <v>45</v>
      </c>
      <c r="Q1066" t="s">
        <v>32</v>
      </c>
    </row>
    <row r="1067" spans="1:17" x14ac:dyDescent="0.3">
      <c r="A1067" t="s">
        <v>5253</v>
      </c>
      <c r="B1067" t="s">
        <v>5254</v>
      </c>
      <c r="C1067">
        <v>26</v>
      </c>
      <c r="D1067" t="s">
        <v>5255</v>
      </c>
      <c r="E1067" t="s">
        <v>95</v>
      </c>
      <c r="F1067" s="86">
        <v>43842</v>
      </c>
      <c r="G1067" t="s">
        <v>5256</v>
      </c>
      <c r="H1067">
        <v>5</v>
      </c>
      <c r="I1067" t="s">
        <v>27</v>
      </c>
      <c r="J1067" t="s">
        <v>267</v>
      </c>
      <c r="K1067">
        <v>266.97000000000003</v>
      </c>
      <c r="L1067">
        <v>3</v>
      </c>
      <c r="M1067">
        <v>31</v>
      </c>
      <c r="N1067" t="s">
        <v>54</v>
      </c>
      <c r="O1067" t="s">
        <v>199</v>
      </c>
      <c r="P1067" t="s">
        <v>54</v>
      </c>
      <c r="Q1067" t="s">
        <v>69</v>
      </c>
    </row>
    <row r="1068" spans="1:17" x14ac:dyDescent="0.3">
      <c r="A1068" t="s">
        <v>5257</v>
      </c>
      <c r="B1068" t="s">
        <v>5258</v>
      </c>
      <c r="C1068">
        <v>40</v>
      </c>
      <c r="D1068" t="s">
        <v>5259</v>
      </c>
      <c r="E1068" t="s">
        <v>95</v>
      </c>
      <c r="F1068" s="86">
        <v>44567</v>
      </c>
      <c r="G1068" s="86">
        <v>44571</v>
      </c>
      <c r="H1068">
        <v>0</v>
      </c>
      <c r="I1068" t="s">
        <v>27</v>
      </c>
      <c r="J1068" s="86">
        <v>45842</v>
      </c>
      <c r="K1068">
        <v>21.76</v>
      </c>
      <c r="L1068">
        <v>9</v>
      </c>
      <c r="M1068">
        <v>20</v>
      </c>
      <c r="N1068" t="s">
        <v>45</v>
      </c>
      <c r="O1068" t="s">
        <v>223</v>
      </c>
      <c r="P1068" t="s">
        <v>56</v>
      </c>
      <c r="Q1068" t="s">
        <v>69</v>
      </c>
    </row>
    <row r="1069" spans="1:17" x14ac:dyDescent="0.3">
      <c r="A1069" t="s">
        <v>5261</v>
      </c>
      <c r="B1069" t="s">
        <v>5262</v>
      </c>
      <c r="C1069">
        <v>63</v>
      </c>
      <c r="D1069" t="s">
        <v>5263</v>
      </c>
      <c r="E1069" t="s">
        <v>51</v>
      </c>
      <c r="F1069" t="s">
        <v>266</v>
      </c>
      <c r="G1069" s="86">
        <v>45845</v>
      </c>
      <c r="H1069">
        <v>5</v>
      </c>
      <c r="I1069" t="s">
        <v>52</v>
      </c>
      <c r="J1069" s="86">
        <v>44905</v>
      </c>
      <c r="K1069">
        <v>845.1</v>
      </c>
      <c r="L1069">
        <v>2</v>
      </c>
      <c r="M1069">
        <v>3</v>
      </c>
      <c r="N1069" t="s">
        <v>45</v>
      </c>
      <c r="O1069" t="s">
        <v>55</v>
      </c>
      <c r="P1069" t="s">
        <v>56</v>
      </c>
      <c r="Q1069" t="s">
        <v>32</v>
      </c>
    </row>
    <row r="1070" spans="1:17" x14ac:dyDescent="0.3">
      <c r="A1070" t="s">
        <v>5265</v>
      </c>
      <c r="B1070" t="s">
        <v>5266</v>
      </c>
      <c r="C1070">
        <v>30</v>
      </c>
      <c r="D1070" t="s">
        <v>5267</v>
      </c>
      <c r="E1070" t="s">
        <v>95</v>
      </c>
      <c r="F1070" s="86">
        <v>44264</v>
      </c>
      <c r="G1070" t="s">
        <v>2956</v>
      </c>
      <c r="H1070">
        <v>2</v>
      </c>
      <c r="I1070" t="s">
        <v>27</v>
      </c>
      <c r="J1070" t="s">
        <v>2082</v>
      </c>
      <c r="K1070">
        <v>162.4</v>
      </c>
      <c r="L1070">
        <v>7</v>
      </c>
      <c r="M1070">
        <v>33</v>
      </c>
      <c r="N1070" t="s">
        <v>56</v>
      </c>
      <c r="O1070" t="s">
        <v>821</v>
      </c>
      <c r="P1070" t="s">
        <v>68</v>
      </c>
      <c r="Q1070" t="s">
        <v>32</v>
      </c>
    </row>
    <row r="1071" spans="1:17" x14ac:dyDescent="0.3">
      <c r="A1071" t="s">
        <v>5269</v>
      </c>
      <c r="B1071" t="s">
        <v>5270</v>
      </c>
      <c r="C1071">
        <v>68</v>
      </c>
      <c r="D1071" t="s">
        <v>5271</v>
      </c>
      <c r="E1071" t="s">
        <v>95</v>
      </c>
      <c r="F1071" t="s">
        <v>5272</v>
      </c>
      <c r="G1071" t="s">
        <v>371</v>
      </c>
      <c r="H1071">
        <v>3</v>
      </c>
      <c r="I1071" t="s">
        <v>52</v>
      </c>
      <c r="J1071" t="s">
        <v>595</v>
      </c>
      <c r="K1071">
        <v>168.82</v>
      </c>
      <c r="L1071">
        <v>9</v>
      </c>
      <c r="M1071">
        <v>45</v>
      </c>
      <c r="N1071" t="s">
        <v>45</v>
      </c>
      <c r="O1071" t="s">
        <v>366</v>
      </c>
      <c r="P1071" t="s">
        <v>54</v>
      </c>
      <c r="Q1071" t="s">
        <v>69</v>
      </c>
    </row>
    <row r="1072" spans="1:17" x14ac:dyDescent="0.3">
      <c r="A1072" t="s">
        <v>5274</v>
      </c>
      <c r="B1072" t="s">
        <v>5275</v>
      </c>
      <c r="C1072">
        <v>63</v>
      </c>
      <c r="D1072" t="s">
        <v>5276</v>
      </c>
      <c r="E1072" t="s">
        <v>51</v>
      </c>
      <c r="F1072" s="86">
        <v>44198</v>
      </c>
      <c r="G1072" t="s">
        <v>1232</v>
      </c>
      <c r="H1072">
        <v>3</v>
      </c>
      <c r="I1072" t="s">
        <v>52</v>
      </c>
      <c r="J1072" t="s">
        <v>1253</v>
      </c>
      <c r="K1072">
        <v>51.61</v>
      </c>
      <c r="L1072">
        <v>7</v>
      </c>
      <c r="M1072">
        <v>24</v>
      </c>
      <c r="N1072" t="s">
        <v>30</v>
      </c>
      <c r="O1072" t="s">
        <v>536</v>
      </c>
      <c r="P1072" t="s">
        <v>68</v>
      </c>
      <c r="Q1072" t="s">
        <v>69</v>
      </c>
    </row>
    <row r="1073" spans="1:17" x14ac:dyDescent="0.3">
      <c r="A1073" t="s">
        <v>5278</v>
      </c>
      <c r="B1073" t="s">
        <v>5279</v>
      </c>
      <c r="C1073">
        <v>36</v>
      </c>
      <c r="D1073" t="s">
        <v>5280</v>
      </c>
      <c r="E1073" t="s">
        <v>88</v>
      </c>
      <c r="F1073" s="86">
        <v>44478</v>
      </c>
      <c r="G1073" s="86">
        <v>45542</v>
      </c>
      <c r="H1073">
        <v>4</v>
      </c>
      <c r="I1073" t="s">
        <v>27</v>
      </c>
      <c r="J1073" t="s">
        <v>5281</v>
      </c>
      <c r="K1073">
        <v>257.69</v>
      </c>
      <c r="L1073">
        <v>6</v>
      </c>
      <c r="M1073">
        <v>5</v>
      </c>
      <c r="N1073" t="s">
        <v>56</v>
      </c>
      <c r="O1073" t="s">
        <v>99</v>
      </c>
      <c r="P1073" t="s">
        <v>56</v>
      </c>
      <c r="Q1073" t="s">
        <v>69</v>
      </c>
    </row>
    <row r="1074" spans="1:17" x14ac:dyDescent="0.3">
      <c r="A1074" t="s">
        <v>5283</v>
      </c>
      <c r="B1074" t="s">
        <v>5284</v>
      </c>
      <c r="C1074">
        <v>53</v>
      </c>
      <c r="D1074" t="s">
        <v>5285</v>
      </c>
      <c r="E1074" t="s">
        <v>95</v>
      </c>
      <c r="F1074" s="86">
        <v>44053</v>
      </c>
      <c r="G1074" s="86">
        <v>44352</v>
      </c>
      <c r="H1074">
        <v>1</v>
      </c>
      <c r="I1074" t="s">
        <v>52</v>
      </c>
      <c r="J1074" s="86">
        <v>44721</v>
      </c>
      <c r="K1074">
        <v>90.01</v>
      </c>
      <c r="L1074">
        <v>3</v>
      </c>
      <c r="M1074">
        <v>37</v>
      </c>
      <c r="N1074" t="s">
        <v>45</v>
      </c>
      <c r="O1074" t="s">
        <v>837</v>
      </c>
      <c r="P1074" t="s">
        <v>56</v>
      </c>
      <c r="Q1074" t="s">
        <v>32</v>
      </c>
    </row>
    <row r="1075" spans="1:17" x14ac:dyDescent="0.3">
      <c r="A1075" t="s">
        <v>5287</v>
      </c>
      <c r="B1075" t="s">
        <v>5288</v>
      </c>
      <c r="C1075">
        <v>51</v>
      </c>
      <c r="D1075" t="s">
        <v>5289</v>
      </c>
      <c r="E1075" t="s">
        <v>40</v>
      </c>
      <c r="F1075" s="86">
        <v>44381</v>
      </c>
      <c r="G1075" t="s">
        <v>601</v>
      </c>
      <c r="H1075">
        <v>4</v>
      </c>
      <c r="I1075" t="s">
        <v>64</v>
      </c>
      <c r="J1075" s="86">
        <v>44206</v>
      </c>
      <c r="K1075">
        <v>8.4499999999999993</v>
      </c>
      <c r="L1075">
        <v>8</v>
      </c>
      <c r="M1075">
        <v>42</v>
      </c>
      <c r="N1075" t="s">
        <v>68</v>
      </c>
      <c r="O1075" t="s">
        <v>354</v>
      </c>
      <c r="P1075" t="s">
        <v>45</v>
      </c>
      <c r="Q1075" t="s">
        <v>69</v>
      </c>
    </row>
    <row r="1076" spans="1:17" x14ac:dyDescent="0.3">
      <c r="A1076" t="s">
        <v>5291</v>
      </c>
      <c r="B1076" t="s">
        <v>5292</v>
      </c>
      <c r="C1076">
        <v>59</v>
      </c>
      <c r="D1076" t="s">
        <v>5293</v>
      </c>
      <c r="E1076" t="s">
        <v>40</v>
      </c>
      <c r="F1076" s="86">
        <v>44239</v>
      </c>
      <c r="G1076" t="s">
        <v>3210</v>
      </c>
      <c r="H1076">
        <v>2</v>
      </c>
      <c r="I1076" t="s">
        <v>27</v>
      </c>
      <c r="J1076" s="86">
        <v>44625</v>
      </c>
      <c r="K1076">
        <v>135.26</v>
      </c>
      <c r="L1076">
        <v>8</v>
      </c>
      <c r="M1076">
        <v>36</v>
      </c>
      <c r="N1076" t="s">
        <v>56</v>
      </c>
      <c r="O1076" t="s">
        <v>837</v>
      </c>
      <c r="P1076" t="s">
        <v>56</v>
      </c>
      <c r="Q1076" t="s">
        <v>32</v>
      </c>
    </row>
    <row r="1077" spans="1:17" x14ac:dyDescent="0.3">
      <c r="A1077" t="s">
        <v>5295</v>
      </c>
      <c r="B1077" t="s">
        <v>5296</v>
      </c>
      <c r="C1077">
        <v>45</v>
      </c>
      <c r="D1077" t="s">
        <v>5297</v>
      </c>
      <c r="E1077" t="s">
        <v>61</v>
      </c>
      <c r="F1077" s="86">
        <v>45175</v>
      </c>
      <c r="G1077" s="86">
        <v>45268</v>
      </c>
      <c r="H1077">
        <v>4</v>
      </c>
      <c r="I1077" t="s">
        <v>27</v>
      </c>
      <c r="J1077" t="s">
        <v>4107</v>
      </c>
      <c r="K1077">
        <v>435.92</v>
      </c>
      <c r="L1077">
        <v>3</v>
      </c>
      <c r="M1077">
        <v>38</v>
      </c>
      <c r="N1077" t="s">
        <v>56</v>
      </c>
      <c r="O1077" t="s">
        <v>122</v>
      </c>
      <c r="P1077" t="s">
        <v>30</v>
      </c>
      <c r="Q1077" t="s">
        <v>69</v>
      </c>
    </row>
    <row r="1078" spans="1:17" x14ac:dyDescent="0.3">
      <c r="A1078" t="s">
        <v>5299</v>
      </c>
      <c r="B1078" t="s">
        <v>5300</v>
      </c>
      <c r="C1078">
        <v>64</v>
      </c>
      <c r="D1078" t="s">
        <v>5301</v>
      </c>
      <c r="E1078" t="s">
        <v>61</v>
      </c>
      <c r="F1078" t="s">
        <v>1459</v>
      </c>
      <c r="G1078" t="s">
        <v>1503</v>
      </c>
      <c r="H1078">
        <v>3</v>
      </c>
      <c r="I1078" t="s">
        <v>27</v>
      </c>
      <c r="J1078" s="86">
        <v>45597</v>
      </c>
      <c r="K1078">
        <v>186.66</v>
      </c>
      <c r="L1078">
        <v>7</v>
      </c>
      <c r="M1078">
        <v>14</v>
      </c>
      <c r="N1078" t="s">
        <v>68</v>
      </c>
      <c r="O1078" t="s">
        <v>122</v>
      </c>
      <c r="P1078" t="s">
        <v>30</v>
      </c>
      <c r="Q1078" t="s">
        <v>69</v>
      </c>
    </row>
    <row r="1079" spans="1:17" x14ac:dyDescent="0.3">
      <c r="A1079" t="s">
        <v>5303</v>
      </c>
      <c r="B1079" t="s">
        <v>5304</v>
      </c>
      <c r="C1079">
        <v>22</v>
      </c>
      <c r="D1079" t="s">
        <v>5305</v>
      </c>
      <c r="E1079" t="s">
        <v>88</v>
      </c>
      <c r="F1079" t="s">
        <v>994</v>
      </c>
      <c r="G1079" t="s">
        <v>1106</v>
      </c>
      <c r="H1079">
        <v>5</v>
      </c>
      <c r="I1079" t="s">
        <v>52</v>
      </c>
      <c r="J1079" t="s">
        <v>911</v>
      </c>
      <c r="K1079">
        <v>60.8</v>
      </c>
      <c r="L1079">
        <v>8</v>
      </c>
      <c r="M1079">
        <v>19</v>
      </c>
      <c r="N1079" t="s">
        <v>45</v>
      </c>
      <c r="O1079" t="s">
        <v>149</v>
      </c>
      <c r="P1079" t="s">
        <v>30</v>
      </c>
      <c r="Q1079" t="s">
        <v>69</v>
      </c>
    </row>
    <row r="1080" spans="1:17" x14ac:dyDescent="0.3">
      <c r="A1080" t="s">
        <v>5307</v>
      </c>
      <c r="B1080" t="s">
        <v>5308</v>
      </c>
      <c r="C1080">
        <v>41</v>
      </c>
      <c r="D1080" t="s">
        <v>5309</v>
      </c>
      <c r="E1080" t="s">
        <v>51</v>
      </c>
      <c r="F1080" t="s">
        <v>3958</v>
      </c>
      <c r="G1080" t="s">
        <v>2347</v>
      </c>
      <c r="H1080">
        <v>1</v>
      </c>
      <c r="I1080" t="s">
        <v>27</v>
      </c>
      <c r="J1080" t="s">
        <v>1415</v>
      </c>
      <c r="K1080">
        <v>52.29</v>
      </c>
      <c r="L1080">
        <v>9</v>
      </c>
      <c r="M1080">
        <v>37</v>
      </c>
      <c r="N1080" t="s">
        <v>56</v>
      </c>
      <c r="O1080" t="s">
        <v>837</v>
      </c>
      <c r="P1080" t="s">
        <v>56</v>
      </c>
      <c r="Q1080" t="s">
        <v>32</v>
      </c>
    </row>
    <row r="1081" spans="1:17" x14ac:dyDescent="0.3">
      <c r="A1081" t="s">
        <v>5311</v>
      </c>
      <c r="B1081" t="s">
        <v>5312</v>
      </c>
      <c r="C1081">
        <v>19</v>
      </c>
      <c r="D1081" t="s">
        <v>5313</v>
      </c>
      <c r="E1081" t="s">
        <v>51</v>
      </c>
      <c r="F1081" t="s">
        <v>2532</v>
      </c>
      <c r="G1081" s="86">
        <v>45628</v>
      </c>
      <c r="H1081">
        <v>1</v>
      </c>
      <c r="I1081" t="s">
        <v>27</v>
      </c>
      <c r="J1081" s="86">
        <v>45266</v>
      </c>
      <c r="K1081">
        <v>325.42</v>
      </c>
      <c r="L1081">
        <v>5</v>
      </c>
      <c r="M1081">
        <v>17</v>
      </c>
      <c r="N1081" t="s">
        <v>68</v>
      </c>
      <c r="O1081" t="s">
        <v>31</v>
      </c>
      <c r="P1081" t="s">
        <v>30</v>
      </c>
      <c r="Q1081" t="s">
        <v>69</v>
      </c>
    </row>
    <row r="1082" spans="1:17" x14ac:dyDescent="0.3">
      <c r="A1082" t="s">
        <v>5315</v>
      </c>
      <c r="B1082" t="s">
        <v>5316</v>
      </c>
      <c r="C1082">
        <v>50</v>
      </c>
      <c r="D1082" t="s">
        <v>5317</v>
      </c>
      <c r="E1082" t="s">
        <v>25</v>
      </c>
      <c r="F1082" t="s">
        <v>3460</v>
      </c>
      <c r="G1082" s="86">
        <v>44683</v>
      </c>
      <c r="H1082">
        <v>2</v>
      </c>
      <c r="I1082" t="s">
        <v>52</v>
      </c>
      <c r="J1082" t="s">
        <v>5318</v>
      </c>
      <c r="K1082">
        <v>204.08</v>
      </c>
      <c r="L1082">
        <v>9</v>
      </c>
      <c r="M1082">
        <v>20</v>
      </c>
      <c r="N1082" t="s">
        <v>68</v>
      </c>
      <c r="O1082" t="s">
        <v>109</v>
      </c>
      <c r="P1082" t="s">
        <v>68</v>
      </c>
      <c r="Q1082" t="s">
        <v>32</v>
      </c>
    </row>
    <row r="1083" spans="1:17" x14ac:dyDescent="0.3">
      <c r="A1083" t="s">
        <v>5320</v>
      </c>
      <c r="B1083" t="s">
        <v>5321</v>
      </c>
      <c r="C1083">
        <v>55</v>
      </c>
      <c r="D1083" t="s">
        <v>5322</v>
      </c>
      <c r="E1083" t="s">
        <v>25</v>
      </c>
      <c r="F1083" t="s">
        <v>4191</v>
      </c>
      <c r="G1083" t="s">
        <v>1238</v>
      </c>
      <c r="H1083">
        <v>4</v>
      </c>
      <c r="I1083" t="s">
        <v>27</v>
      </c>
      <c r="J1083" t="s">
        <v>416</v>
      </c>
      <c r="K1083">
        <v>236.78</v>
      </c>
      <c r="L1083">
        <v>6</v>
      </c>
      <c r="M1083">
        <v>5</v>
      </c>
      <c r="N1083" t="s">
        <v>68</v>
      </c>
      <c r="O1083" t="s">
        <v>135</v>
      </c>
      <c r="P1083" t="s">
        <v>45</v>
      </c>
      <c r="Q1083" t="s">
        <v>69</v>
      </c>
    </row>
    <row r="1084" spans="1:17" x14ac:dyDescent="0.3">
      <c r="A1084" t="s">
        <v>5324</v>
      </c>
      <c r="B1084" t="s">
        <v>5325</v>
      </c>
      <c r="C1084">
        <v>42</v>
      </c>
      <c r="D1084" t="s">
        <v>5326</v>
      </c>
      <c r="E1084" t="s">
        <v>25</v>
      </c>
      <c r="F1084" s="86">
        <v>44598</v>
      </c>
      <c r="G1084" t="s">
        <v>5327</v>
      </c>
      <c r="H1084">
        <v>5</v>
      </c>
      <c r="I1084" t="s">
        <v>64</v>
      </c>
      <c r="J1084" s="86">
        <v>44692</v>
      </c>
      <c r="K1084">
        <v>920.25</v>
      </c>
      <c r="L1084">
        <v>1</v>
      </c>
      <c r="M1084">
        <v>6</v>
      </c>
      <c r="N1084" t="s">
        <v>54</v>
      </c>
      <c r="O1084" t="s">
        <v>597</v>
      </c>
      <c r="P1084" t="s">
        <v>45</v>
      </c>
      <c r="Q1084" t="s">
        <v>32</v>
      </c>
    </row>
    <row r="1085" spans="1:17" x14ac:dyDescent="0.3">
      <c r="A1085" t="s">
        <v>5329</v>
      </c>
      <c r="B1085" t="s">
        <v>5330</v>
      </c>
      <c r="C1085">
        <v>54</v>
      </c>
      <c r="D1085" t="s">
        <v>5331</v>
      </c>
      <c r="E1085" t="s">
        <v>61</v>
      </c>
      <c r="F1085" t="s">
        <v>26</v>
      </c>
      <c r="G1085" t="s">
        <v>5332</v>
      </c>
      <c r="H1085">
        <v>1</v>
      </c>
      <c r="I1085" t="s">
        <v>64</v>
      </c>
      <c r="J1085" t="s">
        <v>318</v>
      </c>
      <c r="K1085">
        <v>248.76</v>
      </c>
      <c r="L1085">
        <v>5</v>
      </c>
      <c r="M1085">
        <v>9</v>
      </c>
      <c r="N1085" t="s">
        <v>54</v>
      </c>
      <c r="O1085" t="s">
        <v>354</v>
      </c>
      <c r="P1085" t="s">
        <v>45</v>
      </c>
      <c r="Q1085" t="s">
        <v>69</v>
      </c>
    </row>
    <row r="1086" spans="1:17" x14ac:dyDescent="0.3">
      <c r="A1086" t="s">
        <v>5334</v>
      </c>
      <c r="B1086" t="s">
        <v>5335</v>
      </c>
      <c r="C1086">
        <v>28</v>
      </c>
      <c r="D1086" t="s">
        <v>5336</v>
      </c>
      <c r="E1086" t="s">
        <v>40</v>
      </c>
      <c r="F1086" t="s">
        <v>5337</v>
      </c>
      <c r="G1086" t="s">
        <v>1053</v>
      </c>
      <c r="H1086">
        <v>0</v>
      </c>
      <c r="I1086" t="s">
        <v>27</v>
      </c>
      <c r="J1086" s="86">
        <v>44962</v>
      </c>
      <c r="K1086">
        <v>44.12</v>
      </c>
      <c r="L1086">
        <v>6</v>
      </c>
      <c r="M1086">
        <v>11</v>
      </c>
      <c r="N1086" t="s">
        <v>56</v>
      </c>
      <c r="O1086" t="s">
        <v>169</v>
      </c>
      <c r="P1086" t="s">
        <v>30</v>
      </c>
      <c r="Q1086" t="s">
        <v>69</v>
      </c>
    </row>
    <row r="1087" spans="1:17" x14ac:dyDescent="0.3">
      <c r="A1087" t="s">
        <v>5339</v>
      </c>
      <c r="B1087" t="s">
        <v>5340</v>
      </c>
      <c r="C1087">
        <v>19</v>
      </c>
      <c r="D1087" t="s">
        <v>5341</v>
      </c>
      <c r="E1087" t="s">
        <v>40</v>
      </c>
      <c r="F1087" t="s">
        <v>5342</v>
      </c>
      <c r="G1087" t="s">
        <v>1402</v>
      </c>
      <c r="H1087">
        <v>1</v>
      </c>
      <c r="I1087" t="s">
        <v>64</v>
      </c>
      <c r="J1087" t="s">
        <v>1268</v>
      </c>
      <c r="K1087">
        <v>1330.98</v>
      </c>
      <c r="L1087">
        <v>1</v>
      </c>
      <c r="M1087">
        <v>24</v>
      </c>
      <c r="N1087" t="s">
        <v>54</v>
      </c>
      <c r="O1087" t="s">
        <v>99</v>
      </c>
      <c r="P1087" t="s">
        <v>56</v>
      </c>
      <c r="Q1087" t="s">
        <v>32</v>
      </c>
    </row>
    <row r="1088" spans="1:17" x14ac:dyDescent="0.3">
      <c r="A1088" t="s">
        <v>5344</v>
      </c>
      <c r="B1088" t="s">
        <v>5345</v>
      </c>
      <c r="C1088">
        <v>49</v>
      </c>
      <c r="D1088" t="s">
        <v>5346</v>
      </c>
      <c r="E1088" t="s">
        <v>40</v>
      </c>
      <c r="F1088" s="86">
        <v>44297</v>
      </c>
      <c r="G1088" t="s">
        <v>1344</v>
      </c>
      <c r="H1088">
        <v>0</v>
      </c>
      <c r="I1088" t="s">
        <v>27</v>
      </c>
      <c r="J1088" s="86">
        <v>45449</v>
      </c>
      <c r="K1088">
        <v>65.75</v>
      </c>
      <c r="L1088">
        <v>7</v>
      </c>
      <c r="M1088">
        <v>25</v>
      </c>
      <c r="N1088" t="s">
        <v>54</v>
      </c>
      <c r="O1088" t="s">
        <v>175</v>
      </c>
      <c r="P1088" t="s">
        <v>56</v>
      </c>
      <c r="Q1088" t="s">
        <v>32</v>
      </c>
    </row>
    <row r="1089" spans="1:17" x14ac:dyDescent="0.3">
      <c r="A1089" t="s">
        <v>5348</v>
      </c>
      <c r="B1089" t="s">
        <v>5349</v>
      </c>
      <c r="C1089">
        <v>45</v>
      </c>
      <c r="D1089" t="s">
        <v>5350</v>
      </c>
      <c r="E1089" t="s">
        <v>88</v>
      </c>
      <c r="F1089" s="86">
        <v>44356</v>
      </c>
      <c r="G1089" t="s">
        <v>3087</v>
      </c>
      <c r="H1089">
        <v>0</v>
      </c>
      <c r="I1089" t="s">
        <v>27</v>
      </c>
      <c r="J1089" t="s">
        <v>5351</v>
      </c>
      <c r="K1089">
        <v>573.05999999999995</v>
      </c>
      <c r="L1089">
        <v>3</v>
      </c>
      <c r="M1089">
        <v>31</v>
      </c>
      <c r="N1089" t="s">
        <v>56</v>
      </c>
      <c r="O1089" t="s">
        <v>91</v>
      </c>
      <c r="P1089" t="s">
        <v>54</v>
      </c>
      <c r="Q1089" t="s">
        <v>32</v>
      </c>
    </row>
    <row r="1090" spans="1:17" x14ac:dyDescent="0.3">
      <c r="A1090" t="s">
        <v>5353</v>
      </c>
      <c r="B1090" t="s">
        <v>5354</v>
      </c>
      <c r="C1090">
        <v>23</v>
      </c>
      <c r="D1090" t="s">
        <v>5355</v>
      </c>
      <c r="E1090" t="s">
        <v>51</v>
      </c>
      <c r="F1090" s="86">
        <v>44691</v>
      </c>
      <c r="G1090" s="86">
        <v>45484</v>
      </c>
      <c r="H1090">
        <v>4</v>
      </c>
      <c r="I1090" t="s">
        <v>27</v>
      </c>
      <c r="J1090" t="s">
        <v>1324</v>
      </c>
      <c r="K1090">
        <v>384.45</v>
      </c>
      <c r="L1090">
        <v>5</v>
      </c>
      <c r="M1090">
        <v>23</v>
      </c>
      <c r="N1090" t="s">
        <v>54</v>
      </c>
      <c r="O1090" t="s">
        <v>354</v>
      </c>
      <c r="P1090" t="s">
        <v>45</v>
      </c>
      <c r="Q1090" t="s">
        <v>69</v>
      </c>
    </row>
    <row r="1091" spans="1:17" x14ac:dyDescent="0.3">
      <c r="A1091" t="s">
        <v>5357</v>
      </c>
      <c r="B1091" t="s">
        <v>5358</v>
      </c>
      <c r="C1091">
        <v>29</v>
      </c>
      <c r="D1091" t="s">
        <v>5359</v>
      </c>
      <c r="E1091" t="s">
        <v>25</v>
      </c>
      <c r="F1091" s="86">
        <v>43840</v>
      </c>
      <c r="G1091" s="86">
        <v>44356</v>
      </c>
      <c r="H1091">
        <v>0</v>
      </c>
      <c r="I1091" t="s">
        <v>27</v>
      </c>
      <c r="J1091" s="86">
        <v>44295</v>
      </c>
      <c r="K1091">
        <v>61.45</v>
      </c>
      <c r="L1091">
        <v>9</v>
      </c>
      <c r="M1091">
        <v>42</v>
      </c>
      <c r="N1091" t="s">
        <v>68</v>
      </c>
      <c r="O1091" t="s">
        <v>157</v>
      </c>
      <c r="P1091" t="s">
        <v>68</v>
      </c>
      <c r="Q1091" t="s">
        <v>32</v>
      </c>
    </row>
    <row r="1092" spans="1:17" x14ac:dyDescent="0.3">
      <c r="A1092" t="s">
        <v>5361</v>
      </c>
      <c r="B1092" t="s">
        <v>5362</v>
      </c>
      <c r="C1092">
        <v>53</v>
      </c>
      <c r="D1092" t="s">
        <v>5363</v>
      </c>
      <c r="E1092" t="s">
        <v>40</v>
      </c>
      <c r="F1092" t="s">
        <v>3425</v>
      </c>
      <c r="G1092" t="s">
        <v>5337</v>
      </c>
      <c r="H1092">
        <v>2</v>
      </c>
      <c r="I1092" t="s">
        <v>27</v>
      </c>
      <c r="J1092" s="86">
        <v>45693</v>
      </c>
      <c r="K1092">
        <v>476.48</v>
      </c>
      <c r="L1092">
        <v>4</v>
      </c>
      <c r="M1092">
        <v>15</v>
      </c>
      <c r="N1092" t="s">
        <v>30</v>
      </c>
      <c r="O1092" t="s">
        <v>373</v>
      </c>
      <c r="P1092" t="s">
        <v>54</v>
      </c>
      <c r="Q1092" t="s">
        <v>69</v>
      </c>
    </row>
    <row r="1093" spans="1:17" x14ac:dyDescent="0.3">
      <c r="A1093" t="s">
        <v>5365</v>
      </c>
      <c r="B1093" t="s">
        <v>5366</v>
      </c>
      <c r="C1093">
        <v>22</v>
      </c>
      <c r="D1093" t="s">
        <v>5367</v>
      </c>
      <c r="E1093" t="s">
        <v>88</v>
      </c>
      <c r="F1093" t="s">
        <v>757</v>
      </c>
      <c r="G1093" t="s">
        <v>3553</v>
      </c>
      <c r="H1093">
        <v>0</v>
      </c>
      <c r="I1093" t="s">
        <v>64</v>
      </c>
      <c r="J1093" s="86">
        <v>45604</v>
      </c>
      <c r="K1093">
        <v>542.87</v>
      </c>
      <c r="L1093">
        <v>2</v>
      </c>
      <c r="M1093">
        <v>32</v>
      </c>
      <c r="N1093" t="s">
        <v>68</v>
      </c>
      <c r="O1093" t="s">
        <v>31</v>
      </c>
      <c r="P1093" t="s">
        <v>30</v>
      </c>
      <c r="Q1093" t="s">
        <v>32</v>
      </c>
    </row>
    <row r="1094" spans="1:17" x14ac:dyDescent="0.3">
      <c r="A1094" t="s">
        <v>5369</v>
      </c>
      <c r="B1094" t="s">
        <v>5370</v>
      </c>
      <c r="C1094">
        <v>26</v>
      </c>
      <c r="D1094" t="s">
        <v>5371</v>
      </c>
      <c r="E1094" t="s">
        <v>51</v>
      </c>
      <c r="F1094" t="s">
        <v>5372</v>
      </c>
      <c r="G1094" t="s">
        <v>2403</v>
      </c>
      <c r="H1094">
        <v>3</v>
      </c>
      <c r="I1094" t="s">
        <v>27</v>
      </c>
      <c r="J1094" t="s">
        <v>2201</v>
      </c>
      <c r="K1094">
        <v>491.48</v>
      </c>
      <c r="L1094">
        <v>4</v>
      </c>
      <c r="M1094">
        <v>26</v>
      </c>
      <c r="N1094" t="s">
        <v>54</v>
      </c>
      <c r="O1094" t="s">
        <v>536</v>
      </c>
      <c r="P1094" t="s">
        <v>68</v>
      </c>
      <c r="Q1094" t="s">
        <v>32</v>
      </c>
    </row>
    <row r="1095" spans="1:17" x14ac:dyDescent="0.3">
      <c r="A1095" t="s">
        <v>5374</v>
      </c>
      <c r="B1095" t="s">
        <v>5375</v>
      </c>
      <c r="C1095">
        <v>43</v>
      </c>
      <c r="D1095" t="s">
        <v>5376</v>
      </c>
      <c r="E1095" t="s">
        <v>88</v>
      </c>
      <c r="F1095" s="86">
        <v>45084</v>
      </c>
      <c r="G1095" s="86">
        <v>45326</v>
      </c>
      <c r="H1095">
        <v>0</v>
      </c>
      <c r="I1095" t="s">
        <v>27</v>
      </c>
      <c r="J1095" t="s">
        <v>746</v>
      </c>
      <c r="K1095">
        <v>309.37</v>
      </c>
      <c r="L1095">
        <v>3</v>
      </c>
      <c r="M1095">
        <v>31</v>
      </c>
      <c r="N1095" t="s">
        <v>30</v>
      </c>
      <c r="O1095" t="s">
        <v>175</v>
      </c>
      <c r="P1095" t="s">
        <v>56</v>
      </c>
      <c r="Q1095" t="s">
        <v>32</v>
      </c>
    </row>
    <row r="1096" spans="1:17" x14ac:dyDescent="0.3">
      <c r="A1096" t="s">
        <v>5378</v>
      </c>
      <c r="B1096" t="s">
        <v>5379</v>
      </c>
      <c r="C1096">
        <v>51</v>
      </c>
      <c r="D1096" t="s">
        <v>5380</v>
      </c>
      <c r="E1096" t="s">
        <v>88</v>
      </c>
      <c r="F1096" t="s">
        <v>979</v>
      </c>
      <c r="G1096" t="s">
        <v>2522</v>
      </c>
      <c r="H1096">
        <v>3</v>
      </c>
      <c r="I1096" t="s">
        <v>27</v>
      </c>
      <c r="J1096" t="s">
        <v>1664</v>
      </c>
      <c r="K1096">
        <v>4.8</v>
      </c>
      <c r="L1096">
        <v>7</v>
      </c>
      <c r="M1096">
        <v>27</v>
      </c>
      <c r="N1096" t="s">
        <v>56</v>
      </c>
      <c r="O1096" t="s">
        <v>837</v>
      </c>
      <c r="P1096" t="s">
        <v>56</v>
      </c>
      <c r="Q1096" t="s">
        <v>32</v>
      </c>
    </row>
    <row r="1097" spans="1:17" x14ac:dyDescent="0.3">
      <c r="A1097" t="s">
        <v>5382</v>
      </c>
      <c r="B1097" t="s">
        <v>5383</v>
      </c>
      <c r="C1097">
        <v>63</v>
      </c>
      <c r="D1097" t="s">
        <v>5384</v>
      </c>
      <c r="E1097" t="s">
        <v>61</v>
      </c>
      <c r="F1097" s="86">
        <v>44783</v>
      </c>
      <c r="G1097" t="s">
        <v>2588</v>
      </c>
      <c r="H1097">
        <v>5</v>
      </c>
      <c r="I1097" t="s">
        <v>27</v>
      </c>
      <c r="J1097" s="86">
        <v>45203</v>
      </c>
      <c r="K1097">
        <v>247.22</v>
      </c>
      <c r="L1097">
        <v>4</v>
      </c>
      <c r="M1097">
        <v>31</v>
      </c>
      <c r="N1097" t="s">
        <v>56</v>
      </c>
      <c r="O1097" t="s">
        <v>211</v>
      </c>
      <c r="P1097" t="s">
        <v>68</v>
      </c>
      <c r="Q1097" t="s">
        <v>32</v>
      </c>
    </row>
    <row r="1098" spans="1:17" x14ac:dyDescent="0.3">
      <c r="A1098" t="s">
        <v>5386</v>
      </c>
      <c r="B1098" t="s">
        <v>5387</v>
      </c>
      <c r="C1098">
        <v>64</v>
      </c>
      <c r="D1098" t="s">
        <v>5388</v>
      </c>
      <c r="E1098" t="s">
        <v>88</v>
      </c>
      <c r="F1098" t="s">
        <v>2167</v>
      </c>
      <c r="G1098" s="86">
        <v>45332</v>
      </c>
      <c r="H1098">
        <v>2</v>
      </c>
      <c r="I1098" t="s">
        <v>27</v>
      </c>
      <c r="J1098" s="86">
        <v>45118</v>
      </c>
      <c r="K1098">
        <v>121.04</v>
      </c>
      <c r="L1098">
        <v>7</v>
      </c>
      <c r="M1098">
        <v>33</v>
      </c>
      <c r="N1098" t="s">
        <v>56</v>
      </c>
      <c r="O1098" t="s">
        <v>821</v>
      </c>
      <c r="P1098" t="s">
        <v>68</v>
      </c>
      <c r="Q1098" t="s">
        <v>69</v>
      </c>
    </row>
    <row r="1099" spans="1:17" x14ac:dyDescent="0.3">
      <c r="A1099" t="s">
        <v>5390</v>
      </c>
      <c r="B1099" t="s">
        <v>5391</v>
      </c>
      <c r="C1099">
        <v>54</v>
      </c>
      <c r="D1099" t="s">
        <v>5392</v>
      </c>
      <c r="E1099" t="s">
        <v>51</v>
      </c>
      <c r="F1099" s="86">
        <v>44564</v>
      </c>
      <c r="G1099" t="s">
        <v>3393</v>
      </c>
      <c r="H1099">
        <v>3</v>
      </c>
      <c r="I1099" t="s">
        <v>27</v>
      </c>
      <c r="J1099" t="s">
        <v>5393</v>
      </c>
      <c r="K1099">
        <v>146.91</v>
      </c>
      <c r="L1099">
        <v>7</v>
      </c>
      <c r="M1099">
        <v>24</v>
      </c>
      <c r="N1099" t="s">
        <v>56</v>
      </c>
      <c r="O1099" t="s">
        <v>142</v>
      </c>
      <c r="P1099" t="s">
        <v>68</v>
      </c>
      <c r="Q1099" t="s">
        <v>32</v>
      </c>
    </row>
    <row r="1100" spans="1:17" x14ac:dyDescent="0.3">
      <c r="A1100" t="s">
        <v>5395</v>
      </c>
      <c r="B1100" t="s">
        <v>5396</v>
      </c>
      <c r="C1100">
        <v>50</v>
      </c>
      <c r="D1100" t="s">
        <v>5397</v>
      </c>
      <c r="E1100" t="s">
        <v>25</v>
      </c>
      <c r="F1100" s="86">
        <v>44596</v>
      </c>
      <c r="G1100" s="86">
        <v>45177</v>
      </c>
      <c r="H1100">
        <v>3</v>
      </c>
      <c r="I1100" t="s">
        <v>64</v>
      </c>
      <c r="J1100" s="86">
        <v>45115</v>
      </c>
      <c r="K1100">
        <v>1319.96</v>
      </c>
      <c r="L1100">
        <v>1</v>
      </c>
      <c r="M1100">
        <v>39</v>
      </c>
      <c r="N1100" t="s">
        <v>68</v>
      </c>
      <c r="O1100" t="s">
        <v>149</v>
      </c>
      <c r="P1100" t="s">
        <v>30</v>
      </c>
      <c r="Q1100" t="s">
        <v>32</v>
      </c>
    </row>
    <row r="1101" spans="1:17" x14ac:dyDescent="0.3">
      <c r="A1101" t="s">
        <v>5399</v>
      </c>
      <c r="B1101" t="s">
        <v>5400</v>
      </c>
      <c r="C1101">
        <v>63</v>
      </c>
      <c r="D1101" t="s">
        <v>5401</v>
      </c>
      <c r="E1101" t="s">
        <v>88</v>
      </c>
      <c r="F1101" s="86">
        <v>44688</v>
      </c>
      <c r="G1101" s="86">
        <v>45934</v>
      </c>
      <c r="H1101">
        <v>1</v>
      </c>
      <c r="I1101" t="s">
        <v>64</v>
      </c>
      <c r="J1101" t="s">
        <v>2902</v>
      </c>
      <c r="K1101">
        <v>84.26</v>
      </c>
      <c r="L1101">
        <v>4</v>
      </c>
      <c r="M1101">
        <v>15</v>
      </c>
      <c r="N1101" t="s">
        <v>30</v>
      </c>
      <c r="O1101" t="s">
        <v>425</v>
      </c>
      <c r="P1101" t="s">
        <v>30</v>
      </c>
      <c r="Q1101" t="s">
        <v>32</v>
      </c>
    </row>
    <row r="1102" spans="1:17" x14ac:dyDescent="0.3">
      <c r="A1102" t="s">
        <v>5403</v>
      </c>
      <c r="B1102" t="s">
        <v>5404</v>
      </c>
      <c r="C1102">
        <v>33</v>
      </c>
      <c r="D1102" t="s">
        <v>5405</v>
      </c>
      <c r="E1102" t="s">
        <v>40</v>
      </c>
      <c r="F1102" s="86">
        <v>44688</v>
      </c>
      <c r="G1102" t="s">
        <v>1572</v>
      </c>
      <c r="H1102">
        <v>5</v>
      </c>
      <c r="I1102" t="s">
        <v>27</v>
      </c>
      <c r="J1102" s="86">
        <v>45779</v>
      </c>
      <c r="K1102">
        <v>313.24</v>
      </c>
      <c r="L1102">
        <v>4</v>
      </c>
      <c r="M1102">
        <v>45</v>
      </c>
      <c r="N1102" t="s">
        <v>56</v>
      </c>
      <c r="O1102" t="s">
        <v>373</v>
      </c>
      <c r="P1102" t="s">
        <v>54</v>
      </c>
      <c r="Q1102" t="s">
        <v>69</v>
      </c>
    </row>
    <row r="1103" spans="1:17" x14ac:dyDescent="0.3">
      <c r="A1103" t="s">
        <v>5407</v>
      </c>
      <c r="B1103" t="s">
        <v>5408</v>
      </c>
      <c r="C1103">
        <v>18</v>
      </c>
      <c r="D1103" t="s">
        <v>5409</v>
      </c>
      <c r="E1103" t="s">
        <v>61</v>
      </c>
      <c r="F1103" t="s">
        <v>3143</v>
      </c>
      <c r="G1103" t="s">
        <v>63</v>
      </c>
      <c r="H1103">
        <v>5</v>
      </c>
      <c r="I1103" t="s">
        <v>52</v>
      </c>
      <c r="J1103" s="86">
        <v>45510</v>
      </c>
      <c r="K1103">
        <v>261.8</v>
      </c>
      <c r="L1103">
        <v>4</v>
      </c>
      <c r="M1103">
        <v>49</v>
      </c>
      <c r="N1103" t="s">
        <v>30</v>
      </c>
      <c r="O1103" t="s">
        <v>245</v>
      </c>
      <c r="P1103" t="s">
        <v>54</v>
      </c>
      <c r="Q1103" t="s">
        <v>32</v>
      </c>
    </row>
    <row r="1104" spans="1:17" x14ac:dyDescent="0.3">
      <c r="A1104" t="s">
        <v>5411</v>
      </c>
      <c r="B1104" t="s">
        <v>5412</v>
      </c>
      <c r="C1104">
        <v>69</v>
      </c>
      <c r="D1104" t="s">
        <v>5413</v>
      </c>
      <c r="E1104" t="s">
        <v>25</v>
      </c>
      <c r="F1104" t="s">
        <v>963</v>
      </c>
      <c r="G1104" s="86">
        <v>45272</v>
      </c>
      <c r="H1104">
        <v>2</v>
      </c>
      <c r="I1104" t="s">
        <v>27</v>
      </c>
      <c r="J1104" t="s">
        <v>1889</v>
      </c>
      <c r="K1104">
        <v>366.08</v>
      </c>
      <c r="L1104">
        <v>4</v>
      </c>
      <c r="M1104">
        <v>29</v>
      </c>
      <c r="N1104" t="s">
        <v>54</v>
      </c>
      <c r="O1104" t="s">
        <v>231</v>
      </c>
      <c r="P1104" t="s">
        <v>30</v>
      </c>
      <c r="Q1104" t="s">
        <v>32</v>
      </c>
    </row>
    <row r="1105" spans="1:17" x14ac:dyDescent="0.3">
      <c r="A1105" t="s">
        <v>5415</v>
      </c>
      <c r="B1105" t="s">
        <v>5416</v>
      </c>
      <c r="C1105">
        <v>67</v>
      </c>
      <c r="D1105" t="s">
        <v>5417</v>
      </c>
      <c r="E1105" t="s">
        <v>25</v>
      </c>
      <c r="F1105" t="s">
        <v>3559</v>
      </c>
      <c r="G1105" t="s">
        <v>2174</v>
      </c>
      <c r="H1105">
        <v>4</v>
      </c>
      <c r="I1105" t="s">
        <v>27</v>
      </c>
      <c r="J1105" t="s">
        <v>3890</v>
      </c>
      <c r="K1105">
        <v>302.55</v>
      </c>
      <c r="L1105">
        <v>5</v>
      </c>
      <c r="M1105">
        <v>30</v>
      </c>
      <c r="N1105" t="s">
        <v>30</v>
      </c>
      <c r="O1105" t="s">
        <v>44</v>
      </c>
      <c r="P1105" t="s">
        <v>45</v>
      </c>
      <c r="Q1105" t="s">
        <v>69</v>
      </c>
    </row>
    <row r="1106" spans="1:17" x14ac:dyDescent="0.3">
      <c r="A1106" t="s">
        <v>5419</v>
      </c>
      <c r="B1106" t="s">
        <v>5420</v>
      </c>
      <c r="C1106">
        <v>38</v>
      </c>
      <c r="D1106" t="s">
        <v>5421</v>
      </c>
      <c r="E1106" t="s">
        <v>51</v>
      </c>
      <c r="F1106" t="s">
        <v>3174</v>
      </c>
      <c r="G1106" s="86">
        <v>45575</v>
      </c>
      <c r="H1106">
        <v>5</v>
      </c>
      <c r="I1106" t="s">
        <v>27</v>
      </c>
      <c r="J1106" t="s">
        <v>622</v>
      </c>
      <c r="K1106">
        <v>72.5</v>
      </c>
      <c r="L1106">
        <v>2</v>
      </c>
      <c r="M1106">
        <v>27</v>
      </c>
      <c r="N1106" t="s">
        <v>68</v>
      </c>
      <c r="O1106" t="s">
        <v>211</v>
      </c>
      <c r="P1106" t="s">
        <v>68</v>
      </c>
      <c r="Q1106" t="s">
        <v>322</v>
      </c>
    </row>
    <row r="1107" spans="1:17" x14ac:dyDescent="0.3">
      <c r="A1107" t="s">
        <v>5423</v>
      </c>
      <c r="B1107" t="s">
        <v>5424</v>
      </c>
      <c r="C1107">
        <v>44</v>
      </c>
      <c r="D1107" t="s">
        <v>5425</v>
      </c>
      <c r="E1107" t="s">
        <v>61</v>
      </c>
      <c r="F1107" t="s">
        <v>5426</v>
      </c>
      <c r="G1107" t="s">
        <v>572</v>
      </c>
      <c r="H1107">
        <v>3</v>
      </c>
      <c r="I1107" t="s">
        <v>27</v>
      </c>
      <c r="J1107" t="s">
        <v>5427</v>
      </c>
      <c r="K1107">
        <v>1194.42</v>
      </c>
      <c r="L1107">
        <v>1</v>
      </c>
      <c r="M1107">
        <v>29</v>
      </c>
      <c r="N1107" t="s">
        <v>45</v>
      </c>
      <c r="O1107" t="s">
        <v>425</v>
      </c>
      <c r="P1107" t="s">
        <v>30</v>
      </c>
      <c r="Q1107" t="s">
        <v>69</v>
      </c>
    </row>
    <row r="1108" spans="1:17" x14ac:dyDescent="0.3">
      <c r="A1108" t="s">
        <v>5429</v>
      </c>
      <c r="B1108" t="s">
        <v>5430</v>
      </c>
      <c r="C1108">
        <v>22</v>
      </c>
      <c r="D1108" t="s">
        <v>5431</v>
      </c>
      <c r="E1108" t="s">
        <v>40</v>
      </c>
      <c r="F1108" t="s">
        <v>4164</v>
      </c>
      <c r="G1108" t="s">
        <v>62</v>
      </c>
      <c r="H1108">
        <v>2</v>
      </c>
      <c r="I1108" t="s">
        <v>27</v>
      </c>
      <c r="J1108" t="s">
        <v>3846</v>
      </c>
      <c r="K1108">
        <v>136.82</v>
      </c>
      <c r="L1108">
        <v>8</v>
      </c>
      <c r="M1108">
        <v>39</v>
      </c>
      <c r="N1108" t="s">
        <v>30</v>
      </c>
      <c r="O1108" t="s">
        <v>610</v>
      </c>
      <c r="P1108" t="s">
        <v>68</v>
      </c>
      <c r="Q1108" t="s">
        <v>32</v>
      </c>
    </row>
    <row r="1109" spans="1:17" x14ac:dyDescent="0.3">
      <c r="A1109" t="s">
        <v>5433</v>
      </c>
      <c r="B1109" t="s">
        <v>5434</v>
      </c>
      <c r="C1109">
        <v>53</v>
      </c>
      <c r="D1109" t="s">
        <v>5435</v>
      </c>
      <c r="E1109" t="s">
        <v>51</v>
      </c>
      <c r="F1109" t="s">
        <v>3341</v>
      </c>
      <c r="G1109" t="s">
        <v>5436</v>
      </c>
      <c r="H1109">
        <v>5</v>
      </c>
      <c r="I1109" t="s">
        <v>27</v>
      </c>
      <c r="J1109" s="86">
        <v>45515</v>
      </c>
      <c r="K1109">
        <v>1491.08</v>
      </c>
      <c r="L1109">
        <v>1</v>
      </c>
      <c r="M1109">
        <v>41</v>
      </c>
      <c r="N1109" t="s">
        <v>54</v>
      </c>
      <c r="O1109" t="s">
        <v>128</v>
      </c>
      <c r="P1109" t="s">
        <v>54</v>
      </c>
      <c r="Q1109" t="s">
        <v>69</v>
      </c>
    </row>
    <row r="1110" spans="1:17" x14ac:dyDescent="0.3">
      <c r="A1110" t="s">
        <v>5438</v>
      </c>
      <c r="B1110" t="s">
        <v>5439</v>
      </c>
      <c r="C1110">
        <v>69</v>
      </c>
      <c r="D1110" t="s">
        <v>5440</v>
      </c>
      <c r="E1110" t="s">
        <v>40</v>
      </c>
      <c r="F1110" t="s">
        <v>2620</v>
      </c>
      <c r="G1110" t="s">
        <v>1674</v>
      </c>
      <c r="H1110">
        <v>0</v>
      </c>
      <c r="I1110" t="s">
        <v>52</v>
      </c>
      <c r="J1110" t="s">
        <v>846</v>
      </c>
      <c r="K1110">
        <v>175.08</v>
      </c>
      <c r="L1110">
        <v>9</v>
      </c>
      <c r="M1110">
        <v>35</v>
      </c>
      <c r="N1110" t="s">
        <v>54</v>
      </c>
      <c r="O1110" t="s">
        <v>231</v>
      </c>
      <c r="P1110" t="s">
        <v>30</v>
      </c>
      <c r="Q1110" t="s">
        <v>322</v>
      </c>
    </row>
    <row r="1111" spans="1:17" x14ac:dyDescent="0.3">
      <c r="A1111" t="s">
        <v>5441</v>
      </c>
      <c r="B1111" t="s">
        <v>5442</v>
      </c>
      <c r="C1111">
        <v>22</v>
      </c>
      <c r="D1111" t="s">
        <v>5443</v>
      </c>
      <c r="E1111" t="s">
        <v>95</v>
      </c>
      <c r="F1111" t="s">
        <v>337</v>
      </c>
      <c r="G1111" s="86">
        <v>45627</v>
      </c>
      <c r="H1111">
        <v>3</v>
      </c>
      <c r="I1111" t="s">
        <v>27</v>
      </c>
      <c r="J1111" s="86">
        <v>44472</v>
      </c>
      <c r="K1111">
        <v>446.47</v>
      </c>
      <c r="L1111">
        <v>4</v>
      </c>
      <c r="M1111">
        <v>14</v>
      </c>
      <c r="N1111" t="s">
        <v>56</v>
      </c>
      <c r="O1111" t="s">
        <v>837</v>
      </c>
      <c r="P1111" t="s">
        <v>56</v>
      </c>
      <c r="Q1111" t="s">
        <v>69</v>
      </c>
    </row>
    <row r="1112" spans="1:17" x14ac:dyDescent="0.3">
      <c r="A1112" t="s">
        <v>5445</v>
      </c>
      <c r="B1112" t="s">
        <v>5446</v>
      </c>
      <c r="C1112">
        <v>54</v>
      </c>
      <c r="D1112" t="s">
        <v>5447</v>
      </c>
      <c r="E1112" t="s">
        <v>95</v>
      </c>
      <c r="F1112" t="s">
        <v>1663</v>
      </c>
      <c r="G1112" t="s">
        <v>492</v>
      </c>
      <c r="H1112">
        <v>5</v>
      </c>
      <c r="I1112" t="s">
        <v>27</v>
      </c>
      <c r="J1112" t="s">
        <v>5448</v>
      </c>
      <c r="K1112">
        <v>204.18</v>
      </c>
      <c r="L1112">
        <v>4</v>
      </c>
      <c r="M1112">
        <v>43</v>
      </c>
      <c r="N1112" t="s">
        <v>68</v>
      </c>
      <c r="O1112" t="s">
        <v>128</v>
      </c>
      <c r="P1112" t="s">
        <v>54</v>
      </c>
      <c r="Q1112" t="s">
        <v>32</v>
      </c>
    </row>
    <row r="1113" spans="1:17" x14ac:dyDescent="0.3">
      <c r="A1113" t="s">
        <v>5450</v>
      </c>
      <c r="B1113" t="s">
        <v>5451</v>
      </c>
      <c r="C1113">
        <v>36</v>
      </c>
      <c r="D1113" t="s">
        <v>5452</v>
      </c>
      <c r="E1113" t="s">
        <v>40</v>
      </c>
      <c r="F1113" t="s">
        <v>5327</v>
      </c>
      <c r="G1113" s="86">
        <v>45172</v>
      </c>
      <c r="H1113">
        <v>5</v>
      </c>
      <c r="I1113" t="s">
        <v>27</v>
      </c>
      <c r="J1113" s="86">
        <v>45022</v>
      </c>
      <c r="K1113">
        <v>964.5</v>
      </c>
      <c r="L1113">
        <v>2</v>
      </c>
      <c r="M1113">
        <v>9</v>
      </c>
      <c r="N1113" t="s">
        <v>45</v>
      </c>
      <c r="O1113" t="s">
        <v>597</v>
      </c>
      <c r="P1113" t="s">
        <v>45</v>
      </c>
      <c r="Q1113" t="s">
        <v>69</v>
      </c>
    </row>
    <row r="1114" spans="1:17" x14ac:dyDescent="0.3">
      <c r="A1114" t="s">
        <v>5454</v>
      </c>
      <c r="B1114" t="s">
        <v>5455</v>
      </c>
      <c r="C1114">
        <v>24</v>
      </c>
      <c r="D1114" t="s">
        <v>5456</v>
      </c>
      <c r="E1114" t="s">
        <v>95</v>
      </c>
      <c r="F1114" t="s">
        <v>3173</v>
      </c>
      <c r="G1114" s="86">
        <v>45385</v>
      </c>
      <c r="H1114">
        <v>0</v>
      </c>
      <c r="I1114" t="s">
        <v>27</v>
      </c>
      <c r="J1114" s="86">
        <v>44718</v>
      </c>
      <c r="K1114">
        <v>134.30000000000001</v>
      </c>
      <c r="L1114">
        <v>8</v>
      </c>
      <c r="M1114">
        <v>44</v>
      </c>
      <c r="N1114" t="s">
        <v>30</v>
      </c>
      <c r="O1114" t="s">
        <v>269</v>
      </c>
      <c r="P1114" t="s">
        <v>56</v>
      </c>
      <c r="Q1114" t="s">
        <v>32</v>
      </c>
    </row>
    <row r="1115" spans="1:17" x14ac:dyDescent="0.3">
      <c r="A1115" t="s">
        <v>5458</v>
      </c>
      <c r="B1115" t="s">
        <v>5459</v>
      </c>
      <c r="C1115">
        <v>64</v>
      </c>
      <c r="D1115" t="s">
        <v>5460</v>
      </c>
      <c r="E1115" t="s">
        <v>95</v>
      </c>
      <c r="F1115" s="86">
        <v>44535</v>
      </c>
      <c r="G1115" t="s">
        <v>2188</v>
      </c>
      <c r="H1115">
        <v>0</v>
      </c>
      <c r="I1115" t="s">
        <v>27</v>
      </c>
      <c r="J1115" t="s">
        <v>5461</v>
      </c>
      <c r="K1115">
        <v>228.67</v>
      </c>
      <c r="L1115">
        <v>5</v>
      </c>
      <c r="M1115">
        <v>19</v>
      </c>
      <c r="N1115" t="s">
        <v>68</v>
      </c>
      <c r="O1115" t="s">
        <v>77</v>
      </c>
      <c r="P1115" t="s">
        <v>54</v>
      </c>
      <c r="Q1115" t="s">
        <v>32</v>
      </c>
    </row>
    <row r="1116" spans="1:17" x14ac:dyDescent="0.3">
      <c r="A1116" t="s">
        <v>5463</v>
      </c>
      <c r="B1116" t="s">
        <v>5464</v>
      </c>
      <c r="C1116">
        <v>19</v>
      </c>
      <c r="D1116" t="s">
        <v>5465</v>
      </c>
      <c r="E1116" t="s">
        <v>40</v>
      </c>
      <c r="F1116" s="86">
        <v>44753</v>
      </c>
      <c r="G1116" t="s">
        <v>3078</v>
      </c>
      <c r="H1116">
        <v>2</v>
      </c>
      <c r="I1116" t="s">
        <v>64</v>
      </c>
      <c r="J1116" t="s">
        <v>1606</v>
      </c>
      <c r="K1116">
        <v>360.22</v>
      </c>
      <c r="L1116">
        <v>5</v>
      </c>
      <c r="M1116">
        <v>33</v>
      </c>
      <c r="N1116" t="s">
        <v>30</v>
      </c>
      <c r="O1116" t="s">
        <v>199</v>
      </c>
      <c r="P1116" t="s">
        <v>54</v>
      </c>
      <c r="Q1116" t="s">
        <v>69</v>
      </c>
    </row>
    <row r="1117" spans="1:17" x14ac:dyDescent="0.3">
      <c r="A1117" t="s">
        <v>5467</v>
      </c>
      <c r="B1117" t="s">
        <v>5468</v>
      </c>
      <c r="C1117">
        <v>29</v>
      </c>
      <c r="D1117" t="s">
        <v>5469</v>
      </c>
      <c r="E1117" t="s">
        <v>51</v>
      </c>
      <c r="F1117" t="s">
        <v>3407</v>
      </c>
      <c r="G1117" t="s">
        <v>1731</v>
      </c>
      <c r="H1117">
        <v>3</v>
      </c>
      <c r="I1117" t="s">
        <v>27</v>
      </c>
      <c r="J1117" s="86">
        <v>45142</v>
      </c>
      <c r="K1117">
        <v>99.05</v>
      </c>
      <c r="L1117">
        <v>3</v>
      </c>
      <c r="M1117">
        <v>28</v>
      </c>
      <c r="N1117" t="s">
        <v>56</v>
      </c>
      <c r="O1117" t="s">
        <v>135</v>
      </c>
      <c r="P1117" t="s">
        <v>45</v>
      </c>
      <c r="Q1117" t="s">
        <v>32</v>
      </c>
    </row>
    <row r="1118" spans="1:17" x14ac:dyDescent="0.3">
      <c r="A1118" t="s">
        <v>5471</v>
      </c>
      <c r="B1118" t="s">
        <v>5472</v>
      </c>
      <c r="C1118">
        <v>61</v>
      </c>
      <c r="D1118" t="s">
        <v>5473</v>
      </c>
      <c r="E1118" t="s">
        <v>88</v>
      </c>
      <c r="F1118" t="s">
        <v>5474</v>
      </c>
      <c r="G1118" s="86">
        <v>45025</v>
      </c>
      <c r="H1118">
        <v>4</v>
      </c>
      <c r="I1118" t="s">
        <v>64</v>
      </c>
      <c r="J1118" t="s">
        <v>847</v>
      </c>
      <c r="K1118">
        <v>212.47</v>
      </c>
      <c r="L1118">
        <v>7</v>
      </c>
      <c r="M1118">
        <v>15</v>
      </c>
      <c r="N1118" t="s">
        <v>68</v>
      </c>
      <c r="O1118" t="s">
        <v>199</v>
      </c>
      <c r="P1118" t="s">
        <v>54</v>
      </c>
      <c r="Q1118" t="s">
        <v>32</v>
      </c>
    </row>
    <row r="1119" spans="1:17" x14ac:dyDescent="0.3">
      <c r="A1119" t="s">
        <v>5476</v>
      </c>
      <c r="B1119" t="s">
        <v>5477</v>
      </c>
      <c r="C1119">
        <v>59</v>
      </c>
      <c r="D1119" t="s">
        <v>5478</v>
      </c>
      <c r="E1119" t="s">
        <v>40</v>
      </c>
      <c r="F1119" s="86">
        <v>44838</v>
      </c>
      <c r="G1119" t="s">
        <v>5479</v>
      </c>
      <c r="H1119">
        <v>1</v>
      </c>
      <c r="I1119" t="s">
        <v>27</v>
      </c>
      <c r="J1119" t="s">
        <v>5480</v>
      </c>
      <c r="K1119">
        <v>14.12</v>
      </c>
      <c r="L1119">
        <v>8</v>
      </c>
      <c r="M1119">
        <v>19</v>
      </c>
      <c r="N1119" t="s">
        <v>30</v>
      </c>
      <c r="O1119" t="s">
        <v>135</v>
      </c>
      <c r="P1119" t="s">
        <v>45</v>
      </c>
      <c r="Q1119" t="s">
        <v>69</v>
      </c>
    </row>
    <row r="1120" spans="1:17" x14ac:dyDescent="0.3">
      <c r="A1120" t="s">
        <v>5482</v>
      </c>
      <c r="B1120" t="s">
        <v>5483</v>
      </c>
      <c r="C1120">
        <v>66</v>
      </c>
      <c r="D1120" t="s">
        <v>5484</v>
      </c>
      <c r="E1120" t="s">
        <v>61</v>
      </c>
      <c r="F1120" t="s">
        <v>5485</v>
      </c>
      <c r="G1120" t="s">
        <v>5486</v>
      </c>
      <c r="H1120">
        <v>3</v>
      </c>
      <c r="I1120" t="s">
        <v>52</v>
      </c>
      <c r="J1120" s="86">
        <v>45024</v>
      </c>
      <c r="K1120">
        <v>258.37</v>
      </c>
      <c r="L1120">
        <v>4</v>
      </c>
      <c r="M1120">
        <v>44</v>
      </c>
      <c r="N1120" t="s">
        <v>30</v>
      </c>
      <c r="O1120" t="s">
        <v>425</v>
      </c>
      <c r="P1120" t="s">
        <v>30</v>
      </c>
      <c r="Q1120" t="s">
        <v>69</v>
      </c>
    </row>
    <row r="1121" spans="1:17" x14ac:dyDescent="0.3">
      <c r="A1121" t="s">
        <v>5488</v>
      </c>
      <c r="B1121" t="s">
        <v>5489</v>
      </c>
      <c r="C1121">
        <v>23</v>
      </c>
      <c r="D1121" t="s">
        <v>5490</v>
      </c>
      <c r="E1121" t="s">
        <v>40</v>
      </c>
      <c r="F1121" s="86">
        <v>44779</v>
      </c>
      <c r="G1121" s="86">
        <v>45387</v>
      </c>
      <c r="H1121">
        <v>1</v>
      </c>
      <c r="I1121" t="s">
        <v>27</v>
      </c>
      <c r="J1121" t="s">
        <v>4033</v>
      </c>
      <c r="K1121">
        <v>141.44999999999999</v>
      </c>
      <c r="L1121">
        <v>9</v>
      </c>
      <c r="M1121">
        <v>37</v>
      </c>
      <c r="N1121" t="s">
        <v>30</v>
      </c>
      <c r="O1121" t="s">
        <v>231</v>
      </c>
      <c r="P1121" t="s">
        <v>30</v>
      </c>
      <c r="Q1121" t="s">
        <v>32</v>
      </c>
    </row>
    <row r="1122" spans="1:17" x14ac:dyDescent="0.3">
      <c r="A1122" t="s">
        <v>5492</v>
      </c>
      <c r="B1122" t="s">
        <v>5493</v>
      </c>
      <c r="C1122">
        <v>41</v>
      </c>
      <c r="D1122" t="s">
        <v>5494</v>
      </c>
      <c r="E1122" t="s">
        <v>51</v>
      </c>
      <c r="F1122" t="s">
        <v>473</v>
      </c>
      <c r="G1122" t="s">
        <v>120</v>
      </c>
      <c r="H1122">
        <v>5</v>
      </c>
      <c r="I1122" t="s">
        <v>52</v>
      </c>
      <c r="J1122" t="s">
        <v>4595</v>
      </c>
      <c r="K1122">
        <v>52.81</v>
      </c>
      <c r="L1122">
        <v>9</v>
      </c>
      <c r="M1122">
        <v>43</v>
      </c>
      <c r="N1122" t="s">
        <v>56</v>
      </c>
      <c r="O1122" t="s">
        <v>610</v>
      </c>
      <c r="P1122" t="s">
        <v>68</v>
      </c>
      <c r="Q1122" t="s">
        <v>69</v>
      </c>
    </row>
    <row r="1123" spans="1:17" x14ac:dyDescent="0.3">
      <c r="A1123" t="s">
        <v>5496</v>
      </c>
      <c r="B1123" t="s">
        <v>5497</v>
      </c>
      <c r="C1123">
        <v>58</v>
      </c>
      <c r="D1123" t="s">
        <v>5498</v>
      </c>
      <c r="E1123" t="s">
        <v>40</v>
      </c>
      <c r="F1123" t="s">
        <v>5499</v>
      </c>
      <c r="G1123" s="86">
        <v>45480</v>
      </c>
      <c r="H1123">
        <v>0</v>
      </c>
      <c r="I1123" t="s">
        <v>52</v>
      </c>
      <c r="J1123" t="s">
        <v>4817</v>
      </c>
      <c r="K1123">
        <v>169.81</v>
      </c>
      <c r="L1123">
        <v>5</v>
      </c>
      <c r="M1123">
        <v>38</v>
      </c>
      <c r="N1123" t="s">
        <v>30</v>
      </c>
      <c r="O1123" t="s">
        <v>597</v>
      </c>
      <c r="P1123" t="s">
        <v>45</v>
      </c>
      <c r="Q1123" t="s">
        <v>32</v>
      </c>
    </row>
    <row r="1124" spans="1:17" x14ac:dyDescent="0.3">
      <c r="A1124" t="s">
        <v>5501</v>
      </c>
      <c r="B1124" t="s">
        <v>5502</v>
      </c>
      <c r="C1124">
        <v>37</v>
      </c>
      <c r="D1124" t="s">
        <v>5503</v>
      </c>
      <c r="E1124" t="s">
        <v>95</v>
      </c>
      <c r="F1124" t="s">
        <v>267</v>
      </c>
      <c r="G1124" t="s">
        <v>566</v>
      </c>
      <c r="H1124">
        <v>1</v>
      </c>
      <c r="I1124" t="s">
        <v>27</v>
      </c>
      <c r="J1124" t="s">
        <v>2951</v>
      </c>
      <c r="K1124">
        <v>111.99</v>
      </c>
      <c r="L1124">
        <v>6</v>
      </c>
      <c r="M1124">
        <v>8</v>
      </c>
      <c r="N1124" t="s">
        <v>68</v>
      </c>
      <c r="O1124" t="s">
        <v>245</v>
      </c>
      <c r="P1124" t="s">
        <v>54</v>
      </c>
      <c r="Q1124" t="s">
        <v>69</v>
      </c>
    </row>
    <row r="1125" spans="1:17" x14ac:dyDescent="0.3">
      <c r="A1125" t="s">
        <v>5505</v>
      </c>
      <c r="B1125" t="s">
        <v>5506</v>
      </c>
      <c r="C1125">
        <v>40</v>
      </c>
      <c r="D1125" t="s">
        <v>5507</v>
      </c>
      <c r="E1125" t="s">
        <v>95</v>
      </c>
      <c r="F1125" t="s">
        <v>5508</v>
      </c>
      <c r="G1125" t="s">
        <v>3977</v>
      </c>
      <c r="H1125">
        <v>0</v>
      </c>
      <c r="I1125" t="s">
        <v>64</v>
      </c>
      <c r="J1125" s="86">
        <v>45512</v>
      </c>
      <c r="K1125">
        <v>564.29999999999995</v>
      </c>
      <c r="L1125">
        <v>3</v>
      </c>
      <c r="M1125">
        <v>7</v>
      </c>
      <c r="N1125" t="s">
        <v>45</v>
      </c>
      <c r="O1125" t="s">
        <v>211</v>
      </c>
      <c r="P1125" t="s">
        <v>68</v>
      </c>
      <c r="Q1125" t="s">
        <v>322</v>
      </c>
    </row>
    <row r="1126" spans="1:17" x14ac:dyDescent="0.3">
      <c r="A1126" t="s">
        <v>5510</v>
      </c>
      <c r="B1126" t="s">
        <v>5511</v>
      </c>
      <c r="C1126">
        <v>68</v>
      </c>
      <c r="D1126" t="s">
        <v>5512</v>
      </c>
      <c r="E1126" t="s">
        <v>40</v>
      </c>
      <c r="F1126" t="s">
        <v>5513</v>
      </c>
      <c r="G1126" s="86">
        <v>45507</v>
      </c>
      <c r="H1126">
        <v>0</v>
      </c>
      <c r="I1126" t="s">
        <v>27</v>
      </c>
      <c r="J1126" t="s">
        <v>440</v>
      </c>
      <c r="K1126">
        <v>244.71</v>
      </c>
      <c r="L1126">
        <v>4</v>
      </c>
      <c r="M1126">
        <v>23</v>
      </c>
      <c r="N1126" t="s">
        <v>30</v>
      </c>
      <c r="O1126" t="s">
        <v>157</v>
      </c>
      <c r="P1126" t="s">
        <v>68</v>
      </c>
      <c r="Q1126" t="s">
        <v>69</v>
      </c>
    </row>
    <row r="1127" spans="1:17" x14ac:dyDescent="0.3">
      <c r="A1127" t="s">
        <v>5515</v>
      </c>
      <c r="B1127" t="s">
        <v>5516</v>
      </c>
      <c r="C1127">
        <v>23</v>
      </c>
      <c r="D1127" t="s">
        <v>5517</v>
      </c>
      <c r="E1127" t="s">
        <v>25</v>
      </c>
      <c r="F1127" t="s">
        <v>5518</v>
      </c>
      <c r="G1127" s="86">
        <v>44115</v>
      </c>
      <c r="H1127">
        <v>1</v>
      </c>
      <c r="I1127" t="s">
        <v>27</v>
      </c>
      <c r="J1127" t="s">
        <v>912</v>
      </c>
      <c r="K1127">
        <v>603.87</v>
      </c>
      <c r="L1127">
        <v>1</v>
      </c>
      <c r="M1127">
        <v>11</v>
      </c>
      <c r="N1127" t="s">
        <v>30</v>
      </c>
      <c r="O1127" t="s">
        <v>122</v>
      </c>
      <c r="P1127" t="s">
        <v>30</v>
      </c>
      <c r="Q1127" t="s">
        <v>32</v>
      </c>
    </row>
    <row r="1128" spans="1:17" x14ac:dyDescent="0.3">
      <c r="A1128" t="s">
        <v>5520</v>
      </c>
      <c r="B1128" t="s">
        <v>5521</v>
      </c>
      <c r="C1128">
        <v>25</v>
      </c>
      <c r="D1128" t="s">
        <v>5522</v>
      </c>
      <c r="E1128" t="s">
        <v>88</v>
      </c>
      <c r="F1128" s="86">
        <v>44175</v>
      </c>
      <c r="G1128" t="s">
        <v>179</v>
      </c>
      <c r="H1128">
        <v>1</v>
      </c>
      <c r="I1128" t="s">
        <v>27</v>
      </c>
      <c r="J1128" t="s">
        <v>3802</v>
      </c>
      <c r="K1128">
        <v>232.11</v>
      </c>
      <c r="L1128">
        <v>2</v>
      </c>
      <c r="M1128">
        <v>25</v>
      </c>
      <c r="N1128" t="s">
        <v>30</v>
      </c>
      <c r="O1128" t="s">
        <v>536</v>
      </c>
      <c r="P1128" t="s">
        <v>68</v>
      </c>
      <c r="Q1128" t="s">
        <v>69</v>
      </c>
    </row>
    <row r="1129" spans="1:17" x14ac:dyDescent="0.3">
      <c r="A1129" t="s">
        <v>5524</v>
      </c>
      <c r="B1129" t="s">
        <v>5525</v>
      </c>
      <c r="C1129">
        <v>60</v>
      </c>
      <c r="D1129" t="s">
        <v>5526</v>
      </c>
      <c r="E1129" t="s">
        <v>88</v>
      </c>
      <c r="F1129" s="86">
        <v>44960</v>
      </c>
      <c r="G1129" s="86">
        <v>45724</v>
      </c>
      <c r="H1129">
        <v>1</v>
      </c>
      <c r="I1129" t="s">
        <v>64</v>
      </c>
      <c r="J1129" t="s">
        <v>579</v>
      </c>
      <c r="K1129">
        <v>50.52</v>
      </c>
      <c r="L1129">
        <v>5</v>
      </c>
      <c r="M1129">
        <v>7</v>
      </c>
      <c r="N1129" t="s">
        <v>56</v>
      </c>
      <c r="O1129" t="s">
        <v>855</v>
      </c>
      <c r="P1129" t="s">
        <v>45</v>
      </c>
      <c r="Q1129" t="s">
        <v>32</v>
      </c>
    </row>
    <row r="1130" spans="1:17" x14ac:dyDescent="0.3">
      <c r="A1130" t="s">
        <v>5528</v>
      </c>
      <c r="B1130" t="s">
        <v>5529</v>
      </c>
      <c r="C1130">
        <v>24</v>
      </c>
      <c r="D1130" t="s">
        <v>5530</v>
      </c>
      <c r="E1130" t="s">
        <v>95</v>
      </c>
      <c r="F1130" t="s">
        <v>5096</v>
      </c>
      <c r="G1130" t="s">
        <v>5531</v>
      </c>
      <c r="H1130">
        <v>5</v>
      </c>
      <c r="I1130" t="s">
        <v>27</v>
      </c>
      <c r="J1130" t="s">
        <v>89</v>
      </c>
      <c r="K1130">
        <v>407.04</v>
      </c>
      <c r="L1130">
        <v>2</v>
      </c>
      <c r="M1130">
        <v>33</v>
      </c>
      <c r="N1130" t="s">
        <v>45</v>
      </c>
      <c r="O1130" t="s">
        <v>149</v>
      </c>
      <c r="P1130" t="s">
        <v>30</v>
      </c>
      <c r="Q1130" t="s">
        <v>69</v>
      </c>
    </row>
    <row r="1131" spans="1:17" x14ac:dyDescent="0.3">
      <c r="A1131" t="s">
        <v>5533</v>
      </c>
      <c r="B1131" t="s">
        <v>5534</v>
      </c>
      <c r="C1131">
        <v>66</v>
      </c>
      <c r="D1131" t="s">
        <v>5535</v>
      </c>
      <c r="E1131" t="s">
        <v>40</v>
      </c>
      <c r="F1131" t="s">
        <v>1491</v>
      </c>
      <c r="G1131" t="s">
        <v>1252</v>
      </c>
      <c r="H1131">
        <v>3</v>
      </c>
      <c r="I1131" t="s">
        <v>27</v>
      </c>
      <c r="J1131" s="86">
        <v>45390</v>
      </c>
      <c r="K1131">
        <v>212.92</v>
      </c>
      <c r="L1131">
        <v>9</v>
      </c>
      <c r="M1131">
        <v>30</v>
      </c>
      <c r="N1131" t="s">
        <v>30</v>
      </c>
      <c r="O1131" t="s">
        <v>610</v>
      </c>
      <c r="P1131" t="s">
        <v>68</v>
      </c>
      <c r="Q1131" t="s">
        <v>69</v>
      </c>
    </row>
    <row r="1132" spans="1:17" x14ac:dyDescent="0.3">
      <c r="A1132" t="s">
        <v>5537</v>
      </c>
      <c r="B1132" t="s">
        <v>5538</v>
      </c>
      <c r="C1132">
        <v>40</v>
      </c>
      <c r="D1132" t="s">
        <v>5539</v>
      </c>
      <c r="E1132" t="s">
        <v>51</v>
      </c>
      <c r="F1132" s="86">
        <v>43900</v>
      </c>
      <c r="G1132" t="s">
        <v>946</v>
      </c>
      <c r="H1132">
        <v>5</v>
      </c>
      <c r="I1132" t="s">
        <v>52</v>
      </c>
      <c r="J1132" s="86">
        <v>44512</v>
      </c>
      <c r="K1132">
        <v>119.35</v>
      </c>
      <c r="L1132">
        <v>9</v>
      </c>
      <c r="M1132">
        <v>9</v>
      </c>
      <c r="N1132" t="s">
        <v>30</v>
      </c>
      <c r="O1132" t="s">
        <v>67</v>
      </c>
      <c r="P1132" t="s">
        <v>68</v>
      </c>
      <c r="Q1132" t="s">
        <v>69</v>
      </c>
    </row>
    <row r="1133" spans="1:17" x14ac:dyDescent="0.3">
      <c r="A1133" t="s">
        <v>5541</v>
      </c>
      <c r="B1133" t="s">
        <v>5542</v>
      </c>
      <c r="C1133">
        <v>62</v>
      </c>
      <c r="D1133" t="s">
        <v>5543</v>
      </c>
      <c r="E1133" t="s">
        <v>25</v>
      </c>
      <c r="F1133" s="86">
        <v>44264</v>
      </c>
      <c r="G1133" t="s">
        <v>4186</v>
      </c>
      <c r="H1133">
        <v>4</v>
      </c>
      <c r="I1133" t="s">
        <v>27</v>
      </c>
      <c r="J1133" t="s">
        <v>2690</v>
      </c>
      <c r="K1133">
        <v>36.75</v>
      </c>
      <c r="L1133">
        <v>5</v>
      </c>
      <c r="M1133">
        <v>46</v>
      </c>
      <c r="N1133" t="s">
        <v>30</v>
      </c>
      <c r="O1133" t="s">
        <v>199</v>
      </c>
      <c r="P1133" t="s">
        <v>54</v>
      </c>
      <c r="Q1133" t="s">
        <v>69</v>
      </c>
    </row>
    <row r="1134" spans="1:17" x14ac:dyDescent="0.3">
      <c r="A1134" t="s">
        <v>5545</v>
      </c>
      <c r="B1134" t="s">
        <v>5546</v>
      </c>
      <c r="C1134">
        <v>61</v>
      </c>
      <c r="D1134" t="s">
        <v>5547</v>
      </c>
      <c r="E1134" t="s">
        <v>61</v>
      </c>
      <c r="F1134" t="s">
        <v>2517</v>
      </c>
      <c r="G1134" s="86">
        <v>44931</v>
      </c>
      <c r="H1134">
        <v>3</v>
      </c>
      <c r="I1134" t="s">
        <v>52</v>
      </c>
      <c r="J1134" s="86">
        <v>44722</v>
      </c>
      <c r="K1134">
        <v>113.88</v>
      </c>
      <c r="L1134">
        <v>6</v>
      </c>
      <c r="M1134">
        <v>45</v>
      </c>
      <c r="N1134" t="s">
        <v>30</v>
      </c>
      <c r="O1134" t="s">
        <v>251</v>
      </c>
      <c r="P1134" t="s">
        <v>30</v>
      </c>
      <c r="Q1134" t="s">
        <v>69</v>
      </c>
    </row>
    <row r="1135" spans="1:17" x14ac:dyDescent="0.3">
      <c r="A1135" t="s">
        <v>5549</v>
      </c>
      <c r="B1135" t="s">
        <v>5550</v>
      </c>
      <c r="C1135">
        <v>64</v>
      </c>
      <c r="D1135" t="s">
        <v>5551</v>
      </c>
      <c r="E1135" t="s">
        <v>40</v>
      </c>
      <c r="F1135" s="86">
        <v>44816</v>
      </c>
      <c r="G1135" t="s">
        <v>3494</v>
      </c>
      <c r="H1135">
        <v>4</v>
      </c>
      <c r="I1135" t="s">
        <v>27</v>
      </c>
      <c r="J1135" s="86">
        <v>45416</v>
      </c>
      <c r="K1135">
        <v>168.95</v>
      </c>
      <c r="L1135">
        <v>9</v>
      </c>
      <c r="M1135">
        <v>5</v>
      </c>
      <c r="N1135" t="s">
        <v>54</v>
      </c>
      <c r="O1135" t="s">
        <v>122</v>
      </c>
      <c r="P1135" t="s">
        <v>30</v>
      </c>
      <c r="Q1135" t="s">
        <v>69</v>
      </c>
    </row>
    <row r="1136" spans="1:17" x14ac:dyDescent="0.3">
      <c r="A1136" t="s">
        <v>5553</v>
      </c>
      <c r="B1136" t="s">
        <v>5554</v>
      </c>
      <c r="C1136">
        <v>40</v>
      </c>
      <c r="D1136" t="s">
        <v>5555</v>
      </c>
      <c r="E1136" t="s">
        <v>95</v>
      </c>
      <c r="F1136" t="s">
        <v>608</v>
      </c>
      <c r="G1136" t="s">
        <v>2431</v>
      </c>
      <c r="H1136">
        <v>4</v>
      </c>
      <c r="I1136" t="s">
        <v>64</v>
      </c>
      <c r="J1136" t="s">
        <v>1889</v>
      </c>
      <c r="K1136">
        <v>9.9</v>
      </c>
      <c r="L1136">
        <v>6</v>
      </c>
      <c r="M1136">
        <v>36</v>
      </c>
      <c r="N1136" t="s">
        <v>56</v>
      </c>
      <c r="O1136" t="s">
        <v>55</v>
      </c>
      <c r="P1136" t="s">
        <v>56</v>
      </c>
      <c r="Q1136" t="s">
        <v>32</v>
      </c>
    </row>
    <row r="1137" spans="1:17" x14ac:dyDescent="0.3">
      <c r="A1137" t="s">
        <v>5557</v>
      </c>
      <c r="B1137" t="s">
        <v>5558</v>
      </c>
      <c r="C1137">
        <v>40</v>
      </c>
      <c r="D1137" t="s">
        <v>5559</v>
      </c>
      <c r="E1137" t="s">
        <v>61</v>
      </c>
      <c r="F1137" t="s">
        <v>403</v>
      </c>
      <c r="G1137" s="86">
        <v>45634</v>
      </c>
      <c r="H1137">
        <v>0</v>
      </c>
      <c r="I1137" t="s">
        <v>27</v>
      </c>
      <c r="J1137" t="s">
        <v>1503</v>
      </c>
      <c r="K1137">
        <v>200.24</v>
      </c>
      <c r="L1137">
        <v>9</v>
      </c>
      <c r="M1137">
        <v>29</v>
      </c>
      <c r="N1137" t="s">
        <v>54</v>
      </c>
      <c r="O1137" t="s">
        <v>604</v>
      </c>
      <c r="P1137" t="s">
        <v>45</v>
      </c>
      <c r="Q1137" t="s">
        <v>32</v>
      </c>
    </row>
    <row r="1138" spans="1:17" x14ac:dyDescent="0.3">
      <c r="A1138" t="s">
        <v>5561</v>
      </c>
      <c r="B1138" t="s">
        <v>5562</v>
      </c>
      <c r="C1138">
        <v>21</v>
      </c>
      <c r="D1138" t="s">
        <v>5563</v>
      </c>
      <c r="E1138" t="s">
        <v>88</v>
      </c>
      <c r="F1138" s="86">
        <v>44875</v>
      </c>
      <c r="G1138" t="s">
        <v>3461</v>
      </c>
      <c r="H1138">
        <v>3</v>
      </c>
      <c r="I1138" t="s">
        <v>27</v>
      </c>
      <c r="J1138" t="s">
        <v>327</v>
      </c>
      <c r="K1138">
        <v>45.59</v>
      </c>
      <c r="L1138">
        <v>8</v>
      </c>
      <c r="M1138">
        <v>45</v>
      </c>
      <c r="N1138" t="s">
        <v>68</v>
      </c>
      <c r="O1138" t="s">
        <v>211</v>
      </c>
      <c r="P1138" t="s">
        <v>68</v>
      </c>
      <c r="Q1138" t="s">
        <v>32</v>
      </c>
    </row>
    <row r="1139" spans="1:17" x14ac:dyDescent="0.3">
      <c r="A1139" t="s">
        <v>5565</v>
      </c>
      <c r="B1139" t="s">
        <v>5566</v>
      </c>
      <c r="C1139">
        <v>19</v>
      </c>
      <c r="D1139" t="s">
        <v>5567</v>
      </c>
      <c r="E1139" t="s">
        <v>40</v>
      </c>
      <c r="F1139" s="86">
        <v>44570</v>
      </c>
      <c r="G1139" s="86">
        <v>45049</v>
      </c>
      <c r="H1139">
        <v>3</v>
      </c>
      <c r="I1139" t="s">
        <v>27</v>
      </c>
      <c r="J1139" t="s">
        <v>3776</v>
      </c>
      <c r="K1139">
        <v>42.19</v>
      </c>
      <c r="L1139">
        <v>4</v>
      </c>
      <c r="M1139">
        <v>46</v>
      </c>
      <c r="N1139" t="s">
        <v>68</v>
      </c>
      <c r="O1139" t="s">
        <v>175</v>
      </c>
      <c r="P1139" t="s">
        <v>56</v>
      </c>
      <c r="Q1139" t="s">
        <v>32</v>
      </c>
    </row>
    <row r="1140" spans="1:17" x14ac:dyDescent="0.3">
      <c r="A1140" t="s">
        <v>5569</v>
      </c>
      <c r="B1140" t="s">
        <v>5570</v>
      </c>
      <c r="C1140">
        <v>52</v>
      </c>
      <c r="D1140" t="s">
        <v>5571</v>
      </c>
      <c r="E1140" t="s">
        <v>51</v>
      </c>
      <c r="F1140" t="s">
        <v>5426</v>
      </c>
      <c r="G1140" s="86">
        <v>45200</v>
      </c>
      <c r="H1140">
        <v>2</v>
      </c>
      <c r="I1140" t="s">
        <v>64</v>
      </c>
      <c r="J1140" t="s">
        <v>5480</v>
      </c>
      <c r="K1140">
        <v>198.73</v>
      </c>
      <c r="L1140">
        <v>6</v>
      </c>
      <c r="M1140">
        <v>24</v>
      </c>
      <c r="N1140" t="s">
        <v>56</v>
      </c>
      <c r="O1140" t="s">
        <v>536</v>
      </c>
      <c r="P1140" t="s">
        <v>68</v>
      </c>
      <c r="Q1140" t="s">
        <v>69</v>
      </c>
    </row>
    <row r="1141" spans="1:17" x14ac:dyDescent="0.3">
      <c r="A1141" t="s">
        <v>5573</v>
      </c>
      <c r="B1141" t="s">
        <v>5574</v>
      </c>
      <c r="C1141">
        <v>53</v>
      </c>
      <c r="D1141" t="s">
        <v>5575</v>
      </c>
      <c r="E1141" t="s">
        <v>88</v>
      </c>
      <c r="F1141" s="86">
        <v>45080</v>
      </c>
      <c r="G1141" s="86">
        <v>45812</v>
      </c>
      <c r="H1141">
        <v>4</v>
      </c>
      <c r="I1141" t="s">
        <v>27</v>
      </c>
      <c r="J1141" t="s">
        <v>5576</v>
      </c>
      <c r="K1141">
        <v>339.6</v>
      </c>
      <c r="L1141">
        <v>1</v>
      </c>
      <c r="M1141">
        <v>42</v>
      </c>
      <c r="N1141" t="s">
        <v>45</v>
      </c>
      <c r="O1141" t="s">
        <v>223</v>
      </c>
      <c r="P1141" t="s">
        <v>56</v>
      </c>
      <c r="Q1141" t="s">
        <v>69</v>
      </c>
    </row>
    <row r="1142" spans="1:17" x14ac:dyDescent="0.3">
      <c r="A1142" t="s">
        <v>5578</v>
      </c>
      <c r="B1142" t="s">
        <v>5579</v>
      </c>
      <c r="C1142">
        <v>61</v>
      </c>
      <c r="D1142" t="s">
        <v>5580</v>
      </c>
      <c r="E1142" t="s">
        <v>51</v>
      </c>
      <c r="F1142" s="86">
        <v>44813</v>
      </c>
      <c r="G1142" t="s">
        <v>1705</v>
      </c>
      <c r="H1142">
        <v>1</v>
      </c>
      <c r="I1142" t="s">
        <v>27</v>
      </c>
      <c r="J1142" s="86">
        <v>45393</v>
      </c>
      <c r="K1142">
        <v>72.73</v>
      </c>
      <c r="L1142">
        <v>8</v>
      </c>
      <c r="M1142">
        <v>39</v>
      </c>
      <c r="N1142" t="s">
        <v>56</v>
      </c>
      <c r="O1142" t="s">
        <v>175</v>
      </c>
      <c r="P1142" t="s">
        <v>56</v>
      </c>
      <c r="Q1142" t="s">
        <v>32</v>
      </c>
    </row>
    <row r="1143" spans="1:17" x14ac:dyDescent="0.3">
      <c r="A1143" t="s">
        <v>5582</v>
      </c>
      <c r="B1143" t="s">
        <v>5583</v>
      </c>
      <c r="C1143">
        <v>32</v>
      </c>
      <c r="D1143" t="s">
        <v>5584</v>
      </c>
      <c r="E1143" t="s">
        <v>95</v>
      </c>
      <c r="F1143" s="86">
        <v>44288</v>
      </c>
      <c r="G1143" s="86">
        <v>44813</v>
      </c>
      <c r="H1143">
        <v>5</v>
      </c>
      <c r="I1143" t="s">
        <v>52</v>
      </c>
      <c r="J1143" s="86">
        <v>44538</v>
      </c>
      <c r="K1143">
        <v>215.41</v>
      </c>
      <c r="L1143">
        <v>4</v>
      </c>
      <c r="M1143">
        <v>45</v>
      </c>
      <c r="N1143" t="s">
        <v>30</v>
      </c>
      <c r="O1143" t="s">
        <v>855</v>
      </c>
      <c r="P1143" t="s">
        <v>45</v>
      </c>
      <c r="Q1143" t="s">
        <v>32</v>
      </c>
    </row>
    <row r="1144" spans="1:17" x14ac:dyDescent="0.3">
      <c r="A1144" t="s">
        <v>5586</v>
      </c>
      <c r="B1144" t="s">
        <v>5587</v>
      </c>
      <c r="C1144">
        <v>53</v>
      </c>
      <c r="D1144" t="s">
        <v>5588</v>
      </c>
      <c r="E1144" t="s">
        <v>61</v>
      </c>
      <c r="F1144" s="86">
        <v>44628</v>
      </c>
      <c r="G1144" t="s">
        <v>5589</v>
      </c>
      <c r="H1144">
        <v>5</v>
      </c>
      <c r="I1144" t="s">
        <v>52</v>
      </c>
      <c r="J1144" t="s">
        <v>4817</v>
      </c>
      <c r="K1144">
        <v>91.74</v>
      </c>
      <c r="L1144">
        <v>8</v>
      </c>
      <c r="M1144">
        <v>47</v>
      </c>
      <c r="N1144" t="s">
        <v>30</v>
      </c>
      <c r="O1144" t="s">
        <v>77</v>
      </c>
      <c r="P1144" t="s">
        <v>54</v>
      </c>
      <c r="Q1144" t="s">
        <v>32</v>
      </c>
    </row>
    <row r="1145" spans="1:17" x14ac:dyDescent="0.3">
      <c r="A1145" t="s">
        <v>5591</v>
      </c>
      <c r="B1145" t="s">
        <v>5592</v>
      </c>
      <c r="C1145">
        <v>24</v>
      </c>
      <c r="D1145" t="s">
        <v>5593</v>
      </c>
      <c r="E1145" t="s">
        <v>25</v>
      </c>
      <c r="F1145" s="86">
        <v>45054</v>
      </c>
      <c r="G1145" s="86">
        <v>45242</v>
      </c>
      <c r="H1145">
        <v>1</v>
      </c>
      <c r="I1145" t="s">
        <v>27</v>
      </c>
      <c r="J1145" s="86">
        <v>45809</v>
      </c>
      <c r="K1145">
        <v>57.28</v>
      </c>
      <c r="L1145">
        <v>9</v>
      </c>
      <c r="M1145">
        <v>49</v>
      </c>
      <c r="N1145" t="s">
        <v>54</v>
      </c>
      <c r="O1145" t="s">
        <v>366</v>
      </c>
      <c r="P1145" t="s">
        <v>54</v>
      </c>
      <c r="Q1145" t="s">
        <v>322</v>
      </c>
    </row>
    <row r="1146" spans="1:17" x14ac:dyDescent="0.3">
      <c r="A1146" t="s">
        <v>5595</v>
      </c>
      <c r="B1146" t="s">
        <v>5596</v>
      </c>
      <c r="C1146">
        <v>47</v>
      </c>
      <c r="D1146" t="s">
        <v>5597</v>
      </c>
      <c r="E1146" t="s">
        <v>40</v>
      </c>
      <c r="F1146" s="86">
        <v>44992</v>
      </c>
      <c r="G1146" t="s">
        <v>4456</v>
      </c>
      <c r="H1146">
        <v>4</v>
      </c>
      <c r="I1146" t="s">
        <v>27</v>
      </c>
      <c r="J1146" t="s">
        <v>1227</v>
      </c>
      <c r="K1146">
        <v>155.31</v>
      </c>
      <c r="L1146">
        <v>5</v>
      </c>
      <c r="M1146">
        <v>29</v>
      </c>
      <c r="N1146" t="s">
        <v>68</v>
      </c>
      <c r="O1146" t="s">
        <v>91</v>
      </c>
      <c r="P1146" t="s">
        <v>54</v>
      </c>
      <c r="Q1146" t="s">
        <v>32</v>
      </c>
    </row>
    <row r="1147" spans="1:17" x14ac:dyDescent="0.3">
      <c r="A1147" t="s">
        <v>5599</v>
      </c>
      <c r="B1147" t="s">
        <v>5600</v>
      </c>
      <c r="C1147">
        <v>62</v>
      </c>
      <c r="D1147" t="s">
        <v>5601</v>
      </c>
      <c r="E1147" t="s">
        <v>95</v>
      </c>
      <c r="F1147" t="s">
        <v>5602</v>
      </c>
      <c r="G1147" t="s">
        <v>5603</v>
      </c>
      <c r="H1147">
        <v>3</v>
      </c>
      <c r="I1147" t="s">
        <v>27</v>
      </c>
      <c r="J1147" t="s">
        <v>1969</v>
      </c>
      <c r="K1147">
        <v>776.04</v>
      </c>
      <c r="L1147">
        <v>1</v>
      </c>
      <c r="M1147">
        <v>18</v>
      </c>
      <c r="N1147" t="s">
        <v>54</v>
      </c>
      <c r="O1147" t="s">
        <v>194</v>
      </c>
      <c r="P1147" t="s">
        <v>56</v>
      </c>
      <c r="Q1147" t="s">
        <v>32</v>
      </c>
    </row>
    <row r="1148" spans="1:17" x14ac:dyDescent="0.3">
      <c r="A1148" t="s">
        <v>5605</v>
      </c>
      <c r="B1148" t="s">
        <v>5606</v>
      </c>
      <c r="C1148">
        <v>49</v>
      </c>
      <c r="D1148" t="s">
        <v>5607</v>
      </c>
      <c r="E1148" t="s">
        <v>61</v>
      </c>
      <c r="F1148" s="86">
        <v>44533</v>
      </c>
      <c r="G1148" s="86">
        <v>45606</v>
      </c>
      <c r="H1148">
        <v>0</v>
      </c>
      <c r="I1148" t="s">
        <v>52</v>
      </c>
      <c r="J1148" s="86">
        <v>44840</v>
      </c>
      <c r="K1148">
        <v>269.89999999999998</v>
      </c>
      <c r="L1148">
        <v>3</v>
      </c>
      <c r="M1148">
        <v>37</v>
      </c>
      <c r="N1148" t="s">
        <v>30</v>
      </c>
      <c r="O1148" t="s">
        <v>293</v>
      </c>
      <c r="P1148" t="s">
        <v>45</v>
      </c>
      <c r="Q1148" t="s">
        <v>32</v>
      </c>
    </row>
    <row r="1149" spans="1:17" x14ac:dyDescent="0.3">
      <c r="A1149" t="s">
        <v>5609</v>
      </c>
      <c r="B1149" t="s">
        <v>5610</v>
      </c>
      <c r="C1149">
        <v>60</v>
      </c>
      <c r="D1149" t="s">
        <v>5611</v>
      </c>
      <c r="E1149" t="s">
        <v>88</v>
      </c>
      <c r="F1149" t="s">
        <v>5612</v>
      </c>
      <c r="G1149" t="s">
        <v>89</v>
      </c>
      <c r="H1149">
        <v>5</v>
      </c>
      <c r="I1149" t="s">
        <v>52</v>
      </c>
      <c r="J1149" t="s">
        <v>416</v>
      </c>
      <c r="K1149">
        <v>224.54</v>
      </c>
      <c r="L1149">
        <v>2</v>
      </c>
      <c r="M1149">
        <v>14</v>
      </c>
      <c r="N1149" t="s">
        <v>30</v>
      </c>
      <c r="O1149" t="s">
        <v>610</v>
      </c>
      <c r="P1149" t="s">
        <v>68</v>
      </c>
      <c r="Q1149" t="s">
        <v>32</v>
      </c>
    </row>
    <row r="1150" spans="1:17" x14ac:dyDescent="0.3">
      <c r="A1150" t="s">
        <v>5614</v>
      </c>
      <c r="B1150" t="s">
        <v>5615</v>
      </c>
      <c r="C1150">
        <v>48</v>
      </c>
      <c r="D1150" t="s">
        <v>5616</v>
      </c>
      <c r="E1150" t="s">
        <v>51</v>
      </c>
      <c r="F1150" s="86">
        <v>44504</v>
      </c>
      <c r="G1150" s="86">
        <v>44744</v>
      </c>
      <c r="H1150">
        <v>4</v>
      </c>
      <c r="I1150" t="s">
        <v>52</v>
      </c>
      <c r="J1150" s="86">
        <v>45809</v>
      </c>
      <c r="K1150">
        <v>211.38</v>
      </c>
      <c r="L1150">
        <v>5</v>
      </c>
      <c r="M1150">
        <v>16</v>
      </c>
      <c r="N1150" t="s">
        <v>56</v>
      </c>
      <c r="O1150" t="s">
        <v>231</v>
      </c>
      <c r="P1150" t="s">
        <v>30</v>
      </c>
      <c r="Q1150" t="s">
        <v>32</v>
      </c>
    </row>
    <row r="1151" spans="1:17" x14ac:dyDescent="0.3">
      <c r="A1151" t="s">
        <v>5618</v>
      </c>
      <c r="B1151" t="s">
        <v>5619</v>
      </c>
      <c r="C1151">
        <v>36</v>
      </c>
      <c r="D1151" t="s">
        <v>5620</v>
      </c>
      <c r="E1151" t="s">
        <v>95</v>
      </c>
      <c r="F1151" s="86">
        <v>44844</v>
      </c>
      <c r="G1151" t="s">
        <v>274</v>
      </c>
      <c r="H1151">
        <v>3</v>
      </c>
      <c r="I1151" t="s">
        <v>27</v>
      </c>
      <c r="J1151" t="s">
        <v>1349</v>
      </c>
      <c r="K1151">
        <v>64.8</v>
      </c>
      <c r="L1151">
        <v>9</v>
      </c>
      <c r="M1151">
        <v>16</v>
      </c>
      <c r="N1151" t="s">
        <v>68</v>
      </c>
      <c r="O1151" t="s">
        <v>354</v>
      </c>
      <c r="P1151" t="s">
        <v>45</v>
      </c>
      <c r="Q1151" t="s">
        <v>32</v>
      </c>
    </row>
    <row r="1152" spans="1:17" x14ac:dyDescent="0.3">
      <c r="A1152" t="s">
        <v>5622</v>
      </c>
      <c r="B1152" t="s">
        <v>5623</v>
      </c>
      <c r="C1152">
        <v>30</v>
      </c>
      <c r="D1152" t="s">
        <v>5624</v>
      </c>
      <c r="E1152" t="s">
        <v>95</v>
      </c>
      <c r="F1152" s="86">
        <v>44988</v>
      </c>
      <c r="G1152" t="s">
        <v>5078</v>
      </c>
      <c r="H1152">
        <v>5</v>
      </c>
      <c r="I1152" t="s">
        <v>27</v>
      </c>
      <c r="J1152" s="86">
        <v>45386</v>
      </c>
      <c r="K1152">
        <v>189.04</v>
      </c>
      <c r="L1152">
        <v>7</v>
      </c>
      <c r="M1152">
        <v>46</v>
      </c>
      <c r="N1152" t="s">
        <v>30</v>
      </c>
      <c r="O1152" t="s">
        <v>55</v>
      </c>
      <c r="P1152" t="s">
        <v>56</v>
      </c>
      <c r="Q1152" t="s">
        <v>32</v>
      </c>
    </row>
    <row r="1153" spans="1:17" x14ac:dyDescent="0.3">
      <c r="A1153" t="s">
        <v>5626</v>
      </c>
      <c r="B1153" t="s">
        <v>5627</v>
      </c>
      <c r="C1153">
        <v>57</v>
      </c>
      <c r="D1153" t="s">
        <v>5628</v>
      </c>
      <c r="E1153" t="s">
        <v>88</v>
      </c>
      <c r="F1153" t="s">
        <v>114</v>
      </c>
      <c r="G1153" t="s">
        <v>3069</v>
      </c>
      <c r="H1153">
        <v>4</v>
      </c>
      <c r="I1153" t="s">
        <v>27</v>
      </c>
      <c r="J1153" s="86">
        <v>44565</v>
      </c>
      <c r="K1153">
        <v>309.54000000000002</v>
      </c>
      <c r="L1153">
        <v>5</v>
      </c>
      <c r="M1153">
        <v>17</v>
      </c>
      <c r="N1153" t="s">
        <v>56</v>
      </c>
      <c r="O1153" t="s">
        <v>77</v>
      </c>
      <c r="P1153" t="s">
        <v>54</v>
      </c>
      <c r="Q1153" t="s">
        <v>69</v>
      </c>
    </row>
    <row r="1154" spans="1:17" x14ac:dyDescent="0.3">
      <c r="A1154" t="s">
        <v>5630</v>
      </c>
      <c r="B1154" t="s">
        <v>5631</v>
      </c>
      <c r="C1154">
        <v>21</v>
      </c>
      <c r="D1154" t="s">
        <v>5632</v>
      </c>
      <c r="E1154" t="s">
        <v>51</v>
      </c>
      <c r="F1154" t="s">
        <v>132</v>
      </c>
      <c r="G1154" t="s">
        <v>3972</v>
      </c>
      <c r="H1154">
        <v>3</v>
      </c>
      <c r="I1154" t="s">
        <v>27</v>
      </c>
      <c r="J1154" t="s">
        <v>5272</v>
      </c>
      <c r="K1154">
        <v>221.26</v>
      </c>
      <c r="L1154">
        <v>9</v>
      </c>
      <c r="M1154">
        <v>2</v>
      </c>
      <c r="N1154" t="s">
        <v>54</v>
      </c>
      <c r="O1154" t="s">
        <v>425</v>
      </c>
      <c r="P1154" t="s">
        <v>30</v>
      </c>
      <c r="Q1154" t="s">
        <v>69</v>
      </c>
    </row>
    <row r="1155" spans="1:17" x14ac:dyDescent="0.3">
      <c r="A1155" t="s">
        <v>5634</v>
      </c>
      <c r="B1155" t="s">
        <v>5635</v>
      </c>
      <c r="C1155">
        <v>20</v>
      </c>
      <c r="D1155" t="s">
        <v>5636</v>
      </c>
      <c r="E1155" t="s">
        <v>40</v>
      </c>
      <c r="F1155" t="s">
        <v>2593</v>
      </c>
      <c r="G1155" s="86">
        <v>45871</v>
      </c>
      <c r="H1155">
        <v>0</v>
      </c>
      <c r="I1155" t="s">
        <v>64</v>
      </c>
      <c r="J1155" t="s">
        <v>2135</v>
      </c>
      <c r="K1155">
        <v>235.28</v>
      </c>
      <c r="L1155">
        <v>8</v>
      </c>
      <c r="M1155">
        <v>27</v>
      </c>
      <c r="N1155" t="s">
        <v>30</v>
      </c>
      <c r="O1155" t="s">
        <v>67</v>
      </c>
      <c r="P1155" t="s">
        <v>68</v>
      </c>
      <c r="Q1155" t="s">
        <v>69</v>
      </c>
    </row>
    <row r="1156" spans="1:17" x14ac:dyDescent="0.3">
      <c r="A1156" t="s">
        <v>5638</v>
      </c>
      <c r="B1156" t="s">
        <v>5639</v>
      </c>
      <c r="C1156">
        <v>48</v>
      </c>
      <c r="D1156" t="s">
        <v>5640</v>
      </c>
      <c r="E1156" t="s">
        <v>51</v>
      </c>
      <c r="F1156" t="s">
        <v>2276</v>
      </c>
      <c r="G1156" s="86">
        <v>45994</v>
      </c>
      <c r="H1156">
        <v>4</v>
      </c>
      <c r="I1156" t="s">
        <v>27</v>
      </c>
      <c r="J1156" t="s">
        <v>712</v>
      </c>
      <c r="K1156">
        <v>1010.74</v>
      </c>
      <c r="L1156">
        <v>1</v>
      </c>
      <c r="M1156">
        <v>39</v>
      </c>
      <c r="N1156" t="s">
        <v>68</v>
      </c>
      <c r="O1156" t="s">
        <v>175</v>
      </c>
      <c r="P1156" t="s">
        <v>56</v>
      </c>
      <c r="Q1156" t="s">
        <v>32</v>
      </c>
    </row>
    <row r="1157" spans="1:17" x14ac:dyDescent="0.3">
      <c r="A1157" t="s">
        <v>5642</v>
      </c>
      <c r="B1157" t="s">
        <v>5643</v>
      </c>
      <c r="C1157">
        <v>61</v>
      </c>
      <c r="D1157" t="s">
        <v>5644</v>
      </c>
      <c r="E1157" t="s">
        <v>88</v>
      </c>
      <c r="F1157" t="s">
        <v>416</v>
      </c>
      <c r="G1157" t="s">
        <v>5645</v>
      </c>
      <c r="H1157">
        <v>2</v>
      </c>
      <c r="I1157" t="s">
        <v>27</v>
      </c>
      <c r="J1157" t="s">
        <v>616</v>
      </c>
      <c r="K1157">
        <v>38.46</v>
      </c>
      <c r="L1157">
        <v>1</v>
      </c>
      <c r="M1157">
        <v>32</v>
      </c>
      <c r="N1157" t="s">
        <v>30</v>
      </c>
      <c r="O1157" t="s">
        <v>624</v>
      </c>
      <c r="P1157" t="s">
        <v>30</v>
      </c>
      <c r="Q1157" t="s">
        <v>322</v>
      </c>
    </row>
    <row r="1158" spans="1:17" x14ac:dyDescent="0.3">
      <c r="A1158" t="s">
        <v>5647</v>
      </c>
      <c r="B1158" t="s">
        <v>5648</v>
      </c>
      <c r="C1158">
        <v>53</v>
      </c>
      <c r="D1158" t="s">
        <v>5649</v>
      </c>
      <c r="E1158" t="s">
        <v>95</v>
      </c>
      <c r="F1158" t="s">
        <v>440</v>
      </c>
      <c r="G1158" t="s">
        <v>1553</v>
      </c>
      <c r="H1158">
        <v>5</v>
      </c>
      <c r="I1158" t="s">
        <v>64</v>
      </c>
      <c r="J1158" t="s">
        <v>1600</v>
      </c>
      <c r="K1158">
        <v>38.54</v>
      </c>
      <c r="L1158">
        <v>6</v>
      </c>
      <c r="M1158">
        <v>6</v>
      </c>
      <c r="N1158" t="s">
        <v>30</v>
      </c>
      <c r="O1158" t="s">
        <v>194</v>
      </c>
      <c r="P1158" t="s">
        <v>56</v>
      </c>
      <c r="Q1158" t="s">
        <v>69</v>
      </c>
    </row>
    <row r="1159" spans="1:17" x14ac:dyDescent="0.3">
      <c r="A1159" t="s">
        <v>5651</v>
      </c>
      <c r="B1159" t="s">
        <v>5652</v>
      </c>
      <c r="C1159">
        <v>49</v>
      </c>
      <c r="D1159" t="s">
        <v>5653</v>
      </c>
      <c r="E1159" t="s">
        <v>40</v>
      </c>
      <c r="F1159" t="s">
        <v>4416</v>
      </c>
      <c r="G1159" t="s">
        <v>1221</v>
      </c>
      <c r="H1159">
        <v>0</v>
      </c>
      <c r="I1159" t="s">
        <v>64</v>
      </c>
      <c r="J1159" t="s">
        <v>3238</v>
      </c>
      <c r="K1159">
        <v>373.1</v>
      </c>
      <c r="L1159">
        <v>4</v>
      </c>
      <c r="M1159">
        <v>45</v>
      </c>
      <c r="N1159" t="s">
        <v>68</v>
      </c>
      <c r="O1159" t="s">
        <v>245</v>
      </c>
      <c r="P1159" t="s">
        <v>54</v>
      </c>
      <c r="Q1159" t="s">
        <v>32</v>
      </c>
    </row>
    <row r="1160" spans="1:17" x14ac:dyDescent="0.3">
      <c r="A1160" t="s">
        <v>5655</v>
      </c>
      <c r="B1160" t="s">
        <v>5656</v>
      </c>
      <c r="C1160">
        <v>39</v>
      </c>
      <c r="D1160" t="s">
        <v>5657</v>
      </c>
      <c r="E1160" t="s">
        <v>40</v>
      </c>
      <c r="F1160" s="86">
        <v>45268</v>
      </c>
      <c r="G1160" t="s">
        <v>480</v>
      </c>
      <c r="H1160">
        <v>3</v>
      </c>
      <c r="I1160" t="s">
        <v>27</v>
      </c>
      <c r="J1160" t="s">
        <v>3495</v>
      </c>
      <c r="K1160">
        <v>150.26</v>
      </c>
      <c r="L1160">
        <v>7</v>
      </c>
      <c r="M1160">
        <v>18</v>
      </c>
      <c r="N1160" t="s">
        <v>30</v>
      </c>
      <c r="O1160" t="s">
        <v>91</v>
      </c>
      <c r="P1160" t="s">
        <v>54</v>
      </c>
      <c r="Q1160" t="s">
        <v>69</v>
      </c>
    </row>
    <row r="1161" spans="1:17" x14ac:dyDescent="0.3">
      <c r="A1161" t="s">
        <v>5659</v>
      </c>
      <c r="B1161" t="s">
        <v>5660</v>
      </c>
      <c r="C1161">
        <v>37</v>
      </c>
      <c r="D1161" t="s">
        <v>5661</v>
      </c>
      <c r="E1161" t="s">
        <v>51</v>
      </c>
      <c r="F1161" s="86">
        <v>45146</v>
      </c>
      <c r="G1161" t="s">
        <v>2758</v>
      </c>
      <c r="H1161">
        <v>3</v>
      </c>
      <c r="I1161" t="s">
        <v>27</v>
      </c>
      <c r="J1161" s="86">
        <v>45903</v>
      </c>
      <c r="K1161">
        <v>183.51</v>
      </c>
      <c r="L1161">
        <v>8</v>
      </c>
      <c r="M1161">
        <v>25</v>
      </c>
      <c r="N1161" t="s">
        <v>54</v>
      </c>
      <c r="O1161" t="s">
        <v>109</v>
      </c>
      <c r="P1161" t="s">
        <v>68</v>
      </c>
      <c r="Q1161" t="s">
        <v>69</v>
      </c>
    </row>
    <row r="1162" spans="1:17" x14ac:dyDescent="0.3">
      <c r="A1162" t="s">
        <v>5663</v>
      </c>
      <c r="B1162" t="s">
        <v>5664</v>
      </c>
      <c r="C1162">
        <v>42</v>
      </c>
      <c r="D1162" t="s">
        <v>5665</v>
      </c>
      <c r="E1162" t="s">
        <v>95</v>
      </c>
      <c r="F1162" t="s">
        <v>910</v>
      </c>
      <c r="G1162" t="s">
        <v>1369</v>
      </c>
      <c r="H1162">
        <v>3</v>
      </c>
      <c r="I1162" t="s">
        <v>27</v>
      </c>
      <c r="J1162" s="86">
        <v>45393</v>
      </c>
      <c r="K1162">
        <v>348.89</v>
      </c>
      <c r="L1162">
        <v>3</v>
      </c>
      <c r="M1162">
        <v>49</v>
      </c>
      <c r="N1162" t="s">
        <v>54</v>
      </c>
      <c r="O1162" t="s">
        <v>418</v>
      </c>
      <c r="P1162" t="s">
        <v>56</v>
      </c>
      <c r="Q1162" t="s">
        <v>32</v>
      </c>
    </row>
    <row r="1163" spans="1:17" x14ac:dyDescent="0.3">
      <c r="A1163" t="s">
        <v>5667</v>
      </c>
      <c r="B1163" t="s">
        <v>5668</v>
      </c>
      <c r="C1163">
        <v>27</v>
      </c>
      <c r="D1163" t="s">
        <v>5669</v>
      </c>
      <c r="E1163" t="s">
        <v>95</v>
      </c>
      <c r="F1163" t="s">
        <v>5670</v>
      </c>
      <c r="G1163" s="86">
        <v>44626</v>
      </c>
      <c r="H1163">
        <v>4</v>
      </c>
      <c r="I1163" t="s">
        <v>64</v>
      </c>
      <c r="J1163" s="86">
        <v>45569</v>
      </c>
      <c r="K1163">
        <v>113.81</v>
      </c>
      <c r="L1163">
        <v>9</v>
      </c>
      <c r="M1163">
        <v>5</v>
      </c>
      <c r="N1163" t="s">
        <v>56</v>
      </c>
      <c r="O1163" t="s">
        <v>31</v>
      </c>
      <c r="P1163" t="s">
        <v>30</v>
      </c>
      <c r="Q1163" t="s">
        <v>32</v>
      </c>
    </row>
    <row r="1164" spans="1:17" x14ac:dyDescent="0.3">
      <c r="A1164" t="s">
        <v>5672</v>
      </c>
      <c r="B1164" t="s">
        <v>5673</v>
      </c>
      <c r="C1164">
        <v>25</v>
      </c>
      <c r="D1164" t="s">
        <v>5674</v>
      </c>
      <c r="E1164" t="s">
        <v>88</v>
      </c>
      <c r="F1164" t="s">
        <v>139</v>
      </c>
      <c r="G1164" t="s">
        <v>4703</v>
      </c>
      <c r="H1164">
        <v>1</v>
      </c>
      <c r="I1164" t="s">
        <v>27</v>
      </c>
      <c r="J1164" t="s">
        <v>352</v>
      </c>
      <c r="K1164">
        <v>25.64</v>
      </c>
      <c r="L1164">
        <v>6</v>
      </c>
      <c r="M1164">
        <v>32</v>
      </c>
      <c r="N1164" t="s">
        <v>54</v>
      </c>
      <c r="O1164" t="s">
        <v>175</v>
      </c>
      <c r="P1164" t="s">
        <v>56</v>
      </c>
      <c r="Q1164" t="s">
        <v>69</v>
      </c>
    </row>
    <row r="1165" spans="1:17" x14ac:dyDescent="0.3">
      <c r="A1165" t="s">
        <v>5676</v>
      </c>
      <c r="B1165" t="s">
        <v>5677</v>
      </c>
      <c r="C1165">
        <v>20</v>
      </c>
      <c r="D1165" t="s">
        <v>5678</v>
      </c>
      <c r="E1165" t="s">
        <v>40</v>
      </c>
      <c r="F1165" s="86">
        <v>44444</v>
      </c>
      <c r="G1165" t="s">
        <v>2236</v>
      </c>
      <c r="H1165">
        <v>3</v>
      </c>
      <c r="I1165" t="s">
        <v>27</v>
      </c>
      <c r="J1165" t="s">
        <v>2403</v>
      </c>
      <c r="K1165">
        <v>66.08</v>
      </c>
      <c r="L1165">
        <v>4</v>
      </c>
      <c r="M1165">
        <v>29</v>
      </c>
      <c r="N1165" t="s">
        <v>68</v>
      </c>
      <c r="O1165" t="s">
        <v>142</v>
      </c>
      <c r="P1165" t="s">
        <v>68</v>
      </c>
      <c r="Q1165" t="s">
        <v>69</v>
      </c>
    </row>
    <row r="1166" spans="1:17" x14ac:dyDescent="0.3">
      <c r="A1166" t="s">
        <v>5680</v>
      </c>
      <c r="B1166" t="s">
        <v>5681</v>
      </c>
      <c r="C1166">
        <v>20</v>
      </c>
      <c r="D1166" t="s">
        <v>5682</v>
      </c>
      <c r="E1166" t="s">
        <v>88</v>
      </c>
      <c r="F1166" s="86">
        <v>44474</v>
      </c>
      <c r="G1166" t="s">
        <v>729</v>
      </c>
      <c r="H1166">
        <v>2</v>
      </c>
      <c r="I1166" t="s">
        <v>64</v>
      </c>
      <c r="J1166" t="s">
        <v>4426</v>
      </c>
      <c r="K1166">
        <v>177.6</v>
      </c>
      <c r="L1166">
        <v>6</v>
      </c>
      <c r="M1166">
        <v>7</v>
      </c>
      <c r="N1166" t="s">
        <v>54</v>
      </c>
      <c r="O1166" t="s">
        <v>293</v>
      </c>
      <c r="P1166" t="s">
        <v>45</v>
      </c>
      <c r="Q1166" t="s">
        <v>69</v>
      </c>
    </row>
    <row r="1167" spans="1:17" x14ac:dyDescent="0.3">
      <c r="A1167" t="s">
        <v>5684</v>
      </c>
      <c r="B1167" t="s">
        <v>5685</v>
      </c>
      <c r="C1167">
        <v>55</v>
      </c>
      <c r="D1167" t="s">
        <v>5686</v>
      </c>
      <c r="E1167" t="s">
        <v>95</v>
      </c>
      <c r="F1167" s="86">
        <v>43870</v>
      </c>
      <c r="G1167" t="s">
        <v>1594</v>
      </c>
      <c r="H1167">
        <v>5</v>
      </c>
      <c r="I1167" t="s">
        <v>27</v>
      </c>
      <c r="J1167" t="s">
        <v>5687</v>
      </c>
      <c r="K1167">
        <v>408.87</v>
      </c>
      <c r="L1167">
        <v>4</v>
      </c>
      <c r="M1167">
        <v>31</v>
      </c>
      <c r="N1167" t="s">
        <v>45</v>
      </c>
      <c r="O1167" t="s">
        <v>610</v>
      </c>
      <c r="P1167" t="s">
        <v>68</v>
      </c>
      <c r="Q1167" t="s">
        <v>69</v>
      </c>
    </row>
    <row r="1168" spans="1:17" x14ac:dyDescent="0.3">
      <c r="A1168" t="s">
        <v>5689</v>
      </c>
      <c r="B1168" t="s">
        <v>5690</v>
      </c>
      <c r="C1168">
        <v>20</v>
      </c>
      <c r="D1168" t="s">
        <v>5691</v>
      </c>
      <c r="E1168" t="s">
        <v>25</v>
      </c>
      <c r="F1168" s="86">
        <v>44349</v>
      </c>
      <c r="G1168" t="s">
        <v>290</v>
      </c>
      <c r="H1168">
        <v>4</v>
      </c>
      <c r="I1168" t="s">
        <v>64</v>
      </c>
      <c r="J1168" t="s">
        <v>5692</v>
      </c>
      <c r="K1168">
        <v>86.47</v>
      </c>
      <c r="L1168">
        <v>8</v>
      </c>
      <c r="M1168">
        <v>13</v>
      </c>
      <c r="N1168" t="s">
        <v>56</v>
      </c>
      <c r="O1168" t="s">
        <v>169</v>
      </c>
      <c r="P1168" t="s">
        <v>30</v>
      </c>
      <c r="Q1168" t="s">
        <v>69</v>
      </c>
    </row>
    <row r="1169" spans="1:17" x14ac:dyDescent="0.3">
      <c r="A1169" t="s">
        <v>5694</v>
      </c>
      <c r="B1169" t="s">
        <v>5695</v>
      </c>
      <c r="C1169">
        <v>60</v>
      </c>
      <c r="D1169" t="s">
        <v>5696</v>
      </c>
      <c r="E1169" t="s">
        <v>95</v>
      </c>
      <c r="F1169" s="86">
        <v>44816</v>
      </c>
      <c r="G1169" t="s">
        <v>5697</v>
      </c>
      <c r="H1169">
        <v>0</v>
      </c>
      <c r="I1169" t="s">
        <v>27</v>
      </c>
      <c r="J1169" s="86">
        <v>45326</v>
      </c>
      <c r="K1169">
        <v>615.91999999999996</v>
      </c>
      <c r="L1169">
        <v>2</v>
      </c>
      <c r="M1169">
        <v>27</v>
      </c>
      <c r="N1169" t="s">
        <v>45</v>
      </c>
      <c r="O1169" t="s">
        <v>624</v>
      </c>
      <c r="P1169" t="s">
        <v>30</v>
      </c>
      <c r="Q1169" t="s">
        <v>32</v>
      </c>
    </row>
    <row r="1170" spans="1:17" x14ac:dyDescent="0.3">
      <c r="A1170" t="s">
        <v>5699</v>
      </c>
      <c r="B1170" t="s">
        <v>5700</v>
      </c>
      <c r="C1170">
        <v>46</v>
      </c>
      <c r="D1170" t="s">
        <v>5701</v>
      </c>
      <c r="E1170" t="s">
        <v>95</v>
      </c>
      <c r="F1170" s="86">
        <v>43870</v>
      </c>
      <c r="G1170" s="86">
        <v>44896</v>
      </c>
      <c r="H1170">
        <v>3</v>
      </c>
      <c r="I1170" t="s">
        <v>27</v>
      </c>
      <c r="J1170" t="s">
        <v>762</v>
      </c>
      <c r="K1170">
        <v>662.46</v>
      </c>
      <c r="L1170">
        <v>2</v>
      </c>
      <c r="M1170">
        <v>8</v>
      </c>
      <c r="N1170" t="s">
        <v>54</v>
      </c>
      <c r="O1170" t="s">
        <v>67</v>
      </c>
      <c r="P1170" t="s">
        <v>68</v>
      </c>
      <c r="Q1170" t="s">
        <v>32</v>
      </c>
    </row>
    <row r="1171" spans="1:17" x14ac:dyDescent="0.3">
      <c r="A1171" t="s">
        <v>5703</v>
      </c>
      <c r="B1171" t="s">
        <v>5704</v>
      </c>
      <c r="C1171">
        <v>63</v>
      </c>
      <c r="D1171" t="s">
        <v>5705</v>
      </c>
      <c r="E1171" t="s">
        <v>25</v>
      </c>
      <c r="F1171" t="s">
        <v>1080</v>
      </c>
      <c r="G1171" s="86">
        <v>45265</v>
      </c>
      <c r="H1171">
        <v>3</v>
      </c>
      <c r="I1171" t="s">
        <v>27</v>
      </c>
      <c r="J1171" t="s">
        <v>5706</v>
      </c>
      <c r="K1171">
        <v>490.33</v>
      </c>
      <c r="L1171">
        <v>3</v>
      </c>
      <c r="M1171">
        <v>15</v>
      </c>
      <c r="N1171" t="s">
        <v>68</v>
      </c>
      <c r="O1171" t="s">
        <v>293</v>
      </c>
      <c r="P1171" t="s">
        <v>45</v>
      </c>
      <c r="Q1171" t="s">
        <v>32</v>
      </c>
    </row>
    <row r="1172" spans="1:17" x14ac:dyDescent="0.3">
      <c r="A1172" t="s">
        <v>5708</v>
      </c>
      <c r="B1172" t="s">
        <v>5709</v>
      </c>
      <c r="C1172">
        <v>67</v>
      </c>
      <c r="D1172" t="s">
        <v>5710</v>
      </c>
      <c r="E1172" t="s">
        <v>95</v>
      </c>
      <c r="F1172" t="s">
        <v>2938</v>
      </c>
      <c r="G1172" s="86">
        <v>45509</v>
      </c>
      <c r="H1172">
        <v>3</v>
      </c>
      <c r="I1172" t="s">
        <v>64</v>
      </c>
      <c r="J1172" s="86">
        <v>45718</v>
      </c>
      <c r="K1172">
        <v>379.99</v>
      </c>
      <c r="L1172">
        <v>5</v>
      </c>
      <c r="M1172">
        <v>4</v>
      </c>
      <c r="N1172" t="s">
        <v>54</v>
      </c>
      <c r="O1172" t="s">
        <v>293</v>
      </c>
      <c r="P1172" t="s">
        <v>45</v>
      </c>
      <c r="Q1172" t="s">
        <v>32</v>
      </c>
    </row>
    <row r="1173" spans="1:17" x14ac:dyDescent="0.3">
      <c r="A1173" t="s">
        <v>5712</v>
      </c>
      <c r="B1173" t="s">
        <v>5713</v>
      </c>
      <c r="C1173">
        <v>60</v>
      </c>
      <c r="D1173" t="s">
        <v>5714</v>
      </c>
      <c r="E1173" t="s">
        <v>40</v>
      </c>
      <c r="F1173" t="s">
        <v>2680</v>
      </c>
      <c r="G1173" s="86">
        <v>45963</v>
      </c>
      <c r="H1173">
        <v>3</v>
      </c>
      <c r="I1173" t="s">
        <v>52</v>
      </c>
      <c r="J1173" t="s">
        <v>1924</v>
      </c>
      <c r="K1173">
        <v>260.33999999999997</v>
      </c>
      <c r="L1173">
        <v>6</v>
      </c>
      <c r="M1173">
        <v>45</v>
      </c>
      <c r="N1173" t="s">
        <v>45</v>
      </c>
      <c r="O1173" t="s">
        <v>31</v>
      </c>
      <c r="P1173" t="s">
        <v>30</v>
      </c>
      <c r="Q1173" t="s">
        <v>69</v>
      </c>
    </row>
    <row r="1174" spans="1:17" x14ac:dyDescent="0.3">
      <c r="A1174" t="s">
        <v>5716</v>
      </c>
      <c r="B1174" t="s">
        <v>5717</v>
      </c>
      <c r="C1174">
        <v>64</v>
      </c>
      <c r="D1174" t="s">
        <v>5718</v>
      </c>
      <c r="E1174" t="s">
        <v>95</v>
      </c>
      <c r="F1174" s="86">
        <v>43900</v>
      </c>
      <c r="G1174" t="s">
        <v>968</v>
      </c>
      <c r="H1174">
        <v>2</v>
      </c>
      <c r="I1174" t="s">
        <v>27</v>
      </c>
      <c r="J1174" t="s">
        <v>5101</v>
      </c>
      <c r="K1174">
        <v>223.82</v>
      </c>
      <c r="L1174">
        <v>5</v>
      </c>
      <c r="M1174">
        <v>35</v>
      </c>
      <c r="N1174" t="s">
        <v>56</v>
      </c>
      <c r="O1174" t="s">
        <v>238</v>
      </c>
      <c r="P1174" t="s">
        <v>45</v>
      </c>
      <c r="Q1174" t="s">
        <v>69</v>
      </c>
    </row>
    <row r="1175" spans="1:17" x14ac:dyDescent="0.3">
      <c r="A1175" t="s">
        <v>5720</v>
      </c>
      <c r="B1175" t="s">
        <v>5721</v>
      </c>
      <c r="C1175">
        <v>69</v>
      </c>
      <c r="D1175" t="s">
        <v>5722</v>
      </c>
      <c r="E1175" t="s">
        <v>51</v>
      </c>
      <c r="F1175" s="86">
        <v>43839</v>
      </c>
      <c r="G1175" t="s">
        <v>5023</v>
      </c>
      <c r="H1175">
        <v>5</v>
      </c>
      <c r="I1175" t="s">
        <v>27</v>
      </c>
      <c r="J1175" t="s">
        <v>5723</v>
      </c>
      <c r="K1175">
        <v>268.72000000000003</v>
      </c>
      <c r="L1175">
        <v>7</v>
      </c>
      <c r="M1175">
        <v>21</v>
      </c>
      <c r="N1175" t="s">
        <v>56</v>
      </c>
      <c r="O1175" t="s">
        <v>597</v>
      </c>
      <c r="P1175" t="s">
        <v>45</v>
      </c>
      <c r="Q1175" t="s">
        <v>32</v>
      </c>
    </row>
    <row r="1176" spans="1:17" x14ac:dyDescent="0.3">
      <c r="A1176" t="s">
        <v>5725</v>
      </c>
      <c r="B1176" t="s">
        <v>5726</v>
      </c>
      <c r="C1176">
        <v>26</v>
      </c>
      <c r="D1176" t="s">
        <v>5727</v>
      </c>
      <c r="E1176" t="s">
        <v>51</v>
      </c>
      <c r="F1176" t="s">
        <v>502</v>
      </c>
      <c r="G1176" t="s">
        <v>4888</v>
      </c>
      <c r="H1176">
        <v>5</v>
      </c>
      <c r="I1176" t="s">
        <v>27</v>
      </c>
      <c r="J1176" s="86">
        <v>45139</v>
      </c>
      <c r="K1176">
        <v>142.76</v>
      </c>
      <c r="L1176">
        <v>8</v>
      </c>
      <c r="M1176">
        <v>31</v>
      </c>
      <c r="N1176" t="s">
        <v>56</v>
      </c>
      <c r="O1176" t="s">
        <v>425</v>
      </c>
      <c r="P1176" t="s">
        <v>30</v>
      </c>
      <c r="Q1176" t="s">
        <v>69</v>
      </c>
    </row>
    <row r="1177" spans="1:17" x14ac:dyDescent="0.3">
      <c r="A1177" t="s">
        <v>5729</v>
      </c>
      <c r="B1177" t="s">
        <v>5730</v>
      </c>
      <c r="C1177">
        <v>19</v>
      </c>
      <c r="D1177" t="s">
        <v>5731</v>
      </c>
      <c r="E1177" t="s">
        <v>40</v>
      </c>
      <c r="F1177" t="s">
        <v>166</v>
      </c>
      <c r="G1177" s="86">
        <v>44569</v>
      </c>
      <c r="H1177">
        <v>0</v>
      </c>
      <c r="I1177" t="s">
        <v>27</v>
      </c>
      <c r="J1177" s="86">
        <v>45780</v>
      </c>
      <c r="K1177">
        <v>118.26</v>
      </c>
      <c r="L1177">
        <v>9</v>
      </c>
      <c r="M1177">
        <v>35</v>
      </c>
      <c r="N1177" t="s">
        <v>45</v>
      </c>
      <c r="O1177" t="s">
        <v>821</v>
      </c>
      <c r="P1177" t="s">
        <v>68</v>
      </c>
      <c r="Q1177" t="s">
        <v>69</v>
      </c>
    </row>
    <row r="1178" spans="1:17" x14ac:dyDescent="0.3">
      <c r="A1178" t="s">
        <v>5733</v>
      </c>
      <c r="B1178" t="s">
        <v>5734</v>
      </c>
      <c r="C1178">
        <v>54</v>
      </c>
      <c r="D1178" t="s">
        <v>5735</v>
      </c>
      <c r="E1178" t="s">
        <v>61</v>
      </c>
      <c r="F1178" s="86">
        <v>44874</v>
      </c>
      <c r="G1178" s="86">
        <v>44958</v>
      </c>
      <c r="H1178">
        <v>1</v>
      </c>
      <c r="I1178" t="s">
        <v>52</v>
      </c>
      <c r="J1178" t="s">
        <v>1112</v>
      </c>
      <c r="K1178">
        <v>166.92</v>
      </c>
      <c r="L1178">
        <v>8</v>
      </c>
      <c r="M1178">
        <v>40</v>
      </c>
      <c r="N1178" t="s">
        <v>30</v>
      </c>
      <c r="O1178" t="s">
        <v>418</v>
      </c>
      <c r="P1178" t="s">
        <v>56</v>
      </c>
      <c r="Q1178" t="s">
        <v>69</v>
      </c>
    </row>
    <row r="1179" spans="1:17" x14ac:dyDescent="0.3">
      <c r="A1179" t="s">
        <v>5737</v>
      </c>
      <c r="B1179" t="s">
        <v>5738</v>
      </c>
      <c r="C1179">
        <v>61</v>
      </c>
      <c r="D1179" t="s">
        <v>5739</v>
      </c>
      <c r="E1179" t="s">
        <v>40</v>
      </c>
      <c r="F1179" t="s">
        <v>1036</v>
      </c>
      <c r="G1179" s="86">
        <v>45994</v>
      </c>
      <c r="H1179">
        <v>5</v>
      </c>
      <c r="I1179" t="s">
        <v>27</v>
      </c>
      <c r="J1179" t="s">
        <v>393</v>
      </c>
      <c r="K1179">
        <v>1356.12</v>
      </c>
      <c r="L1179">
        <v>1</v>
      </c>
      <c r="M1179">
        <v>49</v>
      </c>
      <c r="N1179" t="s">
        <v>56</v>
      </c>
      <c r="O1179" t="s">
        <v>99</v>
      </c>
      <c r="P1179" t="s">
        <v>56</v>
      </c>
      <c r="Q1179" t="s">
        <v>69</v>
      </c>
    </row>
    <row r="1180" spans="1:17" x14ac:dyDescent="0.3">
      <c r="A1180" t="s">
        <v>5741</v>
      </c>
      <c r="B1180" t="s">
        <v>5742</v>
      </c>
      <c r="C1180">
        <v>67</v>
      </c>
      <c r="D1180" t="s">
        <v>5743</v>
      </c>
      <c r="E1180" t="s">
        <v>61</v>
      </c>
      <c r="F1180" t="s">
        <v>2152</v>
      </c>
      <c r="G1180" t="s">
        <v>901</v>
      </c>
      <c r="H1180">
        <v>1</v>
      </c>
      <c r="I1180" t="s">
        <v>52</v>
      </c>
      <c r="J1180" s="86">
        <v>45241</v>
      </c>
      <c r="K1180">
        <v>328.73</v>
      </c>
      <c r="L1180">
        <v>6</v>
      </c>
      <c r="M1180">
        <v>46</v>
      </c>
      <c r="N1180" t="s">
        <v>56</v>
      </c>
      <c r="O1180" t="s">
        <v>837</v>
      </c>
      <c r="P1180" t="s">
        <v>56</v>
      </c>
      <c r="Q1180" t="s">
        <v>69</v>
      </c>
    </row>
    <row r="1181" spans="1:17" x14ac:dyDescent="0.3">
      <c r="A1181" t="s">
        <v>5745</v>
      </c>
      <c r="B1181" t="s">
        <v>5746</v>
      </c>
      <c r="C1181">
        <v>46</v>
      </c>
      <c r="D1181" t="s">
        <v>5747</v>
      </c>
      <c r="E1181" t="s">
        <v>25</v>
      </c>
      <c r="F1181" t="s">
        <v>1563</v>
      </c>
      <c r="G1181" t="s">
        <v>5342</v>
      </c>
      <c r="H1181">
        <v>1</v>
      </c>
      <c r="I1181" t="s">
        <v>27</v>
      </c>
      <c r="J1181" t="s">
        <v>664</v>
      </c>
      <c r="K1181">
        <v>38.729999999999997</v>
      </c>
      <c r="L1181">
        <v>9</v>
      </c>
      <c r="M1181">
        <v>16</v>
      </c>
      <c r="N1181" t="s">
        <v>68</v>
      </c>
      <c r="O1181" t="s">
        <v>536</v>
      </c>
      <c r="P1181" t="s">
        <v>68</v>
      </c>
      <c r="Q1181" t="s">
        <v>69</v>
      </c>
    </row>
    <row r="1182" spans="1:17" x14ac:dyDescent="0.3">
      <c r="A1182" t="s">
        <v>5749</v>
      </c>
      <c r="B1182" t="s">
        <v>5750</v>
      </c>
      <c r="C1182">
        <v>68</v>
      </c>
      <c r="D1182" t="s">
        <v>5751</v>
      </c>
      <c r="E1182" t="s">
        <v>88</v>
      </c>
      <c r="F1182" t="s">
        <v>5752</v>
      </c>
      <c r="G1182" t="s">
        <v>446</v>
      </c>
      <c r="H1182">
        <v>3</v>
      </c>
      <c r="I1182" t="s">
        <v>64</v>
      </c>
      <c r="J1182" t="s">
        <v>5753</v>
      </c>
      <c r="K1182">
        <v>201.67</v>
      </c>
      <c r="L1182">
        <v>8</v>
      </c>
      <c r="M1182">
        <v>17</v>
      </c>
      <c r="N1182" t="s">
        <v>54</v>
      </c>
      <c r="O1182" t="s">
        <v>223</v>
      </c>
      <c r="P1182" t="s">
        <v>56</v>
      </c>
      <c r="Q1182" t="s">
        <v>69</v>
      </c>
    </row>
    <row r="1183" spans="1:17" x14ac:dyDescent="0.3">
      <c r="A1183" t="s">
        <v>5755</v>
      </c>
      <c r="B1183" t="s">
        <v>5756</v>
      </c>
      <c r="C1183">
        <v>30</v>
      </c>
      <c r="D1183" t="s">
        <v>5757</v>
      </c>
      <c r="E1183" t="s">
        <v>51</v>
      </c>
      <c r="F1183" t="s">
        <v>3626</v>
      </c>
      <c r="G1183" t="s">
        <v>566</v>
      </c>
      <c r="H1183">
        <v>3</v>
      </c>
      <c r="I1183" t="s">
        <v>52</v>
      </c>
      <c r="J1183" s="86">
        <v>45047</v>
      </c>
      <c r="K1183">
        <v>8.3000000000000007</v>
      </c>
      <c r="L1183">
        <v>4</v>
      </c>
      <c r="M1183">
        <v>6</v>
      </c>
      <c r="N1183" t="s">
        <v>30</v>
      </c>
      <c r="O1183" t="s">
        <v>31</v>
      </c>
      <c r="P1183" t="s">
        <v>30</v>
      </c>
      <c r="Q1183" t="s">
        <v>69</v>
      </c>
    </row>
    <row r="1184" spans="1:17" x14ac:dyDescent="0.3">
      <c r="A1184" t="s">
        <v>5759</v>
      </c>
      <c r="B1184" t="s">
        <v>5760</v>
      </c>
      <c r="C1184">
        <v>28</v>
      </c>
      <c r="D1184" t="s">
        <v>5761</v>
      </c>
      <c r="E1184" t="s">
        <v>88</v>
      </c>
      <c r="F1184" t="s">
        <v>5272</v>
      </c>
      <c r="G1184" t="s">
        <v>5045</v>
      </c>
      <c r="H1184">
        <v>3</v>
      </c>
      <c r="I1184" t="s">
        <v>27</v>
      </c>
      <c r="J1184" t="s">
        <v>492</v>
      </c>
      <c r="K1184">
        <v>130.65</v>
      </c>
      <c r="L1184">
        <v>9</v>
      </c>
      <c r="M1184">
        <v>33</v>
      </c>
      <c r="N1184" t="s">
        <v>54</v>
      </c>
      <c r="O1184" t="s">
        <v>31</v>
      </c>
      <c r="P1184" t="s">
        <v>30</v>
      </c>
      <c r="Q1184" t="s">
        <v>32</v>
      </c>
    </row>
    <row r="1185" spans="1:17" x14ac:dyDescent="0.3">
      <c r="A1185" t="s">
        <v>5763</v>
      </c>
      <c r="B1185" t="s">
        <v>5764</v>
      </c>
      <c r="C1185">
        <v>59</v>
      </c>
      <c r="D1185" t="s">
        <v>5765</v>
      </c>
      <c r="E1185" t="s">
        <v>95</v>
      </c>
      <c r="F1185" t="s">
        <v>621</v>
      </c>
      <c r="G1185" t="s">
        <v>5766</v>
      </c>
      <c r="H1185">
        <v>2</v>
      </c>
      <c r="I1185" t="s">
        <v>27</v>
      </c>
      <c r="J1185" s="86">
        <v>44630</v>
      </c>
      <c r="K1185">
        <v>299.8</v>
      </c>
      <c r="L1185">
        <v>3</v>
      </c>
      <c r="M1185">
        <v>18</v>
      </c>
      <c r="N1185" t="s">
        <v>56</v>
      </c>
      <c r="O1185" t="s">
        <v>231</v>
      </c>
      <c r="P1185" t="s">
        <v>30</v>
      </c>
      <c r="Q1185" t="s">
        <v>69</v>
      </c>
    </row>
    <row r="1186" spans="1:17" x14ac:dyDescent="0.3">
      <c r="A1186" t="s">
        <v>5768</v>
      </c>
      <c r="B1186" t="s">
        <v>5769</v>
      </c>
      <c r="C1186">
        <v>45</v>
      </c>
      <c r="D1186" t="s">
        <v>5770</v>
      </c>
      <c r="E1186" t="s">
        <v>51</v>
      </c>
      <c r="F1186" t="s">
        <v>1408</v>
      </c>
      <c r="G1186" s="86">
        <v>44662</v>
      </c>
      <c r="H1186">
        <v>0</v>
      </c>
      <c r="I1186" t="s">
        <v>52</v>
      </c>
      <c r="J1186" s="86">
        <v>45295</v>
      </c>
      <c r="K1186">
        <v>321.99</v>
      </c>
      <c r="L1186">
        <v>2</v>
      </c>
      <c r="M1186">
        <v>26</v>
      </c>
      <c r="N1186" t="s">
        <v>45</v>
      </c>
      <c r="O1186" t="s">
        <v>77</v>
      </c>
      <c r="P1186" t="s">
        <v>54</v>
      </c>
      <c r="Q1186" t="s">
        <v>69</v>
      </c>
    </row>
    <row r="1187" spans="1:17" x14ac:dyDescent="0.3">
      <c r="A1187" t="s">
        <v>5772</v>
      </c>
      <c r="B1187" t="s">
        <v>5773</v>
      </c>
      <c r="C1187">
        <v>60</v>
      </c>
      <c r="D1187" t="s">
        <v>5774</v>
      </c>
      <c r="E1187" t="s">
        <v>25</v>
      </c>
      <c r="F1187" t="s">
        <v>2858</v>
      </c>
      <c r="G1187" s="86">
        <v>44928</v>
      </c>
      <c r="H1187">
        <v>3</v>
      </c>
      <c r="I1187" t="s">
        <v>64</v>
      </c>
      <c r="J1187" t="s">
        <v>2035</v>
      </c>
      <c r="K1187">
        <v>409.8</v>
      </c>
      <c r="L1187">
        <v>2</v>
      </c>
      <c r="M1187">
        <v>4</v>
      </c>
      <c r="N1187" t="s">
        <v>56</v>
      </c>
      <c r="O1187" t="s">
        <v>122</v>
      </c>
      <c r="P1187" t="s">
        <v>30</v>
      </c>
      <c r="Q1187" t="s">
        <v>32</v>
      </c>
    </row>
    <row r="1188" spans="1:17" x14ac:dyDescent="0.3">
      <c r="A1188" t="s">
        <v>5776</v>
      </c>
      <c r="B1188" t="s">
        <v>5777</v>
      </c>
      <c r="C1188">
        <v>67</v>
      </c>
      <c r="D1188" t="s">
        <v>5778</v>
      </c>
      <c r="E1188" t="s">
        <v>51</v>
      </c>
      <c r="F1188" s="86">
        <v>44661</v>
      </c>
      <c r="G1188" s="86">
        <v>45114</v>
      </c>
      <c r="H1188">
        <v>2</v>
      </c>
      <c r="I1188" t="s">
        <v>64</v>
      </c>
      <c r="J1188" t="s">
        <v>2885</v>
      </c>
      <c r="K1188">
        <v>119.69</v>
      </c>
      <c r="L1188">
        <v>9</v>
      </c>
      <c r="M1188">
        <v>30</v>
      </c>
      <c r="N1188" t="s">
        <v>30</v>
      </c>
      <c r="O1188" t="s">
        <v>194</v>
      </c>
      <c r="P1188" t="s">
        <v>56</v>
      </c>
      <c r="Q1188" t="s">
        <v>69</v>
      </c>
    </row>
    <row r="1189" spans="1:17" x14ac:dyDescent="0.3">
      <c r="A1189" t="s">
        <v>5780</v>
      </c>
      <c r="B1189" t="s">
        <v>5781</v>
      </c>
      <c r="C1189">
        <v>35</v>
      </c>
      <c r="D1189" t="s">
        <v>5782</v>
      </c>
      <c r="E1189" t="s">
        <v>51</v>
      </c>
      <c r="F1189" s="86">
        <v>44688</v>
      </c>
      <c r="G1189" t="s">
        <v>1356</v>
      </c>
      <c r="H1189">
        <v>2</v>
      </c>
      <c r="I1189" t="s">
        <v>52</v>
      </c>
      <c r="J1189" t="s">
        <v>75</v>
      </c>
      <c r="K1189">
        <v>632.36</v>
      </c>
      <c r="L1189">
        <v>2</v>
      </c>
      <c r="M1189">
        <v>39</v>
      </c>
      <c r="N1189" t="s">
        <v>54</v>
      </c>
      <c r="O1189" t="s">
        <v>142</v>
      </c>
      <c r="P1189" t="s">
        <v>68</v>
      </c>
      <c r="Q1189" t="s">
        <v>69</v>
      </c>
    </row>
    <row r="1190" spans="1:17" x14ac:dyDescent="0.3">
      <c r="A1190" t="s">
        <v>5784</v>
      </c>
      <c r="B1190" t="s">
        <v>5785</v>
      </c>
      <c r="C1190">
        <v>62</v>
      </c>
      <c r="D1190" t="s">
        <v>5786</v>
      </c>
      <c r="E1190" t="s">
        <v>88</v>
      </c>
      <c r="F1190" t="s">
        <v>5787</v>
      </c>
      <c r="G1190" t="s">
        <v>2843</v>
      </c>
      <c r="H1190">
        <v>0</v>
      </c>
      <c r="I1190" t="s">
        <v>52</v>
      </c>
      <c r="J1190" s="86">
        <v>45391</v>
      </c>
      <c r="K1190">
        <v>332.94</v>
      </c>
      <c r="L1190">
        <v>2</v>
      </c>
      <c r="M1190">
        <v>15</v>
      </c>
      <c r="N1190" t="s">
        <v>56</v>
      </c>
      <c r="O1190" t="s">
        <v>610</v>
      </c>
      <c r="P1190" t="s">
        <v>68</v>
      </c>
      <c r="Q1190" t="s">
        <v>69</v>
      </c>
    </row>
    <row r="1191" spans="1:17" x14ac:dyDescent="0.3">
      <c r="A1191" t="s">
        <v>5789</v>
      </c>
      <c r="B1191" t="s">
        <v>5790</v>
      </c>
      <c r="C1191">
        <v>22</v>
      </c>
      <c r="D1191" t="s">
        <v>5791</v>
      </c>
      <c r="E1191" t="s">
        <v>25</v>
      </c>
      <c r="F1191" t="s">
        <v>1408</v>
      </c>
      <c r="G1191" s="86">
        <v>45362</v>
      </c>
      <c r="H1191">
        <v>3</v>
      </c>
      <c r="I1191" t="s">
        <v>27</v>
      </c>
      <c r="J1191" t="s">
        <v>1221</v>
      </c>
      <c r="K1191">
        <v>378.98</v>
      </c>
      <c r="L1191">
        <v>5</v>
      </c>
      <c r="M1191">
        <v>9</v>
      </c>
      <c r="N1191" t="s">
        <v>68</v>
      </c>
      <c r="O1191" t="s">
        <v>855</v>
      </c>
      <c r="P1191" t="s">
        <v>45</v>
      </c>
      <c r="Q1191" t="s">
        <v>69</v>
      </c>
    </row>
    <row r="1192" spans="1:17" x14ac:dyDescent="0.3">
      <c r="A1192" t="s">
        <v>5793</v>
      </c>
      <c r="B1192" t="s">
        <v>5794</v>
      </c>
      <c r="C1192">
        <v>31</v>
      </c>
      <c r="D1192" t="s">
        <v>5795</v>
      </c>
      <c r="E1192" t="s">
        <v>51</v>
      </c>
      <c r="F1192" s="86">
        <v>44656</v>
      </c>
      <c r="G1192" s="86">
        <v>45079</v>
      </c>
      <c r="H1192">
        <v>3</v>
      </c>
      <c r="I1192" t="s">
        <v>27</v>
      </c>
      <c r="J1192" t="s">
        <v>1551</v>
      </c>
      <c r="K1192">
        <v>601.94000000000005</v>
      </c>
      <c r="L1192">
        <v>3</v>
      </c>
      <c r="M1192">
        <v>44</v>
      </c>
      <c r="N1192" t="s">
        <v>30</v>
      </c>
      <c r="O1192" t="s">
        <v>604</v>
      </c>
      <c r="P1192" t="s">
        <v>45</v>
      </c>
      <c r="Q1192" t="s">
        <v>69</v>
      </c>
    </row>
    <row r="1193" spans="1:17" x14ac:dyDescent="0.3">
      <c r="A1193" t="s">
        <v>5797</v>
      </c>
      <c r="B1193" t="s">
        <v>5798</v>
      </c>
      <c r="C1193">
        <v>33</v>
      </c>
      <c r="D1193" t="s">
        <v>5799</v>
      </c>
      <c r="E1193" t="s">
        <v>25</v>
      </c>
      <c r="F1193" s="86">
        <v>44815</v>
      </c>
      <c r="G1193" t="s">
        <v>946</v>
      </c>
      <c r="H1193">
        <v>1</v>
      </c>
      <c r="I1193" t="s">
        <v>27</v>
      </c>
      <c r="J1193" s="86">
        <v>44931</v>
      </c>
      <c r="K1193">
        <v>76.39</v>
      </c>
      <c r="L1193">
        <v>8</v>
      </c>
      <c r="M1193">
        <v>49</v>
      </c>
      <c r="N1193" t="s">
        <v>56</v>
      </c>
      <c r="O1193" t="s">
        <v>91</v>
      </c>
      <c r="P1193" t="s">
        <v>54</v>
      </c>
      <c r="Q1193" t="s">
        <v>69</v>
      </c>
    </row>
    <row r="1194" spans="1:17" x14ac:dyDescent="0.3">
      <c r="A1194" t="s">
        <v>5801</v>
      </c>
      <c r="B1194" t="s">
        <v>5802</v>
      </c>
      <c r="C1194">
        <v>32</v>
      </c>
      <c r="D1194" t="s">
        <v>5803</v>
      </c>
      <c r="E1194" t="s">
        <v>61</v>
      </c>
      <c r="F1194" t="s">
        <v>3412</v>
      </c>
      <c r="G1194" s="86">
        <v>44476</v>
      </c>
      <c r="H1194">
        <v>2</v>
      </c>
      <c r="I1194" t="s">
        <v>52</v>
      </c>
      <c r="J1194" t="s">
        <v>863</v>
      </c>
      <c r="K1194">
        <v>247.03</v>
      </c>
      <c r="L1194">
        <v>6</v>
      </c>
      <c r="M1194">
        <v>27</v>
      </c>
      <c r="N1194" t="s">
        <v>68</v>
      </c>
      <c r="O1194" t="s">
        <v>354</v>
      </c>
      <c r="P1194" t="s">
        <v>45</v>
      </c>
      <c r="Q1194" t="s">
        <v>32</v>
      </c>
    </row>
    <row r="1195" spans="1:17" x14ac:dyDescent="0.3">
      <c r="A1195" t="s">
        <v>5805</v>
      </c>
      <c r="B1195" t="s">
        <v>5806</v>
      </c>
      <c r="C1195">
        <v>50</v>
      </c>
      <c r="D1195" t="s">
        <v>5807</v>
      </c>
      <c r="E1195" t="s">
        <v>95</v>
      </c>
      <c r="F1195" s="86">
        <v>44479</v>
      </c>
      <c r="G1195" s="86">
        <v>45505</v>
      </c>
      <c r="H1195">
        <v>5</v>
      </c>
      <c r="I1195" t="s">
        <v>52</v>
      </c>
      <c r="J1195" t="s">
        <v>3953</v>
      </c>
      <c r="K1195">
        <v>215.7</v>
      </c>
      <c r="L1195">
        <v>4</v>
      </c>
      <c r="M1195">
        <v>13</v>
      </c>
      <c r="N1195" t="s">
        <v>68</v>
      </c>
      <c r="O1195" t="s">
        <v>175</v>
      </c>
      <c r="P1195" t="s">
        <v>56</v>
      </c>
      <c r="Q1195" t="s">
        <v>32</v>
      </c>
    </row>
    <row r="1196" spans="1:17" x14ac:dyDescent="0.3">
      <c r="A1196" t="s">
        <v>5809</v>
      </c>
      <c r="B1196" t="s">
        <v>5810</v>
      </c>
      <c r="C1196">
        <v>35</v>
      </c>
      <c r="D1196" t="s">
        <v>5811</v>
      </c>
      <c r="E1196" t="s">
        <v>95</v>
      </c>
      <c r="F1196" t="s">
        <v>1169</v>
      </c>
      <c r="G1196" s="86">
        <v>45938</v>
      </c>
      <c r="H1196">
        <v>3</v>
      </c>
      <c r="I1196" t="s">
        <v>27</v>
      </c>
      <c r="J1196" t="s">
        <v>968</v>
      </c>
      <c r="K1196">
        <v>474.15</v>
      </c>
      <c r="L1196">
        <v>4</v>
      </c>
      <c r="M1196">
        <v>40</v>
      </c>
      <c r="N1196" t="s">
        <v>45</v>
      </c>
      <c r="O1196" t="s">
        <v>245</v>
      </c>
      <c r="P1196" t="s">
        <v>54</v>
      </c>
      <c r="Q1196" t="s">
        <v>32</v>
      </c>
    </row>
    <row r="1197" spans="1:17" x14ac:dyDescent="0.3">
      <c r="A1197" t="s">
        <v>5813</v>
      </c>
      <c r="B1197" t="s">
        <v>5814</v>
      </c>
      <c r="C1197">
        <v>57</v>
      </c>
      <c r="D1197" t="s">
        <v>5815</v>
      </c>
      <c r="E1197" t="s">
        <v>95</v>
      </c>
      <c r="F1197" t="s">
        <v>632</v>
      </c>
      <c r="G1197" s="86">
        <v>44964</v>
      </c>
      <c r="H1197">
        <v>2</v>
      </c>
      <c r="I1197" t="s">
        <v>27</v>
      </c>
      <c r="J1197" t="s">
        <v>550</v>
      </c>
      <c r="K1197">
        <v>6.64</v>
      </c>
      <c r="L1197">
        <v>5</v>
      </c>
      <c r="M1197">
        <v>4</v>
      </c>
      <c r="N1197" t="s">
        <v>45</v>
      </c>
      <c r="O1197" t="s">
        <v>624</v>
      </c>
      <c r="P1197" t="s">
        <v>30</v>
      </c>
      <c r="Q1197" t="s">
        <v>69</v>
      </c>
    </row>
    <row r="1198" spans="1:17" x14ac:dyDescent="0.3">
      <c r="A1198" t="s">
        <v>5817</v>
      </c>
      <c r="B1198" t="s">
        <v>5818</v>
      </c>
      <c r="C1198">
        <v>58</v>
      </c>
      <c r="D1198" t="s">
        <v>5819</v>
      </c>
      <c r="E1198" t="s">
        <v>95</v>
      </c>
      <c r="F1198" t="s">
        <v>651</v>
      </c>
      <c r="G1198" t="s">
        <v>3617</v>
      </c>
      <c r="H1198">
        <v>1</v>
      </c>
      <c r="I1198" t="s">
        <v>64</v>
      </c>
      <c r="J1198" s="86">
        <v>45574</v>
      </c>
      <c r="K1198">
        <v>757.47</v>
      </c>
      <c r="L1198">
        <v>2</v>
      </c>
      <c r="M1198">
        <v>21</v>
      </c>
      <c r="N1198" t="s">
        <v>56</v>
      </c>
      <c r="O1198" t="s">
        <v>157</v>
      </c>
      <c r="P1198" t="s">
        <v>68</v>
      </c>
      <c r="Q1198" t="s">
        <v>69</v>
      </c>
    </row>
    <row r="1199" spans="1:17" x14ac:dyDescent="0.3">
      <c r="A1199" t="s">
        <v>5821</v>
      </c>
      <c r="B1199" t="s">
        <v>5822</v>
      </c>
      <c r="C1199">
        <v>31</v>
      </c>
      <c r="D1199" t="s">
        <v>5823</v>
      </c>
      <c r="E1199" t="s">
        <v>40</v>
      </c>
      <c r="F1199" t="s">
        <v>4088</v>
      </c>
      <c r="G1199" s="86">
        <v>45084</v>
      </c>
      <c r="H1199">
        <v>2</v>
      </c>
      <c r="I1199" t="s">
        <v>27</v>
      </c>
      <c r="J1199" s="86">
        <v>45211</v>
      </c>
      <c r="K1199">
        <v>384.35</v>
      </c>
      <c r="L1199">
        <v>5</v>
      </c>
      <c r="M1199">
        <v>41</v>
      </c>
      <c r="N1199" t="s">
        <v>30</v>
      </c>
      <c r="O1199" t="s">
        <v>149</v>
      </c>
      <c r="P1199" t="s">
        <v>30</v>
      </c>
      <c r="Q1199" t="s">
        <v>322</v>
      </c>
    </row>
    <row r="1200" spans="1:17" x14ac:dyDescent="0.3">
      <c r="A1200" t="s">
        <v>5825</v>
      </c>
      <c r="B1200" t="s">
        <v>5826</v>
      </c>
      <c r="C1200">
        <v>35</v>
      </c>
      <c r="D1200" t="s">
        <v>5827</v>
      </c>
      <c r="E1200" t="s">
        <v>95</v>
      </c>
      <c r="F1200" s="86">
        <v>44441</v>
      </c>
      <c r="G1200" t="s">
        <v>4664</v>
      </c>
      <c r="H1200">
        <v>5</v>
      </c>
      <c r="I1200" t="s">
        <v>27</v>
      </c>
      <c r="J1200" t="s">
        <v>5589</v>
      </c>
      <c r="K1200">
        <v>252.19</v>
      </c>
      <c r="L1200">
        <v>4</v>
      </c>
      <c r="M1200">
        <v>7</v>
      </c>
      <c r="N1200" t="s">
        <v>30</v>
      </c>
      <c r="O1200" t="s">
        <v>293</v>
      </c>
      <c r="P1200" t="s">
        <v>45</v>
      </c>
      <c r="Q1200" t="s">
        <v>69</v>
      </c>
    </row>
    <row r="1201" spans="1:17" x14ac:dyDescent="0.3">
      <c r="A1201" t="s">
        <v>5829</v>
      </c>
      <c r="B1201" t="s">
        <v>5830</v>
      </c>
      <c r="C1201">
        <v>30</v>
      </c>
      <c r="D1201" t="s">
        <v>5831</v>
      </c>
      <c r="E1201" t="s">
        <v>40</v>
      </c>
      <c r="F1201" s="86">
        <v>44993</v>
      </c>
      <c r="G1201" t="s">
        <v>4028</v>
      </c>
      <c r="H1201">
        <v>4</v>
      </c>
      <c r="I1201" t="s">
        <v>27</v>
      </c>
      <c r="J1201" t="s">
        <v>5832</v>
      </c>
      <c r="K1201">
        <v>561.99</v>
      </c>
      <c r="L1201">
        <v>3</v>
      </c>
      <c r="M1201">
        <v>39</v>
      </c>
      <c r="N1201" t="s">
        <v>30</v>
      </c>
      <c r="O1201" t="s">
        <v>169</v>
      </c>
      <c r="P1201" t="s">
        <v>30</v>
      </c>
      <c r="Q1201" t="s">
        <v>69</v>
      </c>
    </row>
    <row r="1202" spans="1:17" x14ac:dyDescent="0.3">
      <c r="A1202" t="s">
        <v>5834</v>
      </c>
      <c r="B1202" t="s">
        <v>5835</v>
      </c>
      <c r="C1202">
        <v>69</v>
      </c>
      <c r="D1202" t="s">
        <v>5836</v>
      </c>
      <c r="E1202" t="s">
        <v>95</v>
      </c>
      <c r="F1202" t="s">
        <v>653</v>
      </c>
      <c r="G1202" s="86">
        <v>45027</v>
      </c>
      <c r="H1202">
        <v>5</v>
      </c>
      <c r="I1202" t="s">
        <v>27</v>
      </c>
      <c r="J1202" t="s">
        <v>5272</v>
      </c>
      <c r="K1202">
        <v>156.84</v>
      </c>
      <c r="L1202">
        <v>3</v>
      </c>
      <c r="M1202">
        <v>20</v>
      </c>
      <c r="N1202" t="s">
        <v>68</v>
      </c>
      <c r="O1202" t="s">
        <v>169</v>
      </c>
      <c r="P1202" t="s">
        <v>30</v>
      </c>
      <c r="Q1202" t="s">
        <v>69</v>
      </c>
    </row>
    <row r="1203" spans="1:17" x14ac:dyDescent="0.3">
      <c r="A1203" t="s">
        <v>5838</v>
      </c>
      <c r="B1203" t="s">
        <v>5839</v>
      </c>
      <c r="C1203">
        <v>55</v>
      </c>
      <c r="D1203" t="s">
        <v>5840</v>
      </c>
      <c r="E1203" t="s">
        <v>95</v>
      </c>
      <c r="F1203" s="86">
        <v>45233</v>
      </c>
      <c r="G1203" s="86">
        <v>45269</v>
      </c>
      <c r="H1203">
        <v>2</v>
      </c>
      <c r="I1203" t="s">
        <v>27</v>
      </c>
      <c r="J1203" t="s">
        <v>1006</v>
      </c>
      <c r="K1203">
        <v>948.96</v>
      </c>
      <c r="L1203">
        <v>1</v>
      </c>
      <c r="M1203">
        <v>25</v>
      </c>
      <c r="N1203" t="s">
        <v>30</v>
      </c>
      <c r="O1203" t="s">
        <v>67</v>
      </c>
      <c r="P1203" t="s">
        <v>68</v>
      </c>
      <c r="Q1203" t="s">
        <v>32</v>
      </c>
    </row>
    <row r="1204" spans="1:17" x14ac:dyDescent="0.3">
      <c r="A1204" t="s">
        <v>5842</v>
      </c>
      <c r="B1204" t="s">
        <v>5843</v>
      </c>
      <c r="C1204">
        <v>56</v>
      </c>
      <c r="D1204" t="s">
        <v>5844</v>
      </c>
      <c r="E1204" t="s">
        <v>95</v>
      </c>
      <c r="F1204" s="86">
        <v>44531</v>
      </c>
      <c r="G1204" t="s">
        <v>734</v>
      </c>
      <c r="H1204">
        <v>4</v>
      </c>
      <c r="I1204" t="s">
        <v>27</v>
      </c>
      <c r="J1204" t="s">
        <v>154</v>
      </c>
      <c r="K1204">
        <v>217.24</v>
      </c>
      <c r="L1204">
        <v>9</v>
      </c>
      <c r="M1204">
        <v>36</v>
      </c>
      <c r="N1204" t="s">
        <v>54</v>
      </c>
      <c r="O1204" t="s">
        <v>31</v>
      </c>
      <c r="P1204" t="s">
        <v>30</v>
      </c>
      <c r="Q1204" t="s">
        <v>32</v>
      </c>
    </row>
    <row r="1205" spans="1:17" x14ac:dyDescent="0.3">
      <c r="A1205" t="s">
        <v>5846</v>
      </c>
      <c r="B1205" t="s">
        <v>5847</v>
      </c>
      <c r="C1205">
        <v>43</v>
      </c>
      <c r="D1205" t="s">
        <v>5848</v>
      </c>
      <c r="E1205" t="s">
        <v>25</v>
      </c>
      <c r="F1205" t="s">
        <v>819</v>
      </c>
      <c r="G1205" s="86">
        <v>45148</v>
      </c>
      <c r="H1205">
        <v>2</v>
      </c>
      <c r="I1205" t="s">
        <v>27</v>
      </c>
      <c r="J1205" t="s">
        <v>113</v>
      </c>
      <c r="K1205">
        <v>197.39</v>
      </c>
      <c r="L1205">
        <v>6</v>
      </c>
      <c r="M1205">
        <v>6</v>
      </c>
      <c r="N1205" t="s">
        <v>54</v>
      </c>
      <c r="O1205" t="s">
        <v>67</v>
      </c>
      <c r="P1205" t="s">
        <v>68</v>
      </c>
      <c r="Q1205" t="s">
        <v>69</v>
      </c>
    </row>
    <row r="1206" spans="1:17" x14ac:dyDescent="0.3">
      <c r="A1206" t="s">
        <v>5850</v>
      </c>
      <c r="B1206" t="s">
        <v>5851</v>
      </c>
      <c r="C1206">
        <v>54</v>
      </c>
      <c r="D1206" t="s">
        <v>5852</v>
      </c>
      <c r="E1206" t="s">
        <v>40</v>
      </c>
      <c r="F1206" s="86">
        <v>44388</v>
      </c>
      <c r="G1206" s="86">
        <v>45294</v>
      </c>
      <c r="H1206">
        <v>1</v>
      </c>
      <c r="I1206" t="s">
        <v>27</v>
      </c>
      <c r="J1206" t="s">
        <v>2241</v>
      </c>
      <c r="K1206">
        <v>99.21</v>
      </c>
      <c r="L1206">
        <v>7</v>
      </c>
      <c r="M1206">
        <v>47</v>
      </c>
      <c r="N1206" t="s">
        <v>56</v>
      </c>
      <c r="O1206" t="s">
        <v>610</v>
      </c>
      <c r="P1206" t="s">
        <v>68</v>
      </c>
      <c r="Q1206" t="s">
        <v>32</v>
      </c>
    </row>
    <row r="1207" spans="1:17" x14ac:dyDescent="0.3">
      <c r="A1207" t="s">
        <v>5854</v>
      </c>
      <c r="B1207" t="s">
        <v>5855</v>
      </c>
      <c r="C1207">
        <v>30</v>
      </c>
      <c r="D1207" t="s">
        <v>5856</v>
      </c>
      <c r="E1207" t="s">
        <v>40</v>
      </c>
      <c r="F1207" s="86">
        <v>44719</v>
      </c>
      <c r="G1207" s="86">
        <v>45325</v>
      </c>
      <c r="H1207">
        <v>4</v>
      </c>
      <c r="I1207" t="s">
        <v>27</v>
      </c>
      <c r="J1207" t="s">
        <v>1577</v>
      </c>
      <c r="K1207">
        <v>176.86</v>
      </c>
      <c r="L1207">
        <v>9</v>
      </c>
      <c r="M1207">
        <v>12</v>
      </c>
      <c r="N1207" t="s">
        <v>68</v>
      </c>
      <c r="O1207" t="s">
        <v>122</v>
      </c>
      <c r="P1207" t="s">
        <v>30</v>
      </c>
      <c r="Q1207" t="s">
        <v>69</v>
      </c>
    </row>
    <row r="1208" spans="1:17" x14ac:dyDescent="0.3">
      <c r="A1208" t="s">
        <v>5858</v>
      </c>
      <c r="B1208" t="s">
        <v>5859</v>
      </c>
      <c r="C1208">
        <v>42</v>
      </c>
      <c r="D1208" t="s">
        <v>5860</v>
      </c>
      <c r="E1208" t="s">
        <v>95</v>
      </c>
      <c r="F1208" t="s">
        <v>3367</v>
      </c>
      <c r="G1208" s="86">
        <v>45303</v>
      </c>
      <c r="H1208">
        <v>4</v>
      </c>
      <c r="I1208" t="s">
        <v>64</v>
      </c>
      <c r="J1208" t="s">
        <v>474</v>
      </c>
      <c r="K1208">
        <v>259.64</v>
      </c>
      <c r="L1208">
        <v>5</v>
      </c>
      <c r="M1208">
        <v>20</v>
      </c>
      <c r="N1208" t="s">
        <v>56</v>
      </c>
      <c r="O1208" t="s">
        <v>855</v>
      </c>
      <c r="P1208" t="s">
        <v>45</v>
      </c>
      <c r="Q1208" t="s">
        <v>32</v>
      </c>
    </row>
    <row r="1209" spans="1:17" x14ac:dyDescent="0.3">
      <c r="A1209" t="s">
        <v>5862</v>
      </c>
      <c r="B1209" t="s">
        <v>5863</v>
      </c>
      <c r="C1209">
        <v>38</v>
      </c>
      <c r="D1209" t="s">
        <v>5864</v>
      </c>
      <c r="E1209" t="s">
        <v>61</v>
      </c>
      <c r="F1209" s="86">
        <v>45204</v>
      </c>
      <c r="G1209" t="s">
        <v>2441</v>
      </c>
      <c r="H1209">
        <v>4</v>
      </c>
      <c r="I1209" t="s">
        <v>27</v>
      </c>
      <c r="J1209" s="86">
        <v>45359</v>
      </c>
      <c r="K1209">
        <v>581.92999999999995</v>
      </c>
      <c r="L1209">
        <v>3</v>
      </c>
      <c r="M1209">
        <v>23</v>
      </c>
      <c r="N1209" t="s">
        <v>30</v>
      </c>
      <c r="O1209" t="s">
        <v>55</v>
      </c>
      <c r="P1209" t="s">
        <v>56</v>
      </c>
      <c r="Q1209" t="s">
        <v>69</v>
      </c>
    </row>
    <row r="1210" spans="1:17" x14ac:dyDescent="0.3">
      <c r="A1210" t="s">
        <v>5866</v>
      </c>
      <c r="B1210" t="s">
        <v>5867</v>
      </c>
      <c r="C1210">
        <v>48</v>
      </c>
      <c r="D1210" t="s">
        <v>5868</v>
      </c>
      <c r="E1210" t="s">
        <v>51</v>
      </c>
      <c r="F1210" t="s">
        <v>3019</v>
      </c>
      <c r="G1210" t="s">
        <v>847</v>
      </c>
      <c r="H1210">
        <v>0</v>
      </c>
      <c r="I1210" t="s">
        <v>27</v>
      </c>
      <c r="J1210" t="s">
        <v>3679</v>
      </c>
      <c r="K1210">
        <v>297.19</v>
      </c>
      <c r="L1210">
        <v>1</v>
      </c>
      <c r="M1210">
        <v>27</v>
      </c>
      <c r="N1210" t="s">
        <v>56</v>
      </c>
      <c r="O1210" t="s">
        <v>604</v>
      </c>
      <c r="P1210" t="s">
        <v>45</v>
      </c>
      <c r="Q1210" t="s">
        <v>32</v>
      </c>
    </row>
    <row r="1211" spans="1:17" x14ac:dyDescent="0.3">
      <c r="A1211" t="s">
        <v>5870</v>
      </c>
      <c r="B1211" t="s">
        <v>5871</v>
      </c>
      <c r="C1211">
        <v>67</v>
      </c>
      <c r="D1211" t="s">
        <v>5872</v>
      </c>
      <c r="E1211" t="s">
        <v>25</v>
      </c>
      <c r="F1211" t="s">
        <v>1407</v>
      </c>
      <c r="G1211" s="86">
        <v>45905</v>
      </c>
      <c r="H1211">
        <v>1</v>
      </c>
      <c r="I1211" t="s">
        <v>52</v>
      </c>
      <c r="J1211" s="86">
        <v>45665</v>
      </c>
      <c r="K1211">
        <v>349.74</v>
      </c>
      <c r="L1211">
        <v>2</v>
      </c>
      <c r="M1211">
        <v>5</v>
      </c>
      <c r="N1211" t="s">
        <v>54</v>
      </c>
      <c r="O1211" t="s">
        <v>855</v>
      </c>
      <c r="P1211" t="s">
        <v>45</v>
      </c>
      <c r="Q1211" t="s">
        <v>69</v>
      </c>
    </row>
    <row r="1212" spans="1:17" x14ac:dyDescent="0.3">
      <c r="A1212" t="s">
        <v>5874</v>
      </c>
      <c r="B1212" t="s">
        <v>5875</v>
      </c>
      <c r="C1212">
        <v>29</v>
      </c>
      <c r="D1212" t="s">
        <v>5876</v>
      </c>
      <c r="E1212" t="s">
        <v>61</v>
      </c>
      <c r="F1212" t="s">
        <v>1436</v>
      </c>
      <c r="G1212" t="s">
        <v>1732</v>
      </c>
      <c r="H1212">
        <v>3</v>
      </c>
      <c r="I1212" t="s">
        <v>52</v>
      </c>
      <c r="J1212" s="86">
        <v>43842</v>
      </c>
      <c r="K1212">
        <v>603.4</v>
      </c>
      <c r="L1212">
        <v>1</v>
      </c>
      <c r="M1212">
        <v>19</v>
      </c>
      <c r="N1212" t="s">
        <v>56</v>
      </c>
      <c r="O1212" t="s">
        <v>99</v>
      </c>
      <c r="P1212" t="s">
        <v>56</v>
      </c>
      <c r="Q1212" t="s">
        <v>69</v>
      </c>
    </row>
    <row r="1213" spans="1:17" x14ac:dyDescent="0.3">
      <c r="A1213" t="s">
        <v>5878</v>
      </c>
      <c r="B1213" t="s">
        <v>5879</v>
      </c>
      <c r="C1213">
        <v>18</v>
      </c>
      <c r="D1213" t="s">
        <v>5880</v>
      </c>
      <c r="E1213" t="s">
        <v>88</v>
      </c>
      <c r="F1213" t="s">
        <v>3354</v>
      </c>
      <c r="G1213" t="s">
        <v>1142</v>
      </c>
      <c r="H1213">
        <v>3</v>
      </c>
      <c r="I1213" t="s">
        <v>27</v>
      </c>
      <c r="J1213" t="s">
        <v>1465</v>
      </c>
      <c r="K1213">
        <v>88.5</v>
      </c>
      <c r="L1213">
        <v>4</v>
      </c>
      <c r="M1213">
        <v>28</v>
      </c>
      <c r="N1213" t="s">
        <v>54</v>
      </c>
      <c r="O1213" t="s">
        <v>31</v>
      </c>
      <c r="P1213" t="s">
        <v>30</v>
      </c>
      <c r="Q1213" t="s">
        <v>69</v>
      </c>
    </row>
    <row r="1214" spans="1:17" x14ac:dyDescent="0.3">
      <c r="A1214" t="s">
        <v>5882</v>
      </c>
      <c r="B1214" t="s">
        <v>5883</v>
      </c>
      <c r="C1214">
        <v>28</v>
      </c>
      <c r="D1214" t="s">
        <v>5884</v>
      </c>
      <c r="E1214" t="s">
        <v>95</v>
      </c>
      <c r="F1214" s="86">
        <v>44904</v>
      </c>
      <c r="G1214" s="86">
        <v>45601</v>
      </c>
      <c r="H1214">
        <v>0</v>
      </c>
      <c r="I1214" t="s">
        <v>27</v>
      </c>
      <c r="J1214" t="s">
        <v>2174</v>
      </c>
      <c r="K1214">
        <v>144.34</v>
      </c>
      <c r="L1214">
        <v>8</v>
      </c>
      <c r="M1214">
        <v>36</v>
      </c>
      <c r="N1214" t="s">
        <v>30</v>
      </c>
      <c r="O1214" t="s">
        <v>245</v>
      </c>
      <c r="P1214" t="s">
        <v>54</v>
      </c>
      <c r="Q1214" t="s">
        <v>32</v>
      </c>
    </row>
    <row r="1215" spans="1:17" x14ac:dyDescent="0.3">
      <c r="A1215" t="s">
        <v>5886</v>
      </c>
      <c r="B1215" t="s">
        <v>5887</v>
      </c>
      <c r="C1215">
        <v>57</v>
      </c>
      <c r="D1215" t="s">
        <v>5888</v>
      </c>
      <c r="E1215" t="s">
        <v>61</v>
      </c>
      <c r="F1215" s="86">
        <v>44654</v>
      </c>
      <c r="G1215" t="s">
        <v>659</v>
      </c>
      <c r="H1215">
        <v>4</v>
      </c>
      <c r="I1215" t="s">
        <v>27</v>
      </c>
      <c r="J1215" t="s">
        <v>113</v>
      </c>
      <c r="K1215">
        <v>927.7</v>
      </c>
      <c r="L1215">
        <v>2</v>
      </c>
      <c r="M1215">
        <v>23</v>
      </c>
      <c r="N1215" t="s">
        <v>30</v>
      </c>
      <c r="O1215" t="s">
        <v>366</v>
      </c>
      <c r="P1215" t="s">
        <v>54</v>
      </c>
      <c r="Q1215" t="s">
        <v>69</v>
      </c>
    </row>
    <row r="1216" spans="1:17" x14ac:dyDescent="0.3">
      <c r="A1216" t="s">
        <v>5890</v>
      </c>
      <c r="B1216" t="s">
        <v>5891</v>
      </c>
      <c r="C1216">
        <v>40</v>
      </c>
      <c r="D1216" t="s">
        <v>5892</v>
      </c>
      <c r="E1216" t="s">
        <v>95</v>
      </c>
      <c r="F1216" s="86">
        <v>44808</v>
      </c>
      <c r="G1216" t="s">
        <v>797</v>
      </c>
      <c r="H1216">
        <v>4</v>
      </c>
      <c r="I1216" t="s">
        <v>64</v>
      </c>
      <c r="J1216" t="s">
        <v>467</v>
      </c>
      <c r="K1216">
        <v>3.64</v>
      </c>
      <c r="L1216">
        <v>8</v>
      </c>
      <c r="M1216">
        <v>44</v>
      </c>
      <c r="N1216" t="s">
        <v>30</v>
      </c>
      <c r="O1216" t="s">
        <v>245</v>
      </c>
      <c r="P1216" t="s">
        <v>54</v>
      </c>
      <c r="Q1216" t="s">
        <v>69</v>
      </c>
    </row>
    <row r="1217" spans="1:17" x14ac:dyDescent="0.3">
      <c r="A1217" t="s">
        <v>5894</v>
      </c>
      <c r="B1217" t="s">
        <v>5895</v>
      </c>
      <c r="C1217">
        <v>62</v>
      </c>
      <c r="D1217" t="s">
        <v>5896</v>
      </c>
      <c r="E1217" t="s">
        <v>40</v>
      </c>
      <c r="F1217" s="86">
        <v>44201</v>
      </c>
      <c r="G1217" s="86">
        <v>45058</v>
      </c>
      <c r="H1217">
        <v>0</v>
      </c>
      <c r="I1217" t="s">
        <v>52</v>
      </c>
      <c r="J1217" t="s">
        <v>2907</v>
      </c>
      <c r="K1217">
        <v>98.84</v>
      </c>
      <c r="L1217">
        <v>4</v>
      </c>
      <c r="M1217">
        <v>20</v>
      </c>
      <c r="N1217" t="s">
        <v>54</v>
      </c>
      <c r="O1217" t="s">
        <v>116</v>
      </c>
      <c r="P1217" t="s">
        <v>54</v>
      </c>
      <c r="Q1217" t="s">
        <v>69</v>
      </c>
    </row>
    <row r="1218" spans="1:17" x14ac:dyDescent="0.3">
      <c r="A1218" t="s">
        <v>5898</v>
      </c>
      <c r="B1218" t="s">
        <v>5899</v>
      </c>
      <c r="C1218">
        <v>29</v>
      </c>
      <c r="D1218" t="s">
        <v>5900</v>
      </c>
      <c r="E1218" t="s">
        <v>40</v>
      </c>
      <c r="F1218" s="86">
        <v>44531</v>
      </c>
      <c r="G1218" s="86">
        <v>45109</v>
      </c>
      <c r="H1218">
        <v>0</v>
      </c>
      <c r="I1218" t="s">
        <v>27</v>
      </c>
      <c r="J1218" t="s">
        <v>1553</v>
      </c>
      <c r="K1218">
        <v>121.81</v>
      </c>
      <c r="L1218">
        <v>9</v>
      </c>
      <c r="M1218">
        <v>42</v>
      </c>
      <c r="N1218" t="s">
        <v>56</v>
      </c>
      <c r="O1218" t="s">
        <v>175</v>
      </c>
      <c r="P1218" t="s">
        <v>56</v>
      </c>
      <c r="Q1218" t="s">
        <v>69</v>
      </c>
    </row>
    <row r="1219" spans="1:17" x14ac:dyDescent="0.3">
      <c r="A1219" t="s">
        <v>5902</v>
      </c>
      <c r="B1219" t="s">
        <v>5903</v>
      </c>
      <c r="C1219">
        <v>50</v>
      </c>
      <c r="D1219" t="s">
        <v>5904</v>
      </c>
      <c r="E1219" t="s">
        <v>95</v>
      </c>
      <c r="F1219" s="86">
        <v>44410</v>
      </c>
      <c r="G1219" t="s">
        <v>1064</v>
      </c>
      <c r="H1219">
        <v>0</v>
      </c>
      <c r="I1219" t="s">
        <v>27</v>
      </c>
      <c r="J1219" s="86">
        <v>44993</v>
      </c>
      <c r="K1219">
        <v>204.64</v>
      </c>
      <c r="L1219">
        <v>3</v>
      </c>
      <c r="M1219">
        <v>5</v>
      </c>
      <c r="N1219" t="s">
        <v>54</v>
      </c>
      <c r="O1219" t="s">
        <v>109</v>
      </c>
      <c r="P1219" t="s">
        <v>68</v>
      </c>
      <c r="Q1219" t="s">
        <v>69</v>
      </c>
    </row>
    <row r="1220" spans="1:17" x14ac:dyDescent="0.3">
      <c r="A1220" t="s">
        <v>5906</v>
      </c>
      <c r="B1220" t="s">
        <v>5907</v>
      </c>
      <c r="C1220">
        <v>41</v>
      </c>
      <c r="D1220" t="s">
        <v>5908</v>
      </c>
      <c r="E1220" t="s">
        <v>40</v>
      </c>
      <c r="F1220" s="86">
        <v>44932</v>
      </c>
      <c r="G1220" t="s">
        <v>1899</v>
      </c>
      <c r="H1220">
        <v>0</v>
      </c>
      <c r="I1220" t="s">
        <v>27</v>
      </c>
      <c r="J1220" s="86">
        <v>45514</v>
      </c>
      <c r="K1220">
        <v>168.35</v>
      </c>
      <c r="L1220">
        <v>9</v>
      </c>
      <c r="M1220">
        <v>29</v>
      </c>
      <c r="N1220" t="s">
        <v>56</v>
      </c>
      <c r="O1220" t="s">
        <v>142</v>
      </c>
      <c r="P1220" t="s">
        <v>68</v>
      </c>
      <c r="Q1220" t="s">
        <v>32</v>
      </c>
    </row>
    <row r="1221" spans="1:17" x14ac:dyDescent="0.3">
      <c r="A1221" t="s">
        <v>5910</v>
      </c>
      <c r="B1221" t="s">
        <v>5911</v>
      </c>
      <c r="C1221">
        <v>64</v>
      </c>
      <c r="D1221" t="s">
        <v>5912</v>
      </c>
      <c r="E1221" t="s">
        <v>40</v>
      </c>
      <c r="F1221" s="86">
        <v>44507</v>
      </c>
      <c r="G1221" s="86">
        <v>44656</v>
      </c>
      <c r="H1221">
        <v>4</v>
      </c>
      <c r="I1221" t="s">
        <v>64</v>
      </c>
      <c r="J1221" t="s">
        <v>2082</v>
      </c>
      <c r="K1221">
        <v>240.51</v>
      </c>
      <c r="L1221">
        <v>5</v>
      </c>
      <c r="M1221">
        <v>44</v>
      </c>
      <c r="N1221" t="s">
        <v>56</v>
      </c>
      <c r="O1221" t="s">
        <v>142</v>
      </c>
      <c r="P1221" t="s">
        <v>68</v>
      </c>
      <c r="Q1221" t="s">
        <v>32</v>
      </c>
    </row>
    <row r="1222" spans="1:17" x14ac:dyDescent="0.3">
      <c r="A1222" t="s">
        <v>5914</v>
      </c>
      <c r="B1222" t="s">
        <v>5915</v>
      </c>
      <c r="C1222">
        <v>39</v>
      </c>
      <c r="D1222" t="s">
        <v>5916</v>
      </c>
      <c r="E1222" t="s">
        <v>88</v>
      </c>
      <c r="F1222" s="86">
        <v>44231</v>
      </c>
      <c r="G1222" s="86">
        <v>45689</v>
      </c>
      <c r="H1222">
        <v>1</v>
      </c>
      <c r="I1222" t="s">
        <v>27</v>
      </c>
      <c r="J1222" s="86">
        <v>45635</v>
      </c>
      <c r="K1222">
        <v>13.55</v>
      </c>
      <c r="L1222">
        <v>6</v>
      </c>
      <c r="M1222">
        <v>6</v>
      </c>
      <c r="N1222" t="s">
        <v>45</v>
      </c>
      <c r="O1222" t="s">
        <v>418</v>
      </c>
      <c r="P1222" t="s">
        <v>56</v>
      </c>
      <c r="Q1222" t="s">
        <v>32</v>
      </c>
    </row>
    <row r="1223" spans="1:17" x14ac:dyDescent="0.3">
      <c r="A1223" t="s">
        <v>5918</v>
      </c>
      <c r="B1223" t="s">
        <v>5919</v>
      </c>
      <c r="C1223">
        <v>53</v>
      </c>
      <c r="D1223" t="s">
        <v>5920</v>
      </c>
      <c r="E1223" t="s">
        <v>51</v>
      </c>
      <c r="F1223" s="86">
        <v>44753</v>
      </c>
      <c r="G1223" t="s">
        <v>2397</v>
      </c>
      <c r="H1223">
        <v>1</v>
      </c>
      <c r="I1223" t="s">
        <v>27</v>
      </c>
      <c r="J1223" s="86">
        <v>45567</v>
      </c>
      <c r="K1223">
        <v>352.52</v>
      </c>
      <c r="L1223">
        <v>3</v>
      </c>
      <c r="M1223">
        <v>15</v>
      </c>
      <c r="N1223" t="s">
        <v>68</v>
      </c>
      <c r="O1223" t="s">
        <v>77</v>
      </c>
      <c r="P1223" t="s">
        <v>54</v>
      </c>
      <c r="Q1223" t="s">
        <v>69</v>
      </c>
    </row>
    <row r="1224" spans="1:17" x14ac:dyDescent="0.3">
      <c r="A1224" t="s">
        <v>5922</v>
      </c>
      <c r="B1224" t="s">
        <v>5923</v>
      </c>
      <c r="C1224">
        <v>45</v>
      </c>
      <c r="D1224" t="s">
        <v>5924</v>
      </c>
      <c r="E1224" t="s">
        <v>25</v>
      </c>
      <c r="F1224" s="86">
        <v>44473</v>
      </c>
      <c r="G1224" t="s">
        <v>2858</v>
      </c>
      <c r="H1224">
        <v>1</v>
      </c>
      <c r="I1224" t="s">
        <v>52</v>
      </c>
      <c r="J1224" t="s">
        <v>261</v>
      </c>
      <c r="K1224">
        <v>640.55999999999995</v>
      </c>
      <c r="L1224">
        <v>3</v>
      </c>
      <c r="M1224">
        <v>38</v>
      </c>
      <c r="N1224" t="s">
        <v>54</v>
      </c>
      <c r="O1224" t="s">
        <v>128</v>
      </c>
      <c r="P1224" t="s">
        <v>54</v>
      </c>
      <c r="Q1224" t="s">
        <v>69</v>
      </c>
    </row>
    <row r="1225" spans="1:17" x14ac:dyDescent="0.3">
      <c r="A1225" t="s">
        <v>5926</v>
      </c>
      <c r="B1225" t="s">
        <v>5927</v>
      </c>
      <c r="C1225">
        <v>60</v>
      </c>
      <c r="D1225" t="s">
        <v>5928</v>
      </c>
      <c r="E1225" t="s">
        <v>51</v>
      </c>
      <c r="F1225" s="86">
        <v>44298</v>
      </c>
      <c r="G1225" t="s">
        <v>2113</v>
      </c>
      <c r="H1225">
        <v>0</v>
      </c>
      <c r="I1225" t="s">
        <v>27</v>
      </c>
      <c r="J1225" t="s">
        <v>1459</v>
      </c>
      <c r="K1225">
        <v>212.95</v>
      </c>
      <c r="L1225">
        <v>3</v>
      </c>
      <c r="M1225">
        <v>22</v>
      </c>
      <c r="N1225" t="s">
        <v>56</v>
      </c>
      <c r="O1225" t="s">
        <v>418</v>
      </c>
      <c r="P1225" t="s">
        <v>56</v>
      </c>
      <c r="Q1225" t="s">
        <v>322</v>
      </c>
    </row>
    <row r="1226" spans="1:17" x14ac:dyDescent="0.3">
      <c r="A1226" t="s">
        <v>5930</v>
      </c>
      <c r="B1226" t="s">
        <v>5931</v>
      </c>
      <c r="C1226">
        <v>29</v>
      </c>
      <c r="D1226" t="s">
        <v>5932</v>
      </c>
      <c r="E1226" t="s">
        <v>88</v>
      </c>
      <c r="F1226" t="s">
        <v>5486</v>
      </c>
      <c r="G1226" s="86">
        <v>45117</v>
      </c>
      <c r="H1226">
        <v>3</v>
      </c>
      <c r="I1226" t="s">
        <v>27</v>
      </c>
      <c r="J1226" s="86">
        <v>45871</v>
      </c>
      <c r="K1226">
        <v>161.63999999999999</v>
      </c>
      <c r="L1226">
        <v>7</v>
      </c>
      <c r="M1226">
        <v>12</v>
      </c>
      <c r="N1226" t="s">
        <v>54</v>
      </c>
      <c r="O1226" t="s">
        <v>223</v>
      </c>
      <c r="P1226" t="s">
        <v>56</v>
      </c>
      <c r="Q1226" t="s">
        <v>32</v>
      </c>
    </row>
    <row r="1227" spans="1:17" x14ac:dyDescent="0.3">
      <c r="A1227" t="s">
        <v>5934</v>
      </c>
      <c r="B1227" t="s">
        <v>5935</v>
      </c>
      <c r="C1227">
        <v>36</v>
      </c>
      <c r="D1227" t="s">
        <v>5936</v>
      </c>
      <c r="E1227" t="s">
        <v>51</v>
      </c>
      <c r="F1227" s="86">
        <v>45145</v>
      </c>
      <c r="G1227" t="s">
        <v>364</v>
      </c>
      <c r="H1227">
        <v>0</v>
      </c>
      <c r="I1227" t="s">
        <v>27</v>
      </c>
      <c r="J1227" t="s">
        <v>5937</v>
      </c>
      <c r="K1227">
        <v>144.78</v>
      </c>
      <c r="L1227">
        <v>9</v>
      </c>
      <c r="M1227">
        <v>13</v>
      </c>
      <c r="N1227" t="s">
        <v>56</v>
      </c>
      <c r="O1227" t="s">
        <v>194</v>
      </c>
      <c r="P1227" t="s">
        <v>56</v>
      </c>
      <c r="Q1227" t="s">
        <v>32</v>
      </c>
    </row>
    <row r="1228" spans="1:17" x14ac:dyDescent="0.3">
      <c r="A1228" t="s">
        <v>5939</v>
      </c>
      <c r="B1228" t="s">
        <v>5940</v>
      </c>
      <c r="C1228">
        <v>25</v>
      </c>
      <c r="D1228" t="s">
        <v>5941</v>
      </c>
      <c r="E1228" t="s">
        <v>88</v>
      </c>
      <c r="F1228" t="s">
        <v>883</v>
      </c>
      <c r="G1228" s="86">
        <v>45627</v>
      </c>
      <c r="H1228">
        <v>5</v>
      </c>
      <c r="I1228" t="s">
        <v>27</v>
      </c>
      <c r="J1228" t="s">
        <v>1339</v>
      </c>
      <c r="K1228">
        <v>222.44</v>
      </c>
      <c r="L1228">
        <v>8</v>
      </c>
      <c r="M1228">
        <v>31</v>
      </c>
      <c r="N1228" t="s">
        <v>45</v>
      </c>
      <c r="O1228" t="s">
        <v>231</v>
      </c>
      <c r="P1228" t="s">
        <v>30</v>
      </c>
      <c r="Q1228" t="s">
        <v>32</v>
      </c>
    </row>
    <row r="1229" spans="1:17" x14ac:dyDescent="0.3">
      <c r="A1229" t="s">
        <v>5943</v>
      </c>
      <c r="B1229" t="s">
        <v>5944</v>
      </c>
      <c r="C1229">
        <v>52</v>
      </c>
      <c r="D1229" t="s">
        <v>5945</v>
      </c>
      <c r="E1229" t="s">
        <v>61</v>
      </c>
      <c r="F1229" t="s">
        <v>2152</v>
      </c>
      <c r="G1229" t="s">
        <v>3200</v>
      </c>
      <c r="H1229">
        <v>3</v>
      </c>
      <c r="I1229" t="s">
        <v>27</v>
      </c>
      <c r="J1229" t="s">
        <v>5946</v>
      </c>
      <c r="K1229">
        <v>29.69</v>
      </c>
      <c r="L1229">
        <v>7</v>
      </c>
      <c r="M1229">
        <v>48</v>
      </c>
      <c r="N1229" t="s">
        <v>45</v>
      </c>
      <c r="O1229" t="s">
        <v>373</v>
      </c>
      <c r="P1229" t="s">
        <v>54</v>
      </c>
      <c r="Q1229" t="s">
        <v>69</v>
      </c>
    </row>
    <row r="1230" spans="1:17" x14ac:dyDescent="0.3">
      <c r="A1230" t="s">
        <v>5948</v>
      </c>
      <c r="B1230" t="s">
        <v>5949</v>
      </c>
      <c r="C1230">
        <v>60</v>
      </c>
      <c r="D1230" t="s">
        <v>5950</v>
      </c>
      <c r="E1230" t="s">
        <v>88</v>
      </c>
      <c r="F1230" s="86">
        <v>45111</v>
      </c>
      <c r="G1230" t="s">
        <v>5448</v>
      </c>
      <c r="H1230">
        <v>0</v>
      </c>
      <c r="I1230" t="s">
        <v>27</v>
      </c>
      <c r="J1230" t="s">
        <v>530</v>
      </c>
      <c r="K1230">
        <v>101.16</v>
      </c>
      <c r="L1230">
        <v>8</v>
      </c>
      <c r="M1230">
        <v>35</v>
      </c>
      <c r="N1230" t="s">
        <v>45</v>
      </c>
      <c r="O1230" t="s">
        <v>855</v>
      </c>
      <c r="P1230" t="s">
        <v>45</v>
      </c>
      <c r="Q1230" t="s">
        <v>322</v>
      </c>
    </row>
    <row r="1231" spans="1:17" x14ac:dyDescent="0.3">
      <c r="A1231" t="s">
        <v>5952</v>
      </c>
      <c r="B1231" t="s">
        <v>5953</v>
      </c>
      <c r="C1231">
        <v>53</v>
      </c>
      <c r="D1231" t="s">
        <v>5954</v>
      </c>
      <c r="E1231" t="s">
        <v>95</v>
      </c>
      <c r="F1231" s="86">
        <v>44842</v>
      </c>
      <c r="G1231" t="s">
        <v>2983</v>
      </c>
      <c r="H1231">
        <v>5</v>
      </c>
      <c r="I1231" t="s">
        <v>27</v>
      </c>
      <c r="J1231" s="86">
        <v>44907</v>
      </c>
      <c r="K1231">
        <v>167.51</v>
      </c>
      <c r="L1231">
        <v>6</v>
      </c>
      <c r="M1231">
        <v>32</v>
      </c>
      <c r="N1231" t="s">
        <v>45</v>
      </c>
      <c r="O1231" t="s">
        <v>366</v>
      </c>
      <c r="P1231" t="s">
        <v>54</v>
      </c>
      <c r="Q1231" t="s">
        <v>32</v>
      </c>
    </row>
    <row r="1232" spans="1:17" x14ac:dyDescent="0.3">
      <c r="A1232" t="s">
        <v>5956</v>
      </c>
      <c r="B1232" t="s">
        <v>5957</v>
      </c>
      <c r="C1232">
        <v>46</v>
      </c>
      <c r="D1232" t="s">
        <v>5958</v>
      </c>
      <c r="E1232" t="s">
        <v>61</v>
      </c>
      <c r="F1232" t="s">
        <v>3001</v>
      </c>
      <c r="G1232" t="s">
        <v>1791</v>
      </c>
      <c r="H1232">
        <v>5</v>
      </c>
      <c r="I1232" t="s">
        <v>52</v>
      </c>
      <c r="J1232" t="s">
        <v>1971</v>
      </c>
      <c r="K1232">
        <v>108.05</v>
      </c>
      <c r="L1232">
        <v>3</v>
      </c>
      <c r="M1232">
        <v>48</v>
      </c>
      <c r="N1232" t="s">
        <v>45</v>
      </c>
      <c r="O1232" t="s">
        <v>142</v>
      </c>
      <c r="P1232" t="s">
        <v>68</v>
      </c>
      <c r="Q1232" t="s">
        <v>32</v>
      </c>
    </row>
    <row r="1233" spans="1:17" x14ac:dyDescent="0.3">
      <c r="A1233" t="s">
        <v>5960</v>
      </c>
      <c r="B1233" t="s">
        <v>5961</v>
      </c>
      <c r="C1233">
        <v>40</v>
      </c>
      <c r="D1233" t="s">
        <v>5962</v>
      </c>
      <c r="E1233" t="s">
        <v>51</v>
      </c>
      <c r="F1233" s="86">
        <v>44349</v>
      </c>
      <c r="G1233" t="s">
        <v>2625</v>
      </c>
      <c r="H1233">
        <v>0</v>
      </c>
      <c r="I1233" t="s">
        <v>64</v>
      </c>
      <c r="J1233" t="s">
        <v>670</v>
      </c>
      <c r="K1233">
        <v>332.43</v>
      </c>
      <c r="L1233">
        <v>6</v>
      </c>
      <c r="M1233">
        <v>38</v>
      </c>
      <c r="N1233" t="s">
        <v>54</v>
      </c>
      <c r="O1233" t="s">
        <v>157</v>
      </c>
      <c r="P1233" t="s">
        <v>68</v>
      </c>
      <c r="Q1233" t="s">
        <v>32</v>
      </c>
    </row>
    <row r="1234" spans="1:17" x14ac:dyDescent="0.3">
      <c r="A1234" t="s">
        <v>5964</v>
      </c>
      <c r="B1234" t="s">
        <v>5965</v>
      </c>
      <c r="C1234">
        <v>50</v>
      </c>
      <c r="D1234" t="s">
        <v>5966</v>
      </c>
      <c r="E1234" t="s">
        <v>61</v>
      </c>
      <c r="F1234" s="86">
        <v>44177</v>
      </c>
      <c r="G1234" t="s">
        <v>5967</v>
      </c>
      <c r="H1234">
        <v>0</v>
      </c>
      <c r="I1234" t="s">
        <v>27</v>
      </c>
      <c r="J1234" t="s">
        <v>723</v>
      </c>
      <c r="K1234">
        <v>680.64</v>
      </c>
      <c r="L1234">
        <v>2</v>
      </c>
      <c r="M1234">
        <v>5</v>
      </c>
      <c r="N1234" t="s">
        <v>56</v>
      </c>
      <c r="O1234" t="s">
        <v>624</v>
      </c>
      <c r="P1234" t="s">
        <v>30</v>
      </c>
      <c r="Q1234" t="s">
        <v>32</v>
      </c>
    </row>
    <row r="1235" spans="1:17" x14ac:dyDescent="0.3">
      <c r="A1235" t="s">
        <v>5969</v>
      </c>
      <c r="B1235" t="s">
        <v>5970</v>
      </c>
      <c r="C1235">
        <v>67</v>
      </c>
      <c r="D1235" t="s">
        <v>5971</v>
      </c>
      <c r="E1235" t="s">
        <v>25</v>
      </c>
      <c r="F1235" t="s">
        <v>41</v>
      </c>
      <c r="G1235" t="s">
        <v>4888</v>
      </c>
      <c r="H1235">
        <v>3</v>
      </c>
      <c r="I1235" t="s">
        <v>27</v>
      </c>
      <c r="J1235" t="s">
        <v>5972</v>
      </c>
      <c r="K1235">
        <v>255.08</v>
      </c>
      <c r="L1235">
        <v>7</v>
      </c>
      <c r="M1235">
        <v>36</v>
      </c>
      <c r="N1235" t="s">
        <v>30</v>
      </c>
      <c r="O1235" t="s">
        <v>169</v>
      </c>
      <c r="P1235" t="s">
        <v>30</v>
      </c>
      <c r="Q1235" t="s">
        <v>32</v>
      </c>
    </row>
    <row r="1236" spans="1:17" x14ac:dyDescent="0.3">
      <c r="A1236" t="s">
        <v>5974</v>
      </c>
      <c r="B1236" t="s">
        <v>5975</v>
      </c>
      <c r="C1236">
        <v>34</v>
      </c>
      <c r="D1236" t="s">
        <v>5976</v>
      </c>
      <c r="E1236" t="s">
        <v>88</v>
      </c>
      <c r="F1236" t="s">
        <v>5977</v>
      </c>
      <c r="G1236" t="s">
        <v>4998</v>
      </c>
      <c r="H1236">
        <v>5</v>
      </c>
      <c r="I1236" t="s">
        <v>27</v>
      </c>
      <c r="J1236" s="86">
        <v>45361</v>
      </c>
      <c r="K1236">
        <v>114.89</v>
      </c>
      <c r="L1236">
        <v>7</v>
      </c>
      <c r="M1236">
        <v>27</v>
      </c>
      <c r="N1236" t="s">
        <v>56</v>
      </c>
      <c r="O1236" t="s">
        <v>855</v>
      </c>
      <c r="P1236" t="s">
        <v>45</v>
      </c>
      <c r="Q1236" t="s">
        <v>32</v>
      </c>
    </row>
    <row r="1237" spans="1:17" x14ac:dyDescent="0.3">
      <c r="A1237" t="s">
        <v>5979</v>
      </c>
      <c r="B1237" t="s">
        <v>5980</v>
      </c>
      <c r="C1237">
        <v>44</v>
      </c>
      <c r="D1237" t="s">
        <v>5981</v>
      </c>
      <c r="E1237" t="s">
        <v>88</v>
      </c>
      <c r="F1237" s="86">
        <v>44813</v>
      </c>
      <c r="G1237" t="s">
        <v>2685</v>
      </c>
      <c r="H1237">
        <v>1</v>
      </c>
      <c r="I1237" t="s">
        <v>27</v>
      </c>
      <c r="J1237" t="s">
        <v>1541</v>
      </c>
      <c r="K1237">
        <v>192.6</v>
      </c>
      <c r="L1237">
        <v>6</v>
      </c>
      <c r="M1237">
        <v>17</v>
      </c>
      <c r="N1237" t="s">
        <v>30</v>
      </c>
      <c r="O1237" t="s">
        <v>175</v>
      </c>
      <c r="P1237" t="s">
        <v>56</v>
      </c>
      <c r="Q1237" t="s">
        <v>32</v>
      </c>
    </row>
    <row r="1238" spans="1:17" x14ac:dyDescent="0.3">
      <c r="A1238" t="s">
        <v>5983</v>
      </c>
      <c r="B1238" t="s">
        <v>5984</v>
      </c>
      <c r="C1238">
        <v>63</v>
      </c>
      <c r="D1238" t="s">
        <v>5985</v>
      </c>
      <c r="E1238" t="s">
        <v>61</v>
      </c>
      <c r="F1238" t="s">
        <v>1148</v>
      </c>
      <c r="G1238" s="86">
        <v>45417</v>
      </c>
      <c r="H1238">
        <v>1</v>
      </c>
      <c r="I1238" t="s">
        <v>52</v>
      </c>
      <c r="J1238" s="86">
        <v>44903</v>
      </c>
      <c r="K1238">
        <v>138.94</v>
      </c>
      <c r="L1238">
        <v>3</v>
      </c>
      <c r="M1238">
        <v>27</v>
      </c>
      <c r="N1238" t="s">
        <v>68</v>
      </c>
      <c r="O1238" t="s">
        <v>77</v>
      </c>
      <c r="P1238" t="s">
        <v>54</v>
      </c>
      <c r="Q1238" t="s">
        <v>32</v>
      </c>
    </row>
    <row r="1239" spans="1:17" x14ac:dyDescent="0.3">
      <c r="A1239" t="s">
        <v>5987</v>
      </c>
      <c r="B1239" t="s">
        <v>5988</v>
      </c>
      <c r="C1239">
        <v>49</v>
      </c>
      <c r="D1239" t="s">
        <v>5989</v>
      </c>
      <c r="E1239" t="s">
        <v>88</v>
      </c>
      <c r="F1239" s="86">
        <v>44442</v>
      </c>
      <c r="G1239" t="s">
        <v>3525</v>
      </c>
      <c r="H1239">
        <v>4</v>
      </c>
      <c r="I1239" t="s">
        <v>27</v>
      </c>
      <c r="J1239" s="86">
        <v>45724</v>
      </c>
      <c r="K1239">
        <v>1427.64</v>
      </c>
      <c r="L1239">
        <v>1</v>
      </c>
      <c r="M1239">
        <v>7</v>
      </c>
      <c r="N1239" t="s">
        <v>30</v>
      </c>
      <c r="O1239" t="s">
        <v>31</v>
      </c>
      <c r="P1239" t="s">
        <v>30</v>
      </c>
      <c r="Q1239" t="s">
        <v>32</v>
      </c>
    </row>
    <row r="1240" spans="1:17" x14ac:dyDescent="0.3">
      <c r="A1240" t="s">
        <v>5991</v>
      </c>
      <c r="B1240" t="s">
        <v>5992</v>
      </c>
      <c r="C1240">
        <v>51</v>
      </c>
      <c r="D1240" t="s">
        <v>5993</v>
      </c>
      <c r="E1240" t="s">
        <v>51</v>
      </c>
      <c r="F1240" t="s">
        <v>5589</v>
      </c>
      <c r="G1240" t="s">
        <v>1313</v>
      </c>
      <c r="H1240">
        <v>4</v>
      </c>
      <c r="I1240" t="s">
        <v>64</v>
      </c>
      <c r="J1240" s="86">
        <v>45573</v>
      </c>
      <c r="K1240">
        <v>24.99</v>
      </c>
      <c r="L1240">
        <v>7</v>
      </c>
      <c r="M1240">
        <v>18</v>
      </c>
      <c r="N1240" t="s">
        <v>30</v>
      </c>
      <c r="O1240" t="s">
        <v>223</v>
      </c>
      <c r="P1240" t="s">
        <v>56</v>
      </c>
      <c r="Q1240" t="s">
        <v>32</v>
      </c>
    </row>
    <row r="1241" spans="1:17" x14ac:dyDescent="0.3">
      <c r="A1241" t="s">
        <v>5995</v>
      </c>
      <c r="B1241" t="s">
        <v>5996</v>
      </c>
      <c r="C1241">
        <v>29</v>
      </c>
      <c r="D1241" t="s">
        <v>5997</v>
      </c>
      <c r="E1241" t="s">
        <v>61</v>
      </c>
      <c r="F1241" t="s">
        <v>2588</v>
      </c>
      <c r="G1241" t="s">
        <v>1791</v>
      </c>
      <c r="H1241">
        <v>5</v>
      </c>
      <c r="I1241" t="s">
        <v>27</v>
      </c>
      <c r="J1241" t="s">
        <v>107</v>
      </c>
      <c r="K1241">
        <v>61.64</v>
      </c>
      <c r="L1241">
        <v>3</v>
      </c>
      <c r="M1241">
        <v>28</v>
      </c>
      <c r="N1241" t="s">
        <v>30</v>
      </c>
      <c r="O1241" t="s">
        <v>128</v>
      </c>
      <c r="P1241" t="s">
        <v>54</v>
      </c>
      <c r="Q1241" t="s">
        <v>69</v>
      </c>
    </row>
    <row r="1242" spans="1:17" x14ac:dyDescent="0.3">
      <c r="A1242" t="s">
        <v>5999</v>
      </c>
      <c r="B1242" t="s">
        <v>6000</v>
      </c>
      <c r="C1242">
        <v>44</v>
      </c>
      <c r="D1242" t="s">
        <v>6001</v>
      </c>
      <c r="E1242" t="s">
        <v>88</v>
      </c>
      <c r="F1242" s="86">
        <v>44600</v>
      </c>
      <c r="G1242" s="86">
        <v>45449</v>
      </c>
      <c r="H1242">
        <v>1</v>
      </c>
      <c r="I1242" t="s">
        <v>27</v>
      </c>
      <c r="J1242" s="86">
        <v>45635</v>
      </c>
      <c r="K1242">
        <v>537.05999999999995</v>
      </c>
      <c r="L1242">
        <v>2</v>
      </c>
      <c r="M1242">
        <v>39</v>
      </c>
      <c r="N1242" t="s">
        <v>30</v>
      </c>
      <c r="O1242" t="s">
        <v>31</v>
      </c>
      <c r="P1242" t="s">
        <v>30</v>
      </c>
      <c r="Q1242" t="s">
        <v>69</v>
      </c>
    </row>
    <row r="1243" spans="1:17" x14ac:dyDescent="0.3">
      <c r="A1243" t="s">
        <v>6003</v>
      </c>
      <c r="B1243" t="s">
        <v>6004</v>
      </c>
      <c r="C1243">
        <v>55</v>
      </c>
      <c r="D1243" t="s">
        <v>6005</v>
      </c>
      <c r="E1243" t="s">
        <v>88</v>
      </c>
      <c r="F1243" s="86">
        <v>44258</v>
      </c>
      <c r="G1243" s="86">
        <v>44571</v>
      </c>
      <c r="H1243">
        <v>0</v>
      </c>
      <c r="I1243" t="s">
        <v>27</v>
      </c>
      <c r="J1243" t="s">
        <v>4664</v>
      </c>
      <c r="K1243">
        <v>212.08</v>
      </c>
      <c r="L1243">
        <v>4</v>
      </c>
      <c r="M1243">
        <v>16</v>
      </c>
      <c r="N1243" t="s">
        <v>54</v>
      </c>
      <c r="O1243" t="s">
        <v>157</v>
      </c>
      <c r="P1243" t="s">
        <v>68</v>
      </c>
      <c r="Q1243" t="s">
        <v>32</v>
      </c>
    </row>
    <row r="1244" spans="1:17" x14ac:dyDescent="0.3">
      <c r="A1244" t="s">
        <v>6007</v>
      </c>
      <c r="B1244" t="s">
        <v>6008</v>
      </c>
      <c r="C1244">
        <v>41</v>
      </c>
      <c r="D1244" t="s">
        <v>6009</v>
      </c>
      <c r="E1244" t="s">
        <v>51</v>
      </c>
      <c r="F1244" t="s">
        <v>773</v>
      </c>
      <c r="G1244" s="86">
        <v>45841</v>
      </c>
      <c r="H1244">
        <v>4</v>
      </c>
      <c r="I1244" t="s">
        <v>27</v>
      </c>
      <c r="J1244" t="s">
        <v>1737</v>
      </c>
      <c r="K1244">
        <v>243.58</v>
      </c>
      <c r="L1244">
        <v>4</v>
      </c>
      <c r="M1244">
        <v>14</v>
      </c>
      <c r="N1244" t="s">
        <v>30</v>
      </c>
      <c r="O1244" t="s">
        <v>418</v>
      </c>
      <c r="P1244" t="s">
        <v>56</v>
      </c>
      <c r="Q1244" t="s">
        <v>32</v>
      </c>
    </row>
    <row r="1245" spans="1:17" x14ac:dyDescent="0.3">
      <c r="A1245" t="s">
        <v>6011</v>
      </c>
      <c r="B1245" t="s">
        <v>6012</v>
      </c>
      <c r="C1245">
        <v>26</v>
      </c>
      <c r="D1245" t="s">
        <v>6013</v>
      </c>
      <c r="E1245" t="s">
        <v>95</v>
      </c>
      <c r="F1245" s="86">
        <v>44875</v>
      </c>
      <c r="G1245" s="86">
        <v>45296</v>
      </c>
      <c r="H1245">
        <v>3</v>
      </c>
      <c r="I1245" t="s">
        <v>27</v>
      </c>
      <c r="J1245" s="86">
        <v>44988</v>
      </c>
      <c r="K1245">
        <v>992.4</v>
      </c>
      <c r="L1245">
        <v>2</v>
      </c>
      <c r="M1245">
        <v>10</v>
      </c>
      <c r="N1245" t="s">
        <v>54</v>
      </c>
      <c r="O1245" t="s">
        <v>366</v>
      </c>
      <c r="P1245" t="s">
        <v>54</v>
      </c>
      <c r="Q1245" t="s">
        <v>32</v>
      </c>
    </row>
    <row r="1246" spans="1:17" x14ac:dyDescent="0.3">
      <c r="A1246" t="s">
        <v>6015</v>
      </c>
      <c r="B1246" t="s">
        <v>6016</v>
      </c>
      <c r="C1246">
        <v>18</v>
      </c>
      <c r="D1246" t="s">
        <v>6017</v>
      </c>
      <c r="E1246" t="s">
        <v>88</v>
      </c>
      <c r="F1246" t="s">
        <v>3272</v>
      </c>
      <c r="G1246" s="86">
        <v>45301</v>
      </c>
      <c r="H1246">
        <v>5</v>
      </c>
      <c r="I1246" t="s">
        <v>27</v>
      </c>
      <c r="J1246" t="s">
        <v>2430</v>
      </c>
      <c r="K1246">
        <v>610.13</v>
      </c>
      <c r="L1246">
        <v>1</v>
      </c>
      <c r="M1246">
        <v>20</v>
      </c>
      <c r="N1246" t="s">
        <v>54</v>
      </c>
      <c r="O1246" t="s">
        <v>175</v>
      </c>
      <c r="P1246" t="s">
        <v>56</v>
      </c>
      <c r="Q1246" t="s">
        <v>69</v>
      </c>
    </row>
    <row r="1247" spans="1:17" x14ac:dyDescent="0.3">
      <c r="A1247" t="s">
        <v>6019</v>
      </c>
      <c r="B1247" t="s">
        <v>6020</v>
      </c>
      <c r="C1247">
        <v>55</v>
      </c>
      <c r="D1247" t="s">
        <v>6021</v>
      </c>
      <c r="E1247" t="s">
        <v>25</v>
      </c>
      <c r="F1247" t="s">
        <v>6022</v>
      </c>
      <c r="G1247" t="s">
        <v>1811</v>
      </c>
      <c r="H1247">
        <v>3</v>
      </c>
      <c r="I1247" t="s">
        <v>27</v>
      </c>
      <c r="J1247" s="86">
        <v>45116</v>
      </c>
      <c r="K1247">
        <v>61.51</v>
      </c>
      <c r="L1247">
        <v>9</v>
      </c>
      <c r="M1247">
        <v>7</v>
      </c>
      <c r="N1247" t="s">
        <v>54</v>
      </c>
      <c r="O1247" t="s">
        <v>109</v>
      </c>
      <c r="P1247" t="s">
        <v>68</v>
      </c>
      <c r="Q1247" t="s">
        <v>32</v>
      </c>
    </row>
    <row r="1248" spans="1:17" x14ac:dyDescent="0.3">
      <c r="A1248" t="s">
        <v>6024</v>
      </c>
      <c r="B1248" t="s">
        <v>6025</v>
      </c>
      <c r="C1248">
        <v>36</v>
      </c>
      <c r="D1248" t="s">
        <v>6026</v>
      </c>
      <c r="E1248" t="s">
        <v>88</v>
      </c>
      <c r="F1248" t="s">
        <v>2207</v>
      </c>
      <c r="G1248" t="s">
        <v>2236</v>
      </c>
      <c r="H1248">
        <v>3</v>
      </c>
      <c r="I1248" t="s">
        <v>52</v>
      </c>
      <c r="J1248" t="s">
        <v>409</v>
      </c>
      <c r="K1248">
        <v>699.76</v>
      </c>
      <c r="L1248">
        <v>2</v>
      </c>
      <c r="M1248">
        <v>28</v>
      </c>
      <c r="N1248" t="s">
        <v>54</v>
      </c>
      <c r="O1248" t="s">
        <v>604</v>
      </c>
      <c r="P1248" t="s">
        <v>45</v>
      </c>
      <c r="Q1248" t="s">
        <v>32</v>
      </c>
    </row>
    <row r="1249" spans="1:17" x14ac:dyDescent="0.3">
      <c r="A1249" t="s">
        <v>6028</v>
      </c>
      <c r="B1249" t="s">
        <v>6029</v>
      </c>
      <c r="C1249">
        <v>60</v>
      </c>
      <c r="D1249" t="s">
        <v>6030</v>
      </c>
      <c r="E1249" t="s">
        <v>61</v>
      </c>
      <c r="F1249" t="s">
        <v>6031</v>
      </c>
      <c r="G1249" s="86">
        <v>45843</v>
      </c>
      <c r="H1249">
        <v>0</v>
      </c>
      <c r="I1249" t="s">
        <v>27</v>
      </c>
      <c r="J1249" t="s">
        <v>4812</v>
      </c>
      <c r="K1249">
        <v>1111.6600000000001</v>
      </c>
      <c r="L1249">
        <v>1</v>
      </c>
      <c r="M1249">
        <v>8</v>
      </c>
      <c r="N1249" t="s">
        <v>68</v>
      </c>
      <c r="O1249" t="s">
        <v>116</v>
      </c>
      <c r="P1249" t="s">
        <v>54</v>
      </c>
      <c r="Q1249" t="s">
        <v>69</v>
      </c>
    </row>
    <row r="1250" spans="1:17" x14ac:dyDescent="0.3">
      <c r="A1250" t="s">
        <v>6033</v>
      </c>
      <c r="B1250" t="s">
        <v>6034</v>
      </c>
      <c r="C1250">
        <v>46</v>
      </c>
      <c r="D1250" t="s">
        <v>6035</v>
      </c>
      <c r="E1250" t="s">
        <v>61</v>
      </c>
      <c r="F1250" t="s">
        <v>3948</v>
      </c>
      <c r="G1250" t="s">
        <v>1983</v>
      </c>
      <c r="H1250">
        <v>3</v>
      </c>
      <c r="I1250" t="s">
        <v>27</v>
      </c>
      <c r="J1250" s="86">
        <v>44967</v>
      </c>
      <c r="K1250">
        <v>43.79</v>
      </c>
      <c r="L1250">
        <v>9</v>
      </c>
      <c r="M1250">
        <v>5</v>
      </c>
      <c r="N1250" t="s">
        <v>45</v>
      </c>
      <c r="O1250" t="s">
        <v>425</v>
      </c>
      <c r="P1250" t="s">
        <v>30</v>
      </c>
      <c r="Q1250" t="s">
        <v>69</v>
      </c>
    </row>
    <row r="1251" spans="1:17" x14ac:dyDescent="0.3">
      <c r="A1251" t="s">
        <v>6037</v>
      </c>
      <c r="B1251" t="s">
        <v>6038</v>
      </c>
      <c r="C1251">
        <v>49</v>
      </c>
      <c r="D1251" t="s">
        <v>6039</v>
      </c>
      <c r="E1251" t="s">
        <v>88</v>
      </c>
      <c r="F1251" s="86">
        <v>44775</v>
      </c>
      <c r="G1251" s="86">
        <v>44965</v>
      </c>
      <c r="H1251">
        <v>4</v>
      </c>
      <c r="I1251" t="s">
        <v>52</v>
      </c>
      <c r="J1251" t="s">
        <v>6040</v>
      </c>
      <c r="K1251">
        <v>27.02</v>
      </c>
      <c r="L1251">
        <v>6</v>
      </c>
      <c r="M1251">
        <v>35</v>
      </c>
      <c r="N1251" t="s">
        <v>45</v>
      </c>
      <c r="O1251" t="s">
        <v>77</v>
      </c>
      <c r="P1251" t="s">
        <v>54</v>
      </c>
      <c r="Q1251" t="s">
        <v>69</v>
      </c>
    </row>
    <row r="1252" spans="1:17" x14ac:dyDescent="0.3">
      <c r="A1252" t="s">
        <v>6042</v>
      </c>
      <c r="B1252" t="s">
        <v>6043</v>
      </c>
      <c r="C1252">
        <v>48</v>
      </c>
      <c r="D1252" t="s">
        <v>6044</v>
      </c>
      <c r="E1252" t="s">
        <v>95</v>
      </c>
      <c r="F1252" s="86">
        <v>44541</v>
      </c>
      <c r="G1252" s="86">
        <v>45053</v>
      </c>
      <c r="H1252">
        <v>1</v>
      </c>
      <c r="I1252" t="s">
        <v>27</v>
      </c>
      <c r="J1252" s="86">
        <v>44780</v>
      </c>
      <c r="K1252">
        <v>124.78</v>
      </c>
      <c r="L1252">
        <v>4</v>
      </c>
      <c r="M1252">
        <v>10</v>
      </c>
      <c r="N1252" t="s">
        <v>54</v>
      </c>
      <c r="O1252" t="s">
        <v>169</v>
      </c>
      <c r="P1252" t="s">
        <v>30</v>
      </c>
      <c r="Q1252" t="s">
        <v>69</v>
      </c>
    </row>
    <row r="1253" spans="1:17" x14ac:dyDescent="0.3">
      <c r="A1253" t="s">
        <v>6046</v>
      </c>
      <c r="B1253" t="s">
        <v>6047</v>
      </c>
      <c r="C1253">
        <v>58</v>
      </c>
      <c r="D1253" t="s">
        <v>6048</v>
      </c>
      <c r="E1253" t="s">
        <v>40</v>
      </c>
      <c r="F1253" s="86">
        <v>43991</v>
      </c>
      <c r="G1253" t="s">
        <v>1148</v>
      </c>
      <c r="H1253">
        <v>4</v>
      </c>
      <c r="I1253" t="s">
        <v>52</v>
      </c>
      <c r="J1253" s="86">
        <v>45694</v>
      </c>
      <c r="K1253">
        <v>169.03</v>
      </c>
      <c r="L1253">
        <v>6</v>
      </c>
      <c r="M1253">
        <v>44</v>
      </c>
      <c r="N1253" t="s">
        <v>68</v>
      </c>
      <c r="O1253" t="s">
        <v>169</v>
      </c>
      <c r="P1253" t="s">
        <v>30</v>
      </c>
      <c r="Q1253" t="s">
        <v>32</v>
      </c>
    </row>
    <row r="1254" spans="1:17" x14ac:dyDescent="0.3">
      <c r="A1254" t="s">
        <v>6050</v>
      </c>
      <c r="B1254" t="s">
        <v>6051</v>
      </c>
      <c r="C1254">
        <v>26</v>
      </c>
      <c r="D1254" t="s">
        <v>6052</v>
      </c>
      <c r="E1254" t="s">
        <v>25</v>
      </c>
      <c r="F1254" s="86">
        <v>44323</v>
      </c>
      <c r="G1254" t="s">
        <v>2241</v>
      </c>
      <c r="H1254">
        <v>1</v>
      </c>
      <c r="I1254" t="s">
        <v>27</v>
      </c>
      <c r="J1254" s="86">
        <v>45424</v>
      </c>
      <c r="K1254">
        <v>133.46</v>
      </c>
      <c r="L1254">
        <v>2</v>
      </c>
      <c r="M1254">
        <v>39</v>
      </c>
      <c r="N1254" t="s">
        <v>30</v>
      </c>
      <c r="O1254" t="s">
        <v>223</v>
      </c>
      <c r="P1254" t="s">
        <v>56</v>
      </c>
      <c r="Q1254" t="s">
        <v>69</v>
      </c>
    </row>
    <row r="1255" spans="1:17" x14ac:dyDescent="0.3">
      <c r="A1255" t="s">
        <v>6054</v>
      </c>
      <c r="B1255" t="s">
        <v>6055</v>
      </c>
      <c r="C1255">
        <v>42</v>
      </c>
      <c r="D1255" t="s">
        <v>6056</v>
      </c>
      <c r="E1255" t="s">
        <v>51</v>
      </c>
      <c r="F1255" s="86">
        <v>44477</v>
      </c>
      <c r="G1255" s="86">
        <v>45176</v>
      </c>
      <c r="H1255">
        <v>2</v>
      </c>
      <c r="I1255" t="s">
        <v>27</v>
      </c>
      <c r="J1255" s="86">
        <v>45363</v>
      </c>
      <c r="K1255">
        <v>4.87</v>
      </c>
      <c r="L1255">
        <v>8</v>
      </c>
      <c r="M1255">
        <v>19</v>
      </c>
      <c r="N1255" t="s">
        <v>45</v>
      </c>
      <c r="O1255" t="s">
        <v>31</v>
      </c>
      <c r="P1255" t="s">
        <v>30</v>
      </c>
      <c r="Q1255" t="s">
        <v>32</v>
      </c>
    </row>
    <row r="1256" spans="1:17" x14ac:dyDescent="0.3">
      <c r="A1256" t="s">
        <v>6058</v>
      </c>
      <c r="B1256" t="s">
        <v>6059</v>
      </c>
      <c r="C1256">
        <v>54</v>
      </c>
      <c r="D1256" t="s">
        <v>6060</v>
      </c>
      <c r="E1256" t="s">
        <v>25</v>
      </c>
      <c r="F1256" t="s">
        <v>980</v>
      </c>
      <c r="G1256" t="s">
        <v>584</v>
      </c>
      <c r="H1256">
        <v>4</v>
      </c>
      <c r="I1256" t="s">
        <v>64</v>
      </c>
      <c r="J1256" t="s">
        <v>1318</v>
      </c>
      <c r="K1256">
        <v>526.33000000000004</v>
      </c>
      <c r="L1256">
        <v>1</v>
      </c>
      <c r="M1256">
        <v>33</v>
      </c>
      <c r="N1256" t="s">
        <v>45</v>
      </c>
      <c r="O1256" t="s">
        <v>67</v>
      </c>
      <c r="P1256" t="s">
        <v>68</v>
      </c>
      <c r="Q1256" t="s">
        <v>32</v>
      </c>
    </row>
    <row r="1257" spans="1:17" x14ac:dyDescent="0.3">
      <c r="A1257" t="s">
        <v>6062</v>
      </c>
      <c r="B1257" t="s">
        <v>6063</v>
      </c>
      <c r="C1257">
        <v>51</v>
      </c>
      <c r="D1257" t="s">
        <v>6064</v>
      </c>
      <c r="E1257" t="s">
        <v>61</v>
      </c>
      <c r="F1257" s="86">
        <v>44474</v>
      </c>
      <c r="G1257" s="86">
        <v>44874</v>
      </c>
      <c r="H1257">
        <v>2</v>
      </c>
      <c r="I1257" t="s">
        <v>52</v>
      </c>
      <c r="J1257" s="86">
        <v>44572</v>
      </c>
      <c r="K1257">
        <v>654.83000000000004</v>
      </c>
      <c r="L1257">
        <v>3</v>
      </c>
      <c r="M1257">
        <v>19</v>
      </c>
      <c r="N1257" t="s">
        <v>30</v>
      </c>
      <c r="O1257" t="s">
        <v>122</v>
      </c>
      <c r="P1257" t="s">
        <v>30</v>
      </c>
      <c r="Q1257" t="s">
        <v>32</v>
      </c>
    </row>
    <row r="1258" spans="1:17" x14ac:dyDescent="0.3">
      <c r="A1258" t="s">
        <v>6066</v>
      </c>
      <c r="B1258" t="s">
        <v>6067</v>
      </c>
      <c r="C1258">
        <v>28</v>
      </c>
      <c r="D1258" t="s">
        <v>6068</v>
      </c>
      <c r="E1258" t="s">
        <v>88</v>
      </c>
      <c r="F1258" t="s">
        <v>550</v>
      </c>
      <c r="G1258" s="86">
        <v>44632</v>
      </c>
      <c r="H1258">
        <v>0</v>
      </c>
      <c r="I1258" t="s">
        <v>27</v>
      </c>
      <c r="J1258" s="86">
        <v>45840</v>
      </c>
      <c r="K1258">
        <v>328.15</v>
      </c>
      <c r="L1258">
        <v>3</v>
      </c>
      <c r="M1258">
        <v>39</v>
      </c>
      <c r="N1258" t="s">
        <v>56</v>
      </c>
      <c r="O1258" t="s">
        <v>142</v>
      </c>
      <c r="P1258" t="s">
        <v>68</v>
      </c>
      <c r="Q1258" t="s">
        <v>32</v>
      </c>
    </row>
    <row r="1259" spans="1:17" x14ac:dyDescent="0.3">
      <c r="A1259" t="s">
        <v>6070</v>
      </c>
      <c r="B1259" t="s">
        <v>6071</v>
      </c>
      <c r="C1259">
        <v>56</v>
      </c>
      <c r="D1259" t="s">
        <v>6072</v>
      </c>
      <c r="E1259" t="s">
        <v>25</v>
      </c>
      <c r="F1259" s="86">
        <v>44174</v>
      </c>
      <c r="G1259" t="s">
        <v>2323</v>
      </c>
      <c r="H1259">
        <v>2</v>
      </c>
      <c r="I1259" t="s">
        <v>52</v>
      </c>
      <c r="J1259" t="s">
        <v>3856</v>
      </c>
      <c r="K1259">
        <v>106.11</v>
      </c>
      <c r="L1259">
        <v>4</v>
      </c>
      <c r="M1259">
        <v>6</v>
      </c>
      <c r="N1259" t="s">
        <v>45</v>
      </c>
      <c r="O1259" t="s">
        <v>175</v>
      </c>
      <c r="P1259" t="s">
        <v>56</v>
      </c>
      <c r="Q1259" t="s">
        <v>69</v>
      </c>
    </row>
    <row r="1260" spans="1:17" x14ac:dyDescent="0.3">
      <c r="A1260" t="s">
        <v>6074</v>
      </c>
      <c r="B1260" t="s">
        <v>6075</v>
      </c>
      <c r="C1260">
        <v>46</v>
      </c>
      <c r="D1260" t="s">
        <v>6076</v>
      </c>
      <c r="E1260" t="s">
        <v>25</v>
      </c>
      <c r="F1260" t="s">
        <v>6077</v>
      </c>
      <c r="G1260" t="s">
        <v>784</v>
      </c>
      <c r="H1260">
        <v>3</v>
      </c>
      <c r="I1260" t="s">
        <v>27</v>
      </c>
      <c r="J1260" t="s">
        <v>1106</v>
      </c>
      <c r="K1260">
        <v>102.14</v>
      </c>
      <c r="L1260">
        <v>3</v>
      </c>
      <c r="M1260">
        <v>17</v>
      </c>
      <c r="N1260" t="s">
        <v>68</v>
      </c>
      <c r="O1260" t="s">
        <v>604</v>
      </c>
      <c r="P1260" t="s">
        <v>45</v>
      </c>
      <c r="Q1260" t="s">
        <v>69</v>
      </c>
    </row>
    <row r="1261" spans="1:17" x14ac:dyDescent="0.3">
      <c r="A1261" t="s">
        <v>6079</v>
      </c>
      <c r="B1261" t="s">
        <v>6080</v>
      </c>
      <c r="C1261">
        <v>39</v>
      </c>
      <c r="D1261" t="s">
        <v>6081</v>
      </c>
      <c r="E1261" t="s">
        <v>88</v>
      </c>
      <c r="F1261" t="s">
        <v>2988</v>
      </c>
      <c r="G1261" t="s">
        <v>3832</v>
      </c>
      <c r="H1261">
        <v>0</v>
      </c>
      <c r="I1261" t="s">
        <v>27</v>
      </c>
      <c r="J1261" s="86">
        <v>45139</v>
      </c>
      <c r="K1261">
        <v>194.13</v>
      </c>
      <c r="L1261">
        <v>7</v>
      </c>
      <c r="M1261">
        <v>39</v>
      </c>
      <c r="N1261" t="s">
        <v>56</v>
      </c>
      <c r="O1261" t="s">
        <v>251</v>
      </c>
      <c r="P1261" t="s">
        <v>30</v>
      </c>
      <c r="Q1261" t="s">
        <v>69</v>
      </c>
    </row>
    <row r="1262" spans="1:17" x14ac:dyDescent="0.3">
      <c r="A1262" t="s">
        <v>6083</v>
      </c>
      <c r="B1262" t="s">
        <v>6084</v>
      </c>
      <c r="C1262">
        <v>50</v>
      </c>
      <c r="D1262" t="s">
        <v>6085</v>
      </c>
      <c r="E1262" t="s">
        <v>88</v>
      </c>
      <c r="F1262" t="s">
        <v>6086</v>
      </c>
      <c r="G1262" s="86">
        <v>45239</v>
      </c>
      <c r="H1262">
        <v>5</v>
      </c>
      <c r="I1262" t="s">
        <v>27</v>
      </c>
      <c r="J1262" s="86">
        <v>45323</v>
      </c>
      <c r="K1262">
        <v>193.65</v>
      </c>
      <c r="L1262">
        <v>6</v>
      </c>
      <c r="M1262">
        <v>4</v>
      </c>
      <c r="N1262" t="s">
        <v>68</v>
      </c>
      <c r="O1262" t="s">
        <v>122</v>
      </c>
      <c r="P1262" t="s">
        <v>30</v>
      </c>
      <c r="Q1262" t="s">
        <v>69</v>
      </c>
    </row>
    <row r="1263" spans="1:17" x14ac:dyDescent="0.3">
      <c r="A1263" t="s">
        <v>6088</v>
      </c>
      <c r="B1263" t="s">
        <v>6089</v>
      </c>
      <c r="C1263">
        <v>50</v>
      </c>
      <c r="D1263" t="s">
        <v>6090</v>
      </c>
      <c r="E1263" t="s">
        <v>95</v>
      </c>
      <c r="F1263" s="86">
        <v>45232</v>
      </c>
      <c r="G1263" t="s">
        <v>1402</v>
      </c>
      <c r="H1263">
        <v>2</v>
      </c>
      <c r="I1263" t="s">
        <v>27</v>
      </c>
      <c r="J1263" t="s">
        <v>410</v>
      </c>
      <c r="K1263">
        <v>35.03</v>
      </c>
      <c r="L1263">
        <v>6</v>
      </c>
      <c r="M1263">
        <v>47</v>
      </c>
      <c r="N1263" t="s">
        <v>56</v>
      </c>
      <c r="O1263" t="s">
        <v>142</v>
      </c>
      <c r="P1263" t="s">
        <v>68</v>
      </c>
      <c r="Q1263" t="s">
        <v>32</v>
      </c>
    </row>
    <row r="1264" spans="1:17" x14ac:dyDescent="0.3">
      <c r="A1264" t="s">
        <v>6092</v>
      </c>
      <c r="B1264" t="s">
        <v>6093</v>
      </c>
      <c r="C1264">
        <v>58</v>
      </c>
      <c r="D1264" t="s">
        <v>6094</v>
      </c>
      <c r="E1264" t="s">
        <v>40</v>
      </c>
      <c r="F1264" t="s">
        <v>6095</v>
      </c>
      <c r="G1264" s="86">
        <v>44936</v>
      </c>
      <c r="H1264">
        <v>0</v>
      </c>
      <c r="I1264" t="s">
        <v>64</v>
      </c>
      <c r="J1264" s="86">
        <v>45264</v>
      </c>
      <c r="K1264">
        <v>30.41</v>
      </c>
      <c r="L1264">
        <v>3</v>
      </c>
      <c r="M1264">
        <v>29</v>
      </c>
      <c r="N1264" t="s">
        <v>56</v>
      </c>
      <c r="O1264" t="s">
        <v>44</v>
      </c>
      <c r="P1264" t="s">
        <v>45</v>
      </c>
      <c r="Q1264" t="s">
        <v>69</v>
      </c>
    </row>
    <row r="1265" spans="1:17" x14ac:dyDescent="0.3">
      <c r="A1265" t="s">
        <v>6097</v>
      </c>
      <c r="B1265" t="s">
        <v>6098</v>
      </c>
      <c r="C1265">
        <v>19</v>
      </c>
      <c r="D1265" t="s">
        <v>6099</v>
      </c>
      <c r="E1265" t="s">
        <v>95</v>
      </c>
      <c r="F1265" s="86">
        <v>45233</v>
      </c>
      <c r="G1265" s="86">
        <v>45812</v>
      </c>
      <c r="H1265">
        <v>3</v>
      </c>
      <c r="I1265" t="s">
        <v>64</v>
      </c>
      <c r="J1265" s="86">
        <v>45384</v>
      </c>
      <c r="K1265">
        <v>375.98</v>
      </c>
      <c r="L1265">
        <v>3</v>
      </c>
      <c r="M1265">
        <v>38</v>
      </c>
      <c r="N1265" t="s">
        <v>54</v>
      </c>
      <c r="O1265" t="s">
        <v>169</v>
      </c>
      <c r="P1265" t="s">
        <v>30</v>
      </c>
      <c r="Q1265" t="s">
        <v>32</v>
      </c>
    </row>
    <row r="1266" spans="1:17" x14ac:dyDescent="0.3">
      <c r="A1266" t="s">
        <v>6101</v>
      </c>
      <c r="B1266" t="s">
        <v>6102</v>
      </c>
      <c r="C1266">
        <v>25</v>
      </c>
      <c r="D1266" t="s">
        <v>6103</v>
      </c>
      <c r="E1266" t="s">
        <v>51</v>
      </c>
      <c r="F1266" t="s">
        <v>1696</v>
      </c>
      <c r="G1266" t="s">
        <v>1535</v>
      </c>
      <c r="H1266">
        <v>1</v>
      </c>
      <c r="I1266" t="s">
        <v>27</v>
      </c>
      <c r="J1266" t="s">
        <v>3669</v>
      </c>
      <c r="K1266">
        <v>289.06</v>
      </c>
      <c r="L1266">
        <v>2</v>
      </c>
      <c r="M1266">
        <v>38</v>
      </c>
      <c r="N1266" t="s">
        <v>56</v>
      </c>
      <c r="O1266" t="s">
        <v>169</v>
      </c>
      <c r="P1266" t="s">
        <v>30</v>
      </c>
      <c r="Q1266" t="s">
        <v>69</v>
      </c>
    </row>
    <row r="1267" spans="1:17" x14ac:dyDescent="0.3">
      <c r="A1267" t="s">
        <v>6105</v>
      </c>
      <c r="B1267" t="s">
        <v>6106</v>
      </c>
      <c r="C1267">
        <v>48</v>
      </c>
      <c r="D1267" t="s">
        <v>6107</v>
      </c>
      <c r="E1267" t="s">
        <v>25</v>
      </c>
      <c r="F1267" s="86">
        <v>44327</v>
      </c>
      <c r="G1267" s="86">
        <v>44842</v>
      </c>
      <c r="H1267">
        <v>3</v>
      </c>
      <c r="I1267" t="s">
        <v>27</v>
      </c>
      <c r="J1267" t="s">
        <v>173</v>
      </c>
      <c r="K1267">
        <v>124.07</v>
      </c>
      <c r="L1267">
        <v>3</v>
      </c>
      <c r="M1267">
        <v>27</v>
      </c>
      <c r="N1267" t="s">
        <v>54</v>
      </c>
      <c r="O1267" t="s">
        <v>67</v>
      </c>
      <c r="P1267" t="s">
        <v>68</v>
      </c>
      <c r="Q1267" t="s">
        <v>32</v>
      </c>
    </row>
    <row r="1268" spans="1:17" x14ac:dyDescent="0.3">
      <c r="A1268" t="s">
        <v>6109</v>
      </c>
      <c r="B1268" t="s">
        <v>6110</v>
      </c>
      <c r="C1268">
        <v>28</v>
      </c>
      <c r="D1268" t="s">
        <v>6111</v>
      </c>
      <c r="E1268" t="s">
        <v>25</v>
      </c>
      <c r="F1268" s="86">
        <v>43930</v>
      </c>
      <c r="G1268" s="86">
        <v>45080</v>
      </c>
      <c r="H1268">
        <v>5</v>
      </c>
      <c r="I1268" t="s">
        <v>27</v>
      </c>
      <c r="J1268" t="s">
        <v>285</v>
      </c>
      <c r="K1268">
        <v>563.9</v>
      </c>
      <c r="L1268">
        <v>2</v>
      </c>
      <c r="M1268">
        <v>49</v>
      </c>
      <c r="N1268" t="s">
        <v>68</v>
      </c>
      <c r="O1268" t="s">
        <v>366</v>
      </c>
      <c r="P1268" t="s">
        <v>54</v>
      </c>
      <c r="Q1268" t="s">
        <v>32</v>
      </c>
    </row>
    <row r="1269" spans="1:17" x14ac:dyDescent="0.3">
      <c r="A1269" t="s">
        <v>6113</v>
      </c>
      <c r="B1269" t="s">
        <v>6114</v>
      </c>
      <c r="C1269">
        <v>65</v>
      </c>
      <c r="D1269" t="s">
        <v>6115</v>
      </c>
      <c r="E1269" t="s">
        <v>95</v>
      </c>
      <c r="F1269" t="s">
        <v>3912</v>
      </c>
      <c r="G1269" t="s">
        <v>1100</v>
      </c>
      <c r="H1269">
        <v>1</v>
      </c>
      <c r="I1269" t="s">
        <v>52</v>
      </c>
      <c r="J1269" t="s">
        <v>3205</v>
      </c>
      <c r="K1269">
        <v>198.64</v>
      </c>
      <c r="L1269">
        <v>6</v>
      </c>
      <c r="M1269">
        <v>11</v>
      </c>
      <c r="N1269" t="s">
        <v>45</v>
      </c>
      <c r="O1269" t="s">
        <v>238</v>
      </c>
      <c r="P1269" t="s">
        <v>45</v>
      </c>
      <c r="Q1269" t="s">
        <v>69</v>
      </c>
    </row>
    <row r="1270" spans="1:17" x14ac:dyDescent="0.3">
      <c r="A1270" t="s">
        <v>6117</v>
      </c>
      <c r="B1270" t="s">
        <v>6118</v>
      </c>
      <c r="C1270">
        <v>68</v>
      </c>
      <c r="D1270" t="s">
        <v>6119</v>
      </c>
      <c r="E1270" t="s">
        <v>40</v>
      </c>
      <c r="F1270" t="s">
        <v>2019</v>
      </c>
      <c r="G1270" s="86">
        <v>44509</v>
      </c>
      <c r="H1270">
        <v>3</v>
      </c>
      <c r="I1270" t="s">
        <v>52</v>
      </c>
      <c r="J1270" t="s">
        <v>298</v>
      </c>
      <c r="K1270">
        <v>248.56</v>
      </c>
      <c r="L1270">
        <v>8</v>
      </c>
      <c r="M1270">
        <v>4</v>
      </c>
      <c r="N1270" t="s">
        <v>45</v>
      </c>
      <c r="O1270" t="s">
        <v>67</v>
      </c>
      <c r="P1270" t="s">
        <v>68</v>
      </c>
      <c r="Q1270" t="s">
        <v>32</v>
      </c>
    </row>
    <row r="1271" spans="1:17" x14ac:dyDescent="0.3">
      <c r="A1271" t="s">
        <v>6121</v>
      </c>
      <c r="B1271" t="s">
        <v>6122</v>
      </c>
      <c r="C1271">
        <v>43</v>
      </c>
      <c r="D1271" t="s">
        <v>6123</v>
      </c>
      <c r="E1271" t="s">
        <v>51</v>
      </c>
      <c r="F1271" t="s">
        <v>3831</v>
      </c>
      <c r="G1271" t="s">
        <v>3223</v>
      </c>
      <c r="H1271">
        <v>4</v>
      </c>
      <c r="I1271" t="s">
        <v>27</v>
      </c>
      <c r="J1271" t="s">
        <v>3112</v>
      </c>
      <c r="K1271">
        <v>218.97</v>
      </c>
      <c r="L1271">
        <v>7</v>
      </c>
      <c r="M1271">
        <v>23</v>
      </c>
      <c r="N1271" t="s">
        <v>30</v>
      </c>
      <c r="O1271" t="s">
        <v>142</v>
      </c>
      <c r="P1271" t="s">
        <v>68</v>
      </c>
      <c r="Q1271" t="s">
        <v>32</v>
      </c>
    </row>
    <row r="1272" spans="1:17" x14ac:dyDescent="0.3">
      <c r="A1272" t="s">
        <v>6125</v>
      </c>
      <c r="B1272" t="s">
        <v>6126</v>
      </c>
      <c r="C1272">
        <v>24</v>
      </c>
      <c r="D1272" t="s">
        <v>6127</v>
      </c>
      <c r="E1272" t="s">
        <v>95</v>
      </c>
      <c r="F1272" t="s">
        <v>1354</v>
      </c>
      <c r="G1272" s="86">
        <v>45148</v>
      </c>
      <c r="H1272">
        <v>0</v>
      </c>
      <c r="I1272" t="s">
        <v>27</v>
      </c>
      <c r="J1272" t="s">
        <v>1293</v>
      </c>
      <c r="K1272">
        <v>915.31</v>
      </c>
      <c r="L1272">
        <v>1</v>
      </c>
      <c r="M1272">
        <v>42</v>
      </c>
      <c r="N1272" t="s">
        <v>45</v>
      </c>
      <c r="O1272" t="s">
        <v>425</v>
      </c>
      <c r="P1272" t="s">
        <v>30</v>
      </c>
      <c r="Q1272" t="s">
        <v>69</v>
      </c>
    </row>
    <row r="1273" spans="1:17" x14ac:dyDescent="0.3">
      <c r="A1273" t="s">
        <v>6129</v>
      </c>
      <c r="B1273" t="s">
        <v>6130</v>
      </c>
      <c r="C1273">
        <v>55</v>
      </c>
      <c r="D1273" t="s">
        <v>6131</v>
      </c>
      <c r="E1273" t="s">
        <v>25</v>
      </c>
      <c r="F1273" s="86">
        <v>44838</v>
      </c>
      <c r="G1273" t="s">
        <v>1430</v>
      </c>
      <c r="H1273">
        <v>3</v>
      </c>
      <c r="I1273" t="s">
        <v>27</v>
      </c>
      <c r="J1273" t="s">
        <v>6132</v>
      </c>
      <c r="K1273">
        <v>323.13</v>
      </c>
      <c r="L1273">
        <v>3</v>
      </c>
      <c r="M1273">
        <v>43</v>
      </c>
      <c r="N1273" t="s">
        <v>68</v>
      </c>
      <c r="O1273" t="s">
        <v>837</v>
      </c>
      <c r="P1273" t="s">
        <v>56</v>
      </c>
      <c r="Q1273" t="s">
        <v>69</v>
      </c>
    </row>
    <row r="1274" spans="1:17" x14ac:dyDescent="0.3">
      <c r="A1274" t="s">
        <v>6134</v>
      </c>
      <c r="B1274" t="s">
        <v>6135</v>
      </c>
      <c r="C1274">
        <v>47</v>
      </c>
      <c r="D1274" t="s">
        <v>6136</v>
      </c>
      <c r="E1274" t="s">
        <v>40</v>
      </c>
      <c r="F1274" s="86">
        <v>45018</v>
      </c>
      <c r="G1274" t="s">
        <v>1716</v>
      </c>
      <c r="H1274">
        <v>2</v>
      </c>
      <c r="I1274" t="s">
        <v>64</v>
      </c>
      <c r="J1274" s="86">
        <v>45208</v>
      </c>
      <c r="K1274">
        <v>50.14</v>
      </c>
      <c r="L1274">
        <v>8</v>
      </c>
      <c r="M1274">
        <v>17</v>
      </c>
      <c r="N1274" t="s">
        <v>68</v>
      </c>
      <c r="O1274" t="s">
        <v>135</v>
      </c>
      <c r="P1274" t="s">
        <v>45</v>
      </c>
      <c r="Q1274" t="s">
        <v>69</v>
      </c>
    </row>
    <row r="1275" spans="1:17" x14ac:dyDescent="0.3">
      <c r="A1275" t="s">
        <v>6138</v>
      </c>
      <c r="B1275" t="s">
        <v>6139</v>
      </c>
      <c r="C1275">
        <v>25</v>
      </c>
      <c r="D1275" t="s">
        <v>6140</v>
      </c>
      <c r="E1275" t="s">
        <v>51</v>
      </c>
      <c r="F1275" t="s">
        <v>639</v>
      </c>
      <c r="G1275" t="s">
        <v>4191</v>
      </c>
      <c r="H1275">
        <v>5</v>
      </c>
      <c r="I1275" t="s">
        <v>27</v>
      </c>
      <c r="J1275" t="s">
        <v>3856</v>
      </c>
      <c r="K1275">
        <v>1991.63</v>
      </c>
      <c r="L1275">
        <v>1</v>
      </c>
      <c r="M1275">
        <v>31</v>
      </c>
      <c r="N1275" t="s">
        <v>68</v>
      </c>
      <c r="O1275" t="s">
        <v>194</v>
      </c>
      <c r="P1275" t="s">
        <v>56</v>
      </c>
      <c r="Q1275" t="s">
        <v>32</v>
      </c>
    </row>
    <row r="1276" spans="1:17" x14ac:dyDescent="0.3">
      <c r="A1276" t="s">
        <v>6142</v>
      </c>
      <c r="B1276" t="s">
        <v>6143</v>
      </c>
      <c r="C1276">
        <v>60</v>
      </c>
      <c r="D1276" t="s">
        <v>6144</v>
      </c>
      <c r="E1276" t="s">
        <v>25</v>
      </c>
      <c r="F1276" t="s">
        <v>2757</v>
      </c>
      <c r="G1276" s="86">
        <v>45576</v>
      </c>
      <c r="H1276">
        <v>0</v>
      </c>
      <c r="I1276" t="s">
        <v>27</v>
      </c>
      <c r="J1276" t="s">
        <v>4685</v>
      </c>
      <c r="K1276">
        <v>382.55</v>
      </c>
      <c r="L1276">
        <v>3</v>
      </c>
      <c r="M1276">
        <v>1</v>
      </c>
      <c r="N1276" t="s">
        <v>30</v>
      </c>
      <c r="O1276" t="s">
        <v>122</v>
      </c>
      <c r="P1276" t="s">
        <v>30</v>
      </c>
      <c r="Q1276" t="s">
        <v>32</v>
      </c>
    </row>
    <row r="1277" spans="1:17" x14ac:dyDescent="0.3">
      <c r="A1277" t="s">
        <v>6146</v>
      </c>
      <c r="B1277" t="s">
        <v>6147</v>
      </c>
      <c r="C1277">
        <v>58</v>
      </c>
      <c r="D1277" t="s">
        <v>6148</v>
      </c>
      <c r="E1277" t="s">
        <v>61</v>
      </c>
      <c r="F1277" t="s">
        <v>2810</v>
      </c>
      <c r="G1277" s="86">
        <v>45724</v>
      </c>
      <c r="H1277">
        <v>4</v>
      </c>
      <c r="I1277" t="s">
        <v>27</v>
      </c>
      <c r="J1277" s="86">
        <v>45968</v>
      </c>
      <c r="K1277">
        <v>29.84</v>
      </c>
      <c r="L1277">
        <v>5</v>
      </c>
      <c r="M1277">
        <v>12</v>
      </c>
      <c r="N1277" t="s">
        <v>54</v>
      </c>
      <c r="O1277" t="s">
        <v>597</v>
      </c>
      <c r="P1277" t="s">
        <v>45</v>
      </c>
      <c r="Q1277" t="s">
        <v>69</v>
      </c>
    </row>
    <row r="1278" spans="1:17" x14ac:dyDescent="0.3">
      <c r="A1278" t="s">
        <v>6150</v>
      </c>
      <c r="B1278" t="s">
        <v>6151</v>
      </c>
      <c r="C1278">
        <v>18</v>
      </c>
      <c r="D1278" t="s">
        <v>6152</v>
      </c>
      <c r="E1278" t="s">
        <v>61</v>
      </c>
      <c r="F1278" t="s">
        <v>1923</v>
      </c>
      <c r="G1278" s="86">
        <v>44724</v>
      </c>
      <c r="H1278">
        <v>5</v>
      </c>
      <c r="I1278" t="s">
        <v>64</v>
      </c>
      <c r="J1278" t="s">
        <v>4113</v>
      </c>
      <c r="K1278">
        <v>140.01</v>
      </c>
      <c r="L1278">
        <v>6</v>
      </c>
      <c r="M1278">
        <v>19</v>
      </c>
      <c r="N1278" t="s">
        <v>30</v>
      </c>
      <c r="O1278" t="s">
        <v>366</v>
      </c>
      <c r="P1278" t="s">
        <v>54</v>
      </c>
      <c r="Q1278" t="s">
        <v>32</v>
      </c>
    </row>
    <row r="1279" spans="1:17" x14ac:dyDescent="0.3">
      <c r="A1279" t="s">
        <v>6154</v>
      </c>
      <c r="B1279" t="s">
        <v>6155</v>
      </c>
      <c r="C1279">
        <v>53</v>
      </c>
      <c r="D1279" t="s">
        <v>6156</v>
      </c>
      <c r="E1279" t="s">
        <v>40</v>
      </c>
      <c r="F1279" s="86">
        <v>44199</v>
      </c>
      <c r="G1279" t="s">
        <v>6157</v>
      </c>
      <c r="H1279">
        <v>2</v>
      </c>
      <c r="I1279" t="s">
        <v>27</v>
      </c>
      <c r="J1279" s="86">
        <v>45323</v>
      </c>
      <c r="K1279">
        <v>32.619999999999997</v>
      </c>
      <c r="L1279">
        <v>5</v>
      </c>
      <c r="M1279">
        <v>18</v>
      </c>
      <c r="N1279" t="s">
        <v>45</v>
      </c>
      <c r="O1279" t="s">
        <v>116</v>
      </c>
      <c r="P1279" t="s">
        <v>54</v>
      </c>
      <c r="Q1279" t="s">
        <v>69</v>
      </c>
    </row>
    <row r="1280" spans="1:17" x14ac:dyDescent="0.3">
      <c r="A1280" t="s">
        <v>6159</v>
      </c>
      <c r="B1280" t="s">
        <v>6160</v>
      </c>
      <c r="C1280">
        <v>34</v>
      </c>
      <c r="D1280" t="s">
        <v>6161</v>
      </c>
      <c r="E1280" t="s">
        <v>95</v>
      </c>
      <c r="F1280" t="s">
        <v>1143</v>
      </c>
      <c r="G1280" t="s">
        <v>140</v>
      </c>
      <c r="H1280">
        <v>0</v>
      </c>
      <c r="I1280" t="s">
        <v>52</v>
      </c>
      <c r="J1280" s="86">
        <v>45238</v>
      </c>
      <c r="K1280">
        <v>529.1</v>
      </c>
      <c r="L1280">
        <v>3</v>
      </c>
      <c r="M1280">
        <v>32</v>
      </c>
      <c r="N1280" t="s">
        <v>30</v>
      </c>
      <c r="O1280" t="s">
        <v>536</v>
      </c>
      <c r="P1280" t="s">
        <v>68</v>
      </c>
      <c r="Q1280" t="s">
        <v>32</v>
      </c>
    </row>
    <row r="1281" spans="1:17" x14ac:dyDescent="0.3">
      <c r="A1281" t="s">
        <v>6163</v>
      </c>
      <c r="B1281" t="s">
        <v>6164</v>
      </c>
      <c r="C1281">
        <v>53</v>
      </c>
      <c r="D1281" t="s">
        <v>6165</v>
      </c>
      <c r="E1281" t="s">
        <v>25</v>
      </c>
      <c r="F1281" t="s">
        <v>4731</v>
      </c>
      <c r="G1281" s="86">
        <v>45785</v>
      </c>
      <c r="H1281">
        <v>1</v>
      </c>
      <c r="I1281" t="s">
        <v>27</v>
      </c>
      <c r="J1281" t="s">
        <v>467</v>
      </c>
      <c r="K1281">
        <v>10.29</v>
      </c>
      <c r="L1281">
        <v>6</v>
      </c>
      <c r="M1281">
        <v>4</v>
      </c>
      <c r="N1281" t="s">
        <v>45</v>
      </c>
      <c r="O1281" t="s">
        <v>149</v>
      </c>
      <c r="P1281" t="s">
        <v>30</v>
      </c>
      <c r="Q1281" t="s">
        <v>32</v>
      </c>
    </row>
    <row r="1282" spans="1:17" x14ac:dyDescent="0.3">
      <c r="A1282" t="s">
        <v>6167</v>
      </c>
      <c r="B1282" t="s">
        <v>6168</v>
      </c>
      <c r="C1282">
        <v>41</v>
      </c>
      <c r="D1282" t="s">
        <v>6169</v>
      </c>
      <c r="E1282" t="s">
        <v>88</v>
      </c>
      <c r="F1282" s="86">
        <v>45171</v>
      </c>
      <c r="G1282" s="86">
        <v>45545</v>
      </c>
      <c r="H1282">
        <v>1</v>
      </c>
      <c r="I1282" t="s">
        <v>27</v>
      </c>
      <c r="J1282" t="s">
        <v>2035</v>
      </c>
      <c r="K1282">
        <v>142.15</v>
      </c>
      <c r="L1282">
        <v>8</v>
      </c>
      <c r="M1282">
        <v>21</v>
      </c>
      <c r="N1282" t="s">
        <v>56</v>
      </c>
      <c r="O1282" t="s">
        <v>55</v>
      </c>
      <c r="P1282" t="s">
        <v>56</v>
      </c>
      <c r="Q1282" t="s">
        <v>69</v>
      </c>
    </row>
    <row r="1283" spans="1:17" x14ac:dyDescent="0.3">
      <c r="A1283" t="s">
        <v>6171</v>
      </c>
      <c r="B1283" t="s">
        <v>6172</v>
      </c>
      <c r="C1283">
        <v>27</v>
      </c>
      <c r="D1283" t="s">
        <v>6173</v>
      </c>
      <c r="E1283" t="s">
        <v>88</v>
      </c>
      <c r="F1283" s="86">
        <v>45047</v>
      </c>
      <c r="G1283" t="s">
        <v>901</v>
      </c>
      <c r="H1283">
        <v>2</v>
      </c>
      <c r="I1283" t="s">
        <v>27</v>
      </c>
      <c r="J1283" t="s">
        <v>846</v>
      </c>
      <c r="K1283">
        <v>145.91</v>
      </c>
      <c r="L1283">
        <v>9</v>
      </c>
      <c r="M1283">
        <v>4</v>
      </c>
      <c r="N1283" t="s">
        <v>54</v>
      </c>
      <c r="O1283" t="s">
        <v>77</v>
      </c>
      <c r="P1283" t="s">
        <v>54</v>
      </c>
      <c r="Q1283" t="s">
        <v>69</v>
      </c>
    </row>
    <row r="1284" spans="1:17" x14ac:dyDescent="0.3">
      <c r="A1284" t="s">
        <v>6175</v>
      </c>
      <c r="B1284" t="s">
        <v>6176</v>
      </c>
      <c r="C1284">
        <v>27</v>
      </c>
      <c r="D1284" t="s">
        <v>6177</v>
      </c>
      <c r="E1284" t="s">
        <v>95</v>
      </c>
      <c r="F1284" t="s">
        <v>1090</v>
      </c>
      <c r="G1284" s="86">
        <v>45512</v>
      </c>
      <c r="H1284">
        <v>0</v>
      </c>
      <c r="I1284" t="s">
        <v>27</v>
      </c>
      <c r="J1284" t="s">
        <v>712</v>
      </c>
      <c r="K1284">
        <v>105.25</v>
      </c>
      <c r="L1284">
        <v>5</v>
      </c>
      <c r="M1284">
        <v>36</v>
      </c>
      <c r="N1284" t="s">
        <v>45</v>
      </c>
      <c r="O1284" t="s">
        <v>55</v>
      </c>
      <c r="P1284" t="s">
        <v>56</v>
      </c>
      <c r="Q1284" t="s">
        <v>32</v>
      </c>
    </row>
    <row r="1285" spans="1:17" x14ac:dyDescent="0.3">
      <c r="A1285" t="s">
        <v>6179</v>
      </c>
      <c r="B1285" t="s">
        <v>6180</v>
      </c>
      <c r="C1285">
        <v>52</v>
      </c>
      <c r="D1285" t="s">
        <v>6181</v>
      </c>
      <c r="E1285" t="s">
        <v>88</v>
      </c>
      <c r="F1285" t="s">
        <v>6182</v>
      </c>
      <c r="G1285" t="s">
        <v>3087</v>
      </c>
      <c r="H1285">
        <v>1</v>
      </c>
      <c r="I1285" t="s">
        <v>27</v>
      </c>
      <c r="J1285" t="s">
        <v>1112</v>
      </c>
      <c r="K1285">
        <v>97.62</v>
      </c>
      <c r="L1285">
        <v>6</v>
      </c>
      <c r="M1285">
        <v>33</v>
      </c>
      <c r="N1285" t="s">
        <v>54</v>
      </c>
      <c r="O1285" t="s">
        <v>293</v>
      </c>
      <c r="P1285" t="s">
        <v>45</v>
      </c>
      <c r="Q1285" t="s">
        <v>69</v>
      </c>
    </row>
    <row r="1286" spans="1:17" x14ac:dyDescent="0.3">
      <c r="A1286" t="s">
        <v>6184</v>
      </c>
      <c r="B1286" t="s">
        <v>6185</v>
      </c>
      <c r="C1286">
        <v>46</v>
      </c>
      <c r="D1286" t="s">
        <v>6186</v>
      </c>
      <c r="E1286" t="s">
        <v>61</v>
      </c>
      <c r="F1286" t="s">
        <v>2087</v>
      </c>
      <c r="G1286" t="s">
        <v>1899</v>
      </c>
      <c r="H1286">
        <v>2</v>
      </c>
      <c r="I1286" t="s">
        <v>27</v>
      </c>
      <c r="J1286" t="s">
        <v>6187</v>
      </c>
      <c r="K1286">
        <v>214.28</v>
      </c>
      <c r="L1286">
        <v>9</v>
      </c>
      <c r="M1286">
        <v>28</v>
      </c>
      <c r="N1286" t="s">
        <v>56</v>
      </c>
      <c r="O1286" t="s">
        <v>373</v>
      </c>
      <c r="P1286" t="s">
        <v>54</v>
      </c>
      <c r="Q1286" t="s">
        <v>69</v>
      </c>
    </row>
    <row r="1287" spans="1:17" x14ac:dyDescent="0.3">
      <c r="A1287" t="s">
        <v>6189</v>
      </c>
      <c r="B1287" t="s">
        <v>6190</v>
      </c>
      <c r="C1287">
        <v>26</v>
      </c>
      <c r="D1287" t="s">
        <v>6191</v>
      </c>
      <c r="E1287" t="s">
        <v>95</v>
      </c>
      <c r="F1287" t="s">
        <v>3102</v>
      </c>
      <c r="G1287" s="86">
        <v>45905</v>
      </c>
      <c r="H1287">
        <v>4</v>
      </c>
      <c r="I1287" t="s">
        <v>27</v>
      </c>
      <c r="J1287" t="s">
        <v>566</v>
      </c>
      <c r="K1287">
        <v>203.87</v>
      </c>
      <c r="L1287">
        <v>5</v>
      </c>
      <c r="M1287">
        <v>35</v>
      </c>
      <c r="N1287" t="s">
        <v>45</v>
      </c>
      <c r="O1287" t="s">
        <v>128</v>
      </c>
      <c r="P1287" t="s">
        <v>54</v>
      </c>
      <c r="Q1287" t="s">
        <v>69</v>
      </c>
    </row>
    <row r="1288" spans="1:17" x14ac:dyDescent="0.3">
      <c r="A1288" t="s">
        <v>6193</v>
      </c>
      <c r="B1288" t="s">
        <v>6194</v>
      </c>
      <c r="C1288">
        <v>56</v>
      </c>
      <c r="D1288" t="s">
        <v>6195</v>
      </c>
      <c r="E1288" t="s">
        <v>95</v>
      </c>
      <c r="F1288" s="86">
        <v>44475</v>
      </c>
      <c r="G1288" t="s">
        <v>762</v>
      </c>
      <c r="H1288">
        <v>2</v>
      </c>
      <c r="I1288" t="s">
        <v>27</v>
      </c>
      <c r="J1288" s="86">
        <v>45352</v>
      </c>
      <c r="K1288">
        <v>104.25</v>
      </c>
      <c r="L1288">
        <v>7</v>
      </c>
      <c r="M1288">
        <v>34</v>
      </c>
      <c r="N1288" t="s">
        <v>68</v>
      </c>
      <c r="O1288" t="s">
        <v>175</v>
      </c>
      <c r="P1288" t="s">
        <v>56</v>
      </c>
      <c r="Q1288" t="s">
        <v>32</v>
      </c>
    </row>
    <row r="1289" spans="1:17" x14ac:dyDescent="0.3">
      <c r="A1289" t="s">
        <v>6197</v>
      </c>
      <c r="B1289" t="s">
        <v>6198</v>
      </c>
      <c r="C1289">
        <v>32</v>
      </c>
      <c r="D1289" t="s">
        <v>6199</v>
      </c>
      <c r="E1289" t="s">
        <v>25</v>
      </c>
      <c r="F1289" s="86">
        <v>44201</v>
      </c>
      <c r="G1289" s="86">
        <v>45601</v>
      </c>
      <c r="H1289">
        <v>0</v>
      </c>
      <c r="I1289" t="s">
        <v>27</v>
      </c>
      <c r="J1289" s="86">
        <v>45566</v>
      </c>
      <c r="K1289">
        <v>42.2</v>
      </c>
      <c r="L1289">
        <v>8</v>
      </c>
      <c r="M1289">
        <v>36</v>
      </c>
      <c r="N1289" t="s">
        <v>68</v>
      </c>
      <c r="O1289" t="s">
        <v>157</v>
      </c>
      <c r="P1289" t="s">
        <v>68</v>
      </c>
      <c r="Q1289" t="s">
        <v>32</v>
      </c>
    </row>
    <row r="1290" spans="1:17" x14ac:dyDescent="0.3">
      <c r="A1290" t="s">
        <v>6201</v>
      </c>
      <c r="B1290" t="s">
        <v>6202</v>
      </c>
      <c r="C1290">
        <v>69</v>
      </c>
      <c r="D1290" t="s">
        <v>6203</v>
      </c>
      <c r="E1290" t="s">
        <v>61</v>
      </c>
      <c r="F1290" s="86">
        <v>44749</v>
      </c>
      <c r="G1290" t="s">
        <v>1519</v>
      </c>
      <c r="H1290">
        <v>2</v>
      </c>
      <c r="I1290" t="s">
        <v>52</v>
      </c>
      <c r="J1290" t="s">
        <v>285</v>
      </c>
      <c r="K1290">
        <v>417.98</v>
      </c>
      <c r="L1290">
        <v>4</v>
      </c>
      <c r="M1290">
        <v>35</v>
      </c>
      <c r="N1290" t="s">
        <v>30</v>
      </c>
      <c r="O1290" t="s">
        <v>142</v>
      </c>
      <c r="P1290" t="s">
        <v>68</v>
      </c>
      <c r="Q1290" t="s">
        <v>32</v>
      </c>
    </row>
    <row r="1291" spans="1:17" x14ac:dyDescent="0.3">
      <c r="A1291" t="s">
        <v>6205</v>
      </c>
      <c r="B1291" t="s">
        <v>6206</v>
      </c>
      <c r="C1291">
        <v>64</v>
      </c>
      <c r="D1291" t="s">
        <v>6207</v>
      </c>
      <c r="E1291" t="s">
        <v>51</v>
      </c>
      <c r="F1291" s="86">
        <v>45019</v>
      </c>
      <c r="G1291" t="s">
        <v>2337</v>
      </c>
      <c r="H1291">
        <v>5</v>
      </c>
      <c r="I1291" t="s">
        <v>52</v>
      </c>
      <c r="J1291" t="s">
        <v>2049</v>
      </c>
      <c r="K1291">
        <v>115.36</v>
      </c>
      <c r="L1291">
        <v>6</v>
      </c>
      <c r="M1291">
        <v>5</v>
      </c>
      <c r="N1291" t="s">
        <v>54</v>
      </c>
      <c r="O1291" t="s">
        <v>116</v>
      </c>
      <c r="P1291" t="s">
        <v>54</v>
      </c>
      <c r="Q1291" t="s">
        <v>32</v>
      </c>
    </row>
    <row r="1292" spans="1:17" x14ac:dyDescent="0.3">
      <c r="A1292" t="s">
        <v>6209</v>
      </c>
      <c r="B1292" t="s">
        <v>6210</v>
      </c>
      <c r="C1292">
        <v>24</v>
      </c>
      <c r="D1292" t="s">
        <v>6211</v>
      </c>
      <c r="E1292" t="s">
        <v>51</v>
      </c>
      <c r="F1292" t="s">
        <v>4581</v>
      </c>
      <c r="G1292" t="s">
        <v>4341</v>
      </c>
      <c r="H1292">
        <v>3</v>
      </c>
      <c r="I1292" t="s">
        <v>64</v>
      </c>
      <c r="J1292" s="86">
        <v>44929</v>
      </c>
      <c r="K1292">
        <v>51.56</v>
      </c>
      <c r="L1292">
        <v>6</v>
      </c>
      <c r="M1292">
        <v>27</v>
      </c>
      <c r="N1292" t="s">
        <v>45</v>
      </c>
      <c r="O1292" t="s">
        <v>604</v>
      </c>
      <c r="P1292" t="s">
        <v>45</v>
      </c>
      <c r="Q1292" t="s">
        <v>32</v>
      </c>
    </row>
    <row r="1293" spans="1:17" x14ac:dyDescent="0.3">
      <c r="A1293" t="s">
        <v>6213</v>
      </c>
      <c r="B1293" t="s">
        <v>6214</v>
      </c>
      <c r="C1293">
        <v>18</v>
      </c>
      <c r="D1293" t="s">
        <v>6215</v>
      </c>
      <c r="E1293" t="s">
        <v>88</v>
      </c>
      <c r="F1293" s="86">
        <v>44842</v>
      </c>
      <c r="G1293" s="86">
        <v>45053</v>
      </c>
      <c r="H1293">
        <v>5</v>
      </c>
      <c r="I1293" t="s">
        <v>52</v>
      </c>
      <c r="J1293" t="s">
        <v>2744</v>
      </c>
      <c r="K1293">
        <v>201.74</v>
      </c>
      <c r="L1293">
        <v>4</v>
      </c>
      <c r="M1293">
        <v>19</v>
      </c>
      <c r="N1293" t="s">
        <v>30</v>
      </c>
      <c r="O1293" t="s">
        <v>223</v>
      </c>
      <c r="P1293" t="s">
        <v>56</v>
      </c>
      <c r="Q1293" t="s">
        <v>69</v>
      </c>
    </row>
    <row r="1294" spans="1:17" x14ac:dyDescent="0.3">
      <c r="A1294" t="s">
        <v>6217</v>
      </c>
      <c r="B1294" t="s">
        <v>6218</v>
      </c>
      <c r="C1294">
        <v>19</v>
      </c>
      <c r="D1294" t="s">
        <v>6219</v>
      </c>
      <c r="E1294" t="s">
        <v>25</v>
      </c>
      <c r="F1294" t="s">
        <v>6220</v>
      </c>
      <c r="G1294" t="s">
        <v>6221</v>
      </c>
      <c r="H1294">
        <v>1</v>
      </c>
      <c r="I1294" t="s">
        <v>27</v>
      </c>
      <c r="J1294" s="86">
        <v>45266</v>
      </c>
      <c r="K1294">
        <v>5.47</v>
      </c>
      <c r="L1294">
        <v>5</v>
      </c>
      <c r="M1294">
        <v>39</v>
      </c>
      <c r="N1294" t="s">
        <v>45</v>
      </c>
      <c r="O1294" t="s">
        <v>269</v>
      </c>
      <c r="P1294" t="s">
        <v>56</v>
      </c>
      <c r="Q1294" t="s">
        <v>32</v>
      </c>
    </row>
    <row r="1295" spans="1:17" x14ac:dyDescent="0.3">
      <c r="A1295" t="s">
        <v>6223</v>
      </c>
      <c r="B1295" t="s">
        <v>6224</v>
      </c>
      <c r="C1295">
        <v>59</v>
      </c>
      <c r="D1295" t="s">
        <v>6225</v>
      </c>
      <c r="E1295" t="s">
        <v>40</v>
      </c>
      <c r="F1295" t="s">
        <v>979</v>
      </c>
      <c r="G1295" s="86">
        <v>44724</v>
      </c>
      <c r="H1295">
        <v>2</v>
      </c>
      <c r="I1295" t="s">
        <v>52</v>
      </c>
      <c r="J1295" s="86">
        <v>44384</v>
      </c>
      <c r="K1295">
        <v>90.05</v>
      </c>
      <c r="L1295">
        <v>9</v>
      </c>
      <c r="M1295">
        <v>26</v>
      </c>
      <c r="N1295" t="s">
        <v>30</v>
      </c>
      <c r="O1295" t="s">
        <v>855</v>
      </c>
      <c r="P1295" t="s">
        <v>45</v>
      </c>
      <c r="Q1295" t="s">
        <v>32</v>
      </c>
    </row>
    <row r="1296" spans="1:17" x14ac:dyDescent="0.3">
      <c r="A1296" t="s">
        <v>6227</v>
      </c>
      <c r="B1296" t="s">
        <v>6228</v>
      </c>
      <c r="C1296">
        <v>19</v>
      </c>
      <c r="D1296" t="s">
        <v>6229</v>
      </c>
      <c r="E1296" t="s">
        <v>95</v>
      </c>
      <c r="F1296" t="s">
        <v>1195</v>
      </c>
      <c r="G1296" s="86">
        <v>45809</v>
      </c>
      <c r="H1296">
        <v>2</v>
      </c>
      <c r="I1296" t="s">
        <v>27</v>
      </c>
      <c r="J1296" s="86">
        <v>45694</v>
      </c>
      <c r="K1296">
        <v>96.8</v>
      </c>
      <c r="L1296">
        <v>6</v>
      </c>
      <c r="M1296">
        <v>32</v>
      </c>
      <c r="N1296" t="s">
        <v>56</v>
      </c>
      <c r="O1296" t="s">
        <v>418</v>
      </c>
      <c r="P1296" t="s">
        <v>56</v>
      </c>
      <c r="Q1296" t="s">
        <v>32</v>
      </c>
    </row>
    <row r="1297" spans="1:17" x14ac:dyDescent="0.3">
      <c r="A1297" t="s">
        <v>6230</v>
      </c>
      <c r="B1297" t="s">
        <v>6231</v>
      </c>
      <c r="C1297">
        <v>31</v>
      </c>
      <c r="D1297" t="s">
        <v>6232</v>
      </c>
      <c r="E1297" t="s">
        <v>51</v>
      </c>
      <c r="F1297" t="s">
        <v>1137</v>
      </c>
      <c r="G1297" t="s">
        <v>6233</v>
      </c>
      <c r="H1297">
        <v>4</v>
      </c>
      <c r="I1297" t="s">
        <v>27</v>
      </c>
      <c r="J1297" t="s">
        <v>3200</v>
      </c>
      <c r="K1297">
        <v>242.91</v>
      </c>
      <c r="L1297">
        <v>6</v>
      </c>
      <c r="M1297">
        <v>40</v>
      </c>
      <c r="N1297" t="s">
        <v>68</v>
      </c>
      <c r="O1297" t="s">
        <v>175</v>
      </c>
      <c r="P1297" t="s">
        <v>56</v>
      </c>
      <c r="Q1297" t="s">
        <v>69</v>
      </c>
    </row>
    <row r="1298" spans="1:17" x14ac:dyDescent="0.3">
      <c r="A1298" t="s">
        <v>6235</v>
      </c>
      <c r="B1298" t="s">
        <v>6236</v>
      </c>
      <c r="C1298">
        <v>66</v>
      </c>
      <c r="D1298" t="s">
        <v>6237</v>
      </c>
      <c r="E1298" t="s">
        <v>61</v>
      </c>
      <c r="F1298" s="86">
        <v>44596</v>
      </c>
      <c r="G1298" t="s">
        <v>6238</v>
      </c>
      <c r="H1298">
        <v>3</v>
      </c>
      <c r="I1298" t="s">
        <v>27</v>
      </c>
      <c r="J1298" t="s">
        <v>808</v>
      </c>
      <c r="K1298">
        <v>346.43</v>
      </c>
      <c r="L1298">
        <v>4</v>
      </c>
      <c r="M1298">
        <v>10</v>
      </c>
      <c r="N1298" t="s">
        <v>30</v>
      </c>
      <c r="O1298" t="s">
        <v>77</v>
      </c>
      <c r="P1298" t="s">
        <v>54</v>
      </c>
      <c r="Q1298" t="s">
        <v>69</v>
      </c>
    </row>
    <row r="1299" spans="1:17" x14ac:dyDescent="0.3">
      <c r="A1299" t="s">
        <v>6240</v>
      </c>
      <c r="B1299" t="s">
        <v>6241</v>
      </c>
      <c r="C1299">
        <v>63</v>
      </c>
      <c r="D1299" t="s">
        <v>6242</v>
      </c>
      <c r="E1299" t="s">
        <v>88</v>
      </c>
      <c r="F1299" s="86">
        <v>44693</v>
      </c>
      <c r="G1299" s="86">
        <v>45780</v>
      </c>
      <c r="H1299">
        <v>1</v>
      </c>
      <c r="I1299" t="s">
        <v>27</v>
      </c>
      <c r="J1299" t="s">
        <v>6243</v>
      </c>
      <c r="K1299">
        <v>272.76</v>
      </c>
      <c r="L1299">
        <v>5</v>
      </c>
      <c r="M1299">
        <v>30</v>
      </c>
      <c r="N1299" t="s">
        <v>45</v>
      </c>
      <c r="O1299" t="s">
        <v>194</v>
      </c>
      <c r="P1299" t="s">
        <v>56</v>
      </c>
      <c r="Q1299" t="s">
        <v>32</v>
      </c>
    </row>
    <row r="1300" spans="1:17" x14ac:dyDescent="0.3">
      <c r="A1300" t="s">
        <v>6245</v>
      </c>
      <c r="B1300" t="s">
        <v>6246</v>
      </c>
      <c r="C1300">
        <v>56</v>
      </c>
      <c r="D1300" t="s">
        <v>6247</v>
      </c>
      <c r="E1300" t="s">
        <v>25</v>
      </c>
      <c r="F1300" s="86">
        <v>44449</v>
      </c>
      <c r="G1300" t="s">
        <v>5045</v>
      </c>
      <c r="H1300">
        <v>0</v>
      </c>
      <c r="I1300" t="s">
        <v>64</v>
      </c>
      <c r="J1300" t="s">
        <v>4572</v>
      </c>
      <c r="K1300">
        <v>125.7</v>
      </c>
      <c r="L1300">
        <v>2</v>
      </c>
      <c r="M1300">
        <v>16</v>
      </c>
      <c r="N1300" t="s">
        <v>54</v>
      </c>
      <c r="O1300" t="s">
        <v>624</v>
      </c>
      <c r="P1300" t="s">
        <v>30</v>
      </c>
      <c r="Q1300" t="s">
        <v>32</v>
      </c>
    </row>
    <row r="1301" spans="1:17" x14ac:dyDescent="0.3">
      <c r="A1301" t="s">
        <v>6249</v>
      </c>
      <c r="B1301" t="s">
        <v>6250</v>
      </c>
      <c r="C1301">
        <v>33</v>
      </c>
      <c r="D1301" t="s">
        <v>6251</v>
      </c>
      <c r="E1301" t="s">
        <v>40</v>
      </c>
      <c r="F1301" t="s">
        <v>1153</v>
      </c>
      <c r="G1301" t="s">
        <v>2626</v>
      </c>
      <c r="H1301">
        <v>2</v>
      </c>
      <c r="I1301" t="s">
        <v>27</v>
      </c>
      <c r="J1301" s="86">
        <v>45447</v>
      </c>
      <c r="K1301">
        <v>71.599999999999994</v>
      </c>
      <c r="L1301">
        <v>8</v>
      </c>
      <c r="M1301">
        <v>13</v>
      </c>
      <c r="N1301" t="s">
        <v>54</v>
      </c>
      <c r="O1301" t="s">
        <v>536</v>
      </c>
      <c r="P1301" t="s">
        <v>68</v>
      </c>
      <c r="Q1301" t="s">
        <v>32</v>
      </c>
    </row>
    <row r="1302" spans="1:17" x14ac:dyDescent="0.3">
      <c r="A1302" t="s">
        <v>6253</v>
      </c>
      <c r="B1302" t="s">
        <v>6254</v>
      </c>
      <c r="C1302">
        <v>22</v>
      </c>
      <c r="D1302" t="s">
        <v>6255</v>
      </c>
      <c r="E1302" t="s">
        <v>51</v>
      </c>
      <c r="F1302" s="86">
        <v>44692</v>
      </c>
      <c r="G1302" s="86">
        <v>45022</v>
      </c>
      <c r="H1302">
        <v>1</v>
      </c>
      <c r="I1302" t="s">
        <v>52</v>
      </c>
      <c r="J1302" s="86">
        <v>45299</v>
      </c>
      <c r="K1302">
        <v>182.98</v>
      </c>
      <c r="L1302">
        <v>4</v>
      </c>
      <c r="M1302">
        <v>36</v>
      </c>
      <c r="N1302" t="s">
        <v>45</v>
      </c>
      <c r="O1302" t="s">
        <v>425</v>
      </c>
      <c r="P1302" t="s">
        <v>30</v>
      </c>
      <c r="Q1302" t="s">
        <v>32</v>
      </c>
    </row>
    <row r="1303" spans="1:17" x14ac:dyDescent="0.3">
      <c r="A1303" t="s">
        <v>6257</v>
      </c>
      <c r="B1303" t="s">
        <v>6258</v>
      </c>
      <c r="C1303">
        <v>44</v>
      </c>
      <c r="D1303" t="s">
        <v>6259</v>
      </c>
      <c r="E1303" t="s">
        <v>40</v>
      </c>
      <c r="F1303" t="s">
        <v>1430</v>
      </c>
      <c r="G1303" t="s">
        <v>2323</v>
      </c>
      <c r="H1303">
        <v>2</v>
      </c>
      <c r="I1303" t="s">
        <v>52</v>
      </c>
      <c r="J1303" s="86">
        <v>45628</v>
      </c>
      <c r="K1303">
        <v>45.81</v>
      </c>
      <c r="L1303">
        <v>1</v>
      </c>
      <c r="M1303">
        <v>18</v>
      </c>
      <c r="N1303" t="s">
        <v>54</v>
      </c>
      <c r="O1303" t="s">
        <v>157</v>
      </c>
      <c r="P1303" t="s">
        <v>68</v>
      </c>
      <c r="Q1303" t="s">
        <v>69</v>
      </c>
    </row>
    <row r="1304" spans="1:17" x14ac:dyDescent="0.3">
      <c r="A1304" t="s">
        <v>6261</v>
      </c>
      <c r="B1304" t="s">
        <v>6262</v>
      </c>
      <c r="C1304">
        <v>49</v>
      </c>
      <c r="D1304" t="s">
        <v>6263</v>
      </c>
      <c r="E1304" t="s">
        <v>61</v>
      </c>
      <c r="F1304" s="86">
        <v>44053</v>
      </c>
      <c r="G1304" t="s">
        <v>1011</v>
      </c>
      <c r="H1304">
        <v>3</v>
      </c>
      <c r="I1304" t="s">
        <v>27</v>
      </c>
      <c r="J1304" s="86">
        <v>45358</v>
      </c>
      <c r="K1304">
        <v>221.45</v>
      </c>
      <c r="L1304">
        <v>6</v>
      </c>
      <c r="M1304">
        <v>29</v>
      </c>
      <c r="N1304" t="s">
        <v>45</v>
      </c>
      <c r="O1304" t="s">
        <v>366</v>
      </c>
      <c r="P1304" t="s">
        <v>54</v>
      </c>
      <c r="Q1304" t="s">
        <v>69</v>
      </c>
    </row>
    <row r="1305" spans="1:17" x14ac:dyDescent="0.3">
      <c r="A1305" t="s">
        <v>6265</v>
      </c>
      <c r="B1305" t="s">
        <v>6266</v>
      </c>
      <c r="C1305">
        <v>24</v>
      </c>
      <c r="D1305" t="s">
        <v>6267</v>
      </c>
      <c r="E1305" t="s">
        <v>25</v>
      </c>
      <c r="F1305" t="s">
        <v>2732</v>
      </c>
      <c r="G1305" t="s">
        <v>3335</v>
      </c>
      <c r="H1305">
        <v>1</v>
      </c>
      <c r="I1305" t="s">
        <v>52</v>
      </c>
      <c r="J1305" t="s">
        <v>2732</v>
      </c>
      <c r="K1305">
        <v>185.94</v>
      </c>
      <c r="L1305">
        <v>8</v>
      </c>
      <c r="M1305">
        <v>4</v>
      </c>
      <c r="N1305" t="s">
        <v>45</v>
      </c>
      <c r="O1305" t="s">
        <v>211</v>
      </c>
      <c r="P1305" t="s">
        <v>68</v>
      </c>
      <c r="Q1305" t="s">
        <v>32</v>
      </c>
    </row>
    <row r="1306" spans="1:17" x14ac:dyDescent="0.3">
      <c r="A1306" t="s">
        <v>6269</v>
      </c>
      <c r="B1306" t="s">
        <v>6270</v>
      </c>
      <c r="C1306">
        <v>57</v>
      </c>
      <c r="D1306" t="s">
        <v>6271</v>
      </c>
      <c r="E1306" t="s">
        <v>40</v>
      </c>
      <c r="F1306" s="86">
        <v>43899</v>
      </c>
      <c r="G1306" t="s">
        <v>2066</v>
      </c>
      <c r="H1306">
        <v>4</v>
      </c>
      <c r="I1306" t="s">
        <v>27</v>
      </c>
      <c r="J1306" s="86">
        <v>44238</v>
      </c>
      <c r="K1306">
        <v>842.3</v>
      </c>
      <c r="L1306">
        <v>2</v>
      </c>
      <c r="M1306">
        <v>11</v>
      </c>
      <c r="N1306" t="s">
        <v>45</v>
      </c>
      <c r="O1306" t="s">
        <v>99</v>
      </c>
      <c r="P1306" t="s">
        <v>56</v>
      </c>
      <c r="Q1306" t="s">
        <v>32</v>
      </c>
    </row>
    <row r="1307" spans="1:17" x14ac:dyDescent="0.3">
      <c r="A1307" t="s">
        <v>6273</v>
      </c>
      <c r="B1307" t="s">
        <v>6274</v>
      </c>
      <c r="C1307">
        <v>19</v>
      </c>
      <c r="D1307" t="s">
        <v>6275</v>
      </c>
      <c r="E1307" t="s">
        <v>25</v>
      </c>
      <c r="F1307" s="86">
        <v>44259</v>
      </c>
      <c r="G1307" s="86">
        <v>44778</v>
      </c>
      <c r="H1307">
        <v>5</v>
      </c>
      <c r="I1307" t="s">
        <v>27</v>
      </c>
      <c r="J1307" t="s">
        <v>4062</v>
      </c>
      <c r="K1307">
        <v>1871.19</v>
      </c>
      <c r="L1307">
        <v>1</v>
      </c>
      <c r="M1307">
        <v>13</v>
      </c>
      <c r="N1307" t="s">
        <v>54</v>
      </c>
      <c r="O1307" t="s">
        <v>837</v>
      </c>
      <c r="P1307" t="s">
        <v>56</v>
      </c>
      <c r="Q1307" t="s">
        <v>69</v>
      </c>
    </row>
    <row r="1308" spans="1:17" x14ac:dyDescent="0.3">
      <c r="A1308" t="s">
        <v>6277</v>
      </c>
      <c r="B1308" t="s">
        <v>6278</v>
      </c>
      <c r="C1308">
        <v>37</v>
      </c>
      <c r="D1308" t="s">
        <v>6279</v>
      </c>
      <c r="E1308" t="s">
        <v>40</v>
      </c>
      <c r="F1308" s="86">
        <v>45237</v>
      </c>
      <c r="G1308" t="s">
        <v>486</v>
      </c>
      <c r="H1308">
        <v>5</v>
      </c>
      <c r="I1308" t="s">
        <v>27</v>
      </c>
      <c r="J1308" t="s">
        <v>1200</v>
      </c>
      <c r="K1308">
        <v>618.69000000000005</v>
      </c>
      <c r="L1308">
        <v>2</v>
      </c>
      <c r="M1308">
        <v>2</v>
      </c>
      <c r="N1308" t="s">
        <v>56</v>
      </c>
      <c r="O1308" t="s">
        <v>116</v>
      </c>
      <c r="P1308" t="s">
        <v>54</v>
      </c>
      <c r="Q1308" t="s">
        <v>69</v>
      </c>
    </row>
    <row r="1309" spans="1:17" x14ac:dyDescent="0.3">
      <c r="A1309" t="s">
        <v>6281</v>
      </c>
      <c r="B1309" t="s">
        <v>6282</v>
      </c>
      <c r="C1309">
        <v>58</v>
      </c>
      <c r="D1309" t="s">
        <v>6283</v>
      </c>
      <c r="E1309" t="s">
        <v>25</v>
      </c>
      <c r="F1309" s="86">
        <v>44378</v>
      </c>
      <c r="G1309" t="s">
        <v>4786</v>
      </c>
      <c r="H1309">
        <v>4</v>
      </c>
      <c r="I1309" t="s">
        <v>52</v>
      </c>
      <c r="J1309" s="86">
        <v>44412</v>
      </c>
      <c r="K1309">
        <v>165.97</v>
      </c>
      <c r="L1309">
        <v>7</v>
      </c>
      <c r="M1309">
        <v>22</v>
      </c>
      <c r="N1309" t="s">
        <v>45</v>
      </c>
      <c r="O1309" t="s">
        <v>169</v>
      </c>
      <c r="P1309" t="s">
        <v>30</v>
      </c>
      <c r="Q1309" t="s">
        <v>32</v>
      </c>
    </row>
    <row r="1310" spans="1:17" x14ac:dyDescent="0.3">
      <c r="A1310" t="s">
        <v>6285</v>
      </c>
      <c r="B1310" t="s">
        <v>6286</v>
      </c>
      <c r="C1310">
        <v>27</v>
      </c>
      <c r="D1310" t="s">
        <v>6287</v>
      </c>
      <c r="E1310" t="s">
        <v>40</v>
      </c>
      <c r="F1310" t="s">
        <v>808</v>
      </c>
      <c r="G1310" t="s">
        <v>3130</v>
      </c>
      <c r="H1310">
        <v>1</v>
      </c>
      <c r="I1310" t="s">
        <v>52</v>
      </c>
      <c r="J1310" t="s">
        <v>2659</v>
      </c>
      <c r="K1310">
        <v>241.95</v>
      </c>
      <c r="L1310">
        <v>7</v>
      </c>
      <c r="M1310">
        <v>20</v>
      </c>
      <c r="N1310" t="s">
        <v>56</v>
      </c>
      <c r="O1310" t="s">
        <v>199</v>
      </c>
      <c r="P1310" t="s">
        <v>54</v>
      </c>
      <c r="Q1310" t="s">
        <v>32</v>
      </c>
    </row>
    <row r="1311" spans="1:17" x14ac:dyDescent="0.3">
      <c r="A1311" t="s">
        <v>6289</v>
      </c>
      <c r="B1311" t="s">
        <v>6290</v>
      </c>
      <c r="C1311">
        <v>67</v>
      </c>
      <c r="D1311" t="s">
        <v>6291</v>
      </c>
      <c r="E1311" t="s">
        <v>95</v>
      </c>
      <c r="F1311" t="s">
        <v>6292</v>
      </c>
      <c r="G1311" s="86">
        <v>45542</v>
      </c>
      <c r="H1311">
        <v>3</v>
      </c>
      <c r="I1311" t="s">
        <v>27</v>
      </c>
      <c r="J1311" t="s">
        <v>320</v>
      </c>
      <c r="K1311">
        <v>207.24</v>
      </c>
      <c r="L1311">
        <v>8</v>
      </c>
      <c r="M1311">
        <v>6</v>
      </c>
      <c r="N1311" t="s">
        <v>30</v>
      </c>
      <c r="O1311" t="s">
        <v>251</v>
      </c>
      <c r="P1311" t="s">
        <v>30</v>
      </c>
      <c r="Q1311" t="s">
        <v>69</v>
      </c>
    </row>
    <row r="1312" spans="1:17" x14ac:dyDescent="0.3">
      <c r="A1312" t="s">
        <v>6294</v>
      </c>
      <c r="B1312" t="s">
        <v>6295</v>
      </c>
      <c r="C1312">
        <v>27</v>
      </c>
      <c r="D1312" t="s">
        <v>6296</v>
      </c>
      <c r="E1312" t="s">
        <v>25</v>
      </c>
      <c r="F1312" t="s">
        <v>3078</v>
      </c>
      <c r="G1312" s="86">
        <v>45476</v>
      </c>
      <c r="H1312">
        <v>3</v>
      </c>
      <c r="I1312" t="s">
        <v>27</v>
      </c>
      <c r="J1312" t="s">
        <v>3516</v>
      </c>
      <c r="K1312">
        <v>428.21</v>
      </c>
      <c r="L1312">
        <v>3</v>
      </c>
      <c r="M1312">
        <v>47</v>
      </c>
      <c r="N1312" t="s">
        <v>45</v>
      </c>
      <c r="O1312" t="s">
        <v>373</v>
      </c>
      <c r="P1312" t="s">
        <v>54</v>
      </c>
      <c r="Q1312" t="s">
        <v>69</v>
      </c>
    </row>
    <row r="1313" spans="1:17" x14ac:dyDescent="0.3">
      <c r="A1313" t="s">
        <v>6298</v>
      </c>
      <c r="B1313" t="s">
        <v>6299</v>
      </c>
      <c r="C1313">
        <v>27</v>
      </c>
      <c r="D1313" t="s">
        <v>6300</v>
      </c>
      <c r="E1313" t="s">
        <v>40</v>
      </c>
      <c r="F1313" t="s">
        <v>430</v>
      </c>
      <c r="G1313" s="86">
        <v>45573</v>
      </c>
      <c r="H1313">
        <v>5</v>
      </c>
      <c r="I1313" t="s">
        <v>64</v>
      </c>
      <c r="J1313" s="86">
        <v>44564</v>
      </c>
      <c r="K1313">
        <v>224.13</v>
      </c>
      <c r="L1313">
        <v>7</v>
      </c>
      <c r="M1313">
        <v>34</v>
      </c>
      <c r="N1313" t="s">
        <v>68</v>
      </c>
      <c r="O1313" t="s">
        <v>44</v>
      </c>
      <c r="P1313" t="s">
        <v>45</v>
      </c>
      <c r="Q1313" t="s">
        <v>69</v>
      </c>
    </row>
    <row r="1314" spans="1:17" x14ac:dyDescent="0.3">
      <c r="A1314" t="s">
        <v>6302</v>
      </c>
      <c r="B1314" t="s">
        <v>6303</v>
      </c>
      <c r="C1314">
        <v>61</v>
      </c>
      <c r="D1314" t="s">
        <v>6304</v>
      </c>
      <c r="E1314" t="s">
        <v>51</v>
      </c>
      <c r="F1314" s="86">
        <v>45267</v>
      </c>
      <c r="G1314" t="s">
        <v>1716</v>
      </c>
      <c r="H1314">
        <v>5</v>
      </c>
      <c r="I1314" t="s">
        <v>27</v>
      </c>
      <c r="J1314" t="s">
        <v>2300</v>
      </c>
      <c r="K1314">
        <v>77.19</v>
      </c>
      <c r="L1314">
        <v>8</v>
      </c>
      <c r="M1314">
        <v>19</v>
      </c>
      <c r="N1314" t="s">
        <v>30</v>
      </c>
      <c r="O1314" t="s">
        <v>610</v>
      </c>
      <c r="P1314" t="s">
        <v>68</v>
      </c>
      <c r="Q1314" t="s">
        <v>32</v>
      </c>
    </row>
    <row r="1315" spans="1:17" x14ac:dyDescent="0.3">
      <c r="A1315" t="s">
        <v>6306</v>
      </c>
      <c r="B1315" t="s">
        <v>6307</v>
      </c>
      <c r="C1315">
        <v>19</v>
      </c>
      <c r="D1315" t="s">
        <v>6308</v>
      </c>
      <c r="E1315" t="s">
        <v>40</v>
      </c>
      <c r="F1315" s="86">
        <v>44449</v>
      </c>
      <c r="G1315" s="86">
        <v>45421</v>
      </c>
      <c r="H1315">
        <v>3</v>
      </c>
      <c r="I1315" t="s">
        <v>52</v>
      </c>
      <c r="J1315" t="s">
        <v>2314</v>
      </c>
      <c r="K1315">
        <v>64.16</v>
      </c>
      <c r="L1315">
        <v>2</v>
      </c>
      <c r="M1315">
        <v>25</v>
      </c>
      <c r="N1315" t="s">
        <v>56</v>
      </c>
      <c r="O1315" t="s">
        <v>231</v>
      </c>
      <c r="P1315" t="s">
        <v>30</v>
      </c>
      <c r="Q1315" t="s">
        <v>32</v>
      </c>
    </row>
    <row r="1316" spans="1:17" x14ac:dyDescent="0.3">
      <c r="A1316" t="s">
        <v>6310</v>
      </c>
      <c r="B1316" t="s">
        <v>6311</v>
      </c>
      <c r="C1316">
        <v>25</v>
      </c>
      <c r="D1316" t="s">
        <v>6312</v>
      </c>
      <c r="E1316" t="s">
        <v>51</v>
      </c>
      <c r="F1316" t="s">
        <v>2281</v>
      </c>
      <c r="G1316" s="86">
        <v>45998</v>
      </c>
      <c r="H1316">
        <v>4</v>
      </c>
      <c r="I1316" t="s">
        <v>52</v>
      </c>
      <c r="J1316" t="s">
        <v>746</v>
      </c>
      <c r="K1316">
        <v>618.94000000000005</v>
      </c>
      <c r="L1316">
        <v>3</v>
      </c>
      <c r="M1316">
        <v>18</v>
      </c>
      <c r="N1316" t="s">
        <v>45</v>
      </c>
      <c r="O1316" t="s">
        <v>604</v>
      </c>
      <c r="P1316" t="s">
        <v>45</v>
      </c>
      <c r="Q1316" t="s">
        <v>69</v>
      </c>
    </row>
    <row r="1317" spans="1:17" x14ac:dyDescent="0.3">
      <c r="A1317" t="s">
        <v>6314</v>
      </c>
      <c r="B1317" t="s">
        <v>6315</v>
      </c>
      <c r="C1317">
        <v>29</v>
      </c>
      <c r="D1317" t="s">
        <v>6316</v>
      </c>
      <c r="E1317" t="s">
        <v>40</v>
      </c>
      <c r="F1317" s="86">
        <v>44629</v>
      </c>
      <c r="G1317" t="s">
        <v>5697</v>
      </c>
      <c r="H1317">
        <v>1</v>
      </c>
      <c r="I1317" t="s">
        <v>52</v>
      </c>
      <c r="J1317" t="s">
        <v>729</v>
      </c>
      <c r="K1317">
        <v>86.78</v>
      </c>
      <c r="L1317">
        <v>5</v>
      </c>
      <c r="M1317">
        <v>6</v>
      </c>
      <c r="N1317" t="s">
        <v>45</v>
      </c>
      <c r="O1317" t="s">
        <v>122</v>
      </c>
      <c r="P1317" t="s">
        <v>30</v>
      </c>
      <c r="Q1317" t="s">
        <v>69</v>
      </c>
    </row>
    <row r="1318" spans="1:17" x14ac:dyDescent="0.3">
      <c r="A1318" t="s">
        <v>6318</v>
      </c>
      <c r="B1318" t="s">
        <v>6319</v>
      </c>
      <c r="C1318">
        <v>52</v>
      </c>
      <c r="D1318" t="s">
        <v>6320</v>
      </c>
      <c r="E1318" t="s">
        <v>61</v>
      </c>
      <c r="F1318" s="86">
        <v>44387</v>
      </c>
      <c r="G1318" t="s">
        <v>1861</v>
      </c>
      <c r="H1318">
        <v>3</v>
      </c>
      <c r="I1318" t="s">
        <v>27</v>
      </c>
      <c r="J1318" s="86">
        <v>45540</v>
      </c>
      <c r="K1318">
        <v>266</v>
      </c>
      <c r="L1318">
        <v>6</v>
      </c>
      <c r="M1318">
        <v>8</v>
      </c>
      <c r="N1318" t="s">
        <v>68</v>
      </c>
      <c r="O1318" t="s">
        <v>238</v>
      </c>
      <c r="P1318" t="s">
        <v>45</v>
      </c>
      <c r="Q1318" t="s">
        <v>69</v>
      </c>
    </row>
    <row r="1319" spans="1:17" x14ac:dyDescent="0.3">
      <c r="A1319" t="s">
        <v>6322</v>
      </c>
      <c r="B1319" t="s">
        <v>6323</v>
      </c>
      <c r="C1319">
        <v>64</v>
      </c>
      <c r="D1319" t="s">
        <v>6324</v>
      </c>
      <c r="E1319" t="s">
        <v>88</v>
      </c>
      <c r="F1319" s="86">
        <v>44290</v>
      </c>
      <c r="G1319" s="86">
        <v>44595</v>
      </c>
      <c r="H1319">
        <v>0</v>
      </c>
      <c r="I1319" t="s">
        <v>64</v>
      </c>
      <c r="J1319" t="s">
        <v>140</v>
      </c>
      <c r="K1319">
        <v>195.92</v>
      </c>
      <c r="L1319">
        <v>6</v>
      </c>
      <c r="M1319">
        <v>29</v>
      </c>
      <c r="N1319" t="s">
        <v>56</v>
      </c>
      <c r="O1319" t="s">
        <v>245</v>
      </c>
      <c r="P1319" t="s">
        <v>54</v>
      </c>
      <c r="Q1319" t="s">
        <v>32</v>
      </c>
    </row>
    <row r="1320" spans="1:17" x14ac:dyDescent="0.3">
      <c r="A1320" t="s">
        <v>6326</v>
      </c>
      <c r="B1320" t="s">
        <v>6327</v>
      </c>
      <c r="C1320">
        <v>50</v>
      </c>
      <c r="D1320" t="s">
        <v>6328</v>
      </c>
      <c r="E1320" t="s">
        <v>40</v>
      </c>
      <c r="F1320" s="86">
        <v>44411</v>
      </c>
      <c r="G1320" t="s">
        <v>4883</v>
      </c>
      <c r="H1320">
        <v>2</v>
      </c>
      <c r="I1320" t="s">
        <v>52</v>
      </c>
      <c r="J1320" t="s">
        <v>4968</v>
      </c>
      <c r="K1320">
        <v>136.75</v>
      </c>
      <c r="L1320">
        <v>9</v>
      </c>
      <c r="M1320">
        <v>25</v>
      </c>
      <c r="N1320" t="s">
        <v>56</v>
      </c>
      <c r="O1320" t="s">
        <v>269</v>
      </c>
      <c r="P1320" t="s">
        <v>56</v>
      </c>
      <c r="Q1320" t="s">
        <v>32</v>
      </c>
    </row>
    <row r="1321" spans="1:17" x14ac:dyDescent="0.3">
      <c r="A1321" t="s">
        <v>6330</v>
      </c>
      <c r="B1321" t="s">
        <v>6331</v>
      </c>
      <c r="C1321">
        <v>26</v>
      </c>
      <c r="D1321" t="s">
        <v>6332</v>
      </c>
      <c r="E1321" t="s">
        <v>95</v>
      </c>
      <c r="F1321" s="86">
        <v>44207</v>
      </c>
      <c r="G1321" t="s">
        <v>961</v>
      </c>
      <c r="H1321">
        <v>4</v>
      </c>
      <c r="I1321" t="s">
        <v>27</v>
      </c>
      <c r="J1321" t="s">
        <v>6333</v>
      </c>
      <c r="K1321">
        <v>7.43</v>
      </c>
      <c r="L1321">
        <v>3</v>
      </c>
      <c r="M1321">
        <v>23</v>
      </c>
      <c r="N1321" t="s">
        <v>45</v>
      </c>
      <c r="O1321" t="s">
        <v>77</v>
      </c>
      <c r="P1321" t="s">
        <v>54</v>
      </c>
      <c r="Q1321" t="s">
        <v>322</v>
      </c>
    </row>
    <row r="1322" spans="1:17" x14ac:dyDescent="0.3">
      <c r="A1322" t="s">
        <v>6335</v>
      </c>
      <c r="B1322" t="s">
        <v>6336</v>
      </c>
      <c r="C1322">
        <v>53</v>
      </c>
      <c r="D1322" t="s">
        <v>6337</v>
      </c>
      <c r="E1322" t="s">
        <v>88</v>
      </c>
      <c r="F1322" t="s">
        <v>6338</v>
      </c>
      <c r="G1322" t="s">
        <v>319</v>
      </c>
      <c r="H1322">
        <v>0</v>
      </c>
      <c r="I1322" t="s">
        <v>27</v>
      </c>
      <c r="J1322" t="s">
        <v>2135</v>
      </c>
      <c r="K1322">
        <v>691.59</v>
      </c>
      <c r="L1322">
        <v>2</v>
      </c>
      <c r="M1322">
        <v>43</v>
      </c>
      <c r="N1322" t="s">
        <v>68</v>
      </c>
      <c r="O1322" t="s">
        <v>855</v>
      </c>
      <c r="P1322" t="s">
        <v>45</v>
      </c>
      <c r="Q1322" t="s">
        <v>69</v>
      </c>
    </row>
    <row r="1323" spans="1:17" x14ac:dyDescent="0.3">
      <c r="A1323" t="s">
        <v>6340</v>
      </c>
      <c r="B1323" t="s">
        <v>6341</v>
      </c>
      <c r="C1323">
        <v>20</v>
      </c>
      <c r="D1323" t="s">
        <v>6342</v>
      </c>
      <c r="E1323" t="s">
        <v>51</v>
      </c>
      <c r="F1323" t="s">
        <v>1452</v>
      </c>
      <c r="G1323" t="s">
        <v>3278</v>
      </c>
      <c r="H1323">
        <v>0</v>
      </c>
      <c r="I1323" t="s">
        <v>27</v>
      </c>
      <c r="J1323" s="86">
        <v>44602</v>
      </c>
      <c r="K1323">
        <v>500.26</v>
      </c>
      <c r="L1323">
        <v>2</v>
      </c>
      <c r="M1323">
        <v>12</v>
      </c>
      <c r="N1323" t="s">
        <v>45</v>
      </c>
      <c r="O1323" t="s">
        <v>238</v>
      </c>
      <c r="P1323" t="s">
        <v>45</v>
      </c>
      <c r="Q1323" t="s">
        <v>69</v>
      </c>
    </row>
    <row r="1324" spans="1:17" x14ac:dyDescent="0.3">
      <c r="A1324" t="s">
        <v>6344</v>
      </c>
      <c r="B1324" t="s">
        <v>6345</v>
      </c>
      <c r="C1324">
        <v>23</v>
      </c>
      <c r="D1324" t="s">
        <v>6346</v>
      </c>
      <c r="E1324" t="s">
        <v>25</v>
      </c>
      <c r="F1324" s="86">
        <v>44811</v>
      </c>
      <c r="G1324" s="86">
        <v>45051</v>
      </c>
      <c r="H1324">
        <v>4</v>
      </c>
      <c r="I1324" t="s">
        <v>52</v>
      </c>
      <c r="J1324" t="s">
        <v>6347</v>
      </c>
      <c r="K1324">
        <v>221.95</v>
      </c>
      <c r="L1324">
        <v>8</v>
      </c>
      <c r="M1324">
        <v>7</v>
      </c>
      <c r="N1324" t="s">
        <v>30</v>
      </c>
      <c r="O1324" t="s">
        <v>238</v>
      </c>
      <c r="P1324" t="s">
        <v>45</v>
      </c>
      <c r="Q1324" t="s">
        <v>69</v>
      </c>
    </row>
    <row r="1325" spans="1:17" x14ac:dyDescent="0.3">
      <c r="A1325" t="s">
        <v>6349</v>
      </c>
      <c r="B1325" t="s">
        <v>6350</v>
      </c>
      <c r="C1325">
        <v>31</v>
      </c>
      <c r="D1325" t="s">
        <v>6351</v>
      </c>
      <c r="E1325" t="s">
        <v>61</v>
      </c>
      <c r="F1325" s="86">
        <v>45112</v>
      </c>
      <c r="G1325" t="s">
        <v>371</v>
      </c>
      <c r="H1325">
        <v>2</v>
      </c>
      <c r="I1325" t="s">
        <v>27</v>
      </c>
      <c r="J1325" t="s">
        <v>1791</v>
      </c>
      <c r="K1325">
        <v>381.19</v>
      </c>
      <c r="L1325">
        <v>3</v>
      </c>
      <c r="M1325">
        <v>20</v>
      </c>
      <c r="N1325" t="s">
        <v>68</v>
      </c>
      <c r="O1325" t="s">
        <v>425</v>
      </c>
      <c r="P1325" t="s">
        <v>30</v>
      </c>
      <c r="Q1325" t="s">
        <v>69</v>
      </c>
    </row>
    <row r="1326" spans="1:17" x14ac:dyDescent="0.3">
      <c r="A1326" t="s">
        <v>6353</v>
      </c>
      <c r="B1326" t="s">
        <v>6354</v>
      </c>
      <c r="C1326">
        <v>26</v>
      </c>
      <c r="D1326" t="s">
        <v>6355</v>
      </c>
      <c r="E1326" t="s">
        <v>88</v>
      </c>
      <c r="F1326" t="s">
        <v>6356</v>
      </c>
      <c r="G1326" t="s">
        <v>1298</v>
      </c>
      <c r="H1326">
        <v>5</v>
      </c>
      <c r="I1326" t="s">
        <v>27</v>
      </c>
      <c r="J1326" s="86">
        <v>45388</v>
      </c>
      <c r="K1326">
        <v>255.16</v>
      </c>
      <c r="L1326">
        <v>1</v>
      </c>
      <c r="M1326">
        <v>15</v>
      </c>
      <c r="N1326" t="s">
        <v>56</v>
      </c>
      <c r="O1326" t="s">
        <v>77</v>
      </c>
      <c r="P1326" t="s">
        <v>54</v>
      </c>
      <c r="Q1326" t="s">
        <v>69</v>
      </c>
    </row>
    <row r="1327" spans="1:17" x14ac:dyDescent="0.3">
      <c r="A1327" t="s">
        <v>6358</v>
      </c>
      <c r="B1327" t="s">
        <v>6359</v>
      </c>
      <c r="C1327">
        <v>21</v>
      </c>
      <c r="D1327" t="s">
        <v>6360</v>
      </c>
      <c r="E1327" t="s">
        <v>95</v>
      </c>
      <c r="F1327" s="86">
        <v>44417</v>
      </c>
      <c r="G1327" t="s">
        <v>6361</v>
      </c>
      <c r="H1327">
        <v>5</v>
      </c>
      <c r="I1327" t="s">
        <v>52</v>
      </c>
      <c r="J1327" t="s">
        <v>4244</v>
      </c>
      <c r="K1327">
        <v>197.79</v>
      </c>
      <c r="L1327">
        <v>7</v>
      </c>
      <c r="M1327">
        <v>48</v>
      </c>
      <c r="N1327" t="s">
        <v>56</v>
      </c>
      <c r="O1327" t="s">
        <v>211</v>
      </c>
      <c r="P1327" t="s">
        <v>68</v>
      </c>
      <c r="Q1327" t="s">
        <v>69</v>
      </c>
    </row>
    <row r="1328" spans="1:17" x14ac:dyDescent="0.3">
      <c r="A1328" t="s">
        <v>6363</v>
      </c>
      <c r="B1328" t="s">
        <v>6364</v>
      </c>
      <c r="C1328">
        <v>49</v>
      </c>
      <c r="D1328" t="s">
        <v>6365</v>
      </c>
      <c r="E1328" t="s">
        <v>88</v>
      </c>
      <c r="F1328" t="s">
        <v>6366</v>
      </c>
      <c r="G1328" s="86">
        <v>45569</v>
      </c>
      <c r="H1328">
        <v>0</v>
      </c>
      <c r="I1328" t="s">
        <v>64</v>
      </c>
      <c r="J1328" t="s">
        <v>208</v>
      </c>
      <c r="K1328">
        <v>147.52000000000001</v>
      </c>
      <c r="L1328">
        <v>7</v>
      </c>
      <c r="M1328">
        <v>10</v>
      </c>
      <c r="N1328" t="s">
        <v>68</v>
      </c>
      <c r="O1328" t="s">
        <v>157</v>
      </c>
      <c r="P1328" t="s">
        <v>68</v>
      </c>
      <c r="Q1328" t="s">
        <v>32</v>
      </c>
    </row>
    <row r="1329" spans="1:17" x14ac:dyDescent="0.3">
      <c r="A1329" t="s">
        <v>6368</v>
      </c>
      <c r="B1329" t="s">
        <v>6369</v>
      </c>
      <c r="C1329">
        <v>58</v>
      </c>
      <c r="D1329" t="s">
        <v>6370</v>
      </c>
      <c r="E1329" t="s">
        <v>51</v>
      </c>
      <c r="F1329" s="86">
        <v>44508</v>
      </c>
      <c r="G1329" t="s">
        <v>81</v>
      </c>
      <c r="H1329">
        <v>3</v>
      </c>
      <c r="I1329" t="s">
        <v>27</v>
      </c>
      <c r="J1329" t="s">
        <v>2408</v>
      </c>
      <c r="K1329">
        <v>65.92</v>
      </c>
      <c r="L1329">
        <v>4</v>
      </c>
      <c r="M1329">
        <v>29</v>
      </c>
      <c r="N1329" t="s">
        <v>56</v>
      </c>
      <c r="O1329" t="s">
        <v>142</v>
      </c>
      <c r="P1329" t="s">
        <v>68</v>
      </c>
      <c r="Q1329" t="s">
        <v>32</v>
      </c>
    </row>
    <row r="1330" spans="1:17" x14ac:dyDescent="0.3">
      <c r="A1330" t="s">
        <v>6372</v>
      </c>
      <c r="B1330" t="s">
        <v>6373</v>
      </c>
      <c r="C1330">
        <v>18</v>
      </c>
      <c r="D1330" t="s">
        <v>6374</v>
      </c>
      <c r="E1330" t="s">
        <v>40</v>
      </c>
      <c r="F1330" s="86">
        <v>44721</v>
      </c>
      <c r="G1330" s="86">
        <v>45753</v>
      </c>
      <c r="H1330">
        <v>5</v>
      </c>
      <c r="I1330" t="s">
        <v>27</v>
      </c>
      <c r="J1330" t="s">
        <v>4888</v>
      </c>
      <c r="K1330">
        <v>949.4</v>
      </c>
      <c r="L1330">
        <v>2</v>
      </c>
      <c r="M1330">
        <v>13</v>
      </c>
      <c r="N1330" t="s">
        <v>45</v>
      </c>
      <c r="O1330" t="s">
        <v>44</v>
      </c>
      <c r="P1330" t="s">
        <v>45</v>
      </c>
      <c r="Q1330" t="s">
        <v>32</v>
      </c>
    </row>
    <row r="1331" spans="1:17" x14ac:dyDescent="0.3">
      <c r="A1331" t="s">
        <v>6376</v>
      </c>
      <c r="B1331" t="s">
        <v>6377</v>
      </c>
      <c r="C1331">
        <v>30</v>
      </c>
      <c r="D1331" t="s">
        <v>6378</v>
      </c>
      <c r="E1331" t="s">
        <v>40</v>
      </c>
      <c r="F1331" s="86">
        <v>44905</v>
      </c>
      <c r="G1331" s="86">
        <v>44962</v>
      </c>
      <c r="H1331">
        <v>4</v>
      </c>
      <c r="I1331" t="s">
        <v>27</v>
      </c>
      <c r="J1331" t="s">
        <v>1826</v>
      </c>
      <c r="K1331">
        <v>1629.13</v>
      </c>
      <c r="L1331">
        <v>1</v>
      </c>
      <c r="M1331">
        <v>35</v>
      </c>
      <c r="N1331" t="s">
        <v>56</v>
      </c>
      <c r="O1331" t="s">
        <v>116</v>
      </c>
      <c r="P1331" t="s">
        <v>54</v>
      </c>
      <c r="Q1331" t="s">
        <v>32</v>
      </c>
    </row>
    <row r="1332" spans="1:17" x14ac:dyDescent="0.3">
      <c r="A1332" t="s">
        <v>6380</v>
      </c>
      <c r="B1332" t="s">
        <v>6381</v>
      </c>
      <c r="C1332">
        <v>23</v>
      </c>
      <c r="D1332" t="s">
        <v>6382</v>
      </c>
      <c r="E1332" t="s">
        <v>51</v>
      </c>
      <c r="F1332" s="86">
        <v>43994</v>
      </c>
      <c r="G1332" s="86">
        <v>45932</v>
      </c>
      <c r="H1332">
        <v>4</v>
      </c>
      <c r="I1332" t="s">
        <v>27</v>
      </c>
      <c r="J1332" s="86">
        <v>45601</v>
      </c>
      <c r="K1332">
        <v>110.64</v>
      </c>
      <c r="L1332">
        <v>5</v>
      </c>
      <c r="M1332">
        <v>44</v>
      </c>
      <c r="N1332" t="s">
        <v>45</v>
      </c>
      <c r="O1332" t="s">
        <v>269</v>
      </c>
      <c r="P1332" t="s">
        <v>56</v>
      </c>
      <c r="Q1332" t="s">
        <v>69</v>
      </c>
    </row>
    <row r="1333" spans="1:17" x14ac:dyDescent="0.3">
      <c r="A1333" t="s">
        <v>6384</v>
      </c>
      <c r="B1333" t="s">
        <v>6385</v>
      </c>
      <c r="C1333">
        <v>52</v>
      </c>
      <c r="D1333" t="s">
        <v>6386</v>
      </c>
      <c r="E1333" t="s">
        <v>25</v>
      </c>
      <c r="F1333" t="s">
        <v>5337</v>
      </c>
      <c r="G1333" t="s">
        <v>4505</v>
      </c>
      <c r="H1333">
        <v>2</v>
      </c>
      <c r="I1333" t="s">
        <v>64</v>
      </c>
      <c r="J1333" s="86">
        <v>45480</v>
      </c>
      <c r="K1333">
        <v>119.46</v>
      </c>
      <c r="L1333">
        <v>7</v>
      </c>
      <c r="M1333">
        <v>30</v>
      </c>
      <c r="N1333" t="s">
        <v>68</v>
      </c>
      <c r="O1333" t="s">
        <v>425</v>
      </c>
      <c r="P1333" t="s">
        <v>30</v>
      </c>
      <c r="Q1333" t="s">
        <v>69</v>
      </c>
    </row>
    <row r="1334" spans="1:17" x14ac:dyDescent="0.3">
      <c r="A1334" t="s">
        <v>6388</v>
      </c>
      <c r="B1334" t="s">
        <v>6389</v>
      </c>
      <c r="C1334">
        <v>49</v>
      </c>
      <c r="D1334" t="s">
        <v>6390</v>
      </c>
      <c r="E1334" t="s">
        <v>51</v>
      </c>
      <c r="F1334" t="s">
        <v>2464</v>
      </c>
      <c r="G1334" t="s">
        <v>1414</v>
      </c>
      <c r="H1334">
        <v>4</v>
      </c>
      <c r="I1334" t="s">
        <v>52</v>
      </c>
      <c r="J1334" t="s">
        <v>3553</v>
      </c>
      <c r="K1334">
        <v>258.64999999999998</v>
      </c>
      <c r="L1334">
        <v>2</v>
      </c>
      <c r="M1334">
        <v>36</v>
      </c>
      <c r="N1334" t="s">
        <v>56</v>
      </c>
      <c r="O1334" t="s">
        <v>135</v>
      </c>
      <c r="P1334" t="s">
        <v>45</v>
      </c>
      <c r="Q1334" t="s">
        <v>32</v>
      </c>
    </row>
    <row r="1335" spans="1:17" x14ac:dyDescent="0.3">
      <c r="A1335" t="s">
        <v>6392</v>
      </c>
      <c r="B1335" t="s">
        <v>6393</v>
      </c>
      <c r="C1335">
        <v>55</v>
      </c>
      <c r="D1335" t="s">
        <v>6394</v>
      </c>
      <c r="E1335" t="s">
        <v>95</v>
      </c>
      <c r="F1335" s="86">
        <v>44113</v>
      </c>
      <c r="G1335" s="86">
        <v>44907</v>
      </c>
      <c r="H1335">
        <v>1</v>
      </c>
      <c r="I1335" t="s">
        <v>27</v>
      </c>
      <c r="J1335" t="s">
        <v>6395</v>
      </c>
      <c r="K1335">
        <v>690.54</v>
      </c>
      <c r="L1335">
        <v>2</v>
      </c>
      <c r="M1335">
        <v>34</v>
      </c>
      <c r="N1335" t="s">
        <v>30</v>
      </c>
      <c r="O1335" t="s">
        <v>418</v>
      </c>
      <c r="P1335" t="s">
        <v>56</v>
      </c>
      <c r="Q1335" t="s">
        <v>69</v>
      </c>
    </row>
    <row r="1336" spans="1:17" x14ac:dyDescent="0.3">
      <c r="A1336" t="s">
        <v>6397</v>
      </c>
      <c r="B1336" t="s">
        <v>6398</v>
      </c>
      <c r="C1336">
        <v>36</v>
      </c>
      <c r="D1336" t="s">
        <v>6399</v>
      </c>
      <c r="E1336" t="s">
        <v>61</v>
      </c>
      <c r="F1336" t="s">
        <v>2722</v>
      </c>
      <c r="G1336" s="86">
        <v>45544</v>
      </c>
      <c r="H1336">
        <v>3</v>
      </c>
      <c r="I1336" t="s">
        <v>27</v>
      </c>
      <c r="J1336" t="s">
        <v>946</v>
      </c>
      <c r="K1336">
        <v>68.17</v>
      </c>
      <c r="L1336">
        <v>8</v>
      </c>
      <c r="M1336">
        <v>43</v>
      </c>
      <c r="N1336" t="s">
        <v>56</v>
      </c>
      <c r="O1336" t="s">
        <v>175</v>
      </c>
      <c r="P1336" t="s">
        <v>56</v>
      </c>
      <c r="Q1336" t="s">
        <v>322</v>
      </c>
    </row>
    <row r="1337" spans="1:17" x14ac:dyDescent="0.3">
      <c r="A1337" t="s">
        <v>6401</v>
      </c>
      <c r="B1337" t="s">
        <v>6402</v>
      </c>
      <c r="C1337">
        <v>65</v>
      </c>
      <c r="D1337" t="s">
        <v>6403</v>
      </c>
      <c r="E1337" t="s">
        <v>40</v>
      </c>
      <c r="F1337" s="86">
        <v>44812</v>
      </c>
      <c r="G1337" s="86">
        <v>45052</v>
      </c>
      <c r="H1337">
        <v>4</v>
      </c>
      <c r="I1337" t="s">
        <v>27</v>
      </c>
      <c r="J1337" s="86">
        <v>45870</v>
      </c>
      <c r="K1337">
        <v>172.68</v>
      </c>
      <c r="L1337">
        <v>2</v>
      </c>
      <c r="M1337">
        <v>2</v>
      </c>
      <c r="N1337" t="s">
        <v>45</v>
      </c>
      <c r="O1337" t="s">
        <v>624</v>
      </c>
      <c r="P1337" t="s">
        <v>30</v>
      </c>
      <c r="Q1337" t="s">
        <v>69</v>
      </c>
    </row>
    <row r="1338" spans="1:17" x14ac:dyDescent="0.3">
      <c r="A1338" t="s">
        <v>6405</v>
      </c>
      <c r="B1338" t="s">
        <v>6406</v>
      </c>
      <c r="C1338">
        <v>54</v>
      </c>
      <c r="D1338" t="s">
        <v>6407</v>
      </c>
      <c r="E1338" t="s">
        <v>51</v>
      </c>
      <c r="F1338" t="s">
        <v>5485</v>
      </c>
      <c r="G1338" s="86">
        <v>45538</v>
      </c>
      <c r="H1338">
        <v>3</v>
      </c>
      <c r="I1338" t="s">
        <v>52</v>
      </c>
      <c r="J1338" s="86">
        <v>44988</v>
      </c>
      <c r="K1338">
        <v>330.61</v>
      </c>
      <c r="L1338">
        <v>6</v>
      </c>
      <c r="M1338">
        <v>6</v>
      </c>
      <c r="N1338" t="s">
        <v>54</v>
      </c>
      <c r="O1338" t="s">
        <v>238</v>
      </c>
      <c r="P1338" t="s">
        <v>45</v>
      </c>
      <c r="Q1338" t="s">
        <v>32</v>
      </c>
    </row>
    <row r="1339" spans="1:17" x14ac:dyDescent="0.3">
      <c r="A1339" t="s">
        <v>6409</v>
      </c>
      <c r="B1339" t="s">
        <v>6410</v>
      </c>
      <c r="C1339">
        <v>57</v>
      </c>
      <c r="D1339" t="s">
        <v>6411</v>
      </c>
      <c r="E1339" t="s">
        <v>51</v>
      </c>
      <c r="F1339" s="86">
        <v>44200</v>
      </c>
      <c r="G1339" t="s">
        <v>6412</v>
      </c>
      <c r="H1339">
        <v>2</v>
      </c>
      <c r="I1339" t="s">
        <v>52</v>
      </c>
      <c r="J1339" t="s">
        <v>6413</v>
      </c>
      <c r="K1339">
        <v>71.44</v>
      </c>
      <c r="L1339">
        <v>9</v>
      </c>
      <c r="M1339">
        <v>21</v>
      </c>
      <c r="N1339" t="s">
        <v>68</v>
      </c>
      <c r="O1339" t="s">
        <v>238</v>
      </c>
      <c r="P1339" t="s">
        <v>45</v>
      </c>
      <c r="Q1339" t="s">
        <v>32</v>
      </c>
    </row>
    <row r="1340" spans="1:17" x14ac:dyDescent="0.3">
      <c r="A1340" t="s">
        <v>6415</v>
      </c>
      <c r="B1340" t="s">
        <v>6416</v>
      </c>
      <c r="C1340">
        <v>19</v>
      </c>
      <c r="D1340" t="s">
        <v>6417</v>
      </c>
      <c r="E1340" t="s">
        <v>95</v>
      </c>
      <c r="F1340" t="s">
        <v>3002</v>
      </c>
      <c r="G1340" s="86">
        <v>44962</v>
      </c>
      <c r="H1340">
        <v>2</v>
      </c>
      <c r="I1340" t="s">
        <v>64</v>
      </c>
      <c r="J1340" t="s">
        <v>423</v>
      </c>
      <c r="K1340">
        <v>253.84</v>
      </c>
      <c r="L1340">
        <v>7</v>
      </c>
      <c r="M1340">
        <v>14</v>
      </c>
      <c r="N1340" t="s">
        <v>54</v>
      </c>
      <c r="O1340" t="s">
        <v>55</v>
      </c>
      <c r="P1340" t="s">
        <v>56</v>
      </c>
      <c r="Q1340" t="s">
        <v>69</v>
      </c>
    </row>
    <row r="1341" spans="1:17" x14ac:dyDescent="0.3">
      <c r="A1341" t="s">
        <v>6419</v>
      </c>
      <c r="B1341" t="s">
        <v>6420</v>
      </c>
      <c r="C1341">
        <v>56</v>
      </c>
      <c r="D1341" t="s">
        <v>6421</v>
      </c>
      <c r="E1341" t="s">
        <v>61</v>
      </c>
      <c r="F1341" t="s">
        <v>4253</v>
      </c>
      <c r="G1341" t="s">
        <v>2781</v>
      </c>
      <c r="H1341">
        <v>5</v>
      </c>
      <c r="I1341" t="s">
        <v>27</v>
      </c>
      <c r="J1341" s="86">
        <v>45327</v>
      </c>
      <c r="K1341">
        <v>309.98</v>
      </c>
      <c r="L1341">
        <v>6</v>
      </c>
      <c r="M1341">
        <v>46</v>
      </c>
      <c r="N1341" t="s">
        <v>68</v>
      </c>
      <c r="O1341" t="s">
        <v>231</v>
      </c>
      <c r="P1341" t="s">
        <v>30</v>
      </c>
      <c r="Q1341" t="s">
        <v>69</v>
      </c>
    </row>
    <row r="1342" spans="1:17" x14ac:dyDescent="0.3">
      <c r="A1342" t="s">
        <v>6423</v>
      </c>
      <c r="B1342" t="s">
        <v>6424</v>
      </c>
      <c r="C1342">
        <v>39</v>
      </c>
      <c r="D1342" t="s">
        <v>6425</v>
      </c>
      <c r="E1342" t="s">
        <v>25</v>
      </c>
      <c r="F1342" t="s">
        <v>3354</v>
      </c>
      <c r="G1342" s="86">
        <v>44744</v>
      </c>
      <c r="H1342">
        <v>3</v>
      </c>
      <c r="I1342" t="s">
        <v>52</v>
      </c>
      <c r="J1342" t="s">
        <v>545</v>
      </c>
      <c r="K1342">
        <v>879.8</v>
      </c>
      <c r="L1342">
        <v>2</v>
      </c>
      <c r="M1342">
        <v>6</v>
      </c>
      <c r="N1342" t="s">
        <v>45</v>
      </c>
      <c r="O1342" t="s">
        <v>44</v>
      </c>
      <c r="P1342" t="s">
        <v>45</v>
      </c>
      <c r="Q1342" t="s">
        <v>32</v>
      </c>
    </row>
    <row r="1343" spans="1:17" x14ac:dyDescent="0.3">
      <c r="A1343" t="s">
        <v>6427</v>
      </c>
      <c r="B1343" t="s">
        <v>6428</v>
      </c>
      <c r="C1343">
        <v>49</v>
      </c>
      <c r="D1343" t="s">
        <v>6429</v>
      </c>
      <c r="E1343" t="s">
        <v>51</v>
      </c>
      <c r="F1343" s="86">
        <v>45233</v>
      </c>
      <c r="G1343" s="86">
        <v>45234</v>
      </c>
      <c r="H1343">
        <v>2</v>
      </c>
      <c r="I1343" t="s">
        <v>64</v>
      </c>
      <c r="J1343" t="s">
        <v>2300</v>
      </c>
      <c r="K1343">
        <v>50.77</v>
      </c>
      <c r="L1343">
        <v>8</v>
      </c>
      <c r="M1343">
        <v>38</v>
      </c>
      <c r="N1343" t="s">
        <v>45</v>
      </c>
      <c r="O1343" t="s">
        <v>425</v>
      </c>
      <c r="P1343" t="s">
        <v>30</v>
      </c>
      <c r="Q1343" t="s">
        <v>32</v>
      </c>
    </row>
    <row r="1344" spans="1:17" x14ac:dyDescent="0.3">
      <c r="A1344" t="s">
        <v>6431</v>
      </c>
      <c r="B1344" t="s">
        <v>6432</v>
      </c>
      <c r="C1344">
        <v>49</v>
      </c>
      <c r="D1344" t="s">
        <v>6433</v>
      </c>
      <c r="E1344" t="s">
        <v>61</v>
      </c>
      <c r="F1344" s="86">
        <v>44572</v>
      </c>
      <c r="G1344" t="s">
        <v>2522</v>
      </c>
      <c r="H1344">
        <v>0</v>
      </c>
      <c r="I1344" t="s">
        <v>27</v>
      </c>
      <c r="J1344" t="s">
        <v>912</v>
      </c>
      <c r="K1344">
        <v>542.24</v>
      </c>
      <c r="L1344">
        <v>3</v>
      </c>
      <c r="M1344">
        <v>22</v>
      </c>
      <c r="N1344" t="s">
        <v>68</v>
      </c>
      <c r="O1344" t="s">
        <v>238</v>
      </c>
      <c r="P1344" t="s">
        <v>45</v>
      </c>
      <c r="Q1344" t="s">
        <v>32</v>
      </c>
    </row>
    <row r="1345" spans="1:17" x14ac:dyDescent="0.3">
      <c r="A1345" t="s">
        <v>6435</v>
      </c>
      <c r="B1345" t="s">
        <v>6436</v>
      </c>
      <c r="C1345">
        <v>24</v>
      </c>
      <c r="D1345" t="s">
        <v>6437</v>
      </c>
      <c r="E1345" t="s">
        <v>61</v>
      </c>
      <c r="F1345" t="s">
        <v>3460</v>
      </c>
      <c r="G1345" t="s">
        <v>1123</v>
      </c>
      <c r="H1345">
        <v>4</v>
      </c>
      <c r="I1345" t="s">
        <v>27</v>
      </c>
      <c r="J1345" t="s">
        <v>974</v>
      </c>
      <c r="K1345">
        <v>54.93</v>
      </c>
      <c r="L1345">
        <v>6</v>
      </c>
      <c r="M1345">
        <v>17</v>
      </c>
      <c r="N1345" t="s">
        <v>68</v>
      </c>
      <c r="O1345" t="s">
        <v>67</v>
      </c>
      <c r="P1345" t="s">
        <v>68</v>
      </c>
      <c r="Q1345" t="s">
        <v>32</v>
      </c>
    </row>
    <row r="1346" spans="1:17" x14ac:dyDescent="0.3">
      <c r="A1346" t="s">
        <v>6439</v>
      </c>
      <c r="B1346" t="s">
        <v>6440</v>
      </c>
      <c r="C1346">
        <v>56</v>
      </c>
      <c r="D1346" t="s">
        <v>6441</v>
      </c>
      <c r="E1346" t="s">
        <v>61</v>
      </c>
      <c r="F1346" t="s">
        <v>1283</v>
      </c>
      <c r="G1346" s="86">
        <v>44929</v>
      </c>
      <c r="H1346">
        <v>1</v>
      </c>
      <c r="I1346" t="s">
        <v>52</v>
      </c>
      <c r="J1346" s="86">
        <v>45176</v>
      </c>
      <c r="K1346">
        <v>184.96</v>
      </c>
      <c r="L1346">
        <v>5</v>
      </c>
      <c r="M1346">
        <v>22</v>
      </c>
      <c r="N1346" t="s">
        <v>45</v>
      </c>
      <c r="O1346" t="s">
        <v>418</v>
      </c>
      <c r="P1346" t="s">
        <v>56</v>
      </c>
      <c r="Q1346" t="s">
        <v>69</v>
      </c>
    </row>
    <row r="1347" spans="1:17" x14ac:dyDescent="0.3">
      <c r="A1347" t="s">
        <v>6443</v>
      </c>
      <c r="B1347" t="s">
        <v>6444</v>
      </c>
      <c r="C1347">
        <v>20</v>
      </c>
      <c r="D1347" t="s">
        <v>6445</v>
      </c>
      <c r="E1347" t="s">
        <v>51</v>
      </c>
      <c r="F1347" t="s">
        <v>4954</v>
      </c>
      <c r="G1347" s="86">
        <v>45267</v>
      </c>
      <c r="H1347">
        <v>1</v>
      </c>
      <c r="I1347" t="s">
        <v>52</v>
      </c>
      <c r="J1347" s="86">
        <v>44785</v>
      </c>
      <c r="K1347">
        <v>144.69999999999999</v>
      </c>
      <c r="L1347">
        <v>9</v>
      </c>
      <c r="M1347">
        <v>6</v>
      </c>
      <c r="N1347" t="s">
        <v>54</v>
      </c>
      <c r="O1347" t="s">
        <v>269</v>
      </c>
      <c r="P1347" t="s">
        <v>56</v>
      </c>
      <c r="Q1347" t="s">
        <v>322</v>
      </c>
    </row>
    <row r="1348" spans="1:17" x14ac:dyDescent="0.3">
      <c r="A1348" t="s">
        <v>6447</v>
      </c>
      <c r="B1348" t="s">
        <v>6448</v>
      </c>
      <c r="C1348">
        <v>21</v>
      </c>
      <c r="D1348" t="s">
        <v>6449</v>
      </c>
      <c r="E1348" t="s">
        <v>61</v>
      </c>
      <c r="F1348" t="s">
        <v>6450</v>
      </c>
      <c r="G1348" t="s">
        <v>6451</v>
      </c>
      <c r="H1348">
        <v>2</v>
      </c>
      <c r="I1348" t="s">
        <v>27</v>
      </c>
      <c r="J1348" s="86">
        <v>45482</v>
      </c>
      <c r="K1348">
        <v>622.99</v>
      </c>
      <c r="L1348">
        <v>3</v>
      </c>
      <c r="M1348">
        <v>13</v>
      </c>
      <c r="N1348" t="s">
        <v>30</v>
      </c>
      <c r="O1348" t="s">
        <v>211</v>
      </c>
      <c r="P1348" t="s">
        <v>68</v>
      </c>
      <c r="Q1348" t="s">
        <v>32</v>
      </c>
    </row>
    <row r="1349" spans="1:17" x14ac:dyDescent="0.3">
      <c r="A1349" t="s">
        <v>6453</v>
      </c>
      <c r="B1349" t="s">
        <v>6454</v>
      </c>
      <c r="C1349">
        <v>45</v>
      </c>
      <c r="D1349" t="s">
        <v>6455</v>
      </c>
      <c r="E1349" t="s">
        <v>25</v>
      </c>
      <c r="F1349" s="86">
        <v>45264</v>
      </c>
      <c r="G1349" t="s">
        <v>2902</v>
      </c>
      <c r="H1349">
        <v>1</v>
      </c>
      <c r="I1349" t="s">
        <v>64</v>
      </c>
      <c r="J1349" t="s">
        <v>1821</v>
      </c>
      <c r="K1349">
        <v>175.45</v>
      </c>
      <c r="L1349">
        <v>7</v>
      </c>
      <c r="M1349">
        <v>43</v>
      </c>
      <c r="N1349" t="s">
        <v>56</v>
      </c>
      <c r="O1349" t="s">
        <v>821</v>
      </c>
      <c r="P1349" t="s">
        <v>68</v>
      </c>
      <c r="Q1349" t="s">
        <v>69</v>
      </c>
    </row>
    <row r="1350" spans="1:17" x14ac:dyDescent="0.3">
      <c r="A1350" t="s">
        <v>6457</v>
      </c>
      <c r="B1350" t="s">
        <v>6458</v>
      </c>
      <c r="C1350">
        <v>47</v>
      </c>
      <c r="D1350" t="s">
        <v>6459</v>
      </c>
      <c r="E1350" t="s">
        <v>61</v>
      </c>
      <c r="F1350" t="s">
        <v>3001</v>
      </c>
      <c r="G1350" t="s">
        <v>2615</v>
      </c>
      <c r="H1350">
        <v>0</v>
      </c>
      <c r="I1350" t="s">
        <v>52</v>
      </c>
      <c r="J1350" t="s">
        <v>2281</v>
      </c>
      <c r="K1350">
        <v>212.73</v>
      </c>
      <c r="L1350">
        <v>9</v>
      </c>
      <c r="M1350">
        <v>49</v>
      </c>
      <c r="N1350" t="s">
        <v>45</v>
      </c>
      <c r="O1350" t="s">
        <v>425</v>
      </c>
      <c r="P1350" t="s">
        <v>30</v>
      </c>
      <c r="Q1350" t="s">
        <v>32</v>
      </c>
    </row>
    <row r="1351" spans="1:17" x14ac:dyDescent="0.3">
      <c r="A1351" t="s">
        <v>6461</v>
      </c>
      <c r="B1351" t="s">
        <v>6462</v>
      </c>
      <c r="C1351">
        <v>53</v>
      </c>
      <c r="D1351" t="s">
        <v>6463</v>
      </c>
      <c r="E1351" t="s">
        <v>88</v>
      </c>
      <c r="F1351" t="s">
        <v>1226</v>
      </c>
      <c r="G1351" t="s">
        <v>3024</v>
      </c>
      <c r="H1351">
        <v>3</v>
      </c>
      <c r="I1351" t="s">
        <v>52</v>
      </c>
      <c r="J1351" t="s">
        <v>5499</v>
      </c>
      <c r="K1351">
        <v>119.35</v>
      </c>
      <c r="L1351">
        <v>9</v>
      </c>
      <c r="M1351">
        <v>11</v>
      </c>
      <c r="N1351" t="s">
        <v>54</v>
      </c>
      <c r="O1351" t="s">
        <v>624</v>
      </c>
      <c r="P1351" t="s">
        <v>30</v>
      </c>
      <c r="Q1351" t="s">
        <v>69</v>
      </c>
    </row>
    <row r="1352" spans="1:17" x14ac:dyDescent="0.3">
      <c r="A1352" t="s">
        <v>6464</v>
      </c>
      <c r="B1352" t="s">
        <v>6465</v>
      </c>
      <c r="C1352">
        <v>52</v>
      </c>
      <c r="D1352" t="s">
        <v>6466</v>
      </c>
      <c r="E1352" t="s">
        <v>51</v>
      </c>
      <c r="F1352" s="86">
        <v>44876</v>
      </c>
      <c r="G1352" s="86">
        <v>45507</v>
      </c>
      <c r="H1352">
        <v>5</v>
      </c>
      <c r="I1352" t="s">
        <v>27</v>
      </c>
      <c r="J1352" s="86">
        <v>45415</v>
      </c>
      <c r="K1352">
        <v>151.31</v>
      </c>
      <c r="L1352">
        <v>6</v>
      </c>
      <c r="M1352">
        <v>1</v>
      </c>
      <c r="N1352" t="s">
        <v>54</v>
      </c>
      <c r="O1352" t="s">
        <v>269</v>
      </c>
      <c r="P1352" t="s">
        <v>56</v>
      </c>
      <c r="Q1352" t="s">
        <v>32</v>
      </c>
    </row>
    <row r="1353" spans="1:17" x14ac:dyDescent="0.3">
      <c r="A1353" t="s">
        <v>6468</v>
      </c>
      <c r="B1353" t="s">
        <v>6469</v>
      </c>
      <c r="C1353">
        <v>45</v>
      </c>
      <c r="D1353" t="s">
        <v>6470</v>
      </c>
      <c r="E1353" t="s">
        <v>88</v>
      </c>
      <c r="F1353" t="s">
        <v>3300</v>
      </c>
      <c r="G1353" s="86">
        <v>45509</v>
      </c>
      <c r="H1353">
        <v>4</v>
      </c>
      <c r="I1353" t="s">
        <v>64</v>
      </c>
      <c r="J1353" t="s">
        <v>1989</v>
      </c>
      <c r="K1353">
        <v>445.52</v>
      </c>
      <c r="L1353">
        <v>3</v>
      </c>
      <c r="M1353">
        <v>16</v>
      </c>
      <c r="N1353" t="s">
        <v>54</v>
      </c>
      <c r="O1353" t="s">
        <v>536</v>
      </c>
      <c r="P1353" t="s">
        <v>68</v>
      </c>
      <c r="Q1353" t="s">
        <v>69</v>
      </c>
    </row>
    <row r="1354" spans="1:17" x14ac:dyDescent="0.3">
      <c r="A1354" t="s">
        <v>6472</v>
      </c>
      <c r="B1354" t="s">
        <v>6473</v>
      </c>
      <c r="C1354">
        <v>62</v>
      </c>
      <c r="D1354" t="s">
        <v>6474</v>
      </c>
      <c r="E1354" t="s">
        <v>25</v>
      </c>
      <c r="F1354" t="s">
        <v>1664</v>
      </c>
      <c r="G1354" s="86">
        <v>45813</v>
      </c>
      <c r="H1354">
        <v>0</v>
      </c>
      <c r="I1354" t="s">
        <v>27</v>
      </c>
      <c r="J1354" t="s">
        <v>1153</v>
      </c>
      <c r="K1354">
        <v>1700</v>
      </c>
      <c r="L1354">
        <v>1</v>
      </c>
      <c r="M1354">
        <v>20</v>
      </c>
      <c r="N1354" t="s">
        <v>54</v>
      </c>
      <c r="O1354" t="s">
        <v>199</v>
      </c>
      <c r="P1354" t="s">
        <v>54</v>
      </c>
      <c r="Q1354" t="s">
        <v>69</v>
      </c>
    </row>
    <row r="1355" spans="1:17" x14ac:dyDescent="0.3">
      <c r="A1355" t="s">
        <v>6476</v>
      </c>
      <c r="B1355" t="s">
        <v>6477</v>
      </c>
      <c r="C1355">
        <v>45</v>
      </c>
      <c r="D1355" t="s">
        <v>6478</v>
      </c>
      <c r="E1355" t="s">
        <v>61</v>
      </c>
      <c r="F1355" t="s">
        <v>3500</v>
      </c>
      <c r="G1355" s="86">
        <v>45234</v>
      </c>
      <c r="H1355">
        <v>4</v>
      </c>
      <c r="I1355" t="s">
        <v>52</v>
      </c>
      <c r="J1355" s="86">
        <v>44813</v>
      </c>
      <c r="K1355">
        <v>22.68</v>
      </c>
      <c r="L1355">
        <v>7</v>
      </c>
      <c r="M1355">
        <v>7</v>
      </c>
      <c r="N1355" t="s">
        <v>56</v>
      </c>
      <c r="O1355" t="s">
        <v>55</v>
      </c>
      <c r="P1355" t="s">
        <v>56</v>
      </c>
      <c r="Q1355" t="s">
        <v>32</v>
      </c>
    </row>
    <row r="1356" spans="1:17" x14ac:dyDescent="0.3">
      <c r="A1356" t="s">
        <v>6480</v>
      </c>
      <c r="B1356" t="s">
        <v>6481</v>
      </c>
      <c r="C1356">
        <v>20</v>
      </c>
      <c r="D1356" t="s">
        <v>6482</v>
      </c>
      <c r="E1356" t="s">
        <v>51</v>
      </c>
      <c r="F1356" s="86">
        <v>45173</v>
      </c>
      <c r="G1356" t="s">
        <v>2225</v>
      </c>
      <c r="H1356">
        <v>1</v>
      </c>
      <c r="I1356" t="s">
        <v>64</v>
      </c>
      <c r="J1356" t="s">
        <v>2354</v>
      </c>
      <c r="K1356">
        <v>20.48</v>
      </c>
      <c r="L1356">
        <v>4</v>
      </c>
      <c r="M1356">
        <v>10</v>
      </c>
      <c r="N1356" t="s">
        <v>30</v>
      </c>
      <c r="O1356" t="s">
        <v>231</v>
      </c>
      <c r="P1356" t="s">
        <v>30</v>
      </c>
      <c r="Q1356" t="s">
        <v>32</v>
      </c>
    </row>
    <row r="1357" spans="1:17" x14ac:dyDescent="0.3">
      <c r="A1357" t="s">
        <v>6484</v>
      </c>
      <c r="B1357" t="s">
        <v>6485</v>
      </c>
      <c r="C1357">
        <v>33</v>
      </c>
      <c r="D1357" t="s">
        <v>6486</v>
      </c>
      <c r="E1357" t="s">
        <v>40</v>
      </c>
      <c r="F1357" t="s">
        <v>1273</v>
      </c>
      <c r="G1357" s="86">
        <v>45690</v>
      </c>
      <c r="H1357">
        <v>0</v>
      </c>
      <c r="I1357" t="s">
        <v>27</v>
      </c>
      <c r="J1357" s="86">
        <v>45455</v>
      </c>
      <c r="K1357">
        <v>169.2</v>
      </c>
      <c r="L1357">
        <v>8</v>
      </c>
      <c r="M1357">
        <v>24</v>
      </c>
      <c r="N1357" t="s">
        <v>54</v>
      </c>
      <c r="O1357" t="s">
        <v>55</v>
      </c>
      <c r="P1357" t="s">
        <v>56</v>
      </c>
      <c r="Q1357" t="s">
        <v>32</v>
      </c>
    </row>
    <row r="1358" spans="1:17" x14ac:dyDescent="0.3">
      <c r="A1358" t="s">
        <v>6488</v>
      </c>
      <c r="B1358" t="s">
        <v>6489</v>
      </c>
      <c r="C1358">
        <v>58</v>
      </c>
      <c r="D1358" t="s">
        <v>6490</v>
      </c>
      <c r="E1358" t="s">
        <v>61</v>
      </c>
      <c r="F1358" s="86">
        <v>45023</v>
      </c>
      <c r="G1358" s="86">
        <v>45906</v>
      </c>
      <c r="H1358">
        <v>0</v>
      </c>
      <c r="I1358" t="s">
        <v>27</v>
      </c>
      <c r="J1358" s="86">
        <v>45841</v>
      </c>
      <c r="K1358">
        <v>167.54</v>
      </c>
      <c r="L1358">
        <v>2</v>
      </c>
      <c r="M1358">
        <v>12</v>
      </c>
      <c r="N1358" t="s">
        <v>56</v>
      </c>
      <c r="O1358" t="s">
        <v>610</v>
      </c>
      <c r="P1358" t="s">
        <v>68</v>
      </c>
      <c r="Q1358" t="s">
        <v>32</v>
      </c>
    </row>
    <row r="1359" spans="1:17" x14ac:dyDescent="0.3">
      <c r="A1359" t="s">
        <v>6492</v>
      </c>
      <c r="B1359" t="s">
        <v>6493</v>
      </c>
      <c r="C1359">
        <v>49</v>
      </c>
      <c r="D1359" t="s">
        <v>6494</v>
      </c>
      <c r="E1359" t="s">
        <v>95</v>
      </c>
      <c r="F1359" t="s">
        <v>3340</v>
      </c>
      <c r="G1359" t="s">
        <v>1811</v>
      </c>
      <c r="H1359">
        <v>3</v>
      </c>
      <c r="I1359" t="s">
        <v>52</v>
      </c>
      <c r="J1359" s="86">
        <v>45018</v>
      </c>
      <c r="K1359">
        <v>111.39</v>
      </c>
      <c r="L1359">
        <v>9</v>
      </c>
      <c r="M1359">
        <v>29</v>
      </c>
      <c r="N1359" t="s">
        <v>54</v>
      </c>
      <c r="O1359" t="s">
        <v>116</v>
      </c>
      <c r="P1359" t="s">
        <v>54</v>
      </c>
      <c r="Q1359" t="s">
        <v>32</v>
      </c>
    </row>
    <row r="1360" spans="1:17" x14ac:dyDescent="0.3">
      <c r="A1360" t="s">
        <v>6496</v>
      </c>
      <c r="B1360" t="s">
        <v>6497</v>
      </c>
      <c r="C1360">
        <v>58</v>
      </c>
      <c r="D1360" t="s">
        <v>6498</v>
      </c>
      <c r="E1360" t="s">
        <v>88</v>
      </c>
      <c r="F1360" s="86">
        <v>44357</v>
      </c>
      <c r="G1360" t="s">
        <v>4944</v>
      </c>
      <c r="H1360">
        <v>4</v>
      </c>
      <c r="I1360" t="s">
        <v>52</v>
      </c>
      <c r="J1360" s="86">
        <v>45089</v>
      </c>
      <c r="K1360">
        <v>188.9</v>
      </c>
      <c r="L1360">
        <v>9</v>
      </c>
      <c r="M1360">
        <v>47</v>
      </c>
      <c r="N1360" t="s">
        <v>54</v>
      </c>
      <c r="O1360" t="s">
        <v>610</v>
      </c>
      <c r="P1360" t="s">
        <v>68</v>
      </c>
      <c r="Q1360" t="s">
        <v>32</v>
      </c>
    </row>
    <row r="1361" spans="1:17" x14ac:dyDescent="0.3">
      <c r="A1361" t="s">
        <v>6500</v>
      </c>
      <c r="B1361" t="s">
        <v>6501</v>
      </c>
      <c r="C1361">
        <v>57</v>
      </c>
      <c r="D1361" t="s">
        <v>6502</v>
      </c>
      <c r="E1361" t="s">
        <v>40</v>
      </c>
      <c r="F1361" t="s">
        <v>403</v>
      </c>
      <c r="G1361" t="s">
        <v>2299</v>
      </c>
      <c r="H1361">
        <v>0</v>
      </c>
      <c r="I1361" t="s">
        <v>27</v>
      </c>
      <c r="J1361" s="86">
        <v>45325</v>
      </c>
      <c r="K1361">
        <v>324.54000000000002</v>
      </c>
      <c r="L1361">
        <v>3</v>
      </c>
      <c r="M1361">
        <v>26</v>
      </c>
      <c r="N1361" t="s">
        <v>56</v>
      </c>
      <c r="O1361" t="s">
        <v>77</v>
      </c>
      <c r="P1361" t="s">
        <v>54</v>
      </c>
      <c r="Q1361" t="s">
        <v>32</v>
      </c>
    </row>
    <row r="1362" spans="1:17" x14ac:dyDescent="0.3">
      <c r="A1362" t="s">
        <v>6503</v>
      </c>
      <c r="B1362" t="s">
        <v>6504</v>
      </c>
      <c r="C1362">
        <v>65</v>
      </c>
      <c r="D1362" t="s">
        <v>6505</v>
      </c>
      <c r="E1362" t="s">
        <v>95</v>
      </c>
      <c r="F1362" t="s">
        <v>6506</v>
      </c>
      <c r="G1362" s="86">
        <v>45902</v>
      </c>
      <c r="H1362">
        <v>3</v>
      </c>
      <c r="I1362" t="s">
        <v>27</v>
      </c>
      <c r="J1362" t="s">
        <v>1716</v>
      </c>
      <c r="K1362">
        <v>62.99</v>
      </c>
      <c r="L1362">
        <v>9</v>
      </c>
      <c r="M1362">
        <v>3</v>
      </c>
      <c r="N1362" t="s">
        <v>45</v>
      </c>
      <c r="O1362" t="s">
        <v>149</v>
      </c>
      <c r="P1362" t="s">
        <v>30</v>
      </c>
      <c r="Q1362" t="s">
        <v>32</v>
      </c>
    </row>
    <row r="1363" spans="1:17" x14ac:dyDescent="0.3">
      <c r="A1363" t="s">
        <v>6508</v>
      </c>
      <c r="B1363" t="s">
        <v>6509</v>
      </c>
      <c r="C1363">
        <v>58</v>
      </c>
      <c r="D1363" t="s">
        <v>6510</v>
      </c>
      <c r="E1363" t="s">
        <v>40</v>
      </c>
      <c r="F1363" t="s">
        <v>446</v>
      </c>
      <c r="G1363" t="s">
        <v>6511</v>
      </c>
      <c r="H1363">
        <v>2</v>
      </c>
      <c r="I1363" t="s">
        <v>27</v>
      </c>
      <c r="J1363" t="s">
        <v>724</v>
      </c>
      <c r="K1363">
        <v>471.05</v>
      </c>
      <c r="L1363">
        <v>4</v>
      </c>
      <c r="M1363">
        <v>49</v>
      </c>
      <c r="N1363" t="s">
        <v>45</v>
      </c>
      <c r="O1363" t="s">
        <v>418</v>
      </c>
      <c r="P1363" t="s">
        <v>56</v>
      </c>
      <c r="Q1363" t="s">
        <v>69</v>
      </c>
    </row>
    <row r="1364" spans="1:17" x14ac:dyDescent="0.3">
      <c r="A1364" t="s">
        <v>6513</v>
      </c>
      <c r="B1364" t="s">
        <v>6514</v>
      </c>
      <c r="C1364">
        <v>67</v>
      </c>
      <c r="D1364" t="s">
        <v>6515</v>
      </c>
      <c r="E1364" t="s">
        <v>25</v>
      </c>
      <c r="F1364" s="86">
        <v>44627</v>
      </c>
      <c r="G1364" t="s">
        <v>3972</v>
      </c>
      <c r="H1364">
        <v>1</v>
      </c>
      <c r="I1364" t="s">
        <v>64</v>
      </c>
      <c r="J1364" t="s">
        <v>2225</v>
      </c>
      <c r="K1364">
        <v>23.01</v>
      </c>
      <c r="L1364">
        <v>8</v>
      </c>
      <c r="M1364">
        <v>3</v>
      </c>
      <c r="N1364" t="s">
        <v>30</v>
      </c>
      <c r="O1364" t="s">
        <v>116</v>
      </c>
      <c r="P1364" t="s">
        <v>54</v>
      </c>
      <c r="Q1364" t="s">
        <v>32</v>
      </c>
    </row>
    <row r="1365" spans="1:17" x14ac:dyDescent="0.3">
      <c r="A1365" t="s">
        <v>6517</v>
      </c>
      <c r="B1365" t="s">
        <v>6518</v>
      </c>
      <c r="C1365">
        <v>41</v>
      </c>
      <c r="D1365" t="s">
        <v>6519</v>
      </c>
      <c r="E1365" t="s">
        <v>51</v>
      </c>
      <c r="F1365" s="86">
        <v>45021</v>
      </c>
      <c r="G1365" s="86">
        <v>45995</v>
      </c>
      <c r="H1365">
        <v>2</v>
      </c>
      <c r="I1365" t="s">
        <v>64</v>
      </c>
      <c r="J1365" t="s">
        <v>2403</v>
      </c>
      <c r="K1365">
        <v>115.09</v>
      </c>
      <c r="L1365">
        <v>6</v>
      </c>
      <c r="M1365">
        <v>36</v>
      </c>
      <c r="N1365" t="s">
        <v>54</v>
      </c>
      <c r="O1365" t="s">
        <v>128</v>
      </c>
      <c r="P1365" t="s">
        <v>54</v>
      </c>
      <c r="Q1365" t="s">
        <v>32</v>
      </c>
    </row>
    <row r="1366" spans="1:17" x14ac:dyDescent="0.3">
      <c r="A1366" t="s">
        <v>6521</v>
      </c>
      <c r="B1366" t="s">
        <v>6522</v>
      </c>
      <c r="C1366">
        <v>23</v>
      </c>
      <c r="D1366" t="s">
        <v>6523</v>
      </c>
      <c r="E1366" t="s">
        <v>25</v>
      </c>
      <c r="F1366" t="s">
        <v>5513</v>
      </c>
      <c r="G1366" t="s">
        <v>6524</v>
      </c>
      <c r="H1366">
        <v>3</v>
      </c>
      <c r="I1366" t="s">
        <v>52</v>
      </c>
      <c r="J1366" s="86">
        <v>45811</v>
      </c>
      <c r="K1366">
        <v>1588.58</v>
      </c>
      <c r="L1366">
        <v>1</v>
      </c>
      <c r="M1366">
        <v>40</v>
      </c>
      <c r="N1366" t="s">
        <v>30</v>
      </c>
      <c r="O1366" t="s">
        <v>293</v>
      </c>
      <c r="P1366" t="s">
        <v>45</v>
      </c>
      <c r="Q1366" t="s">
        <v>69</v>
      </c>
    </row>
    <row r="1367" spans="1:17" x14ac:dyDescent="0.3">
      <c r="A1367" t="s">
        <v>6526</v>
      </c>
      <c r="B1367" t="s">
        <v>6527</v>
      </c>
      <c r="C1367">
        <v>45</v>
      </c>
      <c r="D1367" t="s">
        <v>6528</v>
      </c>
      <c r="E1367" t="s">
        <v>95</v>
      </c>
      <c r="F1367" s="86">
        <v>44813</v>
      </c>
      <c r="G1367" t="s">
        <v>6529</v>
      </c>
      <c r="H1367">
        <v>3</v>
      </c>
      <c r="I1367" t="s">
        <v>64</v>
      </c>
      <c r="J1367" t="s">
        <v>1430</v>
      </c>
      <c r="K1367">
        <v>130.33000000000001</v>
      </c>
      <c r="L1367">
        <v>7</v>
      </c>
      <c r="M1367">
        <v>48</v>
      </c>
      <c r="N1367" t="s">
        <v>54</v>
      </c>
      <c r="O1367" t="s">
        <v>610</v>
      </c>
      <c r="P1367" t="s">
        <v>68</v>
      </c>
      <c r="Q1367" t="s">
        <v>32</v>
      </c>
    </row>
    <row r="1368" spans="1:17" x14ac:dyDescent="0.3">
      <c r="A1368" t="s">
        <v>6531</v>
      </c>
      <c r="B1368" t="s">
        <v>6532</v>
      </c>
      <c r="C1368">
        <v>57</v>
      </c>
      <c r="D1368" t="s">
        <v>6533</v>
      </c>
      <c r="E1368" t="s">
        <v>61</v>
      </c>
      <c r="F1368" s="86">
        <v>44901</v>
      </c>
      <c r="G1368" t="s">
        <v>6413</v>
      </c>
      <c r="H1368">
        <v>4</v>
      </c>
      <c r="I1368" t="s">
        <v>27</v>
      </c>
      <c r="J1368" t="s">
        <v>4826</v>
      </c>
      <c r="K1368">
        <v>12.04</v>
      </c>
      <c r="L1368">
        <v>7</v>
      </c>
      <c r="M1368">
        <v>9</v>
      </c>
      <c r="N1368" t="s">
        <v>30</v>
      </c>
      <c r="O1368" t="s">
        <v>354</v>
      </c>
      <c r="P1368" t="s">
        <v>45</v>
      </c>
      <c r="Q1368" t="s">
        <v>32</v>
      </c>
    </row>
    <row r="1369" spans="1:17" x14ac:dyDescent="0.3">
      <c r="A1369" t="s">
        <v>6535</v>
      </c>
      <c r="B1369" t="s">
        <v>6536</v>
      </c>
      <c r="C1369">
        <v>41</v>
      </c>
      <c r="D1369" t="s">
        <v>6537</v>
      </c>
      <c r="E1369" t="s">
        <v>25</v>
      </c>
      <c r="F1369" t="s">
        <v>6538</v>
      </c>
      <c r="G1369" s="86">
        <v>45724</v>
      </c>
      <c r="H1369">
        <v>4</v>
      </c>
      <c r="I1369" t="s">
        <v>27</v>
      </c>
      <c r="J1369" t="s">
        <v>228</v>
      </c>
      <c r="K1369">
        <v>246.03</v>
      </c>
      <c r="L1369">
        <v>1</v>
      </c>
      <c r="M1369">
        <v>17</v>
      </c>
      <c r="N1369" t="s">
        <v>56</v>
      </c>
      <c r="O1369" t="s">
        <v>44</v>
      </c>
      <c r="P1369" t="s">
        <v>45</v>
      </c>
      <c r="Q1369" t="s">
        <v>32</v>
      </c>
    </row>
    <row r="1370" spans="1:17" x14ac:dyDescent="0.3">
      <c r="A1370" t="s">
        <v>6540</v>
      </c>
      <c r="B1370" t="s">
        <v>6541</v>
      </c>
      <c r="C1370">
        <v>54</v>
      </c>
      <c r="D1370" t="s">
        <v>6542</v>
      </c>
      <c r="E1370" t="s">
        <v>88</v>
      </c>
      <c r="F1370" t="s">
        <v>6543</v>
      </c>
      <c r="G1370" t="s">
        <v>1391</v>
      </c>
      <c r="H1370">
        <v>4</v>
      </c>
      <c r="I1370" t="s">
        <v>52</v>
      </c>
      <c r="J1370" t="s">
        <v>589</v>
      </c>
      <c r="K1370">
        <v>908.2</v>
      </c>
      <c r="L1370">
        <v>1</v>
      </c>
      <c r="M1370">
        <v>18</v>
      </c>
      <c r="N1370" t="s">
        <v>68</v>
      </c>
      <c r="O1370" t="s">
        <v>223</v>
      </c>
      <c r="P1370" t="s">
        <v>56</v>
      </c>
      <c r="Q1370" t="s">
        <v>69</v>
      </c>
    </row>
    <row r="1371" spans="1:17" x14ac:dyDescent="0.3">
      <c r="A1371" t="s">
        <v>6545</v>
      </c>
      <c r="B1371" t="s">
        <v>6546</v>
      </c>
      <c r="C1371">
        <v>57</v>
      </c>
      <c r="D1371" t="s">
        <v>6547</v>
      </c>
      <c r="E1371" t="s">
        <v>61</v>
      </c>
      <c r="F1371" t="s">
        <v>6548</v>
      </c>
      <c r="G1371" t="s">
        <v>3595</v>
      </c>
      <c r="H1371">
        <v>2</v>
      </c>
      <c r="I1371" t="s">
        <v>52</v>
      </c>
      <c r="J1371" s="86">
        <v>45630</v>
      </c>
      <c r="K1371">
        <v>150</v>
      </c>
      <c r="L1371">
        <v>9</v>
      </c>
      <c r="M1371">
        <v>35</v>
      </c>
      <c r="N1371" t="s">
        <v>68</v>
      </c>
      <c r="O1371" t="s">
        <v>610</v>
      </c>
      <c r="P1371" t="s">
        <v>68</v>
      </c>
      <c r="Q1371" t="s">
        <v>322</v>
      </c>
    </row>
    <row r="1372" spans="1:17" x14ac:dyDescent="0.3">
      <c r="A1372" t="s">
        <v>6550</v>
      </c>
      <c r="B1372" t="s">
        <v>6551</v>
      </c>
      <c r="C1372">
        <v>61</v>
      </c>
      <c r="D1372" t="s">
        <v>6552</v>
      </c>
      <c r="E1372" t="s">
        <v>61</v>
      </c>
      <c r="F1372" t="s">
        <v>1988</v>
      </c>
      <c r="G1372" s="86">
        <v>45387</v>
      </c>
      <c r="H1372">
        <v>3</v>
      </c>
      <c r="I1372" t="s">
        <v>27</v>
      </c>
      <c r="J1372" t="s">
        <v>4015</v>
      </c>
      <c r="K1372">
        <v>142.08000000000001</v>
      </c>
      <c r="L1372">
        <v>5</v>
      </c>
      <c r="M1372">
        <v>22</v>
      </c>
      <c r="N1372" t="s">
        <v>54</v>
      </c>
      <c r="O1372" t="s">
        <v>269</v>
      </c>
      <c r="P1372" t="s">
        <v>56</v>
      </c>
      <c r="Q1372" t="s">
        <v>69</v>
      </c>
    </row>
    <row r="1373" spans="1:17" x14ac:dyDescent="0.3">
      <c r="A1373" t="s">
        <v>6554</v>
      </c>
      <c r="B1373" t="s">
        <v>6555</v>
      </c>
      <c r="C1373">
        <v>19</v>
      </c>
      <c r="D1373" t="s">
        <v>6556</v>
      </c>
      <c r="E1373" t="s">
        <v>25</v>
      </c>
      <c r="F1373" t="s">
        <v>6557</v>
      </c>
      <c r="G1373" s="86">
        <v>44414</v>
      </c>
      <c r="H1373">
        <v>2</v>
      </c>
      <c r="I1373" t="s">
        <v>27</v>
      </c>
      <c r="J1373" s="86">
        <v>45209</v>
      </c>
      <c r="K1373">
        <v>379.56</v>
      </c>
      <c r="L1373">
        <v>5</v>
      </c>
      <c r="M1373">
        <v>9</v>
      </c>
      <c r="N1373" t="s">
        <v>54</v>
      </c>
      <c r="O1373" t="s">
        <v>855</v>
      </c>
      <c r="P1373" t="s">
        <v>45</v>
      </c>
      <c r="Q1373" t="s">
        <v>69</v>
      </c>
    </row>
    <row r="1374" spans="1:17" x14ac:dyDescent="0.3">
      <c r="A1374" t="s">
        <v>6559</v>
      </c>
      <c r="B1374" t="s">
        <v>6560</v>
      </c>
      <c r="C1374">
        <v>23</v>
      </c>
      <c r="D1374" t="s">
        <v>6561</v>
      </c>
      <c r="E1374" t="s">
        <v>25</v>
      </c>
      <c r="F1374" s="86">
        <v>45142</v>
      </c>
      <c r="G1374" s="86">
        <v>45603</v>
      </c>
      <c r="H1374">
        <v>2</v>
      </c>
      <c r="I1374" t="s">
        <v>27</v>
      </c>
      <c r="J1374" t="s">
        <v>326</v>
      </c>
      <c r="K1374">
        <v>102.98</v>
      </c>
      <c r="L1374">
        <v>5</v>
      </c>
      <c r="M1374">
        <v>37</v>
      </c>
      <c r="N1374" t="s">
        <v>45</v>
      </c>
      <c r="O1374" t="s">
        <v>109</v>
      </c>
      <c r="P1374" t="s">
        <v>68</v>
      </c>
      <c r="Q1374" t="s">
        <v>32</v>
      </c>
    </row>
    <row r="1375" spans="1:17" x14ac:dyDescent="0.3">
      <c r="A1375" t="s">
        <v>6563</v>
      </c>
      <c r="B1375" t="s">
        <v>6564</v>
      </c>
      <c r="C1375">
        <v>64</v>
      </c>
      <c r="D1375" t="s">
        <v>6565</v>
      </c>
      <c r="E1375" t="s">
        <v>25</v>
      </c>
      <c r="F1375" s="86">
        <v>44383</v>
      </c>
      <c r="G1375" t="s">
        <v>1546</v>
      </c>
      <c r="H1375">
        <v>3</v>
      </c>
      <c r="I1375" t="s">
        <v>64</v>
      </c>
      <c r="J1375" s="86">
        <v>44715</v>
      </c>
      <c r="K1375">
        <v>253.18</v>
      </c>
      <c r="L1375">
        <v>7</v>
      </c>
      <c r="M1375">
        <v>36</v>
      </c>
      <c r="N1375" t="s">
        <v>56</v>
      </c>
      <c r="O1375" t="s">
        <v>128</v>
      </c>
      <c r="P1375" t="s">
        <v>54</v>
      </c>
      <c r="Q1375" t="s">
        <v>32</v>
      </c>
    </row>
    <row r="1376" spans="1:17" x14ac:dyDescent="0.3">
      <c r="A1376" t="s">
        <v>6567</v>
      </c>
      <c r="B1376" t="s">
        <v>6568</v>
      </c>
      <c r="C1376">
        <v>64</v>
      </c>
      <c r="D1376" t="s">
        <v>6569</v>
      </c>
      <c r="E1376" t="s">
        <v>25</v>
      </c>
      <c r="F1376" t="s">
        <v>1407</v>
      </c>
      <c r="G1376" t="s">
        <v>675</v>
      </c>
      <c r="H1376">
        <v>3</v>
      </c>
      <c r="I1376" t="s">
        <v>52</v>
      </c>
      <c r="J1376" t="s">
        <v>486</v>
      </c>
      <c r="K1376">
        <v>194.77</v>
      </c>
      <c r="L1376">
        <v>3</v>
      </c>
      <c r="M1376">
        <v>39</v>
      </c>
      <c r="N1376" t="s">
        <v>30</v>
      </c>
      <c r="O1376" t="s">
        <v>223</v>
      </c>
      <c r="P1376" t="s">
        <v>56</v>
      </c>
      <c r="Q1376" t="s">
        <v>69</v>
      </c>
    </row>
    <row r="1377" spans="1:17" x14ac:dyDescent="0.3">
      <c r="A1377" t="s">
        <v>6571</v>
      </c>
      <c r="B1377" t="s">
        <v>6572</v>
      </c>
      <c r="C1377">
        <v>50</v>
      </c>
      <c r="D1377" t="s">
        <v>6573</v>
      </c>
      <c r="E1377" t="s">
        <v>95</v>
      </c>
      <c r="F1377" t="s">
        <v>2208</v>
      </c>
      <c r="G1377" t="s">
        <v>4572</v>
      </c>
      <c r="H1377">
        <v>4</v>
      </c>
      <c r="I1377" t="s">
        <v>27</v>
      </c>
      <c r="J1377" s="86">
        <v>45385</v>
      </c>
      <c r="K1377">
        <v>684.85</v>
      </c>
      <c r="L1377">
        <v>1</v>
      </c>
      <c r="M1377">
        <v>13</v>
      </c>
      <c r="N1377" t="s">
        <v>68</v>
      </c>
      <c r="O1377" t="s">
        <v>624</v>
      </c>
      <c r="P1377" t="s">
        <v>30</v>
      </c>
      <c r="Q1377" t="s">
        <v>69</v>
      </c>
    </row>
    <row r="1378" spans="1:17" x14ac:dyDescent="0.3">
      <c r="A1378" t="s">
        <v>6575</v>
      </c>
      <c r="B1378" t="s">
        <v>6576</v>
      </c>
      <c r="C1378">
        <v>63</v>
      </c>
      <c r="D1378" t="s">
        <v>6577</v>
      </c>
      <c r="E1378" t="s">
        <v>51</v>
      </c>
      <c r="F1378" s="86">
        <v>45114</v>
      </c>
      <c r="G1378" t="s">
        <v>4222</v>
      </c>
      <c r="H1378">
        <v>0</v>
      </c>
      <c r="I1378" t="s">
        <v>27</v>
      </c>
      <c r="J1378" t="s">
        <v>895</v>
      </c>
      <c r="K1378">
        <v>79.84</v>
      </c>
      <c r="L1378">
        <v>5</v>
      </c>
      <c r="M1378">
        <v>3</v>
      </c>
      <c r="N1378" t="s">
        <v>30</v>
      </c>
      <c r="O1378" t="s">
        <v>238</v>
      </c>
      <c r="P1378" t="s">
        <v>45</v>
      </c>
      <c r="Q1378" t="s">
        <v>32</v>
      </c>
    </row>
    <row r="1379" spans="1:17" x14ac:dyDescent="0.3">
      <c r="A1379" t="s">
        <v>6579</v>
      </c>
      <c r="B1379" t="s">
        <v>6580</v>
      </c>
      <c r="C1379">
        <v>38</v>
      </c>
      <c r="D1379" t="s">
        <v>6581</v>
      </c>
      <c r="E1379" t="s">
        <v>25</v>
      </c>
      <c r="F1379" t="s">
        <v>6582</v>
      </c>
      <c r="G1379" t="s">
        <v>1074</v>
      </c>
      <c r="H1379">
        <v>4</v>
      </c>
      <c r="I1379" t="s">
        <v>52</v>
      </c>
      <c r="J1379" s="86">
        <v>44350</v>
      </c>
      <c r="K1379">
        <v>59.01</v>
      </c>
      <c r="L1379">
        <v>9</v>
      </c>
      <c r="M1379">
        <v>47</v>
      </c>
      <c r="N1379" t="s">
        <v>68</v>
      </c>
      <c r="O1379" t="s">
        <v>122</v>
      </c>
      <c r="P1379" t="s">
        <v>30</v>
      </c>
      <c r="Q1379" t="s">
        <v>32</v>
      </c>
    </row>
    <row r="1380" spans="1:17" x14ac:dyDescent="0.3">
      <c r="A1380" t="s">
        <v>6584</v>
      </c>
      <c r="B1380" t="s">
        <v>6585</v>
      </c>
      <c r="C1380">
        <v>33</v>
      </c>
      <c r="D1380" t="s">
        <v>6586</v>
      </c>
      <c r="E1380" t="s">
        <v>88</v>
      </c>
      <c r="F1380" s="86">
        <v>45082</v>
      </c>
      <c r="G1380" s="86">
        <v>45845</v>
      </c>
      <c r="H1380">
        <v>4</v>
      </c>
      <c r="I1380" t="s">
        <v>52</v>
      </c>
      <c r="J1380" s="86">
        <v>45358</v>
      </c>
      <c r="K1380">
        <v>291</v>
      </c>
      <c r="L1380">
        <v>2</v>
      </c>
      <c r="M1380">
        <v>47</v>
      </c>
      <c r="N1380" t="s">
        <v>30</v>
      </c>
      <c r="O1380" t="s">
        <v>109</v>
      </c>
      <c r="P1380" t="s">
        <v>68</v>
      </c>
      <c r="Q1380" t="s">
        <v>32</v>
      </c>
    </row>
    <row r="1381" spans="1:17" x14ac:dyDescent="0.3">
      <c r="A1381" t="s">
        <v>6588</v>
      </c>
      <c r="B1381" t="s">
        <v>6589</v>
      </c>
      <c r="C1381">
        <v>22</v>
      </c>
      <c r="D1381" t="s">
        <v>6590</v>
      </c>
      <c r="E1381" t="s">
        <v>40</v>
      </c>
      <c r="F1381" t="s">
        <v>1769</v>
      </c>
      <c r="G1381" t="s">
        <v>2858</v>
      </c>
      <c r="H1381">
        <v>1</v>
      </c>
      <c r="I1381" t="s">
        <v>64</v>
      </c>
      <c r="J1381" s="86">
        <v>44539</v>
      </c>
      <c r="K1381">
        <v>159.4</v>
      </c>
      <c r="L1381">
        <v>7</v>
      </c>
      <c r="M1381">
        <v>37</v>
      </c>
      <c r="N1381" t="s">
        <v>56</v>
      </c>
      <c r="O1381" t="s">
        <v>169</v>
      </c>
      <c r="P1381" t="s">
        <v>30</v>
      </c>
      <c r="Q1381" t="s">
        <v>32</v>
      </c>
    </row>
    <row r="1382" spans="1:17" x14ac:dyDescent="0.3">
      <c r="A1382" t="s">
        <v>6592</v>
      </c>
      <c r="B1382" t="s">
        <v>6593</v>
      </c>
      <c r="C1382">
        <v>67</v>
      </c>
      <c r="D1382" t="s">
        <v>6594</v>
      </c>
      <c r="E1382" t="s">
        <v>40</v>
      </c>
      <c r="F1382" s="86">
        <v>44204</v>
      </c>
      <c r="G1382" t="s">
        <v>616</v>
      </c>
      <c r="H1382">
        <v>3</v>
      </c>
      <c r="I1382" t="s">
        <v>52</v>
      </c>
      <c r="J1382" s="86">
        <v>44959</v>
      </c>
      <c r="K1382">
        <v>755.57</v>
      </c>
      <c r="L1382">
        <v>1</v>
      </c>
      <c r="M1382">
        <v>20</v>
      </c>
      <c r="N1382" t="s">
        <v>56</v>
      </c>
      <c r="O1382" t="s">
        <v>175</v>
      </c>
      <c r="P1382" t="s">
        <v>56</v>
      </c>
      <c r="Q1382" t="s">
        <v>32</v>
      </c>
    </row>
    <row r="1383" spans="1:17" x14ac:dyDescent="0.3">
      <c r="A1383" t="s">
        <v>6596</v>
      </c>
      <c r="B1383" t="s">
        <v>6597</v>
      </c>
      <c r="C1383">
        <v>63</v>
      </c>
      <c r="D1383" t="s">
        <v>6598</v>
      </c>
      <c r="E1383" t="s">
        <v>40</v>
      </c>
      <c r="F1383" s="86">
        <v>44538</v>
      </c>
      <c r="G1383" t="s">
        <v>180</v>
      </c>
      <c r="H1383">
        <v>1</v>
      </c>
      <c r="I1383" t="s">
        <v>27</v>
      </c>
      <c r="J1383" t="s">
        <v>4169</v>
      </c>
      <c r="K1383">
        <v>191.24</v>
      </c>
      <c r="L1383">
        <v>9</v>
      </c>
      <c r="M1383">
        <v>5</v>
      </c>
      <c r="N1383" t="s">
        <v>54</v>
      </c>
      <c r="O1383" t="s">
        <v>536</v>
      </c>
      <c r="P1383" t="s">
        <v>68</v>
      </c>
      <c r="Q1383" t="s">
        <v>69</v>
      </c>
    </row>
    <row r="1384" spans="1:17" x14ac:dyDescent="0.3">
      <c r="A1384" t="s">
        <v>6600</v>
      </c>
      <c r="B1384" t="s">
        <v>6601</v>
      </c>
      <c r="C1384">
        <v>64</v>
      </c>
      <c r="D1384" t="s">
        <v>6602</v>
      </c>
      <c r="E1384" t="s">
        <v>40</v>
      </c>
      <c r="F1384" t="s">
        <v>2087</v>
      </c>
      <c r="G1384" t="s">
        <v>2049</v>
      </c>
      <c r="H1384">
        <v>3</v>
      </c>
      <c r="I1384" t="s">
        <v>64</v>
      </c>
      <c r="J1384" s="86">
        <v>44967</v>
      </c>
      <c r="K1384">
        <v>161.58000000000001</v>
      </c>
      <c r="L1384">
        <v>1</v>
      </c>
      <c r="M1384">
        <v>10</v>
      </c>
      <c r="N1384" t="s">
        <v>56</v>
      </c>
      <c r="O1384" t="s">
        <v>837</v>
      </c>
      <c r="P1384" t="s">
        <v>56</v>
      </c>
      <c r="Q1384" t="s">
        <v>322</v>
      </c>
    </row>
    <row r="1385" spans="1:17" x14ac:dyDescent="0.3">
      <c r="A1385" t="s">
        <v>6604</v>
      </c>
      <c r="B1385" t="s">
        <v>6605</v>
      </c>
      <c r="C1385">
        <v>67</v>
      </c>
      <c r="D1385" t="s">
        <v>6606</v>
      </c>
      <c r="E1385" t="s">
        <v>88</v>
      </c>
      <c r="F1385" t="s">
        <v>1263</v>
      </c>
      <c r="G1385" s="86">
        <v>45839</v>
      </c>
      <c r="H1385">
        <v>3</v>
      </c>
      <c r="I1385" t="s">
        <v>64</v>
      </c>
      <c r="J1385" s="86">
        <v>45385</v>
      </c>
      <c r="K1385">
        <v>15.82</v>
      </c>
      <c r="L1385">
        <v>8</v>
      </c>
      <c r="M1385">
        <v>34</v>
      </c>
      <c r="N1385" t="s">
        <v>54</v>
      </c>
      <c r="O1385" t="s">
        <v>418</v>
      </c>
      <c r="P1385" t="s">
        <v>56</v>
      </c>
      <c r="Q1385" t="s">
        <v>32</v>
      </c>
    </row>
    <row r="1386" spans="1:17" x14ac:dyDescent="0.3">
      <c r="A1386" t="s">
        <v>6608</v>
      </c>
      <c r="B1386" t="s">
        <v>6609</v>
      </c>
      <c r="C1386">
        <v>53</v>
      </c>
      <c r="D1386" t="s">
        <v>6610</v>
      </c>
      <c r="E1386" t="s">
        <v>51</v>
      </c>
      <c r="F1386" s="86">
        <v>45052</v>
      </c>
      <c r="G1386" s="86">
        <v>45300</v>
      </c>
      <c r="H1386">
        <v>3</v>
      </c>
      <c r="I1386" t="s">
        <v>27</v>
      </c>
      <c r="J1386" s="86">
        <v>45839</v>
      </c>
      <c r="K1386">
        <v>796.22</v>
      </c>
      <c r="L1386">
        <v>2</v>
      </c>
      <c r="M1386">
        <v>2</v>
      </c>
      <c r="N1386" t="s">
        <v>56</v>
      </c>
      <c r="O1386" t="s">
        <v>855</v>
      </c>
      <c r="P1386" t="s">
        <v>45</v>
      </c>
      <c r="Q1386" t="s">
        <v>69</v>
      </c>
    </row>
    <row r="1387" spans="1:17" x14ac:dyDescent="0.3">
      <c r="A1387" t="s">
        <v>6612</v>
      </c>
      <c r="B1387" t="s">
        <v>6613</v>
      </c>
      <c r="C1387">
        <v>44</v>
      </c>
      <c r="D1387" t="s">
        <v>6614</v>
      </c>
      <c r="E1387" t="s">
        <v>51</v>
      </c>
      <c r="F1387" s="86">
        <v>45266</v>
      </c>
      <c r="G1387" t="s">
        <v>3430</v>
      </c>
      <c r="H1387">
        <v>2</v>
      </c>
      <c r="I1387" t="s">
        <v>52</v>
      </c>
      <c r="J1387" t="s">
        <v>1884</v>
      </c>
      <c r="K1387">
        <v>205.61</v>
      </c>
      <c r="L1387">
        <v>4</v>
      </c>
      <c r="M1387">
        <v>39</v>
      </c>
      <c r="N1387" t="s">
        <v>54</v>
      </c>
      <c r="O1387" t="s">
        <v>418</v>
      </c>
      <c r="P1387" t="s">
        <v>56</v>
      </c>
      <c r="Q1387" t="s">
        <v>69</v>
      </c>
    </row>
    <row r="1388" spans="1:17" x14ac:dyDescent="0.3">
      <c r="A1388" t="s">
        <v>6616</v>
      </c>
      <c r="B1388" t="s">
        <v>6617</v>
      </c>
      <c r="C1388">
        <v>26</v>
      </c>
      <c r="D1388" t="s">
        <v>6618</v>
      </c>
      <c r="E1388" t="s">
        <v>61</v>
      </c>
      <c r="F1388" t="s">
        <v>4200</v>
      </c>
      <c r="G1388" s="86">
        <v>45778</v>
      </c>
      <c r="H1388">
        <v>2</v>
      </c>
      <c r="I1388" t="s">
        <v>27</v>
      </c>
      <c r="J1388" t="s">
        <v>4861</v>
      </c>
      <c r="K1388">
        <v>271.7</v>
      </c>
      <c r="L1388">
        <v>3</v>
      </c>
      <c r="M1388">
        <v>18</v>
      </c>
      <c r="N1388" t="s">
        <v>56</v>
      </c>
      <c r="O1388" t="s">
        <v>855</v>
      </c>
      <c r="P1388" t="s">
        <v>45</v>
      </c>
      <c r="Q1388" t="s">
        <v>69</v>
      </c>
    </row>
    <row r="1389" spans="1:17" x14ac:dyDescent="0.3">
      <c r="A1389" t="s">
        <v>6620</v>
      </c>
      <c r="B1389" t="s">
        <v>6621</v>
      </c>
      <c r="C1389">
        <v>25</v>
      </c>
      <c r="D1389" t="s">
        <v>6622</v>
      </c>
      <c r="E1389" t="s">
        <v>51</v>
      </c>
      <c r="F1389" s="86">
        <v>45020</v>
      </c>
      <c r="G1389" t="s">
        <v>1791</v>
      </c>
      <c r="H1389">
        <v>1</v>
      </c>
      <c r="I1389" t="s">
        <v>27</v>
      </c>
      <c r="J1389" s="86">
        <v>45938</v>
      </c>
      <c r="K1389">
        <v>46.96</v>
      </c>
      <c r="L1389">
        <v>6</v>
      </c>
      <c r="M1389">
        <v>15</v>
      </c>
      <c r="N1389" t="s">
        <v>56</v>
      </c>
      <c r="O1389" t="s">
        <v>199</v>
      </c>
      <c r="P1389" t="s">
        <v>54</v>
      </c>
      <c r="Q1389" t="s">
        <v>32</v>
      </c>
    </row>
    <row r="1390" spans="1:17" x14ac:dyDescent="0.3">
      <c r="A1390" t="s">
        <v>6624</v>
      </c>
      <c r="B1390" t="s">
        <v>6625</v>
      </c>
      <c r="C1390">
        <v>64</v>
      </c>
      <c r="D1390" t="s">
        <v>6626</v>
      </c>
      <c r="E1390" t="s">
        <v>88</v>
      </c>
      <c r="F1390" s="86">
        <v>44663</v>
      </c>
      <c r="G1390" t="s">
        <v>5531</v>
      </c>
      <c r="H1390">
        <v>2</v>
      </c>
      <c r="I1390" t="s">
        <v>27</v>
      </c>
      <c r="J1390" t="s">
        <v>2403</v>
      </c>
      <c r="K1390">
        <v>1221.69</v>
      </c>
      <c r="L1390">
        <v>1</v>
      </c>
      <c r="M1390">
        <v>8</v>
      </c>
      <c r="N1390" t="s">
        <v>68</v>
      </c>
      <c r="O1390" t="s">
        <v>238</v>
      </c>
      <c r="P1390" t="s">
        <v>45</v>
      </c>
      <c r="Q1390" t="s">
        <v>32</v>
      </c>
    </row>
    <row r="1391" spans="1:17" x14ac:dyDescent="0.3">
      <c r="A1391" t="s">
        <v>6628</v>
      </c>
      <c r="B1391" t="s">
        <v>6629</v>
      </c>
      <c r="C1391">
        <v>39</v>
      </c>
      <c r="D1391" t="s">
        <v>6630</v>
      </c>
      <c r="E1391" t="s">
        <v>88</v>
      </c>
      <c r="F1391" t="s">
        <v>1644</v>
      </c>
      <c r="G1391" s="86">
        <v>45352</v>
      </c>
      <c r="H1391">
        <v>3</v>
      </c>
      <c r="I1391" t="s">
        <v>52</v>
      </c>
      <c r="J1391" t="s">
        <v>6221</v>
      </c>
      <c r="K1391">
        <v>423.54</v>
      </c>
      <c r="L1391">
        <v>3</v>
      </c>
      <c r="M1391">
        <v>12</v>
      </c>
      <c r="N1391" t="s">
        <v>68</v>
      </c>
      <c r="O1391" t="s">
        <v>67</v>
      </c>
      <c r="P1391" t="s">
        <v>68</v>
      </c>
      <c r="Q1391" t="s">
        <v>69</v>
      </c>
    </row>
    <row r="1392" spans="1:17" x14ac:dyDescent="0.3">
      <c r="A1392" t="s">
        <v>6632</v>
      </c>
      <c r="B1392" t="s">
        <v>6633</v>
      </c>
      <c r="C1392">
        <v>26</v>
      </c>
      <c r="D1392" t="s">
        <v>6634</v>
      </c>
      <c r="E1392" t="s">
        <v>61</v>
      </c>
      <c r="F1392" t="s">
        <v>4795</v>
      </c>
      <c r="G1392" t="s">
        <v>2902</v>
      </c>
      <c r="H1392">
        <v>3</v>
      </c>
      <c r="I1392" t="s">
        <v>52</v>
      </c>
      <c r="J1392" t="s">
        <v>6635</v>
      </c>
      <c r="K1392">
        <v>179.2</v>
      </c>
      <c r="L1392">
        <v>9</v>
      </c>
      <c r="M1392">
        <v>40</v>
      </c>
      <c r="N1392" t="s">
        <v>45</v>
      </c>
      <c r="O1392" t="s">
        <v>536</v>
      </c>
      <c r="P1392" t="s">
        <v>68</v>
      </c>
      <c r="Q1392" t="s">
        <v>32</v>
      </c>
    </row>
    <row r="1393" spans="1:17" x14ac:dyDescent="0.3">
      <c r="A1393" t="s">
        <v>6637</v>
      </c>
      <c r="B1393" t="s">
        <v>6638</v>
      </c>
      <c r="C1393">
        <v>54</v>
      </c>
      <c r="D1393" t="s">
        <v>6639</v>
      </c>
      <c r="E1393" t="s">
        <v>40</v>
      </c>
      <c r="F1393" t="s">
        <v>3300</v>
      </c>
      <c r="G1393" t="s">
        <v>1137</v>
      </c>
      <c r="H1393">
        <v>0</v>
      </c>
      <c r="I1393" t="s">
        <v>27</v>
      </c>
      <c r="J1393" t="s">
        <v>1148</v>
      </c>
      <c r="K1393">
        <v>37.03</v>
      </c>
      <c r="L1393">
        <v>4</v>
      </c>
      <c r="M1393">
        <v>31</v>
      </c>
      <c r="N1393" t="s">
        <v>45</v>
      </c>
      <c r="O1393" t="s">
        <v>77</v>
      </c>
      <c r="P1393" t="s">
        <v>54</v>
      </c>
      <c r="Q1393" t="s">
        <v>69</v>
      </c>
    </row>
    <row r="1394" spans="1:17" x14ac:dyDescent="0.3">
      <c r="A1394" t="s">
        <v>6641</v>
      </c>
      <c r="B1394" t="s">
        <v>6642</v>
      </c>
      <c r="C1394">
        <v>63</v>
      </c>
      <c r="D1394" t="s">
        <v>6643</v>
      </c>
      <c r="E1394" t="s">
        <v>61</v>
      </c>
      <c r="F1394" s="86">
        <v>44114</v>
      </c>
      <c r="G1394" s="86">
        <v>44262</v>
      </c>
      <c r="H1394">
        <v>0</v>
      </c>
      <c r="I1394" t="s">
        <v>27</v>
      </c>
      <c r="J1394" t="s">
        <v>2907</v>
      </c>
      <c r="K1394">
        <v>118.63</v>
      </c>
      <c r="L1394">
        <v>8</v>
      </c>
      <c r="M1394">
        <v>47</v>
      </c>
      <c r="N1394" t="s">
        <v>54</v>
      </c>
      <c r="O1394" t="s">
        <v>366</v>
      </c>
      <c r="P1394" t="s">
        <v>54</v>
      </c>
      <c r="Q1394" t="s">
        <v>69</v>
      </c>
    </row>
    <row r="1395" spans="1:17" x14ac:dyDescent="0.3">
      <c r="A1395" t="s">
        <v>6645</v>
      </c>
      <c r="B1395" t="s">
        <v>6646</v>
      </c>
      <c r="C1395">
        <v>33</v>
      </c>
      <c r="D1395" t="s">
        <v>6647</v>
      </c>
      <c r="E1395" t="s">
        <v>95</v>
      </c>
      <c r="F1395" s="86">
        <v>45203</v>
      </c>
      <c r="G1395" s="86">
        <v>45513</v>
      </c>
      <c r="H1395">
        <v>1</v>
      </c>
      <c r="I1395" t="s">
        <v>64</v>
      </c>
      <c r="J1395" t="s">
        <v>1402</v>
      </c>
      <c r="K1395">
        <v>259.76</v>
      </c>
      <c r="L1395">
        <v>5</v>
      </c>
      <c r="M1395">
        <v>15</v>
      </c>
      <c r="N1395" t="s">
        <v>30</v>
      </c>
      <c r="O1395" t="s">
        <v>169</v>
      </c>
      <c r="P1395" t="s">
        <v>30</v>
      </c>
      <c r="Q1395" t="s">
        <v>69</v>
      </c>
    </row>
    <row r="1396" spans="1:17" x14ac:dyDescent="0.3">
      <c r="A1396" t="s">
        <v>6649</v>
      </c>
      <c r="B1396" t="s">
        <v>6650</v>
      </c>
      <c r="C1396">
        <v>51</v>
      </c>
      <c r="D1396" t="s">
        <v>6651</v>
      </c>
      <c r="E1396" t="s">
        <v>95</v>
      </c>
      <c r="F1396" t="s">
        <v>1988</v>
      </c>
      <c r="G1396" t="s">
        <v>2744</v>
      </c>
      <c r="H1396">
        <v>2</v>
      </c>
      <c r="I1396" t="s">
        <v>64</v>
      </c>
      <c r="J1396" t="s">
        <v>1195</v>
      </c>
      <c r="K1396">
        <v>169.48</v>
      </c>
      <c r="L1396">
        <v>5</v>
      </c>
      <c r="M1396">
        <v>39</v>
      </c>
      <c r="N1396" t="s">
        <v>56</v>
      </c>
      <c r="O1396" t="s">
        <v>223</v>
      </c>
      <c r="P1396" t="s">
        <v>56</v>
      </c>
      <c r="Q1396" t="s">
        <v>69</v>
      </c>
    </row>
    <row r="1397" spans="1:17" x14ac:dyDescent="0.3">
      <c r="A1397" t="s">
        <v>6653</v>
      </c>
      <c r="B1397" t="s">
        <v>6654</v>
      </c>
      <c r="C1397">
        <v>59</v>
      </c>
      <c r="D1397" t="s">
        <v>6655</v>
      </c>
      <c r="E1397" t="s">
        <v>95</v>
      </c>
      <c r="F1397" s="86">
        <v>44479</v>
      </c>
      <c r="G1397" s="86">
        <v>45384</v>
      </c>
      <c r="H1397">
        <v>4</v>
      </c>
      <c r="I1397" t="s">
        <v>52</v>
      </c>
      <c r="J1397" s="86">
        <v>45301</v>
      </c>
      <c r="K1397">
        <v>99.51</v>
      </c>
      <c r="L1397">
        <v>9</v>
      </c>
      <c r="M1397">
        <v>31</v>
      </c>
      <c r="N1397" t="s">
        <v>45</v>
      </c>
      <c r="O1397" t="s">
        <v>199</v>
      </c>
      <c r="P1397" t="s">
        <v>54</v>
      </c>
      <c r="Q1397" t="s">
        <v>69</v>
      </c>
    </row>
    <row r="1398" spans="1:17" x14ac:dyDescent="0.3">
      <c r="A1398" t="s">
        <v>6657</v>
      </c>
      <c r="B1398" t="s">
        <v>6658</v>
      </c>
      <c r="C1398">
        <v>62</v>
      </c>
      <c r="D1398" t="s">
        <v>6659</v>
      </c>
      <c r="E1398" t="s">
        <v>95</v>
      </c>
      <c r="F1398" t="s">
        <v>589</v>
      </c>
      <c r="G1398" t="s">
        <v>4861</v>
      </c>
      <c r="H1398">
        <v>3</v>
      </c>
      <c r="I1398" t="s">
        <v>27</v>
      </c>
      <c r="J1398" s="86">
        <v>45053</v>
      </c>
      <c r="K1398">
        <v>1615.8</v>
      </c>
      <c r="L1398">
        <v>1</v>
      </c>
      <c r="M1398">
        <v>9</v>
      </c>
      <c r="N1398" t="s">
        <v>45</v>
      </c>
      <c r="O1398" t="s">
        <v>604</v>
      </c>
      <c r="P1398" t="s">
        <v>45</v>
      </c>
      <c r="Q1398" t="s">
        <v>32</v>
      </c>
    </row>
    <row r="1399" spans="1:17" x14ac:dyDescent="0.3">
      <c r="A1399" t="s">
        <v>6661</v>
      </c>
      <c r="B1399" t="s">
        <v>6662</v>
      </c>
      <c r="C1399">
        <v>67</v>
      </c>
      <c r="D1399" t="s">
        <v>6663</v>
      </c>
      <c r="E1399" t="s">
        <v>51</v>
      </c>
      <c r="F1399" t="s">
        <v>2019</v>
      </c>
      <c r="G1399" t="s">
        <v>4403</v>
      </c>
      <c r="H1399">
        <v>2</v>
      </c>
      <c r="I1399" t="s">
        <v>27</v>
      </c>
      <c r="J1399" t="s">
        <v>6157</v>
      </c>
      <c r="K1399">
        <v>1785.74</v>
      </c>
      <c r="L1399">
        <v>1</v>
      </c>
      <c r="M1399">
        <v>41</v>
      </c>
      <c r="N1399" t="s">
        <v>30</v>
      </c>
      <c r="O1399" t="s">
        <v>44</v>
      </c>
      <c r="P1399" t="s">
        <v>45</v>
      </c>
      <c r="Q1399" t="s">
        <v>32</v>
      </c>
    </row>
    <row r="1400" spans="1:17" x14ac:dyDescent="0.3">
      <c r="A1400" t="s">
        <v>6665</v>
      </c>
      <c r="B1400" t="s">
        <v>6666</v>
      </c>
      <c r="C1400">
        <v>69</v>
      </c>
      <c r="D1400" t="s">
        <v>6667</v>
      </c>
      <c r="E1400" t="s">
        <v>25</v>
      </c>
      <c r="F1400" t="s">
        <v>3967</v>
      </c>
      <c r="G1400" s="86">
        <v>44692</v>
      </c>
      <c r="H1400">
        <v>4</v>
      </c>
      <c r="I1400" t="s">
        <v>27</v>
      </c>
      <c r="J1400" t="s">
        <v>5337</v>
      </c>
      <c r="K1400">
        <v>83.28</v>
      </c>
      <c r="L1400">
        <v>7</v>
      </c>
      <c r="M1400">
        <v>33</v>
      </c>
      <c r="N1400" t="s">
        <v>30</v>
      </c>
      <c r="O1400" t="s">
        <v>231</v>
      </c>
      <c r="P1400" t="s">
        <v>30</v>
      </c>
      <c r="Q1400" t="s">
        <v>69</v>
      </c>
    </row>
    <row r="1401" spans="1:17" x14ac:dyDescent="0.3">
      <c r="A1401" t="s">
        <v>6669</v>
      </c>
      <c r="B1401" t="s">
        <v>6670</v>
      </c>
      <c r="C1401">
        <v>31</v>
      </c>
      <c r="D1401" t="s">
        <v>6671</v>
      </c>
      <c r="E1401" t="s">
        <v>40</v>
      </c>
      <c r="F1401" t="s">
        <v>3024</v>
      </c>
      <c r="G1401" s="86">
        <v>45021</v>
      </c>
      <c r="H1401">
        <v>1</v>
      </c>
      <c r="I1401" t="s">
        <v>27</v>
      </c>
      <c r="J1401" t="s">
        <v>1715</v>
      </c>
      <c r="K1401">
        <v>43.76</v>
      </c>
      <c r="L1401">
        <v>9</v>
      </c>
      <c r="M1401">
        <v>49</v>
      </c>
      <c r="N1401" t="s">
        <v>30</v>
      </c>
      <c r="O1401" t="s">
        <v>211</v>
      </c>
      <c r="P1401" t="s">
        <v>68</v>
      </c>
      <c r="Q1401" t="s">
        <v>69</v>
      </c>
    </row>
    <row r="1402" spans="1:17" x14ac:dyDescent="0.3">
      <c r="A1402" t="s">
        <v>6672</v>
      </c>
      <c r="B1402" t="s">
        <v>6673</v>
      </c>
      <c r="C1402">
        <v>18</v>
      </c>
      <c r="D1402" t="s">
        <v>6674</v>
      </c>
      <c r="E1402" t="s">
        <v>25</v>
      </c>
      <c r="F1402" s="86">
        <v>44480</v>
      </c>
      <c r="G1402" s="86">
        <v>45546</v>
      </c>
      <c r="H1402">
        <v>4</v>
      </c>
      <c r="I1402" t="s">
        <v>27</v>
      </c>
      <c r="J1402" t="s">
        <v>298</v>
      </c>
      <c r="K1402">
        <v>415.22</v>
      </c>
      <c r="L1402">
        <v>4</v>
      </c>
      <c r="M1402">
        <v>35</v>
      </c>
      <c r="N1402" t="s">
        <v>54</v>
      </c>
      <c r="O1402" t="s">
        <v>135</v>
      </c>
      <c r="P1402" t="s">
        <v>45</v>
      </c>
      <c r="Q1402" t="s">
        <v>69</v>
      </c>
    </row>
    <row r="1403" spans="1:17" x14ac:dyDescent="0.3">
      <c r="A1403" t="s">
        <v>6676</v>
      </c>
      <c r="B1403" t="s">
        <v>6677</v>
      </c>
      <c r="C1403">
        <v>56</v>
      </c>
      <c r="D1403" t="s">
        <v>6678</v>
      </c>
      <c r="E1403" t="s">
        <v>61</v>
      </c>
      <c r="F1403" t="s">
        <v>5723</v>
      </c>
      <c r="G1403" t="s">
        <v>1546</v>
      </c>
      <c r="H1403">
        <v>2</v>
      </c>
      <c r="I1403" t="s">
        <v>52</v>
      </c>
      <c r="J1403" s="86">
        <v>44565</v>
      </c>
      <c r="K1403">
        <v>261.32</v>
      </c>
      <c r="L1403">
        <v>6</v>
      </c>
      <c r="M1403">
        <v>32</v>
      </c>
      <c r="N1403" t="s">
        <v>54</v>
      </c>
      <c r="O1403" t="s">
        <v>149</v>
      </c>
      <c r="P1403" t="s">
        <v>30</v>
      </c>
      <c r="Q1403" t="s">
        <v>69</v>
      </c>
    </row>
    <row r="1404" spans="1:17" x14ac:dyDescent="0.3">
      <c r="A1404" t="s">
        <v>6680</v>
      </c>
      <c r="B1404" t="s">
        <v>6681</v>
      </c>
      <c r="C1404">
        <v>57</v>
      </c>
      <c r="D1404" t="s">
        <v>6682</v>
      </c>
      <c r="E1404" t="s">
        <v>40</v>
      </c>
      <c r="F1404" s="86">
        <v>44567</v>
      </c>
      <c r="G1404" t="s">
        <v>4539</v>
      </c>
      <c r="H1404">
        <v>3</v>
      </c>
      <c r="I1404" t="s">
        <v>27</v>
      </c>
      <c r="J1404" s="86">
        <v>44931</v>
      </c>
      <c r="K1404">
        <v>266.39</v>
      </c>
      <c r="L1404">
        <v>3</v>
      </c>
      <c r="M1404">
        <v>32</v>
      </c>
      <c r="N1404" t="s">
        <v>30</v>
      </c>
      <c r="O1404" t="s">
        <v>366</v>
      </c>
      <c r="P1404" t="s">
        <v>54</v>
      </c>
      <c r="Q1404" t="s">
        <v>32</v>
      </c>
    </row>
    <row r="1405" spans="1:17" x14ac:dyDescent="0.3">
      <c r="A1405" t="s">
        <v>6684</v>
      </c>
      <c r="B1405" t="s">
        <v>6685</v>
      </c>
      <c r="C1405">
        <v>35</v>
      </c>
      <c r="D1405" t="s">
        <v>6686</v>
      </c>
      <c r="E1405" t="s">
        <v>40</v>
      </c>
      <c r="F1405" t="s">
        <v>6687</v>
      </c>
      <c r="G1405" s="86">
        <v>44480</v>
      </c>
      <c r="H1405">
        <v>2</v>
      </c>
      <c r="I1405" t="s">
        <v>64</v>
      </c>
      <c r="J1405" t="s">
        <v>5078</v>
      </c>
      <c r="K1405">
        <v>132.31</v>
      </c>
      <c r="L1405">
        <v>8</v>
      </c>
      <c r="M1405">
        <v>11</v>
      </c>
      <c r="N1405" t="s">
        <v>30</v>
      </c>
      <c r="O1405" t="s">
        <v>821</v>
      </c>
      <c r="P1405" t="s">
        <v>68</v>
      </c>
      <c r="Q1405" t="s">
        <v>322</v>
      </c>
    </row>
    <row r="1406" spans="1:17" x14ac:dyDescent="0.3">
      <c r="A1406" t="s">
        <v>6689</v>
      </c>
      <c r="B1406" t="s">
        <v>6690</v>
      </c>
      <c r="C1406">
        <v>56</v>
      </c>
      <c r="D1406" t="s">
        <v>6691</v>
      </c>
      <c r="E1406" t="s">
        <v>95</v>
      </c>
      <c r="F1406" s="86">
        <v>45021</v>
      </c>
      <c r="G1406" t="s">
        <v>473</v>
      </c>
      <c r="H1406">
        <v>3</v>
      </c>
      <c r="I1406" t="s">
        <v>27</v>
      </c>
      <c r="J1406" t="s">
        <v>1536</v>
      </c>
      <c r="K1406">
        <v>384.68</v>
      </c>
      <c r="L1406">
        <v>5</v>
      </c>
      <c r="M1406">
        <v>18</v>
      </c>
      <c r="N1406" t="s">
        <v>54</v>
      </c>
      <c r="O1406" t="s">
        <v>245</v>
      </c>
      <c r="P1406" t="s">
        <v>54</v>
      </c>
      <c r="Q1406" t="s">
        <v>69</v>
      </c>
    </row>
    <row r="1407" spans="1:17" x14ac:dyDescent="0.3">
      <c r="A1407" t="s">
        <v>6693</v>
      </c>
      <c r="B1407" t="s">
        <v>6694</v>
      </c>
      <c r="C1407">
        <v>20</v>
      </c>
      <c r="D1407" t="s">
        <v>6695</v>
      </c>
      <c r="E1407" t="s">
        <v>25</v>
      </c>
      <c r="F1407" t="s">
        <v>383</v>
      </c>
      <c r="G1407" t="s">
        <v>773</v>
      </c>
      <c r="H1407">
        <v>5</v>
      </c>
      <c r="I1407" t="s">
        <v>27</v>
      </c>
      <c r="J1407" t="s">
        <v>1402</v>
      </c>
      <c r="K1407">
        <v>1914.38</v>
      </c>
      <c r="L1407">
        <v>1</v>
      </c>
      <c r="M1407">
        <v>10</v>
      </c>
      <c r="N1407" t="s">
        <v>45</v>
      </c>
      <c r="O1407" t="s">
        <v>122</v>
      </c>
      <c r="P1407" t="s">
        <v>30</v>
      </c>
      <c r="Q1407" t="s">
        <v>69</v>
      </c>
    </row>
    <row r="1408" spans="1:17" x14ac:dyDescent="0.3">
      <c r="A1408" t="s">
        <v>6697</v>
      </c>
      <c r="B1408" t="s">
        <v>6698</v>
      </c>
      <c r="C1408">
        <v>49</v>
      </c>
      <c r="D1408" t="s">
        <v>6699</v>
      </c>
      <c r="E1408" t="s">
        <v>51</v>
      </c>
      <c r="F1408" s="86">
        <v>45052</v>
      </c>
      <c r="G1408" t="s">
        <v>1622</v>
      </c>
      <c r="H1408">
        <v>0</v>
      </c>
      <c r="I1408" t="s">
        <v>27</v>
      </c>
      <c r="J1408" t="s">
        <v>6700</v>
      </c>
      <c r="K1408">
        <v>679.41</v>
      </c>
      <c r="L1408">
        <v>2</v>
      </c>
      <c r="M1408">
        <v>41</v>
      </c>
      <c r="N1408" t="s">
        <v>56</v>
      </c>
      <c r="O1408" t="s">
        <v>837</v>
      </c>
      <c r="P1408" t="s">
        <v>56</v>
      </c>
      <c r="Q1408" t="s">
        <v>69</v>
      </c>
    </row>
    <row r="1409" spans="1:17" x14ac:dyDescent="0.3">
      <c r="A1409" t="s">
        <v>6702</v>
      </c>
      <c r="B1409" t="s">
        <v>6703</v>
      </c>
      <c r="C1409">
        <v>63</v>
      </c>
      <c r="D1409" t="s">
        <v>6704</v>
      </c>
      <c r="E1409" t="s">
        <v>51</v>
      </c>
      <c r="F1409" t="s">
        <v>446</v>
      </c>
      <c r="G1409" s="86">
        <v>44511</v>
      </c>
      <c r="H1409">
        <v>2</v>
      </c>
      <c r="I1409" t="s">
        <v>52</v>
      </c>
      <c r="J1409" s="86">
        <v>44297</v>
      </c>
      <c r="K1409">
        <v>145.38</v>
      </c>
      <c r="L1409">
        <v>3</v>
      </c>
      <c r="M1409">
        <v>30</v>
      </c>
      <c r="N1409" t="s">
        <v>54</v>
      </c>
      <c r="O1409" t="s">
        <v>67</v>
      </c>
      <c r="P1409" t="s">
        <v>68</v>
      </c>
      <c r="Q1409" t="s">
        <v>69</v>
      </c>
    </row>
    <row r="1410" spans="1:17" x14ac:dyDescent="0.3">
      <c r="A1410" t="s">
        <v>6706</v>
      </c>
      <c r="B1410" t="s">
        <v>6707</v>
      </c>
      <c r="C1410">
        <v>33</v>
      </c>
      <c r="D1410" t="s">
        <v>6708</v>
      </c>
      <c r="E1410" t="s">
        <v>88</v>
      </c>
      <c r="F1410" t="s">
        <v>6709</v>
      </c>
      <c r="G1410" t="s">
        <v>6710</v>
      </c>
      <c r="H1410">
        <v>3</v>
      </c>
      <c r="I1410" t="s">
        <v>27</v>
      </c>
      <c r="J1410" t="s">
        <v>6711</v>
      </c>
      <c r="K1410">
        <v>219.08</v>
      </c>
      <c r="L1410">
        <v>7</v>
      </c>
      <c r="M1410">
        <v>16</v>
      </c>
      <c r="N1410" t="s">
        <v>56</v>
      </c>
      <c r="O1410" t="s">
        <v>597</v>
      </c>
      <c r="P1410" t="s">
        <v>45</v>
      </c>
      <c r="Q1410" t="s">
        <v>32</v>
      </c>
    </row>
    <row r="1411" spans="1:17" x14ac:dyDescent="0.3">
      <c r="A1411" t="s">
        <v>6713</v>
      </c>
      <c r="B1411" t="s">
        <v>6714</v>
      </c>
      <c r="C1411">
        <v>43</v>
      </c>
      <c r="D1411" t="s">
        <v>6715</v>
      </c>
      <c r="E1411" t="s">
        <v>61</v>
      </c>
      <c r="F1411" t="s">
        <v>819</v>
      </c>
      <c r="G1411" t="s">
        <v>645</v>
      </c>
      <c r="H1411">
        <v>2</v>
      </c>
      <c r="I1411" t="s">
        <v>27</v>
      </c>
      <c r="J1411" t="s">
        <v>1873</v>
      </c>
      <c r="K1411">
        <v>90.87</v>
      </c>
      <c r="L1411">
        <v>7</v>
      </c>
      <c r="M1411">
        <v>25</v>
      </c>
      <c r="N1411" t="s">
        <v>30</v>
      </c>
      <c r="O1411" t="s">
        <v>122</v>
      </c>
      <c r="P1411" t="s">
        <v>30</v>
      </c>
      <c r="Q1411" t="s">
        <v>69</v>
      </c>
    </row>
    <row r="1412" spans="1:17" x14ac:dyDescent="0.3">
      <c r="A1412" t="s">
        <v>6717</v>
      </c>
      <c r="B1412" t="s">
        <v>6718</v>
      </c>
      <c r="C1412">
        <v>21</v>
      </c>
      <c r="D1412" t="s">
        <v>6719</v>
      </c>
      <c r="E1412" t="s">
        <v>88</v>
      </c>
      <c r="F1412" t="s">
        <v>2397</v>
      </c>
      <c r="G1412" t="s">
        <v>1934</v>
      </c>
      <c r="H1412">
        <v>4</v>
      </c>
      <c r="I1412" t="s">
        <v>64</v>
      </c>
      <c r="J1412" t="s">
        <v>3461</v>
      </c>
      <c r="K1412">
        <v>36.01</v>
      </c>
      <c r="L1412">
        <v>2</v>
      </c>
      <c r="M1412">
        <v>9</v>
      </c>
      <c r="N1412" t="s">
        <v>30</v>
      </c>
      <c r="O1412" t="s">
        <v>199</v>
      </c>
      <c r="P1412" t="s">
        <v>54</v>
      </c>
      <c r="Q1412" t="s">
        <v>69</v>
      </c>
    </row>
    <row r="1413" spans="1:17" x14ac:dyDescent="0.3">
      <c r="A1413" t="s">
        <v>6721</v>
      </c>
      <c r="B1413" t="s">
        <v>6722</v>
      </c>
      <c r="C1413">
        <v>65</v>
      </c>
      <c r="D1413" t="s">
        <v>6723</v>
      </c>
      <c r="E1413" t="s">
        <v>40</v>
      </c>
      <c r="F1413" t="s">
        <v>2938</v>
      </c>
      <c r="G1413" t="s">
        <v>6724</v>
      </c>
      <c r="H1413">
        <v>2</v>
      </c>
      <c r="I1413" t="s">
        <v>64</v>
      </c>
      <c r="J1413" t="s">
        <v>4466</v>
      </c>
      <c r="K1413">
        <v>388.06</v>
      </c>
      <c r="L1413">
        <v>5</v>
      </c>
      <c r="M1413">
        <v>45</v>
      </c>
      <c r="N1413" t="s">
        <v>68</v>
      </c>
      <c r="O1413" t="s">
        <v>366</v>
      </c>
      <c r="P1413" t="s">
        <v>54</v>
      </c>
      <c r="Q1413" t="s">
        <v>69</v>
      </c>
    </row>
    <row r="1414" spans="1:17" x14ac:dyDescent="0.3">
      <c r="A1414" t="s">
        <v>6726</v>
      </c>
      <c r="B1414" t="s">
        <v>6727</v>
      </c>
      <c r="C1414">
        <v>48</v>
      </c>
      <c r="D1414" t="s">
        <v>6728</v>
      </c>
      <c r="E1414" t="s">
        <v>25</v>
      </c>
      <c r="F1414" s="86">
        <v>44324</v>
      </c>
      <c r="G1414" t="s">
        <v>873</v>
      </c>
      <c r="H1414">
        <v>5</v>
      </c>
      <c r="I1414" t="s">
        <v>27</v>
      </c>
      <c r="J1414" t="s">
        <v>1263</v>
      </c>
      <c r="K1414">
        <v>81.819999999999993</v>
      </c>
      <c r="L1414">
        <v>4</v>
      </c>
      <c r="M1414">
        <v>33</v>
      </c>
      <c r="N1414" t="s">
        <v>54</v>
      </c>
      <c r="O1414" t="s">
        <v>245</v>
      </c>
      <c r="P1414" t="s">
        <v>54</v>
      </c>
      <c r="Q1414" t="s">
        <v>32</v>
      </c>
    </row>
    <row r="1415" spans="1:17" x14ac:dyDescent="0.3">
      <c r="A1415" t="s">
        <v>6730</v>
      </c>
      <c r="B1415" t="s">
        <v>6731</v>
      </c>
      <c r="C1415">
        <v>42</v>
      </c>
      <c r="D1415" t="s">
        <v>6732</v>
      </c>
      <c r="E1415" t="s">
        <v>88</v>
      </c>
      <c r="F1415" t="s">
        <v>1396</v>
      </c>
      <c r="G1415" s="86">
        <v>45874</v>
      </c>
      <c r="H1415">
        <v>0</v>
      </c>
      <c r="I1415" t="s">
        <v>27</v>
      </c>
      <c r="J1415" s="86">
        <v>45145</v>
      </c>
      <c r="K1415">
        <v>107.4</v>
      </c>
      <c r="L1415">
        <v>8</v>
      </c>
      <c r="M1415">
        <v>5</v>
      </c>
      <c r="N1415" t="s">
        <v>30</v>
      </c>
      <c r="O1415" t="s">
        <v>610</v>
      </c>
      <c r="P1415" t="s">
        <v>68</v>
      </c>
      <c r="Q1415" t="s">
        <v>32</v>
      </c>
    </row>
    <row r="1416" spans="1:17" x14ac:dyDescent="0.3">
      <c r="A1416" t="s">
        <v>6734</v>
      </c>
      <c r="B1416" t="s">
        <v>6735</v>
      </c>
      <c r="C1416">
        <v>38</v>
      </c>
      <c r="D1416" t="s">
        <v>6736</v>
      </c>
      <c r="E1416" t="s">
        <v>40</v>
      </c>
      <c r="F1416" t="s">
        <v>1036</v>
      </c>
      <c r="G1416" s="86">
        <v>45296</v>
      </c>
      <c r="H1416">
        <v>3</v>
      </c>
      <c r="I1416" t="s">
        <v>27</v>
      </c>
      <c r="J1416" s="86">
        <v>45545</v>
      </c>
      <c r="K1416">
        <v>656.65</v>
      </c>
      <c r="L1416">
        <v>3</v>
      </c>
      <c r="M1416">
        <v>13</v>
      </c>
      <c r="N1416" t="s">
        <v>45</v>
      </c>
      <c r="O1416" t="s">
        <v>67</v>
      </c>
      <c r="P1416" t="s">
        <v>68</v>
      </c>
      <c r="Q1416" t="s">
        <v>69</v>
      </c>
    </row>
    <row r="1417" spans="1:17" x14ac:dyDescent="0.3">
      <c r="A1417" t="s">
        <v>6738</v>
      </c>
      <c r="B1417" t="s">
        <v>6739</v>
      </c>
      <c r="C1417">
        <v>69</v>
      </c>
      <c r="D1417" t="s">
        <v>6740</v>
      </c>
      <c r="E1417" t="s">
        <v>95</v>
      </c>
      <c r="F1417" t="s">
        <v>2885</v>
      </c>
      <c r="G1417" t="s">
        <v>4466</v>
      </c>
      <c r="H1417">
        <v>1</v>
      </c>
      <c r="I1417" t="s">
        <v>27</v>
      </c>
      <c r="J1417" s="86">
        <v>45480</v>
      </c>
      <c r="K1417">
        <v>213.07</v>
      </c>
      <c r="L1417">
        <v>8</v>
      </c>
      <c r="M1417">
        <v>47</v>
      </c>
      <c r="N1417" t="s">
        <v>45</v>
      </c>
      <c r="O1417" t="s">
        <v>122</v>
      </c>
      <c r="P1417" t="s">
        <v>30</v>
      </c>
      <c r="Q1417" t="s">
        <v>69</v>
      </c>
    </row>
    <row r="1418" spans="1:17" x14ac:dyDescent="0.3">
      <c r="A1418" t="s">
        <v>6742</v>
      </c>
      <c r="B1418" t="s">
        <v>6743</v>
      </c>
      <c r="C1418">
        <v>63</v>
      </c>
      <c r="D1418" t="s">
        <v>6744</v>
      </c>
      <c r="E1418" t="s">
        <v>25</v>
      </c>
      <c r="F1418" s="86">
        <v>45021</v>
      </c>
      <c r="G1418" s="86">
        <v>45514</v>
      </c>
      <c r="H1418">
        <v>4</v>
      </c>
      <c r="I1418" t="s">
        <v>52</v>
      </c>
      <c r="J1418" s="86">
        <v>45476</v>
      </c>
      <c r="K1418">
        <v>259.89999999999998</v>
      </c>
      <c r="L1418">
        <v>6</v>
      </c>
      <c r="M1418">
        <v>34</v>
      </c>
      <c r="N1418" t="s">
        <v>56</v>
      </c>
      <c r="O1418" t="s">
        <v>175</v>
      </c>
      <c r="P1418" t="s">
        <v>56</v>
      </c>
      <c r="Q1418" t="s">
        <v>32</v>
      </c>
    </row>
    <row r="1419" spans="1:17" x14ac:dyDescent="0.3">
      <c r="A1419" t="s">
        <v>6746</v>
      </c>
      <c r="B1419" t="s">
        <v>6747</v>
      </c>
      <c r="C1419">
        <v>59</v>
      </c>
      <c r="D1419" t="s">
        <v>6748</v>
      </c>
      <c r="E1419" t="s">
        <v>95</v>
      </c>
      <c r="F1419" t="s">
        <v>4664</v>
      </c>
      <c r="G1419" t="s">
        <v>778</v>
      </c>
      <c r="H1419">
        <v>1</v>
      </c>
      <c r="I1419" t="s">
        <v>27</v>
      </c>
      <c r="J1419" t="s">
        <v>4107</v>
      </c>
      <c r="K1419">
        <v>1499.25</v>
      </c>
      <c r="L1419">
        <v>1</v>
      </c>
      <c r="M1419">
        <v>4</v>
      </c>
      <c r="N1419" t="s">
        <v>45</v>
      </c>
      <c r="O1419" t="s">
        <v>610</v>
      </c>
      <c r="P1419" t="s">
        <v>68</v>
      </c>
      <c r="Q1419" t="s">
        <v>32</v>
      </c>
    </row>
    <row r="1420" spans="1:17" x14ac:dyDescent="0.3">
      <c r="A1420" t="s">
        <v>6750</v>
      </c>
      <c r="B1420" t="s">
        <v>6751</v>
      </c>
      <c r="C1420">
        <v>57</v>
      </c>
      <c r="D1420" t="s">
        <v>6752</v>
      </c>
      <c r="E1420" t="s">
        <v>95</v>
      </c>
      <c r="F1420" s="86">
        <v>44236</v>
      </c>
      <c r="G1420" t="s">
        <v>572</v>
      </c>
      <c r="H1420">
        <v>2</v>
      </c>
      <c r="I1420" t="s">
        <v>27</v>
      </c>
      <c r="J1420" s="86">
        <v>45025</v>
      </c>
      <c r="K1420">
        <v>161.93</v>
      </c>
      <c r="L1420">
        <v>9</v>
      </c>
      <c r="M1420">
        <v>39</v>
      </c>
      <c r="N1420" t="s">
        <v>30</v>
      </c>
      <c r="O1420" t="s">
        <v>245</v>
      </c>
      <c r="P1420" t="s">
        <v>54</v>
      </c>
      <c r="Q1420" t="s">
        <v>32</v>
      </c>
    </row>
    <row r="1421" spans="1:17" x14ac:dyDescent="0.3">
      <c r="A1421" t="s">
        <v>6754</v>
      </c>
      <c r="B1421" t="s">
        <v>6755</v>
      </c>
      <c r="C1421">
        <v>33</v>
      </c>
      <c r="D1421" t="s">
        <v>6756</v>
      </c>
      <c r="E1421" t="s">
        <v>51</v>
      </c>
      <c r="F1421" t="s">
        <v>1644</v>
      </c>
      <c r="G1421" t="s">
        <v>6757</v>
      </c>
      <c r="H1421">
        <v>3</v>
      </c>
      <c r="I1421" t="s">
        <v>27</v>
      </c>
      <c r="J1421" t="s">
        <v>622</v>
      </c>
      <c r="K1421">
        <v>229.55</v>
      </c>
      <c r="L1421">
        <v>8</v>
      </c>
      <c r="M1421">
        <v>21</v>
      </c>
      <c r="N1421" t="s">
        <v>54</v>
      </c>
      <c r="O1421" t="s">
        <v>99</v>
      </c>
      <c r="P1421" t="s">
        <v>56</v>
      </c>
      <c r="Q1421" t="s">
        <v>69</v>
      </c>
    </row>
    <row r="1422" spans="1:17" x14ac:dyDescent="0.3">
      <c r="A1422" t="s">
        <v>6759</v>
      </c>
      <c r="B1422" t="s">
        <v>6760</v>
      </c>
      <c r="C1422">
        <v>66</v>
      </c>
      <c r="D1422" t="s">
        <v>6761</v>
      </c>
      <c r="E1422" t="s">
        <v>40</v>
      </c>
      <c r="F1422" t="s">
        <v>1420</v>
      </c>
      <c r="G1422" t="s">
        <v>4392</v>
      </c>
      <c r="H1422">
        <v>1</v>
      </c>
      <c r="I1422" t="s">
        <v>52</v>
      </c>
      <c r="J1422" t="s">
        <v>2446</v>
      </c>
      <c r="K1422">
        <v>298.18</v>
      </c>
      <c r="L1422">
        <v>1</v>
      </c>
      <c r="M1422">
        <v>13</v>
      </c>
      <c r="N1422" t="s">
        <v>45</v>
      </c>
      <c r="O1422" t="s">
        <v>418</v>
      </c>
      <c r="P1422" t="s">
        <v>56</v>
      </c>
      <c r="Q1422" t="s">
        <v>32</v>
      </c>
    </row>
    <row r="1423" spans="1:17" x14ac:dyDescent="0.3">
      <c r="A1423" t="s">
        <v>6763</v>
      </c>
      <c r="B1423" t="s">
        <v>6764</v>
      </c>
      <c r="C1423">
        <v>56</v>
      </c>
      <c r="D1423" t="s">
        <v>6765</v>
      </c>
      <c r="E1423" t="s">
        <v>61</v>
      </c>
      <c r="F1423" t="s">
        <v>2543</v>
      </c>
      <c r="G1423" s="86">
        <v>45637</v>
      </c>
      <c r="H1423">
        <v>1</v>
      </c>
      <c r="I1423" t="s">
        <v>52</v>
      </c>
      <c r="J1423" s="86">
        <v>44745</v>
      </c>
      <c r="K1423">
        <v>1299.21</v>
      </c>
      <c r="L1423">
        <v>1</v>
      </c>
      <c r="M1423">
        <v>8</v>
      </c>
      <c r="N1423" t="s">
        <v>68</v>
      </c>
      <c r="O1423" t="s">
        <v>536</v>
      </c>
      <c r="P1423" t="s">
        <v>68</v>
      </c>
      <c r="Q1423" t="s">
        <v>32</v>
      </c>
    </row>
    <row r="1424" spans="1:17" x14ac:dyDescent="0.3">
      <c r="A1424" t="s">
        <v>6767</v>
      </c>
      <c r="B1424" t="s">
        <v>6768</v>
      </c>
      <c r="C1424">
        <v>28</v>
      </c>
      <c r="D1424" t="s">
        <v>6769</v>
      </c>
      <c r="E1424" t="s">
        <v>61</v>
      </c>
      <c r="F1424" t="s">
        <v>5023</v>
      </c>
      <c r="G1424" s="86">
        <v>44688</v>
      </c>
      <c r="H1424">
        <v>0</v>
      </c>
      <c r="I1424" t="s">
        <v>27</v>
      </c>
      <c r="J1424" t="s">
        <v>6770</v>
      </c>
      <c r="K1424">
        <v>172.69</v>
      </c>
      <c r="L1424">
        <v>7</v>
      </c>
      <c r="M1424">
        <v>19</v>
      </c>
      <c r="N1424" t="s">
        <v>45</v>
      </c>
      <c r="O1424" t="s">
        <v>55</v>
      </c>
      <c r="P1424" t="s">
        <v>56</v>
      </c>
      <c r="Q1424" t="s">
        <v>32</v>
      </c>
    </row>
    <row r="1425" spans="1:17" x14ac:dyDescent="0.3">
      <c r="A1425" t="s">
        <v>6772</v>
      </c>
      <c r="B1425" t="s">
        <v>6773</v>
      </c>
      <c r="C1425">
        <v>56</v>
      </c>
      <c r="D1425" t="s">
        <v>6774</v>
      </c>
      <c r="E1425" t="s">
        <v>95</v>
      </c>
      <c r="F1425" t="s">
        <v>1944</v>
      </c>
      <c r="G1425" s="86">
        <v>45353</v>
      </c>
      <c r="H1425">
        <v>3</v>
      </c>
      <c r="I1425" t="s">
        <v>27</v>
      </c>
      <c r="J1425" s="86">
        <v>45300</v>
      </c>
      <c r="K1425">
        <v>479.12</v>
      </c>
      <c r="L1425">
        <v>3</v>
      </c>
      <c r="M1425">
        <v>35</v>
      </c>
      <c r="N1425" t="s">
        <v>54</v>
      </c>
      <c r="O1425" t="s">
        <v>149</v>
      </c>
      <c r="P1425" t="s">
        <v>30</v>
      </c>
      <c r="Q1425" t="s">
        <v>32</v>
      </c>
    </row>
    <row r="1426" spans="1:17" x14ac:dyDescent="0.3">
      <c r="A1426" t="s">
        <v>6776</v>
      </c>
      <c r="B1426" t="s">
        <v>6777</v>
      </c>
      <c r="C1426">
        <v>53</v>
      </c>
      <c r="D1426" t="s">
        <v>6778</v>
      </c>
      <c r="E1426" t="s">
        <v>95</v>
      </c>
      <c r="F1426" t="s">
        <v>5692</v>
      </c>
      <c r="G1426" t="s">
        <v>2049</v>
      </c>
      <c r="H1426">
        <v>2</v>
      </c>
      <c r="I1426" t="s">
        <v>27</v>
      </c>
      <c r="J1426" t="s">
        <v>1465</v>
      </c>
      <c r="K1426">
        <v>140.61000000000001</v>
      </c>
      <c r="L1426">
        <v>8</v>
      </c>
      <c r="M1426">
        <v>2</v>
      </c>
      <c r="N1426" t="s">
        <v>30</v>
      </c>
      <c r="O1426" t="s">
        <v>77</v>
      </c>
      <c r="P1426" t="s">
        <v>54</v>
      </c>
      <c r="Q1426" t="s">
        <v>32</v>
      </c>
    </row>
    <row r="1427" spans="1:17" x14ac:dyDescent="0.3">
      <c r="A1427" t="s">
        <v>6780</v>
      </c>
      <c r="B1427" t="s">
        <v>6781</v>
      </c>
      <c r="C1427">
        <v>49</v>
      </c>
      <c r="D1427" t="s">
        <v>6782</v>
      </c>
      <c r="E1427" t="s">
        <v>95</v>
      </c>
      <c r="F1427" s="86">
        <v>44260</v>
      </c>
      <c r="G1427" t="s">
        <v>1407</v>
      </c>
      <c r="H1427">
        <v>0</v>
      </c>
      <c r="I1427" t="s">
        <v>64</v>
      </c>
      <c r="J1427" t="s">
        <v>622</v>
      </c>
      <c r="K1427">
        <v>208.33</v>
      </c>
      <c r="L1427">
        <v>7</v>
      </c>
      <c r="M1427">
        <v>30</v>
      </c>
      <c r="N1427" t="s">
        <v>45</v>
      </c>
      <c r="O1427" t="s">
        <v>211</v>
      </c>
      <c r="P1427" t="s">
        <v>68</v>
      </c>
      <c r="Q1427" t="s">
        <v>69</v>
      </c>
    </row>
    <row r="1428" spans="1:17" x14ac:dyDescent="0.3">
      <c r="A1428" t="s">
        <v>6784</v>
      </c>
      <c r="B1428" t="s">
        <v>6785</v>
      </c>
      <c r="C1428">
        <v>23</v>
      </c>
      <c r="D1428" t="s">
        <v>6786</v>
      </c>
      <c r="E1428" t="s">
        <v>88</v>
      </c>
      <c r="F1428" t="s">
        <v>5787</v>
      </c>
      <c r="G1428" t="s">
        <v>6238</v>
      </c>
      <c r="H1428">
        <v>1</v>
      </c>
      <c r="I1428" t="s">
        <v>27</v>
      </c>
      <c r="J1428" s="86">
        <v>44507</v>
      </c>
      <c r="K1428">
        <v>100.62</v>
      </c>
      <c r="L1428">
        <v>9</v>
      </c>
      <c r="M1428">
        <v>13</v>
      </c>
      <c r="N1428" t="s">
        <v>68</v>
      </c>
      <c r="O1428" t="s">
        <v>169</v>
      </c>
      <c r="P1428" t="s">
        <v>30</v>
      </c>
      <c r="Q1428" t="s">
        <v>32</v>
      </c>
    </row>
    <row r="1429" spans="1:17" x14ac:dyDescent="0.3">
      <c r="A1429" t="s">
        <v>6788</v>
      </c>
      <c r="B1429" t="s">
        <v>6789</v>
      </c>
      <c r="C1429">
        <v>21</v>
      </c>
      <c r="D1429" t="s">
        <v>6790</v>
      </c>
      <c r="E1429" t="s">
        <v>88</v>
      </c>
      <c r="F1429" s="86">
        <v>44595</v>
      </c>
      <c r="G1429" t="s">
        <v>3948</v>
      </c>
      <c r="H1429">
        <v>0</v>
      </c>
      <c r="I1429" t="s">
        <v>52</v>
      </c>
      <c r="J1429" t="s">
        <v>2388</v>
      </c>
      <c r="K1429">
        <v>6.64</v>
      </c>
      <c r="L1429">
        <v>8</v>
      </c>
      <c r="M1429">
        <v>15</v>
      </c>
      <c r="N1429" t="s">
        <v>68</v>
      </c>
      <c r="O1429" t="s">
        <v>31</v>
      </c>
      <c r="P1429" t="s">
        <v>30</v>
      </c>
      <c r="Q1429" t="s">
        <v>69</v>
      </c>
    </row>
    <row r="1430" spans="1:17" x14ac:dyDescent="0.3">
      <c r="A1430" t="s">
        <v>6791</v>
      </c>
      <c r="B1430" t="s">
        <v>6792</v>
      </c>
      <c r="C1430">
        <v>48</v>
      </c>
      <c r="D1430" t="s">
        <v>6793</v>
      </c>
      <c r="E1430" t="s">
        <v>88</v>
      </c>
      <c r="F1430" s="86">
        <v>45143</v>
      </c>
      <c r="G1430" s="86">
        <v>45505</v>
      </c>
      <c r="H1430">
        <v>4</v>
      </c>
      <c r="I1430" t="s">
        <v>64</v>
      </c>
      <c r="J1430" s="86">
        <v>45237</v>
      </c>
      <c r="K1430">
        <v>131.34</v>
      </c>
      <c r="L1430">
        <v>8</v>
      </c>
      <c r="M1430">
        <v>31</v>
      </c>
      <c r="N1430" t="s">
        <v>45</v>
      </c>
      <c r="O1430" t="s">
        <v>116</v>
      </c>
      <c r="P1430" t="s">
        <v>54</v>
      </c>
      <c r="Q1430" t="s">
        <v>32</v>
      </c>
    </row>
    <row r="1431" spans="1:17" x14ac:dyDescent="0.3">
      <c r="A1431" t="s">
        <v>6795</v>
      </c>
      <c r="B1431" t="s">
        <v>6796</v>
      </c>
      <c r="C1431">
        <v>36</v>
      </c>
      <c r="D1431" t="s">
        <v>6797</v>
      </c>
      <c r="E1431" t="s">
        <v>88</v>
      </c>
      <c r="F1431" t="s">
        <v>6798</v>
      </c>
      <c r="G1431" s="86">
        <v>45391</v>
      </c>
      <c r="H1431">
        <v>5</v>
      </c>
      <c r="I1431" t="s">
        <v>27</v>
      </c>
      <c r="J1431" t="s">
        <v>4402</v>
      </c>
      <c r="K1431">
        <v>1092.3900000000001</v>
      </c>
      <c r="L1431">
        <v>1</v>
      </c>
      <c r="M1431">
        <v>45</v>
      </c>
      <c r="N1431" t="s">
        <v>54</v>
      </c>
      <c r="O1431" t="s">
        <v>116</v>
      </c>
      <c r="P1431" t="s">
        <v>54</v>
      </c>
      <c r="Q1431" t="s">
        <v>69</v>
      </c>
    </row>
    <row r="1432" spans="1:17" x14ac:dyDescent="0.3">
      <c r="A1432" t="s">
        <v>6800</v>
      </c>
      <c r="B1432" t="s">
        <v>6801</v>
      </c>
      <c r="C1432">
        <v>50</v>
      </c>
      <c r="D1432" t="s">
        <v>6802</v>
      </c>
      <c r="E1432" t="s">
        <v>95</v>
      </c>
      <c r="F1432" t="s">
        <v>6803</v>
      </c>
      <c r="G1432" s="86">
        <v>45057</v>
      </c>
      <c r="H1432">
        <v>2</v>
      </c>
      <c r="I1432" t="s">
        <v>52</v>
      </c>
      <c r="J1432" t="s">
        <v>2578</v>
      </c>
      <c r="K1432">
        <v>409.65</v>
      </c>
      <c r="L1432">
        <v>4</v>
      </c>
      <c r="M1432">
        <v>41</v>
      </c>
      <c r="N1432" t="s">
        <v>45</v>
      </c>
      <c r="O1432" t="s">
        <v>122</v>
      </c>
      <c r="P1432" t="s">
        <v>30</v>
      </c>
      <c r="Q1432" t="s">
        <v>32</v>
      </c>
    </row>
    <row r="1433" spans="1:17" x14ac:dyDescent="0.3">
      <c r="A1433" t="s">
        <v>6805</v>
      </c>
      <c r="B1433" t="s">
        <v>6806</v>
      </c>
      <c r="C1433">
        <v>25</v>
      </c>
      <c r="D1433" t="s">
        <v>6807</v>
      </c>
      <c r="E1433" t="s">
        <v>40</v>
      </c>
      <c r="F1433" t="s">
        <v>4221</v>
      </c>
      <c r="G1433" t="s">
        <v>2431</v>
      </c>
      <c r="H1433">
        <v>4</v>
      </c>
      <c r="I1433" t="s">
        <v>52</v>
      </c>
      <c r="J1433" t="s">
        <v>180</v>
      </c>
      <c r="K1433">
        <v>155.72999999999999</v>
      </c>
      <c r="L1433">
        <v>4</v>
      </c>
      <c r="M1433">
        <v>4</v>
      </c>
      <c r="N1433" t="s">
        <v>56</v>
      </c>
      <c r="O1433" t="s">
        <v>354</v>
      </c>
      <c r="P1433" t="s">
        <v>45</v>
      </c>
      <c r="Q1433" t="s">
        <v>69</v>
      </c>
    </row>
    <row r="1434" spans="1:17" x14ac:dyDescent="0.3">
      <c r="A1434" t="s">
        <v>6809</v>
      </c>
      <c r="B1434" t="s">
        <v>6810</v>
      </c>
      <c r="C1434">
        <v>47</v>
      </c>
      <c r="D1434" t="s">
        <v>6811</v>
      </c>
      <c r="E1434" t="s">
        <v>95</v>
      </c>
      <c r="F1434" t="s">
        <v>1616</v>
      </c>
      <c r="G1434" t="s">
        <v>1020</v>
      </c>
      <c r="H1434">
        <v>3</v>
      </c>
      <c r="I1434" t="s">
        <v>64</v>
      </c>
      <c r="J1434" t="s">
        <v>6182</v>
      </c>
      <c r="K1434">
        <v>226.08</v>
      </c>
      <c r="L1434">
        <v>8</v>
      </c>
      <c r="M1434">
        <v>5</v>
      </c>
      <c r="N1434" t="s">
        <v>68</v>
      </c>
      <c r="O1434" t="s">
        <v>169</v>
      </c>
      <c r="P1434" t="s">
        <v>30</v>
      </c>
      <c r="Q1434" t="s">
        <v>32</v>
      </c>
    </row>
    <row r="1435" spans="1:17" x14ac:dyDescent="0.3">
      <c r="A1435" t="s">
        <v>6813</v>
      </c>
      <c r="B1435" t="s">
        <v>6814</v>
      </c>
      <c r="C1435">
        <v>31</v>
      </c>
      <c r="D1435" t="s">
        <v>6815</v>
      </c>
      <c r="E1435" t="s">
        <v>88</v>
      </c>
      <c r="F1435" t="s">
        <v>3019</v>
      </c>
      <c r="G1435" s="86">
        <v>45417</v>
      </c>
      <c r="H1435">
        <v>0</v>
      </c>
      <c r="I1435" t="s">
        <v>27</v>
      </c>
      <c r="J1435" t="s">
        <v>1339</v>
      </c>
      <c r="K1435">
        <v>1695</v>
      </c>
      <c r="L1435">
        <v>1</v>
      </c>
      <c r="M1435">
        <v>32</v>
      </c>
      <c r="N1435" t="s">
        <v>45</v>
      </c>
      <c r="O1435" t="s">
        <v>245</v>
      </c>
      <c r="P1435" t="s">
        <v>54</v>
      </c>
      <c r="Q1435" t="s">
        <v>32</v>
      </c>
    </row>
    <row r="1436" spans="1:17" x14ac:dyDescent="0.3">
      <c r="A1436" t="s">
        <v>6817</v>
      </c>
      <c r="B1436" t="s">
        <v>6818</v>
      </c>
      <c r="C1436">
        <v>54</v>
      </c>
      <c r="D1436" t="s">
        <v>6819</v>
      </c>
      <c r="E1436" t="s">
        <v>88</v>
      </c>
      <c r="F1436" t="s">
        <v>2603</v>
      </c>
      <c r="G1436" t="s">
        <v>2609</v>
      </c>
      <c r="H1436">
        <v>0</v>
      </c>
      <c r="I1436" t="s">
        <v>27</v>
      </c>
      <c r="J1436" t="s">
        <v>3461</v>
      </c>
      <c r="K1436">
        <v>100.53</v>
      </c>
      <c r="L1436">
        <v>7</v>
      </c>
      <c r="M1436">
        <v>10</v>
      </c>
      <c r="N1436" t="s">
        <v>30</v>
      </c>
      <c r="O1436" t="s">
        <v>194</v>
      </c>
      <c r="P1436" t="s">
        <v>56</v>
      </c>
      <c r="Q1436" t="s">
        <v>69</v>
      </c>
    </row>
    <row r="1437" spans="1:17" x14ac:dyDescent="0.3">
      <c r="A1437" t="s">
        <v>6821</v>
      </c>
      <c r="B1437" t="s">
        <v>6822</v>
      </c>
      <c r="C1437">
        <v>68</v>
      </c>
      <c r="D1437" t="s">
        <v>6823</v>
      </c>
      <c r="E1437" t="s">
        <v>25</v>
      </c>
      <c r="F1437" s="86">
        <v>44904</v>
      </c>
      <c r="G1437" s="86">
        <v>45454</v>
      </c>
      <c r="H1437">
        <v>2</v>
      </c>
      <c r="I1437" t="s">
        <v>52</v>
      </c>
      <c r="J1437" t="s">
        <v>1716</v>
      </c>
      <c r="K1437">
        <v>751.06</v>
      </c>
      <c r="L1437">
        <v>2</v>
      </c>
      <c r="M1437">
        <v>37</v>
      </c>
      <c r="N1437" t="s">
        <v>56</v>
      </c>
      <c r="O1437" t="s">
        <v>855</v>
      </c>
      <c r="P1437" t="s">
        <v>45</v>
      </c>
      <c r="Q1437" t="s">
        <v>32</v>
      </c>
    </row>
    <row r="1438" spans="1:17" x14ac:dyDescent="0.3">
      <c r="A1438" t="s">
        <v>6825</v>
      </c>
      <c r="B1438" t="s">
        <v>6826</v>
      </c>
      <c r="C1438">
        <v>36</v>
      </c>
      <c r="D1438" t="s">
        <v>6827</v>
      </c>
      <c r="E1438" t="s">
        <v>25</v>
      </c>
      <c r="F1438" t="s">
        <v>1982</v>
      </c>
      <c r="G1438" t="s">
        <v>63</v>
      </c>
      <c r="H1438">
        <v>1</v>
      </c>
      <c r="I1438" t="s">
        <v>64</v>
      </c>
      <c r="J1438" s="86">
        <v>45293</v>
      </c>
      <c r="K1438">
        <v>454.17</v>
      </c>
      <c r="L1438">
        <v>2</v>
      </c>
      <c r="M1438">
        <v>34</v>
      </c>
      <c r="N1438" t="s">
        <v>56</v>
      </c>
      <c r="O1438" t="s">
        <v>135</v>
      </c>
      <c r="P1438" t="s">
        <v>45</v>
      </c>
      <c r="Q1438" t="s">
        <v>32</v>
      </c>
    </row>
    <row r="1439" spans="1:17" x14ac:dyDescent="0.3">
      <c r="A1439" t="s">
        <v>6829</v>
      </c>
      <c r="B1439" t="s">
        <v>6830</v>
      </c>
      <c r="C1439">
        <v>51</v>
      </c>
      <c r="D1439" t="s">
        <v>6831</v>
      </c>
      <c r="E1439" t="s">
        <v>88</v>
      </c>
      <c r="F1439" t="s">
        <v>1601</v>
      </c>
      <c r="G1439" t="s">
        <v>1811</v>
      </c>
      <c r="H1439">
        <v>0</v>
      </c>
      <c r="I1439" t="s">
        <v>27</v>
      </c>
      <c r="J1439" s="86">
        <v>45752</v>
      </c>
      <c r="K1439">
        <v>299.3</v>
      </c>
      <c r="L1439">
        <v>4</v>
      </c>
      <c r="M1439">
        <v>15</v>
      </c>
      <c r="N1439" t="s">
        <v>68</v>
      </c>
      <c r="O1439" t="s">
        <v>128</v>
      </c>
      <c r="P1439" t="s">
        <v>54</v>
      </c>
      <c r="Q1439" t="s">
        <v>69</v>
      </c>
    </row>
    <row r="1440" spans="1:17" x14ac:dyDescent="0.3">
      <c r="A1440" t="s">
        <v>6833</v>
      </c>
      <c r="B1440" t="s">
        <v>6834</v>
      </c>
      <c r="C1440">
        <v>64</v>
      </c>
      <c r="D1440" t="s">
        <v>6835</v>
      </c>
      <c r="E1440" t="s">
        <v>40</v>
      </c>
      <c r="F1440" s="86">
        <v>44357</v>
      </c>
      <c r="G1440" t="s">
        <v>1268</v>
      </c>
      <c r="H1440">
        <v>1</v>
      </c>
      <c r="I1440" t="s">
        <v>27</v>
      </c>
      <c r="J1440" s="86">
        <v>44838</v>
      </c>
      <c r="K1440">
        <v>234.74</v>
      </c>
      <c r="L1440">
        <v>1</v>
      </c>
      <c r="M1440">
        <v>36</v>
      </c>
      <c r="N1440" t="s">
        <v>45</v>
      </c>
      <c r="O1440" t="s">
        <v>142</v>
      </c>
      <c r="P1440" t="s">
        <v>68</v>
      </c>
      <c r="Q1440" t="s">
        <v>32</v>
      </c>
    </row>
    <row r="1441" spans="1:17" x14ac:dyDescent="0.3">
      <c r="A1441" t="s">
        <v>6837</v>
      </c>
      <c r="B1441" t="s">
        <v>6838</v>
      </c>
      <c r="C1441">
        <v>63</v>
      </c>
      <c r="D1441" t="s">
        <v>6839</v>
      </c>
      <c r="E1441" t="s">
        <v>40</v>
      </c>
      <c r="F1441" t="s">
        <v>6840</v>
      </c>
      <c r="G1441" s="86">
        <v>44960</v>
      </c>
      <c r="H1441">
        <v>2</v>
      </c>
      <c r="I1441" t="s">
        <v>52</v>
      </c>
      <c r="J1441" t="s">
        <v>6841</v>
      </c>
      <c r="K1441">
        <v>221.69</v>
      </c>
      <c r="L1441">
        <v>6</v>
      </c>
      <c r="M1441">
        <v>11</v>
      </c>
      <c r="N1441" t="s">
        <v>56</v>
      </c>
      <c r="O1441" t="s">
        <v>238</v>
      </c>
      <c r="P1441" t="s">
        <v>45</v>
      </c>
      <c r="Q1441" t="s">
        <v>32</v>
      </c>
    </row>
    <row r="1442" spans="1:17" x14ac:dyDescent="0.3">
      <c r="A1442" t="s">
        <v>6843</v>
      </c>
      <c r="B1442" t="s">
        <v>6844</v>
      </c>
      <c r="C1442">
        <v>66</v>
      </c>
      <c r="D1442" t="s">
        <v>6845</v>
      </c>
      <c r="E1442" t="s">
        <v>95</v>
      </c>
      <c r="F1442" t="s">
        <v>1680</v>
      </c>
      <c r="G1442" s="86">
        <v>44868</v>
      </c>
      <c r="H1442">
        <v>4</v>
      </c>
      <c r="I1442" t="s">
        <v>64</v>
      </c>
      <c r="J1442" s="86">
        <v>44594</v>
      </c>
      <c r="K1442">
        <v>744.56</v>
      </c>
      <c r="L1442">
        <v>2</v>
      </c>
      <c r="M1442">
        <v>37</v>
      </c>
      <c r="N1442" t="s">
        <v>54</v>
      </c>
      <c r="O1442" t="s">
        <v>238</v>
      </c>
      <c r="P1442" t="s">
        <v>45</v>
      </c>
      <c r="Q1442" t="s">
        <v>69</v>
      </c>
    </row>
    <row r="1443" spans="1:17" x14ac:dyDescent="0.3">
      <c r="A1443" t="s">
        <v>6847</v>
      </c>
      <c r="B1443" t="s">
        <v>6848</v>
      </c>
      <c r="C1443">
        <v>26</v>
      </c>
      <c r="D1443" t="s">
        <v>6849</v>
      </c>
      <c r="E1443" t="s">
        <v>95</v>
      </c>
      <c r="F1443" t="s">
        <v>2087</v>
      </c>
      <c r="G1443" s="86">
        <v>44298</v>
      </c>
      <c r="H1443">
        <v>3</v>
      </c>
      <c r="I1443" t="s">
        <v>27</v>
      </c>
      <c r="J1443" s="86">
        <v>44328</v>
      </c>
      <c r="K1443">
        <v>400.07</v>
      </c>
      <c r="L1443">
        <v>3</v>
      </c>
      <c r="M1443">
        <v>24</v>
      </c>
      <c r="N1443" t="s">
        <v>68</v>
      </c>
      <c r="O1443" t="s">
        <v>223</v>
      </c>
      <c r="P1443" t="s">
        <v>56</v>
      </c>
      <c r="Q1443" t="s">
        <v>69</v>
      </c>
    </row>
    <row r="1444" spans="1:17" x14ac:dyDescent="0.3">
      <c r="A1444" t="s">
        <v>6851</v>
      </c>
      <c r="B1444" t="s">
        <v>6852</v>
      </c>
      <c r="C1444">
        <v>21</v>
      </c>
      <c r="D1444" t="s">
        <v>6853</v>
      </c>
      <c r="E1444" t="s">
        <v>40</v>
      </c>
      <c r="F1444" t="s">
        <v>1955</v>
      </c>
      <c r="G1444" s="86">
        <v>45363</v>
      </c>
      <c r="H1444">
        <v>5</v>
      </c>
      <c r="I1444" t="s">
        <v>52</v>
      </c>
      <c r="J1444" s="86">
        <v>44657</v>
      </c>
      <c r="K1444">
        <v>390.99</v>
      </c>
      <c r="L1444">
        <v>3</v>
      </c>
      <c r="M1444">
        <v>34</v>
      </c>
      <c r="N1444" t="s">
        <v>30</v>
      </c>
      <c r="O1444" t="s">
        <v>91</v>
      </c>
      <c r="P1444" t="s">
        <v>54</v>
      </c>
      <c r="Q1444" t="s">
        <v>69</v>
      </c>
    </row>
    <row r="1445" spans="1:17" x14ac:dyDescent="0.3">
      <c r="A1445" t="s">
        <v>6855</v>
      </c>
      <c r="B1445" t="s">
        <v>6856</v>
      </c>
      <c r="C1445">
        <v>64</v>
      </c>
      <c r="D1445" t="s">
        <v>6857</v>
      </c>
      <c r="E1445" t="s">
        <v>61</v>
      </c>
      <c r="F1445" s="86">
        <v>44384</v>
      </c>
      <c r="G1445" s="86">
        <v>44594</v>
      </c>
      <c r="H1445">
        <v>2</v>
      </c>
      <c r="I1445" t="s">
        <v>52</v>
      </c>
      <c r="J1445" t="s">
        <v>1796</v>
      </c>
      <c r="K1445">
        <v>111.28</v>
      </c>
      <c r="L1445">
        <v>4</v>
      </c>
      <c r="M1445">
        <v>8</v>
      </c>
      <c r="N1445" t="s">
        <v>30</v>
      </c>
      <c r="O1445" t="s">
        <v>211</v>
      </c>
      <c r="P1445" t="s">
        <v>68</v>
      </c>
      <c r="Q1445" t="s">
        <v>69</v>
      </c>
    </row>
    <row r="1446" spans="1:17" x14ac:dyDescent="0.3">
      <c r="A1446" t="s">
        <v>6859</v>
      </c>
      <c r="B1446" t="s">
        <v>6860</v>
      </c>
      <c r="C1446">
        <v>45</v>
      </c>
      <c r="D1446" t="s">
        <v>6861</v>
      </c>
      <c r="E1446" t="s">
        <v>61</v>
      </c>
      <c r="F1446" t="s">
        <v>5110</v>
      </c>
      <c r="G1446" t="s">
        <v>602</v>
      </c>
      <c r="H1446">
        <v>3</v>
      </c>
      <c r="I1446" t="s">
        <v>27</v>
      </c>
      <c r="J1446" s="86">
        <v>45754</v>
      </c>
      <c r="K1446">
        <v>260.36</v>
      </c>
      <c r="L1446">
        <v>7</v>
      </c>
      <c r="M1446">
        <v>49</v>
      </c>
      <c r="N1446" t="s">
        <v>68</v>
      </c>
      <c r="O1446" t="s">
        <v>55</v>
      </c>
      <c r="P1446" t="s">
        <v>56</v>
      </c>
      <c r="Q1446" t="s">
        <v>32</v>
      </c>
    </row>
    <row r="1447" spans="1:17" x14ac:dyDescent="0.3">
      <c r="A1447" t="s">
        <v>6863</v>
      </c>
      <c r="B1447" t="s">
        <v>6864</v>
      </c>
      <c r="C1447">
        <v>26</v>
      </c>
      <c r="D1447" t="s">
        <v>6865</v>
      </c>
      <c r="E1447" t="s">
        <v>61</v>
      </c>
      <c r="F1447" t="s">
        <v>6866</v>
      </c>
      <c r="G1447" t="s">
        <v>161</v>
      </c>
      <c r="H1447">
        <v>5</v>
      </c>
      <c r="I1447" t="s">
        <v>64</v>
      </c>
      <c r="J1447" t="s">
        <v>3183</v>
      </c>
      <c r="K1447">
        <v>228.34</v>
      </c>
      <c r="L1447">
        <v>6</v>
      </c>
      <c r="M1447">
        <v>15</v>
      </c>
      <c r="N1447" t="s">
        <v>45</v>
      </c>
      <c r="O1447" t="s">
        <v>157</v>
      </c>
      <c r="P1447" t="s">
        <v>68</v>
      </c>
      <c r="Q1447" t="s">
        <v>32</v>
      </c>
    </row>
    <row r="1448" spans="1:17" x14ac:dyDescent="0.3">
      <c r="A1448" t="s">
        <v>6867</v>
      </c>
      <c r="B1448" t="s">
        <v>6868</v>
      </c>
      <c r="C1448">
        <v>31</v>
      </c>
      <c r="D1448" t="s">
        <v>6869</v>
      </c>
      <c r="E1448" t="s">
        <v>95</v>
      </c>
      <c r="F1448" t="s">
        <v>6870</v>
      </c>
      <c r="G1448" t="s">
        <v>243</v>
      </c>
      <c r="H1448">
        <v>2</v>
      </c>
      <c r="I1448" t="s">
        <v>27</v>
      </c>
      <c r="J1448" s="86">
        <v>44682</v>
      </c>
      <c r="K1448">
        <v>149.01</v>
      </c>
      <c r="L1448">
        <v>8</v>
      </c>
      <c r="M1448">
        <v>45</v>
      </c>
      <c r="N1448" t="s">
        <v>68</v>
      </c>
      <c r="O1448" t="s">
        <v>238</v>
      </c>
      <c r="P1448" t="s">
        <v>45</v>
      </c>
      <c r="Q1448" t="s">
        <v>32</v>
      </c>
    </row>
    <row r="1449" spans="1:17" x14ac:dyDescent="0.3">
      <c r="A1449" t="s">
        <v>6872</v>
      </c>
      <c r="B1449" t="s">
        <v>6873</v>
      </c>
      <c r="C1449">
        <v>67</v>
      </c>
      <c r="D1449" t="s">
        <v>6874</v>
      </c>
      <c r="E1449" t="s">
        <v>95</v>
      </c>
      <c r="F1449" t="s">
        <v>5393</v>
      </c>
      <c r="G1449" s="86">
        <v>44907</v>
      </c>
      <c r="H1449">
        <v>1</v>
      </c>
      <c r="I1449" t="s">
        <v>27</v>
      </c>
      <c r="J1449" t="s">
        <v>1960</v>
      </c>
      <c r="K1449">
        <v>602.62</v>
      </c>
      <c r="L1449">
        <v>2</v>
      </c>
      <c r="M1449">
        <v>6</v>
      </c>
      <c r="N1449" t="s">
        <v>45</v>
      </c>
      <c r="O1449" t="s">
        <v>821</v>
      </c>
      <c r="P1449" t="s">
        <v>68</v>
      </c>
      <c r="Q1449" t="s">
        <v>32</v>
      </c>
    </row>
    <row r="1450" spans="1:17" x14ac:dyDescent="0.3">
      <c r="A1450" t="s">
        <v>6876</v>
      </c>
      <c r="B1450" t="s">
        <v>6877</v>
      </c>
      <c r="C1450">
        <v>52</v>
      </c>
      <c r="D1450" t="s">
        <v>6878</v>
      </c>
      <c r="E1450" t="s">
        <v>40</v>
      </c>
      <c r="F1450" t="s">
        <v>1577</v>
      </c>
      <c r="G1450" s="86">
        <v>45782</v>
      </c>
      <c r="H1450">
        <v>5</v>
      </c>
      <c r="I1450" t="s">
        <v>27</v>
      </c>
      <c r="J1450" t="s">
        <v>2849</v>
      </c>
      <c r="K1450">
        <v>323.70999999999998</v>
      </c>
      <c r="L1450">
        <v>5</v>
      </c>
      <c r="M1450">
        <v>22</v>
      </c>
      <c r="N1450" t="s">
        <v>56</v>
      </c>
      <c r="O1450" t="s">
        <v>536</v>
      </c>
      <c r="P1450" t="s">
        <v>68</v>
      </c>
      <c r="Q1450" t="s">
        <v>69</v>
      </c>
    </row>
    <row r="1451" spans="1:17" x14ac:dyDescent="0.3">
      <c r="A1451" t="s">
        <v>6880</v>
      </c>
      <c r="B1451" t="s">
        <v>6881</v>
      </c>
      <c r="C1451">
        <v>58</v>
      </c>
      <c r="D1451" t="s">
        <v>6882</v>
      </c>
      <c r="E1451" t="s">
        <v>61</v>
      </c>
      <c r="F1451" t="s">
        <v>6086</v>
      </c>
      <c r="G1451" t="s">
        <v>3283</v>
      </c>
      <c r="H1451">
        <v>1</v>
      </c>
      <c r="I1451" t="s">
        <v>27</v>
      </c>
      <c r="J1451" t="s">
        <v>1971</v>
      </c>
      <c r="K1451">
        <v>204.33</v>
      </c>
      <c r="L1451">
        <v>9</v>
      </c>
      <c r="M1451">
        <v>44</v>
      </c>
      <c r="N1451" t="s">
        <v>68</v>
      </c>
      <c r="O1451" t="s">
        <v>175</v>
      </c>
      <c r="P1451" t="s">
        <v>56</v>
      </c>
      <c r="Q1451" t="s">
        <v>69</v>
      </c>
    </row>
    <row r="1452" spans="1:17" x14ac:dyDescent="0.3">
      <c r="A1452" t="s">
        <v>6884</v>
      </c>
      <c r="B1452" t="s">
        <v>6885</v>
      </c>
      <c r="C1452">
        <v>42</v>
      </c>
      <c r="D1452" t="s">
        <v>6886</v>
      </c>
      <c r="E1452" t="s">
        <v>51</v>
      </c>
      <c r="F1452" s="86">
        <v>45237</v>
      </c>
      <c r="G1452" s="86">
        <v>45754</v>
      </c>
      <c r="H1452">
        <v>1</v>
      </c>
      <c r="I1452" t="s">
        <v>27</v>
      </c>
      <c r="J1452" s="86">
        <v>45302</v>
      </c>
      <c r="K1452">
        <v>271.08</v>
      </c>
      <c r="L1452">
        <v>6</v>
      </c>
      <c r="M1452">
        <v>14</v>
      </c>
      <c r="N1452" t="s">
        <v>56</v>
      </c>
      <c r="O1452" t="s">
        <v>245</v>
      </c>
      <c r="P1452" t="s">
        <v>54</v>
      </c>
      <c r="Q1452" t="s">
        <v>69</v>
      </c>
    </row>
    <row r="1453" spans="1:17" x14ac:dyDescent="0.3">
      <c r="A1453" t="s">
        <v>6888</v>
      </c>
      <c r="B1453" t="s">
        <v>6889</v>
      </c>
      <c r="C1453">
        <v>52</v>
      </c>
      <c r="D1453" t="s">
        <v>6890</v>
      </c>
      <c r="E1453" t="s">
        <v>25</v>
      </c>
      <c r="F1453" t="s">
        <v>6095</v>
      </c>
      <c r="G1453" s="86">
        <v>45422</v>
      </c>
      <c r="H1453">
        <v>5</v>
      </c>
      <c r="I1453" t="s">
        <v>27</v>
      </c>
      <c r="J1453" s="86">
        <v>45574</v>
      </c>
      <c r="K1453">
        <v>153.01</v>
      </c>
      <c r="L1453">
        <v>8</v>
      </c>
      <c r="M1453">
        <v>48</v>
      </c>
      <c r="N1453" t="s">
        <v>68</v>
      </c>
      <c r="O1453" t="s">
        <v>31</v>
      </c>
      <c r="P1453" t="s">
        <v>30</v>
      </c>
      <c r="Q1453" t="s">
        <v>32</v>
      </c>
    </row>
    <row r="1454" spans="1:17" x14ac:dyDescent="0.3">
      <c r="A1454" t="s">
        <v>6892</v>
      </c>
      <c r="B1454" t="s">
        <v>6893</v>
      </c>
      <c r="C1454">
        <v>65</v>
      </c>
      <c r="D1454" t="s">
        <v>6894</v>
      </c>
      <c r="E1454" t="s">
        <v>51</v>
      </c>
      <c r="F1454" t="s">
        <v>1769</v>
      </c>
      <c r="G1454" t="s">
        <v>2000</v>
      </c>
      <c r="H1454">
        <v>1</v>
      </c>
      <c r="I1454" t="s">
        <v>52</v>
      </c>
      <c r="J1454" t="s">
        <v>274</v>
      </c>
      <c r="K1454">
        <v>230.35</v>
      </c>
      <c r="L1454">
        <v>8</v>
      </c>
      <c r="M1454">
        <v>32</v>
      </c>
      <c r="N1454" t="s">
        <v>68</v>
      </c>
      <c r="O1454" t="s">
        <v>122</v>
      </c>
      <c r="P1454" t="s">
        <v>30</v>
      </c>
      <c r="Q1454" t="s">
        <v>32</v>
      </c>
    </row>
    <row r="1455" spans="1:17" x14ac:dyDescent="0.3">
      <c r="A1455" t="s">
        <v>6896</v>
      </c>
      <c r="B1455" t="s">
        <v>6897</v>
      </c>
      <c r="C1455">
        <v>60</v>
      </c>
      <c r="D1455" t="s">
        <v>6898</v>
      </c>
      <c r="E1455" t="s">
        <v>95</v>
      </c>
      <c r="F1455" s="86">
        <v>45049</v>
      </c>
      <c r="G1455" t="s">
        <v>929</v>
      </c>
      <c r="H1455">
        <v>1</v>
      </c>
      <c r="I1455" t="s">
        <v>52</v>
      </c>
      <c r="J1455" t="s">
        <v>5045</v>
      </c>
      <c r="K1455">
        <v>67.11</v>
      </c>
      <c r="L1455">
        <v>9</v>
      </c>
      <c r="M1455">
        <v>17</v>
      </c>
      <c r="N1455" t="s">
        <v>54</v>
      </c>
      <c r="O1455" t="s">
        <v>231</v>
      </c>
      <c r="P1455" t="s">
        <v>30</v>
      </c>
      <c r="Q1455" t="s">
        <v>32</v>
      </c>
    </row>
    <row r="1456" spans="1:17" x14ac:dyDescent="0.3">
      <c r="A1456" t="s">
        <v>6900</v>
      </c>
      <c r="B1456" t="s">
        <v>6901</v>
      </c>
      <c r="C1456">
        <v>23</v>
      </c>
      <c r="D1456" t="s">
        <v>6902</v>
      </c>
      <c r="E1456" t="s">
        <v>95</v>
      </c>
      <c r="F1456" t="s">
        <v>242</v>
      </c>
      <c r="G1456" t="s">
        <v>3251</v>
      </c>
      <c r="H1456">
        <v>1</v>
      </c>
      <c r="I1456" t="s">
        <v>64</v>
      </c>
      <c r="J1456" t="s">
        <v>4703</v>
      </c>
      <c r="K1456">
        <v>17.399999999999999</v>
      </c>
      <c r="L1456">
        <v>6</v>
      </c>
      <c r="M1456">
        <v>27</v>
      </c>
      <c r="N1456" t="s">
        <v>45</v>
      </c>
      <c r="O1456" t="s">
        <v>245</v>
      </c>
      <c r="P1456" t="s">
        <v>54</v>
      </c>
      <c r="Q1456" t="s">
        <v>32</v>
      </c>
    </row>
    <row r="1457" spans="1:17" x14ac:dyDescent="0.3">
      <c r="A1457" t="s">
        <v>6904</v>
      </c>
      <c r="B1457" t="s">
        <v>6905</v>
      </c>
      <c r="C1457">
        <v>48</v>
      </c>
      <c r="D1457" t="s">
        <v>6906</v>
      </c>
      <c r="E1457" t="s">
        <v>95</v>
      </c>
      <c r="F1457" t="s">
        <v>2484</v>
      </c>
      <c r="G1457" t="s">
        <v>2088</v>
      </c>
      <c r="H1457">
        <v>1</v>
      </c>
      <c r="I1457" t="s">
        <v>27</v>
      </c>
      <c r="J1457" s="86">
        <v>45455</v>
      </c>
      <c r="K1457">
        <v>697.2</v>
      </c>
      <c r="L1457">
        <v>2</v>
      </c>
      <c r="M1457">
        <v>16</v>
      </c>
      <c r="N1457" t="s">
        <v>45</v>
      </c>
      <c r="O1457" t="s">
        <v>77</v>
      </c>
      <c r="P1457" t="s">
        <v>54</v>
      </c>
      <c r="Q1457" t="s">
        <v>69</v>
      </c>
    </row>
    <row r="1458" spans="1:17" x14ac:dyDescent="0.3">
      <c r="A1458" t="s">
        <v>6908</v>
      </c>
      <c r="B1458" t="s">
        <v>6909</v>
      </c>
      <c r="C1458">
        <v>44</v>
      </c>
      <c r="D1458" t="s">
        <v>6910</v>
      </c>
      <c r="E1458" t="s">
        <v>88</v>
      </c>
      <c r="F1458" s="86">
        <v>44503</v>
      </c>
      <c r="G1458" s="86">
        <v>44572</v>
      </c>
      <c r="H1458">
        <v>5</v>
      </c>
      <c r="I1458" t="s">
        <v>27</v>
      </c>
      <c r="J1458" t="s">
        <v>5332</v>
      </c>
      <c r="K1458">
        <v>976.01</v>
      </c>
      <c r="L1458">
        <v>2</v>
      </c>
      <c r="M1458">
        <v>45</v>
      </c>
      <c r="N1458" t="s">
        <v>56</v>
      </c>
      <c r="O1458" t="s">
        <v>624</v>
      </c>
      <c r="P1458" t="s">
        <v>30</v>
      </c>
      <c r="Q1458" t="s">
        <v>69</v>
      </c>
    </row>
    <row r="1459" spans="1:17" x14ac:dyDescent="0.3">
      <c r="A1459" t="s">
        <v>6912</v>
      </c>
      <c r="B1459" t="s">
        <v>6913</v>
      </c>
      <c r="C1459">
        <v>35</v>
      </c>
      <c r="D1459" t="s">
        <v>6914</v>
      </c>
      <c r="E1459" t="s">
        <v>95</v>
      </c>
      <c r="F1459" s="86">
        <v>45144</v>
      </c>
      <c r="G1459" t="s">
        <v>1106</v>
      </c>
      <c r="H1459">
        <v>1</v>
      </c>
      <c r="I1459" t="s">
        <v>27</v>
      </c>
      <c r="J1459" t="s">
        <v>578</v>
      </c>
      <c r="K1459">
        <v>240.13</v>
      </c>
      <c r="L1459">
        <v>7</v>
      </c>
      <c r="M1459">
        <v>15</v>
      </c>
      <c r="N1459" t="s">
        <v>68</v>
      </c>
      <c r="O1459" t="s">
        <v>211</v>
      </c>
      <c r="P1459" t="s">
        <v>68</v>
      </c>
      <c r="Q1459" t="s">
        <v>69</v>
      </c>
    </row>
    <row r="1460" spans="1:17" x14ac:dyDescent="0.3">
      <c r="A1460" t="s">
        <v>6916</v>
      </c>
      <c r="B1460" t="s">
        <v>6917</v>
      </c>
      <c r="C1460">
        <v>43</v>
      </c>
      <c r="D1460" t="s">
        <v>6918</v>
      </c>
      <c r="E1460" t="s">
        <v>40</v>
      </c>
      <c r="F1460" s="86">
        <v>44816</v>
      </c>
      <c r="G1460" s="86">
        <v>45234</v>
      </c>
      <c r="H1460">
        <v>5</v>
      </c>
      <c r="I1460" t="s">
        <v>52</v>
      </c>
      <c r="J1460" t="s">
        <v>5946</v>
      </c>
      <c r="K1460">
        <v>81.84</v>
      </c>
      <c r="L1460">
        <v>7</v>
      </c>
      <c r="M1460">
        <v>19</v>
      </c>
      <c r="N1460" t="s">
        <v>54</v>
      </c>
      <c r="O1460" t="s">
        <v>194</v>
      </c>
      <c r="P1460" t="s">
        <v>56</v>
      </c>
      <c r="Q1460" t="s">
        <v>69</v>
      </c>
    </row>
    <row r="1461" spans="1:17" x14ac:dyDescent="0.3">
      <c r="A1461" t="s">
        <v>6920</v>
      </c>
      <c r="B1461" t="s">
        <v>6921</v>
      </c>
      <c r="C1461">
        <v>66</v>
      </c>
      <c r="D1461" t="s">
        <v>6922</v>
      </c>
      <c r="E1461" t="s">
        <v>61</v>
      </c>
      <c r="F1461" s="86">
        <v>44175</v>
      </c>
      <c r="G1461" t="s">
        <v>6557</v>
      </c>
      <c r="H1461">
        <v>2</v>
      </c>
      <c r="I1461" t="s">
        <v>27</v>
      </c>
      <c r="J1461" t="s">
        <v>995</v>
      </c>
      <c r="K1461">
        <v>126.39</v>
      </c>
      <c r="L1461">
        <v>7</v>
      </c>
      <c r="M1461">
        <v>22</v>
      </c>
      <c r="N1461" t="s">
        <v>45</v>
      </c>
      <c r="O1461" t="s">
        <v>425</v>
      </c>
      <c r="P1461" t="s">
        <v>30</v>
      </c>
      <c r="Q1461" t="s">
        <v>32</v>
      </c>
    </row>
    <row r="1462" spans="1:17" x14ac:dyDescent="0.3">
      <c r="A1462" t="s">
        <v>6924</v>
      </c>
      <c r="B1462" t="s">
        <v>6925</v>
      </c>
      <c r="C1462">
        <v>42</v>
      </c>
      <c r="D1462" t="s">
        <v>6926</v>
      </c>
      <c r="E1462" t="s">
        <v>88</v>
      </c>
      <c r="F1462" t="s">
        <v>723</v>
      </c>
      <c r="G1462" s="86">
        <v>45083</v>
      </c>
      <c r="H1462">
        <v>3</v>
      </c>
      <c r="I1462" t="s">
        <v>64</v>
      </c>
      <c r="J1462" t="s">
        <v>2470</v>
      </c>
      <c r="K1462">
        <v>50.66</v>
      </c>
      <c r="L1462">
        <v>4</v>
      </c>
      <c r="M1462">
        <v>27</v>
      </c>
      <c r="N1462" t="s">
        <v>56</v>
      </c>
      <c r="O1462" t="s">
        <v>269</v>
      </c>
      <c r="P1462" t="s">
        <v>56</v>
      </c>
      <c r="Q1462" t="s">
        <v>69</v>
      </c>
    </row>
    <row r="1463" spans="1:17" x14ac:dyDescent="0.3">
      <c r="A1463" t="s">
        <v>6928</v>
      </c>
      <c r="B1463" t="s">
        <v>6929</v>
      </c>
      <c r="C1463">
        <v>20</v>
      </c>
      <c r="D1463" t="s">
        <v>6930</v>
      </c>
      <c r="E1463" t="s">
        <v>51</v>
      </c>
      <c r="F1463" t="s">
        <v>5977</v>
      </c>
      <c r="G1463" t="s">
        <v>2578</v>
      </c>
      <c r="H1463">
        <v>4</v>
      </c>
      <c r="I1463" t="s">
        <v>27</v>
      </c>
      <c r="J1463" t="s">
        <v>1690</v>
      </c>
      <c r="K1463">
        <v>1034.24</v>
      </c>
      <c r="L1463">
        <v>1</v>
      </c>
      <c r="M1463">
        <v>18</v>
      </c>
      <c r="N1463" t="s">
        <v>54</v>
      </c>
      <c r="O1463" t="s">
        <v>245</v>
      </c>
      <c r="P1463" t="s">
        <v>54</v>
      </c>
      <c r="Q1463" t="s">
        <v>32</v>
      </c>
    </row>
    <row r="1464" spans="1:17" x14ac:dyDescent="0.3">
      <c r="A1464" t="s">
        <v>6932</v>
      </c>
      <c r="B1464" t="s">
        <v>6933</v>
      </c>
      <c r="C1464">
        <v>47</v>
      </c>
      <c r="D1464" t="s">
        <v>6934</v>
      </c>
      <c r="E1464" t="s">
        <v>25</v>
      </c>
      <c r="F1464" s="86">
        <v>44324</v>
      </c>
      <c r="G1464" s="86">
        <v>45691</v>
      </c>
      <c r="H1464">
        <v>4</v>
      </c>
      <c r="I1464" t="s">
        <v>64</v>
      </c>
      <c r="J1464" t="s">
        <v>1174</v>
      </c>
      <c r="K1464">
        <v>43.76</v>
      </c>
      <c r="L1464">
        <v>9</v>
      </c>
      <c r="M1464">
        <v>24</v>
      </c>
      <c r="N1464" t="s">
        <v>54</v>
      </c>
      <c r="O1464" t="s">
        <v>604</v>
      </c>
      <c r="P1464" t="s">
        <v>45</v>
      </c>
      <c r="Q1464" t="s">
        <v>32</v>
      </c>
    </row>
    <row r="1465" spans="1:17" x14ac:dyDescent="0.3">
      <c r="A1465" t="s">
        <v>6935</v>
      </c>
      <c r="B1465" t="s">
        <v>6936</v>
      </c>
      <c r="C1465">
        <v>68</v>
      </c>
      <c r="D1465" t="s">
        <v>6937</v>
      </c>
      <c r="E1465" t="s">
        <v>40</v>
      </c>
      <c r="F1465" t="s">
        <v>485</v>
      </c>
      <c r="G1465" s="86">
        <v>45485</v>
      </c>
      <c r="H1465">
        <v>2</v>
      </c>
      <c r="I1465" t="s">
        <v>27</v>
      </c>
      <c r="J1465" t="s">
        <v>2800</v>
      </c>
      <c r="K1465">
        <v>85.89</v>
      </c>
      <c r="L1465">
        <v>9</v>
      </c>
      <c r="M1465">
        <v>27</v>
      </c>
      <c r="N1465" t="s">
        <v>54</v>
      </c>
      <c r="O1465" t="s">
        <v>211</v>
      </c>
      <c r="P1465" t="s">
        <v>68</v>
      </c>
      <c r="Q1465" t="s">
        <v>32</v>
      </c>
    </row>
    <row r="1466" spans="1:17" x14ac:dyDescent="0.3">
      <c r="A1466" t="s">
        <v>6939</v>
      </c>
      <c r="B1466" t="s">
        <v>6940</v>
      </c>
      <c r="C1466">
        <v>46</v>
      </c>
      <c r="D1466" t="s">
        <v>6941</v>
      </c>
      <c r="E1466" t="s">
        <v>51</v>
      </c>
      <c r="F1466" t="s">
        <v>3595</v>
      </c>
      <c r="G1466" s="86">
        <v>45630</v>
      </c>
      <c r="H1466">
        <v>0</v>
      </c>
      <c r="I1466" t="s">
        <v>64</v>
      </c>
      <c r="J1466" s="86">
        <v>44963</v>
      </c>
      <c r="K1466">
        <v>271.63</v>
      </c>
      <c r="L1466">
        <v>5</v>
      </c>
      <c r="M1466">
        <v>21</v>
      </c>
      <c r="N1466" t="s">
        <v>56</v>
      </c>
      <c r="O1466" t="s">
        <v>211</v>
      </c>
      <c r="P1466" t="s">
        <v>68</v>
      </c>
      <c r="Q1466" t="s">
        <v>69</v>
      </c>
    </row>
    <row r="1467" spans="1:17" x14ac:dyDescent="0.3">
      <c r="A1467" t="s">
        <v>6943</v>
      </c>
      <c r="B1467" t="s">
        <v>6944</v>
      </c>
      <c r="C1467">
        <v>43</v>
      </c>
      <c r="D1467" t="s">
        <v>6945</v>
      </c>
      <c r="E1467" t="s">
        <v>51</v>
      </c>
      <c r="F1467" t="s">
        <v>4693</v>
      </c>
      <c r="G1467" t="s">
        <v>872</v>
      </c>
      <c r="H1467">
        <v>5</v>
      </c>
      <c r="I1467" t="s">
        <v>27</v>
      </c>
      <c r="J1467" t="s">
        <v>2885</v>
      </c>
      <c r="K1467">
        <v>8.14</v>
      </c>
      <c r="L1467">
        <v>5</v>
      </c>
      <c r="M1467">
        <v>30</v>
      </c>
      <c r="N1467" t="s">
        <v>30</v>
      </c>
      <c r="O1467" t="s">
        <v>109</v>
      </c>
      <c r="P1467" t="s">
        <v>68</v>
      </c>
      <c r="Q1467" t="s">
        <v>69</v>
      </c>
    </row>
    <row r="1468" spans="1:17" x14ac:dyDescent="0.3">
      <c r="A1468" t="s">
        <v>6947</v>
      </c>
      <c r="B1468" t="s">
        <v>6948</v>
      </c>
      <c r="C1468">
        <v>33</v>
      </c>
      <c r="D1468" t="s">
        <v>6949</v>
      </c>
      <c r="E1468" t="s">
        <v>61</v>
      </c>
      <c r="F1468" s="86">
        <v>44177</v>
      </c>
      <c r="G1468" s="86">
        <v>44237</v>
      </c>
      <c r="H1468">
        <v>1</v>
      </c>
      <c r="I1468" t="s">
        <v>27</v>
      </c>
      <c r="J1468" s="86">
        <v>44294</v>
      </c>
      <c r="K1468">
        <v>594.86</v>
      </c>
      <c r="L1468">
        <v>2</v>
      </c>
      <c r="M1468">
        <v>9</v>
      </c>
      <c r="N1468" t="s">
        <v>30</v>
      </c>
      <c r="O1468" t="s">
        <v>55</v>
      </c>
      <c r="P1468" t="s">
        <v>56</v>
      </c>
      <c r="Q1468" t="s">
        <v>32</v>
      </c>
    </row>
    <row r="1469" spans="1:17" x14ac:dyDescent="0.3">
      <c r="A1469" t="s">
        <v>6951</v>
      </c>
      <c r="B1469" t="s">
        <v>6952</v>
      </c>
      <c r="C1469">
        <v>36</v>
      </c>
      <c r="D1469" t="s">
        <v>6953</v>
      </c>
      <c r="E1469" t="s">
        <v>25</v>
      </c>
      <c r="F1469" t="s">
        <v>3470</v>
      </c>
      <c r="G1469" t="s">
        <v>1884</v>
      </c>
      <c r="H1469">
        <v>2</v>
      </c>
      <c r="I1469" t="s">
        <v>64</v>
      </c>
      <c r="J1469" t="s">
        <v>5087</v>
      </c>
      <c r="K1469">
        <v>170.65</v>
      </c>
      <c r="L1469">
        <v>4</v>
      </c>
      <c r="M1469">
        <v>36</v>
      </c>
      <c r="N1469" t="s">
        <v>68</v>
      </c>
      <c r="O1469" t="s">
        <v>418</v>
      </c>
      <c r="P1469" t="s">
        <v>56</v>
      </c>
      <c r="Q1469" t="s">
        <v>69</v>
      </c>
    </row>
    <row r="1470" spans="1:17" x14ac:dyDescent="0.3">
      <c r="A1470" t="s">
        <v>6955</v>
      </c>
      <c r="B1470" t="s">
        <v>6956</v>
      </c>
      <c r="C1470">
        <v>23</v>
      </c>
      <c r="D1470" t="s">
        <v>6957</v>
      </c>
      <c r="E1470" t="s">
        <v>51</v>
      </c>
      <c r="F1470" t="s">
        <v>6958</v>
      </c>
      <c r="G1470" t="s">
        <v>6959</v>
      </c>
      <c r="H1470">
        <v>2</v>
      </c>
      <c r="I1470" t="s">
        <v>27</v>
      </c>
      <c r="J1470" t="s">
        <v>1755</v>
      </c>
      <c r="K1470">
        <v>358.17</v>
      </c>
      <c r="L1470">
        <v>5</v>
      </c>
      <c r="M1470">
        <v>8</v>
      </c>
      <c r="N1470" t="s">
        <v>30</v>
      </c>
      <c r="O1470" t="s">
        <v>116</v>
      </c>
      <c r="P1470" t="s">
        <v>54</v>
      </c>
      <c r="Q1470" t="s">
        <v>32</v>
      </c>
    </row>
    <row r="1471" spans="1:17" x14ac:dyDescent="0.3">
      <c r="A1471" t="s">
        <v>6961</v>
      </c>
      <c r="B1471" t="s">
        <v>6962</v>
      </c>
      <c r="C1471">
        <v>36</v>
      </c>
      <c r="D1471" t="s">
        <v>6963</v>
      </c>
      <c r="E1471" t="s">
        <v>95</v>
      </c>
      <c r="F1471" t="s">
        <v>6964</v>
      </c>
      <c r="G1471" t="s">
        <v>614</v>
      </c>
      <c r="H1471">
        <v>4</v>
      </c>
      <c r="I1471" t="s">
        <v>27</v>
      </c>
      <c r="J1471" s="86">
        <v>45505</v>
      </c>
      <c r="K1471">
        <v>623.62</v>
      </c>
      <c r="L1471">
        <v>1</v>
      </c>
      <c r="M1471">
        <v>4</v>
      </c>
      <c r="N1471" t="s">
        <v>54</v>
      </c>
      <c r="O1471" t="s">
        <v>821</v>
      </c>
      <c r="P1471" t="s">
        <v>68</v>
      </c>
      <c r="Q1471" t="s">
        <v>32</v>
      </c>
    </row>
    <row r="1472" spans="1:17" x14ac:dyDescent="0.3">
      <c r="A1472" t="s">
        <v>6966</v>
      </c>
      <c r="B1472" t="s">
        <v>6967</v>
      </c>
      <c r="C1472">
        <v>52</v>
      </c>
      <c r="D1472" t="s">
        <v>6968</v>
      </c>
      <c r="E1472" t="s">
        <v>88</v>
      </c>
      <c r="F1472" s="86">
        <v>45111</v>
      </c>
      <c r="G1472" t="s">
        <v>4063</v>
      </c>
      <c r="H1472">
        <v>0</v>
      </c>
      <c r="I1472" t="s">
        <v>27</v>
      </c>
      <c r="J1472" t="s">
        <v>371</v>
      </c>
      <c r="K1472">
        <v>666.92</v>
      </c>
      <c r="L1472">
        <v>1</v>
      </c>
      <c r="M1472">
        <v>34</v>
      </c>
      <c r="N1472" t="s">
        <v>45</v>
      </c>
      <c r="O1472" t="s">
        <v>238</v>
      </c>
      <c r="P1472" t="s">
        <v>45</v>
      </c>
      <c r="Q1472" t="s">
        <v>69</v>
      </c>
    </row>
    <row r="1473" spans="1:17" x14ac:dyDescent="0.3">
      <c r="A1473" t="s">
        <v>6970</v>
      </c>
      <c r="B1473" t="s">
        <v>6971</v>
      </c>
      <c r="C1473">
        <v>54</v>
      </c>
      <c r="D1473" t="s">
        <v>6972</v>
      </c>
      <c r="E1473" t="s">
        <v>61</v>
      </c>
      <c r="F1473" t="s">
        <v>6529</v>
      </c>
      <c r="G1473" s="86">
        <v>45755</v>
      </c>
      <c r="H1473">
        <v>2</v>
      </c>
      <c r="I1473" t="s">
        <v>27</v>
      </c>
      <c r="J1473" s="86">
        <v>45843</v>
      </c>
      <c r="K1473">
        <v>240.82</v>
      </c>
      <c r="L1473">
        <v>1</v>
      </c>
      <c r="M1473">
        <v>17</v>
      </c>
      <c r="N1473" t="s">
        <v>68</v>
      </c>
      <c r="O1473" t="s">
        <v>597</v>
      </c>
      <c r="P1473" t="s">
        <v>45</v>
      </c>
      <c r="Q1473" t="s">
        <v>32</v>
      </c>
    </row>
    <row r="1474" spans="1:17" x14ac:dyDescent="0.3">
      <c r="A1474" t="s">
        <v>6974</v>
      </c>
      <c r="B1474" t="s">
        <v>6975</v>
      </c>
      <c r="C1474">
        <v>21</v>
      </c>
      <c r="D1474" t="s">
        <v>6976</v>
      </c>
      <c r="E1474" t="s">
        <v>61</v>
      </c>
      <c r="F1474" t="s">
        <v>2167</v>
      </c>
      <c r="G1474" t="s">
        <v>6338</v>
      </c>
      <c r="H1474">
        <v>5</v>
      </c>
      <c r="I1474" t="s">
        <v>52</v>
      </c>
      <c r="J1474" t="s">
        <v>267</v>
      </c>
      <c r="K1474">
        <v>72.58</v>
      </c>
      <c r="L1474">
        <v>7</v>
      </c>
      <c r="M1474">
        <v>31</v>
      </c>
      <c r="N1474" t="s">
        <v>56</v>
      </c>
      <c r="O1474" t="s">
        <v>157</v>
      </c>
      <c r="P1474" t="s">
        <v>68</v>
      </c>
      <c r="Q1474" t="s">
        <v>69</v>
      </c>
    </row>
    <row r="1475" spans="1:17" x14ac:dyDescent="0.3">
      <c r="A1475" t="s">
        <v>6978</v>
      </c>
      <c r="B1475" t="s">
        <v>6979</v>
      </c>
      <c r="C1475">
        <v>67</v>
      </c>
      <c r="D1475" t="s">
        <v>6980</v>
      </c>
      <c r="E1475" t="s">
        <v>40</v>
      </c>
      <c r="F1475" s="86">
        <v>44481</v>
      </c>
      <c r="G1475" t="s">
        <v>3553</v>
      </c>
      <c r="H1475">
        <v>1</v>
      </c>
      <c r="I1475" t="s">
        <v>52</v>
      </c>
      <c r="J1475" t="s">
        <v>4981</v>
      </c>
      <c r="K1475">
        <v>86.11</v>
      </c>
      <c r="L1475">
        <v>5</v>
      </c>
      <c r="M1475">
        <v>23</v>
      </c>
      <c r="N1475" t="s">
        <v>45</v>
      </c>
      <c r="O1475" t="s">
        <v>109</v>
      </c>
      <c r="P1475" t="s">
        <v>68</v>
      </c>
      <c r="Q1475" t="s">
        <v>322</v>
      </c>
    </row>
    <row r="1476" spans="1:17" x14ac:dyDescent="0.3">
      <c r="A1476" t="s">
        <v>6982</v>
      </c>
      <c r="B1476" t="s">
        <v>6983</v>
      </c>
      <c r="C1476">
        <v>64</v>
      </c>
      <c r="D1476" t="s">
        <v>6984</v>
      </c>
      <c r="E1476" t="s">
        <v>88</v>
      </c>
      <c r="F1476" t="s">
        <v>1386</v>
      </c>
      <c r="G1476" s="86">
        <v>44752</v>
      </c>
      <c r="H1476">
        <v>2</v>
      </c>
      <c r="I1476" t="s">
        <v>27</v>
      </c>
      <c r="J1476" s="86">
        <v>45484</v>
      </c>
      <c r="K1476">
        <v>28.47</v>
      </c>
      <c r="L1476">
        <v>4</v>
      </c>
      <c r="M1476">
        <v>9</v>
      </c>
      <c r="N1476" t="s">
        <v>56</v>
      </c>
      <c r="O1476" t="s">
        <v>142</v>
      </c>
      <c r="P1476" t="s">
        <v>68</v>
      </c>
      <c r="Q1476" t="s">
        <v>69</v>
      </c>
    </row>
    <row r="1477" spans="1:17" x14ac:dyDescent="0.3">
      <c r="A1477" t="s">
        <v>6986</v>
      </c>
      <c r="B1477" t="s">
        <v>6987</v>
      </c>
      <c r="C1477">
        <v>50</v>
      </c>
      <c r="D1477" t="s">
        <v>6988</v>
      </c>
      <c r="E1477" t="s">
        <v>95</v>
      </c>
      <c r="F1477" t="s">
        <v>6989</v>
      </c>
      <c r="G1477" t="s">
        <v>2347</v>
      </c>
      <c r="H1477">
        <v>2</v>
      </c>
      <c r="I1477" t="s">
        <v>27</v>
      </c>
      <c r="J1477" s="86">
        <v>45447</v>
      </c>
      <c r="K1477">
        <v>501.52</v>
      </c>
      <c r="L1477">
        <v>2</v>
      </c>
      <c r="M1477">
        <v>24</v>
      </c>
      <c r="N1477" t="s">
        <v>30</v>
      </c>
      <c r="O1477" t="s">
        <v>31</v>
      </c>
      <c r="P1477" t="s">
        <v>30</v>
      </c>
      <c r="Q1477" t="s">
        <v>32</v>
      </c>
    </row>
    <row r="1478" spans="1:17" x14ac:dyDescent="0.3">
      <c r="A1478" t="s">
        <v>6991</v>
      </c>
      <c r="B1478" t="s">
        <v>6992</v>
      </c>
      <c r="C1478">
        <v>42</v>
      </c>
      <c r="D1478" t="s">
        <v>6993</v>
      </c>
      <c r="E1478" t="s">
        <v>25</v>
      </c>
      <c r="F1478" s="86">
        <v>44146</v>
      </c>
      <c r="G1478" s="86">
        <v>45478</v>
      </c>
      <c r="H1478">
        <v>2</v>
      </c>
      <c r="I1478" t="s">
        <v>27</v>
      </c>
      <c r="J1478" t="s">
        <v>2758</v>
      </c>
      <c r="K1478">
        <v>916.46</v>
      </c>
      <c r="L1478">
        <v>2</v>
      </c>
      <c r="M1478">
        <v>8</v>
      </c>
      <c r="N1478" t="s">
        <v>56</v>
      </c>
      <c r="O1478" t="s">
        <v>245</v>
      </c>
      <c r="P1478" t="s">
        <v>54</v>
      </c>
      <c r="Q1478" t="s">
        <v>69</v>
      </c>
    </row>
    <row r="1479" spans="1:17" x14ac:dyDescent="0.3">
      <c r="A1479" t="s">
        <v>6995</v>
      </c>
      <c r="B1479" t="s">
        <v>6996</v>
      </c>
      <c r="C1479">
        <v>36</v>
      </c>
      <c r="D1479" t="s">
        <v>6997</v>
      </c>
      <c r="E1479" t="s">
        <v>95</v>
      </c>
      <c r="F1479" t="s">
        <v>1994</v>
      </c>
      <c r="G1479" s="86">
        <v>45267</v>
      </c>
      <c r="H1479">
        <v>1</v>
      </c>
      <c r="I1479" t="s">
        <v>64</v>
      </c>
      <c r="J1479" t="s">
        <v>1425</v>
      </c>
      <c r="K1479">
        <v>339.31</v>
      </c>
      <c r="L1479">
        <v>5</v>
      </c>
      <c r="M1479">
        <v>43</v>
      </c>
      <c r="N1479" t="s">
        <v>45</v>
      </c>
      <c r="O1479" t="s">
        <v>837</v>
      </c>
      <c r="P1479" t="s">
        <v>56</v>
      </c>
      <c r="Q1479" t="s">
        <v>69</v>
      </c>
    </row>
    <row r="1480" spans="1:17" x14ac:dyDescent="0.3">
      <c r="A1480" t="s">
        <v>6999</v>
      </c>
      <c r="B1480" t="s">
        <v>7000</v>
      </c>
      <c r="C1480">
        <v>52</v>
      </c>
      <c r="D1480" t="s">
        <v>7001</v>
      </c>
      <c r="E1480" t="s">
        <v>88</v>
      </c>
      <c r="F1480" t="s">
        <v>4113</v>
      </c>
      <c r="G1480" s="86">
        <v>45479</v>
      </c>
      <c r="H1480">
        <v>2</v>
      </c>
      <c r="I1480" t="s">
        <v>27</v>
      </c>
      <c r="J1480" s="86">
        <v>45689</v>
      </c>
      <c r="K1480">
        <v>589.66</v>
      </c>
      <c r="L1480">
        <v>1</v>
      </c>
      <c r="M1480">
        <v>25</v>
      </c>
      <c r="N1480" t="s">
        <v>56</v>
      </c>
      <c r="O1480" t="s">
        <v>855</v>
      </c>
      <c r="P1480" t="s">
        <v>45</v>
      </c>
      <c r="Q1480" t="s">
        <v>69</v>
      </c>
    </row>
    <row r="1481" spans="1:17" x14ac:dyDescent="0.3">
      <c r="A1481" t="s">
        <v>7003</v>
      </c>
      <c r="B1481" t="s">
        <v>7004</v>
      </c>
      <c r="C1481">
        <v>46</v>
      </c>
      <c r="D1481" t="s">
        <v>7005</v>
      </c>
      <c r="E1481" t="s">
        <v>40</v>
      </c>
      <c r="F1481" t="s">
        <v>2614</v>
      </c>
      <c r="G1481" t="s">
        <v>1333</v>
      </c>
      <c r="H1481">
        <v>0</v>
      </c>
      <c r="I1481" t="s">
        <v>27</v>
      </c>
      <c r="J1481" t="s">
        <v>772</v>
      </c>
      <c r="K1481">
        <v>214.73</v>
      </c>
      <c r="L1481">
        <v>7</v>
      </c>
      <c r="M1481">
        <v>47</v>
      </c>
      <c r="N1481" t="s">
        <v>30</v>
      </c>
      <c r="O1481" t="s">
        <v>610</v>
      </c>
      <c r="P1481" t="s">
        <v>68</v>
      </c>
      <c r="Q1481" t="s">
        <v>32</v>
      </c>
    </row>
    <row r="1482" spans="1:17" x14ac:dyDescent="0.3">
      <c r="A1482" t="s">
        <v>7006</v>
      </c>
      <c r="B1482" t="s">
        <v>7007</v>
      </c>
      <c r="C1482">
        <v>64</v>
      </c>
      <c r="D1482" t="s">
        <v>7008</v>
      </c>
      <c r="E1482" t="s">
        <v>61</v>
      </c>
      <c r="F1482" t="s">
        <v>751</v>
      </c>
      <c r="G1482" t="s">
        <v>1174</v>
      </c>
      <c r="H1482">
        <v>3</v>
      </c>
      <c r="I1482" t="s">
        <v>52</v>
      </c>
      <c r="J1482" t="s">
        <v>220</v>
      </c>
      <c r="K1482">
        <v>913.56</v>
      </c>
      <c r="L1482">
        <v>1</v>
      </c>
      <c r="M1482">
        <v>46</v>
      </c>
      <c r="N1482" t="s">
        <v>68</v>
      </c>
      <c r="O1482" t="s">
        <v>149</v>
      </c>
      <c r="P1482" t="s">
        <v>30</v>
      </c>
      <c r="Q1482" t="s">
        <v>32</v>
      </c>
    </row>
    <row r="1483" spans="1:17" x14ac:dyDescent="0.3">
      <c r="A1483" t="s">
        <v>7010</v>
      </c>
      <c r="B1483" t="s">
        <v>7011</v>
      </c>
      <c r="C1483">
        <v>41</v>
      </c>
      <c r="D1483" t="s">
        <v>7012</v>
      </c>
      <c r="E1483" t="s">
        <v>61</v>
      </c>
      <c r="F1483" s="86">
        <v>44387</v>
      </c>
      <c r="G1483" t="s">
        <v>96</v>
      </c>
      <c r="H1483">
        <v>0</v>
      </c>
      <c r="I1483" t="s">
        <v>27</v>
      </c>
      <c r="J1483" t="s">
        <v>6292</v>
      </c>
      <c r="K1483">
        <v>515.65</v>
      </c>
      <c r="L1483">
        <v>2</v>
      </c>
      <c r="M1483">
        <v>44</v>
      </c>
      <c r="N1483" t="s">
        <v>30</v>
      </c>
      <c r="O1483" t="s">
        <v>536</v>
      </c>
      <c r="P1483" t="s">
        <v>68</v>
      </c>
      <c r="Q1483" t="s">
        <v>69</v>
      </c>
    </row>
    <row r="1484" spans="1:17" x14ac:dyDescent="0.3">
      <c r="A1484" t="s">
        <v>7014</v>
      </c>
      <c r="B1484" t="s">
        <v>7015</v>
      </c>
      <c r="C1484">
        <v>46</v>
      </c>
      <c r="D1484" t="s">
        <v>7016</v>
      </c>
      <c r="E1484" t="s">
        <v>51</v>
      </c>
      <c r="F1484" s="86">
        <v>45175</v>
      </c>
      <c r="G1484" t="s">
        <v>7017</v>
      </c>
      <c r="H1484">
        <v>3</v>
      </c>
      <c r="I1484" t="s">
        <v>64</v>
      </c>
      <c r="J1484" t="s">
        <v>924</v>
      </c>
      <c r="K1484">
        <v>67.77</v>
      </c>
      <c r="L1484">
        <v>3</v>
      </c>
      <c r="M1484">
        <v>8</v>
      </c>
      <c r="N1484" t="s">
        <v>56</v>
      </c>
      <c r="O1484" t="s">
        <v>31</v>
      </c>
      <c r="P1484" t="s">
        <v>30</v>
      </c>
      <c r="Q1484" t="s">
        <v>32</v>
      </c>
    </row>
    <row r="1485" spans="1:17" x14ac:dyDescent="0.3">
      <c r="A1485" t="s">
        <v>7019</v>
      </c>
      <c r="B1485" t="s">
        <v>7020</v>
      </c>
      <c r="C1485">
        <v>37</v>
      </c>
      <c r="D1485" t="s">
        <v>7021</v>
      </c>
      <c r="E1485" t="s">
        <v>95</v>
      </c>
      <c r="F1485" t="s">
        <v>814</v>
      </c>
      <c r="G1485" t="s">
        <v>89</v>
      </c>
      <c r="H1485">
        <v>3</v>
      </c>
      <c r="I1485" t="s">
        <v>52</v>
      </c>
      <c r="J1485" s="86">
        <v>45111</v>
      </c>
      <c r="K1485">
        <v>485.61</v>
      </c>
      <c r="L1485">
        <v>4</v>
      </c>
      <c r="M1485">
        <v>11</v>
      </c>
      <c r="N1485" t="s">
        <v>30</v>
      </c>
      <c r="O1485" t="s">
        <v>211</v>
      </c>
      <c r="P1485" t="s">
        <v>68</v>
      </c>
      <c r="Q1485" t="s">
        <v>32</v>
      </c>
    </row>
    <row r="1486" spans="1:17" x14ac:dyDescent="0.3">
      <c r="A1486" t="s">
        <v>7023</v>
      </c>
      <c r="B1486" t="s">
        <v>7024</v>
      </c>
      <c r="C1486">
        <v>33</v>
      </c>
      <c r="D1486" t="s">
        <v>7025</v>
      </c>
      <c r="E1486" t="s">
        <v>95</v>
      </c>
      <c r="F1486" s="86">
        <v>45079</v>
      </c>
      <c r="G1486" t="s">
        <v>7026</v>
      </c>
      <c r="H1486">
        <v>0</v>
      </c>
      <c r="I1486" t="s">
        <v>52</v>
      </c>
      <c r="J1486" t="s">
        <v>2781</v>
      </c>
      <c r="K1486">
        <v>176.45</v>
      </c>
      <c r="L1486">
        <v>2</v>
      </c>
      <c r="M1486">
        <v>19</v>
      </c>
      <c r="N1486" t="s">
        <v>56</v>
      </c>
      <c r="O1486" t="s">
        <v>142</v>
      </c>
      <c r="P1486" t="s">
        <v>68</v>
      </c>
      <c r="Q1486" t="s">
        <v>32</v>
      </c>
    </row>
    <row r="1487" spans="1:17" x14ac:dyDescent="0.3">
      <c r="A1487" t="s">
        <v>7028</v>
      </c>
      <c r="B1487" t="s">
        <v>7029</v>
      </c>
      <c r="C1487">
        <v>56</v>
      </c>
      <c r="D1487" t="s">
        <v>7030</v>
      </c>
      <c r="E1487" t="s">
        <v>88</v>
      </c>
      <c r="F1487" s="86">
        <v>44267</v>
      </c>
      <c r="G1487" s="86">
        <v>45023</v>
      </c>
      <c r="H1487">
        <v>0</v>
      </c>
      <c r="I1487" t="s">
        <v>27</v>
      </c>
      <c r="J1487" t="s">
        <v>3233</v>
      </c>
      <c r="K1487">
        <v>8.27</v>
      </c>
      <c r="L1487">
        <v>6</v>
      </c>
      <c r="M1487">
        <v>39</v>
      </c>
      <c r="N1487" t="s">
        <v>56</v>
      </c>
      <c r="O1487" t="s">
        <v>293</v>
      </c>
      <c r="P1487" t="s">
        <v>45</v>
      </c>
      <c r="Q1487" t="s">
        <v>69</v>
      </c>
    </row>
    <row r="1488" spans="1:17" x14ac:dyDescent="0.3">
      <c r="A1488" t="s">
        <v>7032</v>
      </c>
      <c r="B1488" t="s">
        <v>7033</v>
      </c>
      <c r="C1488">
        <v>59</v>
      </c>
      <c r="D1488" t="s">
        <v>7034</v>
      </c>
      <c r="E1488" t="s">
        <v>25</v>
      </c>
      <c r="F1488" s="86">
        <v>45047</v>
      </c>
      <c r="G1488" s="86">
        <v>45932</v>
      </c>
      <c r="H1488">
        <v>4</v>
      </c>
      <c r="I1488" t="s">
        <v>27</v>
      </c>
      <c r="J1488" t="s">
        <v>2231</v>
      </c>
      <c r="K1488">
        <v>407.74</v>
      </c>
      <c r="L1488">
        <v>4</v>
      </c>
      <c r="M1488">
        <v>49</v>
      </c>
      <c r="N1488" t="s">
        <v>56</v>
      </c>
      <c r="O1488" t="s">
        <v>67</v>
      </c>
      <c r="P1488" t="s">
        <v>68</v>
      </c>
      <c r="Q1488" t="s">
        <v>32</v>
      </c>
    </row>
    <row r="1489" spans="1:17" x14ac:dyDescent="0.3">
      <c r="A1489" t="s">
        <v>7036</v>
      </c>
      <c r="B1489" t="s">
        <v>7037</v>
      </c>
      <c r="C1489">
        <v>56</v>
      </c>
      <c r="D1489" t="s">
        <v>7038</v>
      </c>
      <c r="E1489" t="s">
        <v>25</v>
      </c>
      <c r="F1489" s="86">
        <v>44052</v>
      </c>
      <c r="G1489" t="s">
        <v>2649</v>
      </c>
      <c r="H1489">
        <v>3</v>
      </c>
      <c r="I1489" t="s">
        <v>27</v>
      </c>
      <c r="J1489" t="s">
        <v>2173</v>
      </c>
      <c r="K1489">
        <v>348.65</v>
      </c>
      <c r="L1489">
        <v>5</v>
      </c>
      <c r="M1489">
        <v>24</v>
      </c>
      <c r="N1489" t="s">
        <v>54</v>
      </c>
      <c r="O1489" t="s">
        <v>536</v>
      </c>
      <c r="P1489" t="s">
        <v>68</v>
      </c>
      <c r="Q1489" t="s">
        <v>69</v>
      </c>
    </row>
    <row r="1490" spans="1:17" x14ac:dyDescent="0.3">
      <c r="A1490" t="s">
        <v>7040</v>
      </c>
      <c r="B1490" t="s">
        <v>7041</v>
      </c>
      <c r="C1490">
        <v>63</v>
      </c>
      <c r="D1490" t="s">
        <v>7042</v>
      </c>
      <c r="E1490" t="s">
        <v>61</v>
      </c>
      <c r="F1490" t="s">
        <v>3143</v>
      </c>
      <c r="G1490" t="s">
        <v>1513</v>
      </c>
      <c r="H1490">
        <v>5</v>
      </c>
      <c r="I1490" t="s">
        <v>52</v>
      </c>
      <c r="J1490" s="86">
        <v>45904</v>
      </c>
      <c r="K1490">
        <v>123.75</v>
      </c>
      <c r="L1490">
        <v>7</v>
      </c>
      <c r="M1490">
        <v>11</v>
      </c>
      <c r="N1490" t="s">
        <v>56</v>
      </c>
      <c r="O1490" t="s">
        <v>536</v>
      </c>
      <c r="P1490" t="s">
        <v>68</v>
      </c>
      <c r="Q1490" t="s">
        <v>32</v>
      </c>
    </row>
    <row r="1491" spans="1:17" x14ac:dyDescent="0.3">
      <c r="A1491" t="s">
        <v>7044</v>
      </c>
      <c r="B1491" t="s">
        <v>7045</v>
      </c>
      <c r="C1491">
        <v>29</v>
      </c>
      <c r="D1491" t="s">
        <v>7046</v>
      </c>
      <c r="E1491" t="s">
        <v>40</v>
      </c>
      <c r="F1491" s="86">
        <v>44388</v>
      </c>
      <c r="G1491" s="86">
        <v>44596</v>
      </c>
      <c r="H1491">
        <v>5</v>
      </c>
      <c r="I1491" t="s">
        <v>27</v>
      </c>
      <c r="J1491" t="s">
        <v>1617</v>
      </c>
      <c r="K1491">
        <v>187.84</v>
      </c>
      <c r="L1491">
        <v>4</v>
      </c>
      <c r="M1491">
        <v>45</v>
      </c>
      <c r="N1491" t="s">
        <v>45</v>
      </c>
      <c r="O1491" t="s">
        <v>149</v>
      </c>
      <c r="P1491" t="s">
        <v>30</v>
      </c>
      <c r="Q1491" t="s">
        <v>32</v>
      </c>
    </row>
    <row r="1492" spans="1:17" x14ac:dyDescent="0.3">
      <c r="A1492" t="s">
        <v>7048</v>
      </c>
      <c r="B1492" t="s">
        <v>7049</v>
      </c>
      <c r="C1492">
        <v>47</v>
      </c>
      <c r="D1492" t="s">
        <v>7050</v>
      </c>
      <c r="E1492" t="s">
        <v>40</v>
      </c>
      <c r="F1492" s="86">
        <v>44412</v>
      </c>
      <c r="G1492" t="s">
        <v>4033</v>
      </c>
      <c r="H1492">
        <v>2</v>
      </c>
      <c r="I1492" t="s">
        <v>52</v>
      </c>
      <c r="J1492" t="s">
        <v>319</v>
      </c>
      <c r="K1492">
        <v>204.11</v>
      </c>
      <c r="L1492">
        <v>4</v>
      </c>
      <c r="M1492">
        <v>34</v>
      </c>
      <c r="N1492" t="s">
        <v>56</v>
      </c>
      <c r="O1492" t="s">
        <v>99</v>
      </c>
      <c r="P1492" t="s">
        <v>56</v>
      </c>
      <c r="Q1492" t="s">
        <v>69</v>
      </c>
    </row>
    <row r="1493" spans="1:17" x14ac:dyDescent="0.3">
      <c r="A1493" t="s">
        <v>7052</v>
      </c>
      <c r="B1493" t="s">
        <v>7053</v>
      </c>
      <c r="C1493">
        <v>55</v>
      </c>
      <c r="D1493" t="s">
        <v>7054</v>
      </c>
      <c r="E1493" t="s">
        <v>40</v>
      </c>
      <c r="F1493" t="s">
        <v>3398</v>
      </c>
      <c r="G1493" t="s">
        <v>1112</v>
      </c>
      <c r="H1493">
        <v>2</v>
      </c>
      <c r="I1493" t="s">
        <v>52</v>
      </c>
      <c r="J1493" s="86">
        <v>44840</v>
      </c>
      <c r="K1493">
        <v>130.04</v>
      </c>
      <c r="L1493">
        <v>8</v>
      </c>
      <c r="M1493">
        <v>40</v>
      </c>
      <c r="N1493" t="s">
        <v>45</v>
      </c>
      <c r="O1493" t="s">
        <v>293</v>
      </c>
      <c r="P1493" t="s">
        <v>45</v>
      </c>
      <c r="Q1493" t="s">
        <v>69</v>
      </c>
    </row>
    <row r="1494" spans="1:17" x14ac:dyDescent="0.3">
      <c r="A1494" t="s">
        <v>7056</v>
      </c>
      <c r="B1494" t="s">
        <v>7057</v>
      </c>
      <c r="C1494">
        <v>68</v>
      </c>
      <c r="D1494" t="s">
        <v>7058</v>
      </c>
      <c r="E1494" t="s">
        <v>61</v>
      </c>
      <c r="F1494" t="s">
        <v>745</v>
      </c>
      <c r="G1494" s="86">
        <v>45050</v>
      </c>
      <c r="H1494">
        <v>3</v>
      </c>
      <c r="I1494" t="s">
        <v>27</v>
      </c>
      <c r="J1494" t="s">
        <v>4888</v>
      </c>
      <c r="K1494">
        <v>328.35</v>
      </c>
      <c r="L1494">
        <v>4</v>
      </c>
      <c r="M1494">
        <v>40</v>
      </c>
      <c r="N1494" t="s">
        <v>54</v>
      </c>
      <c r="O1494" t="s">
        <v>157</v>
      </c>
      <c r="P1494" t="s">
        <v>68</v>
      </c>
      <c r="Q1494" t="s">
        <v>69</v>
      </c>
    </row>
    <row r="1495" spans="1:17" x14ac:dyDescent="0.3">
      <c r="A1495" t="s">
        <v>7060</v>
      </c>
      <c r="B1495" t="s">
        <v>7061</v>
      </c>
      <c r="C1495">
        <v>39</v>
      </c>
      <c r="D1495" t="s">
        <v>7062</v>
      </c>
      <c r="E1495" t="s">
        <v>25</v>
      </c>
      <c r="F1495" s="86">
        <v>45019</v>
      </c>
      <c r="G1495" s="86">
        <v>45574</v>
      </c>
      <c r="H1495">
        <v>4</v>
      </c>
      <c r="I1495" t="s">
        <v>64</v>
      </c>
      <c r="J1495" s="86">
        <v>45783</v>
      </c>
      <c r="K1495">
        <v>181.01</v>
      </c>
      <c r="L1495">
        <v>6</v>
      </c>
      <c r="M1495">
        <v>46</v>
      </c>
      <c r="N1495" t="s">
        <v>54</v>
      </c>
      <c r="O1495" t="s">
        <v>624</v>
      </c>
      <c r="P1495" t="s">
        <v>30</v>
      </c>
      <c r="Q1495" t="s">
        <v>69</v>
      </c>
    </row>
    <row r="1496" spans="1:17" x14ac:dyDescent="0.3">
      <c r="A1496" t="s">
        <v>7064</v>
      </c>
      <c r="B1496" t="s">
        <v>7065</v>
      </c>
      <c r="C1496">
        <v>43</v>
      </c>
      <c r="D1496" t="s">
        <v>7066</v>
      </c>
      <c r="E1496" t="s">
        <v>95</v>
      </c>
      <c r="F1496" t="s">
        <v>7067</v>
      </c>
      <c r="G1496" t="s">
        <v>690</v>
      </c>
      <c r="H1496">
        <v>2</v>
      </c>
      <c r="I1496" t="s">
        <v>27</v>
      </c>
      <c r="J1496" t="s">
        <v>802</v>
      </c>
      <c r="K1496">
        <v>20.16</v>
      </c>
      <c r="L1496">
        <v>8</v>
      </c>
      <c r="M1496">
        <v>2</v>
      </c>
      <c r="N1496" t="s">
        <v>30</v>
      </c>
      <c r="O1496" t="s">
        <v>223</v>
      </c>
      <c r="P1496" t="s">
        <v>56</v>
      </c>
      <c r="Q1496" t="s">
        <v>69</v>
      </c>
    </row>
    <row r="1497" spans="1:17" x14ac:dyDescent="0.3">
      <c r="A1497" t="s">
        <v>7069</v>
      </c>
      <c r="B1497" t="s">
        <v>7070</v>
      </c>
      <c r="C1497">
        <v>18</v>
      </c>
      <c r="D1497" t="s">
        <v>7071</v>
      </c>
      <c r="E1497" t="s">
        <v>95</v>
      </c>
      <c r="F1497" t="s">
        <v>1955</v>
      </c>
      <c r="G1497" t="s">
        <v>96</v>
      </c>
      <c r="H1497">
        <v>4</v>
      </c>
      <c r="I1497" t="s">
        <v>52</v>
      </c>
      <c r="J1497" t="s">
        <v>802</v>
      </c>
      <c r="K1497">
        <v>198.39</v>
      </c>
      <c r="L1497">
        <v>7</v>
      </c>
      <c r="M1497">
        <v>46</v>
      </c>
      <c r="N1497" t="s">
        <v>68</v>
      </c>
      <c r="O1497" t="s">
        <v>116</v>
      </c>
      <c r="P1497" t="s">
        <v>54</v>
      </c>
      <c r="Q1497" t="s">
        <v>69</v>
      </c>
    </row>
    <row r="1498" spans="1:17" x14ac:dyDescent="0.3">
      <c r="A1498" t="s">
        <v>7073</v>
      </c>
      <c r="B1498" t="s">
        <v>7074</v>
      </c>
      <c r="C1498">
        <v>39</v>
      </c>
      <c r="D1498" t="s">
        <v>7075</v>
      </c>
      <c r="E1498" t="s">
        <v>88</v>
      </c>
      <c r="F1498" t="s">
        <v>4712</v>
      </c>
      <c r="G1498" s="86">
        <v>44960</v>
      </c>
      <c r="H1498">
        <v>0</v>
      </c>
      <c r="I1498" t="s">
        <v>52</v>
      </c>
      <c r="J1498" s="86">
        <v>45751</v>
      </c>
      <c r="K1498">
        <v>193.9</v>
      </c>
      <c r="L1498">
        <v>5</v>
      </c>
      <c r="M1498">
        <v>6</v>
      </c>
      <c r="N1498" t="s">
        <v>45</v>
      </c>
      <c r="O1498" t="s">
        <v>31</v>
      </c>
      <c r="P1498" t="s">
        <v>30</v>
      </c>
      <c r="Q1498" t="s">
        <v>69</v>
      </c>
    </row>
    <row r="1499" spans="1:17" x14ac:dyDescent="0.3">
      <c r="A1499" t="s">
        <v>7077</v>
      </c>
      <c r="B1499" t="s">
        <v>7078</v>
      </c>
      <c r="C1499">
        <v>52</v>
      </c>
      <c r="D1499" t="s">
        <v>7079</v>
      </c>
      <c r="E1499" t="s">
        <v>61</v>
      </c>
      <c r="F1499" s="86">
        <v>44233</v>
      </c>
      <c r="G1499" t="s">
        <v>872</v>
      </c>
      <c r="H1499">
        <v>3</v>
      </c>
      <c r="I1499" t="s">
        <v>52</v>
      </c>
      <c r="J1499" t="s">
        <v>3278</v>
      </c>
      <c r="K1499">
        <v>413.8</v>
      </c>
      <c r="L1499">
        <v>2</v>
      </c>
      <c r="M1499">
        <v>18</v>
      </c>
      <c r="N1499" t="s">
        <v>56</v>
      </c>
      <c r="O1499" t="s">
        <v>837</v>
      </c>
      <c r="P1499" t="s">
        <v>56</v>
      </c>
      <c r="Q1499" t="s">
        <v>32</v>
      </c>
    </row>
    <row r="1500" spans="1:17" x14ac:dyDescent="0.3">
      <c r="A1500" t="s">
        <v>7081</v>
      </c>
      <c r="B1500" t="s">
        <v>7082</v>
      </c>
      <c r="C1500">
        <v>42</v>
      </c>
      <c r="D1500" t="s">
        <v>7083</v>
      </c>
      <c r="E1500" t="s">
        <v>88</v>
      </c>
      <c r="F1500" t="s">
        <v>4698</v>
      </c>
      <c r="G1500" t="s">
        <v>1268</v>
      </c>
      <c r="H1500">
        <v>0</v>
      </c>
      <c r="I1500" t="s">
        <v>27</v>
      </c>
      <c r="J1500" s="86">
        <v>45568</v>
      </c>
      <c r="K1500">
        <v>341.64</v>
      </c>
      <c r="L1500">
        <v>2</v>
      </c>
      <c r="M1500">
        <v>12</v>
      </c>
      <c r="N1500" t="s">
        <v>30</v>
      </c>
      <c r="O1500" t="s">
        <v>194</v>
      </c>
      <c r="P1500" t="s">
        <v>56</v>
      </c>
      <c r="Q1500" t="s">
        <v>32</v>
      </c>
    </row>
    <row r="1501" spans="1:17" x14ac:dyDescent="0.3">
      <c r="A1501" t="s">
        <v>7085</v>
      </c>
      <c r="B1501" t="s">
        <v>7086</v>
      </c>
      <c r="C1501">
        <v>38</v>
      </c>
      <c r="D1501" t="s">
        <v>7087</v>
      </c>
      <c r="E1501" t="s">
        <v>61</v>
      </c>
      <c r="F1501" t="s">
        <v>1420</v>
      </c>
      <c r="G1501" s="86">
        <v>44963</v>
      </c>
      <c r="H1501">
        <v>4</v>
      </c>
      <c r="I1501" t="s">
        <v>27</v>
      </c>
      <c r="J1501" t="s">
        <v>1726</v>
      </c>
      <c r="K1501">
        <v>388.6</v>
      </c>
      <c r="L1501">
        <v>3</v>
      </c>
      <c r="M1501">
        <v>26</v>
      </c>
      <c r="N1501" t="s">
        <v>45</v>
      </c>
      <c r="O1501" t="s">
        <v>536</v>
      </c>
      <c r="P1501" t="s">
        <v>68</v>
      </c>
      <c r="Q1501" t="s">
        <v>69</v>
      </c>
    </row>
    <row r="1502" spans="1:17" x14ac:dyDescent="0.3">
      <c r="A1502" t="s">
        <v>7089</v>
      </c>
      <c r="B1502" t="s">
        <v>7090</v>
      </c>
      <c r="C1502">
        <v>35</v>
      </c>
      <c r="D1502" t="s">
        <v>7091</v>
      </c>
      <c r="E1502" t="s">
        <v>61</v>
      </c>
      <c r="F1502" s="86">
        <v>44323</v>
      </c>
      <c r="G1502" s="86">
        <v>45110</v>
      </c>
      <c r="H1502">
        <v>2</v>
      </c>
      <c r="I1502" t="s">
        <v>27</v>
      </c>
      <c r="J1502" t="s">
        <v>313</v>
      </c>
      <c r="K1502">
        <v>187.87</v>
      </c>
      <c r="L1502">
        <v>5</v>
      </c>
      <c r="M1502">
        <v>42</v>
      </c>
      <c r="N1502" t="s">
        <v>45</v>
      </c>
      <c r="O1502" t="s">
        <v>245</v>
      </c>
      <c r="P1502" t="s">
        <v>54</v>
      </c>
      <c r="Q1502" t="s">
        <v>69</v>
      </c>
    </row>
    <row r="1503" spans="1:17" x14ac:dyDescent="0.3">
      <c r="A1503" t="s">
        <v>7093</v>
      </c>
      <c r="B1503" t="s">
        <v>7094</v>
      </c>
      <c r="C1503">
        <v>66</v>
      </c>
      <c r="D1503" t="s">
        <v>7095</v>
      </c>
      <c r="E1503" t="s">
        <v>61</v>
      </c>
      <c r="F1503" s="86">
        <v>44534</v>
      </c>
      <c r="G1503" t="s">
        <v>2294</v>
      </c>
      <c r="H1503">
        <v>2</v>
      </c>
      <c r="I1503" t="s">
        <v>52</v>
      </c>
      <c r="J1503" t="s">
        <v>2087</v>
      </c>
      <c r="K1503">
        <v>618.99</v>
      </c>
      <c r="L1503">
        <v>3</v>
      </c>
      <c r="M1503">
        <v>3</v>
      </c>
      <c r="N1503" t="s">
        <v>45</v>
      </c>
      <c r="O1503" t="s">
        <v>855</v>
      </c>
      <c r="P1503" t="s">
        <v>45</v>
      </c>
      <c r="Q1503" t="s">
        <v>69</v>
      </c>
    </row>
    <row r="1504" spans="1:17" x14ac:dyDescent="0.3">
      <c r="A1504" t="s">
        <v>7097</v>
      </c>
      <c r="B1504" t="s">
        <v>7098</v>
      </c>
      <c r="C1504">
        <v>28</v>
      </c>
      <c r="D1504" t="s">
        <v>7099</v>
      </c>
      <c r="E1504" t="s">
        <v>88</v>
      </c>
      <c r="F1504" t="s">
        <v>1714</v>
      </c>
      <c r="G1504" s="86">
        <v>44898</v>
      </c>
      <c r="H1504">
        <v>4</v>
      </c>
      <c r="I1504" t="s">
        <v>27</v>
      </c>
      <c r="J1504" s="86">
        <v>45662</v>
      </c>
      <c r="K1504">
        <v>1155.2</v>
      </c>
      <c r="L1504">
        <v>1</v>
      </c>
      <c r="M1504">
        <v>29</v>
      </c>
      <c r="N1504" t="s">
        <v>45</v>
      </c>
      <c r="O1504" t="s">
        <v>157</v>
      </c>
      <c r="P1504" t="s">
        <v>68</v>
      </c>
      <c r="Q1504" t="s">
        <v>32</v>
      </c>
    </row>
    <row r="1505" spans="1:17" x14ac:dyDescent="0.3">
      <c r="A1505" t="s">
        <v>7101</v>
      </c>
      <c r="B1505" t="s">
        <v>7102</v>
      </c>
      <c r="C1505">
        <v>40</v>
      </c>
      <c r="D1505" t="s">
        <v>7103</v>
      </c>
      <c r="E1505" t="s">
        <v>88</v>
      </c>
      <c r="F1505" t="s">
        <v>2543</v>
      </c>
      <c r="G1505" t="s">
        <v>155</v>
      </c>
      <c r="H1505">
        <v>4</v>
      </c>
      <c r="I1505" t="s">
        <v>27</v>
      </c>
      <c r="J1505" t="s">
        <v>3958</v>
      </c>
      <c r="K1505">
        <v>82.63</v>
      </c>
      <c r="L1505">
        <v>9</v>
      </c>
      <c r="M1505">
        <v>48</v>
      </c>
      <c r="N1505" t="s">
        <v>56</v>
      </c>
      <c r="O1505" t="s">
        <v>354</v>
      </c>
      <c r="P1505" t="s">
        <v>45</v>
      </c>
      <c r="Q1505" t="s">
        <v>69</v>
      </c>
    </row>
    <row r="1506" spans="1:17" x14ac:dyDescent="0.3">
      <c r="A1506" t="s">
        <v>7105</v>
      </c>
      <c r="B1506" t="s">
        <v>7106</v>
      </c>
      <c r="C1506">
        <v>49</v>
      </c>
      <c r="D1506" t="s">
        <v>7107</v>
      </c>
      <c r="E1506" t="s">
        <v>40</v>
      </c>
      <c r="F1506" s="86">
        <v>45053</v>
      </c>
      <c r="G1506" s="86">
        <v>45475</v>
      </c>
      <c r="H1506">
        <v>5</v>
      </c>
      <c r="I1506" t="s">
        <v>64</v>
      </c>
      <c r="J1506" s="86">
        <v>45057</v>
      </c>
      <c r="K1506">
        <v>262.10000000000002</v>
      </c>
      <c r="L1506">
        <v>4</v>
      </c>
      <c r="M1506">
        <v>37</v>
      </c>
      <c r="N1506" t="s">
        <v>30</v>
      </c>
      <c r="O1506" t="s">
        <v>238</v>
      </c>
      <c r="P1506" t="s">
        <v>45</v>
      </c>
      <c r="Q1506" t="s">
        <v>69</v>
      </c>
    </row>
    <row r="1507" spans="1:17" x14ac:dyDescent="0.3">
      <c r="A1507" t="s">
        <v>7108</v>
      </c>
      <c r="B1507" t="s">
        <v>7109</v>
      </c>
      <c r="C1507">
        <v>55</v>
      </c>
      <c r="D1507" t="s">
        <v>7110</v>
      </c>
      <c r="E1507" t="s">
        <v>51</v>
      </c>
      <c r="F1507" t="s">
        <v>3831</v>
      </c>
      <c r="G1507" s="86">
        <v>44602</v>
      </c>
      <c r="H1507">
        <v>3</v>
      </c>
      <c r="I1507" t="s">
        <v>27</v>
      </c>
      <c r="J1507" s="86">
        <v>45750</v>
      </c>
      <c r="K1507">
        <v>738.66</v>
      </c>
      <c r="L1507">
        <v>2</v>
      </c>
      <c r="M1507">
        <v>37</v>
      </c>
      <c r="N1507" t="s">
        <v>30</v>
      </c>
      <c r="O1507" t="s">
        <v>91</v>
      </c>
      <c r="P1507" t="s">
        <v>54</v>
      </c>
      <c r="Q1507" t="s">
        <v>69</v>
      </c>
    </row>
    <row r="1508" spans="1:17" x14ac:dyDescent="0.3">
      <c r="A1508" t="s">
        <v>7112</v>
      </c>
      <c r="B1508" t="s">
        <v>7113</v>
      </c>
      <c r="C1508">
        <v>25</v>
      </c>
      <c r="D1508" t="s">
        <v>7114</v>
      </c>
      <c r="E1508" t="s">
        <v>40</v>
      </c>
      <c r="F1508" t="s">
        <v>1111</v>
      </c>
      <c r="G1508" s="86">
        <v>45415</v>
      </c>
      <c r="H1508">
        <v>1</v>
      </c>
      <c r="I1508" t="s">
        <v>27</v>
      </c>
      <c r="J1508" t="s">
        <v>1519</v>
      </c>
      <c r="K1508">
        <v>2.91</v>
      </c>
      <c r="L1508">
        <v>8</v>
      </c>
      <c r="M1508">
        <v>48</v>
      </c>
      <c r="N1508" t="s">
        <v>68</v>
      </c>
      <c r="O1508" t="s">
        <v>238</v>
      </c>
      <c r="P1508" t="s">
        <v>45</v>
      </c>
      <c r="Q1508" t="s">
        <v>32</v>
      </c>
    </row>
    <row r="1509" spans="1:17" x14ac:dyDescent="0.3">
      <c r="A1509" t="s">
        <v>7116</v>
      </c>
      <c r="B1509" t="s">
        <v>7117</v>
      </c>
      <c r="C1509">
        <v>26</v>
      </c>
      <c r="D1509" t="s">
        <v>7118</v>
      </c>
      <c r="E1509" t="s">
        <v>25</v>
      </c>
      <c r="F1509" s="86">
        <v>45078</v>
      </c>
      <c r="G1509" t="s">
        <v>3899</v>
      </c>
      <c r="H1509">
        <v>3</v>
      </c>
      <c r="I1509" t="s">
        <v>27</v>
      </c>
      <c r="J1509" t="s">
        <v>595</v>
      </c>
      <c r="K1509">
        <v>486.08</v>
      </c>
      <c r="L1509">
        <v>4</v>
      </c>
      <c r="M1509">
        <v>26</v>
      </c>
      <c r="N1509" t="s">
        <v>68</v>
      </c>
      <c r="O1509" t="s">
        <v>251</v>
      </c>
      <c r="P1509" t="s">
        <v>30</v>
      </c>
      <c r="Q1509" t="s">
        <v>69</v>
      </c>
    </row>
    <row r="1510" spans="1:17" x14ac:dyDescent="0.3">
      <c r="A1510" t="s">
        <v>7120</v>
      </c>
      <c r="B1510" t="s">
        <v>7121</v>
      </c>
      <c r="C1510">
        <v>64</v>
      </c>
      <c r="D1510" t="s">
        <v>7122</v>
      </c>
      <c r="E1510" t="s">
        <v>51</v>
      </c>
      <c r="F1510" s="86">
        <v>44775</v>
      </c>
      <c r="G1510" t="s">
        <v>274</v>
      </c>
      <c r="H1510">
        <v>0</v>
      </c>
      <c r="I1510" t="s">
        <v>52</v>
      </c>
      <c r="J1510" t="s">
        <v>320</v>
      </c>
      <c r="K1510">
        <v>62.6</v>
      </c>
      <c r="L1510">
        <v>6</v>
      </c>
      <c r="M1510">
        <v>3</v>
      </c>
      <c r="N1510" t="s">
        <v>68</v>
      </c>
      <c r="O1510" t="s">
        <v>604</v>
      </c>
      <c r="P1510" t="s">
        <v>45</v>
      </c>
      <c r="Q1510" t="s">
        <v>69</v>
      </c>
    </row>
    <row r="1511" spans="1:17" x14ac:dyDescent="0.3">
      <c r="A1511" t="s">
        <v>7124</v>
      </c>
      <c r="B1511" t="s">
        <v>7125</v>
      </c>
      <c r="C1511">
        <v>34</v>
      </c>
      <c r="D1511" t="s">
        <v>7126</v>
      </c>
      <c r="E1511" t="s">
        <v>61</v>
      </c>
      <c r="F1511" t="s">
        <v>4698</v>
      </c>
      <c r="G1511" t="s">
        <v>771</v>
      </c>
      <c r="H1511">
        <v>3</v>
      </c>
      <c r="I1511" t="s">
        <v>64</v>
      </c>
      <c r="J1511" s="86">
        <v>44684</v>
      </c>
      <c r="K1511">
        <v>522.52</v>
      </c>
      <c r="L1511">
        <v>1</v>
      </c>
      <c r="M1511">
        <v>11</v>
      </c>
      <c r="N1511" t="s">
        <v>30</v>
      </c>
      <c r="O1511" t="s">
        <v>91</v>
      </c>
      <c r="P1511" t="s">
        <v>54</v>
      </c>
      <c r="Q1511" t="s">
        <v>69</v>
      </c>
    </row>
    <row r="1512" spans="1:17" x14ac:dyDescent="0.3">
      <c r="A1512" t="s">
        <v>7128</v>
      </c>
      <c r="B1512" t="s">
        <v>7129</v>
      </c>
      <c r="C1512">
        <v>46</v>
      </c>
      <c r="D1512" t="s">
        <v>7130</v>
      </c>
      <c r="E1512" t="s">
        <v>95</v>
      </c>
      <c r="F1512" t="s">
        <v>2152</v>
      </c>
      <c r="G1512" s="86">
        <v>45085</v>
      </c>
      <c r="H1512">
        <v>5</v>
      </c>
      <c r="I1512" t="s">
        <v>27</v>
      </c>
      <c r="J1512" s="86">
        <v>44815</v>
      </c>
      <c r="K1512">
        <v>30.67</v>
      </c>
      <c r="L1512">
        <v>5</v>
      </c>
      <c r="M1512">
        <v>38</v>
      </c>
      <c r="N1512" t="s">
        <v>56</v>
      </c>
      <c r="O1512" t="s">
        <v>251</v>
      </c>
      <c r="P1512" t="s">
        <v>30</v>
      </c>
      <c r="Q1512" t="s">
        <v>69</v>
      </c>
    </row>
    <row r="1513" spans="1:17" x14ac:dyDescent="0.3">
      <c r="A1513" t="s">
        <v>7132</v>
      </c>
      <c r="B1513" t="s">
        <v>7133</v>
      </c>
      <c r="C1513">
        <v>32</v>
      </c>
      <c r="D1513" t="s">
        <v>7134</v>
      </c>
      <c r="E1513" t="s">
        <v>25</v>
      </c>
      <c r="F1513" s="86">
        <v>44538</v>
      </c>
      <c r="G1513" t="s">
        <v>1263</v>
      </c>
      <c r="H1513">
        <v>5</v>
      </c>
      <c r="I1513" t="s">
        <v>52</v>
      </c>
      <c r="J1513" t="s">
        <v>924</v>
      </c>
      <c r="K1513">
        <v>224.96</v>
      </c>
      <c r="L1513">
        <v>8</v>
      </c>
      <c r="M1513">
        <v>15</v>
      </c>
      <c r="N1513" t="s">
        <v>45</v>
      </c>
      <c r="O1513" t="s">
        <v>99</v>
      </c>
      <c r="P1513" t="s">
        <v>56</v>
      </c>
      <c r="Q1513" t="s">
        <v>32</v>
      </c>
    </row>
    <row r="1514" spans="1:17" x14ac:dyDescent="0.3">
      <c r="A1514" t="s">
        <v>7136</v>
      </c>
      <c r="B1514" t="s">
        <v>7137</v>
      </c>
      <c r="C1514">
        <v>20</v>
      </c>
      <c r="D1514" t="s">
        <v>7138</v>
      </c>
      <c r="E1514" t="s">
        <v>95</v>
      </c>
      <c r="F1514" s="86">
        <v>44840</v>
      </c>
      <c r="G1514" t="s">
        <v>1063</v>
      </c>
      <c r="H1514">
        <v>2</v>
      </c>
      <c r="I1514" t="s">
        <v>52</v>
      </c>
      <c r="J1514" t="s">
        <v>5697</v>
      </c>
      <c r="K1514">
        <v>2.85</v>
      </c>
      <c r="L1514">
        <v>9</v>
      </c>
      <c r="M1514">
        <v>34</v>
      </c>
      <c r="N1514" t="s">
        <v>56</v>
      </c>
      <c r="O1514" t="s">
        <v>149</v>
      </c>
      <c r="P1514" t="s">
        <v>30</v>
      </c>
      <c r="Q1514" t="s">
        <v>69</v>
      </c>
    </row>
    <row r="1515" spans="1:17" x14ac:dyDescent="0.3">
      <c r="A1515" t="s">
        <v>7140</v>
      </c>
      <c r="B1515" t="s">
        <v>7141</v>
      </c>
      <c r="C1515">
        <v>29</v>
      </c>
      <c r="D1515" t="s">
        <v>7142</v>
      </c>
      <c r="E1515" t="s">
        <v>95</v>
      </c>
      <c r="F1515" s="86">
        <v>44531</v>
      </c>
      <c r="G1515" s="86">
        <v>45027</v>
      </c>
      <c r="H1515">
        <v>4</v>
      </c>
      <c r="I1515" t="s">
        <v>27</v>
      </c>
      <c r="J1515" s="86">
        <v>45171</v>
      </c>
      <c r="K1515">
        <v>571.46</v>
      </c>
      <c r="L1515">
        <v>2</v>
      </c>
      <c r="M1515">
        <v>14</v>
      </c>
      <c r="N1515" t="s">
        <v>54</v>
      </c>
      <c r="O1515" t="s">
        <v>128</v>
      </c>
      <c r="P1515" t="s">
        <v>54</v>
      </c>
      <c r="Q1515" t="s">
        <v>32</v>
      </c>
    </row>
    <row r="1516" spans="1:17" x14ac:dyDescent="0.3">
      <c r="A1516" t="s">
        <v>7144</v>
      </c>
      <c r="B1516" t="s">
        <v>7145</v>
      </c>
      <c r="C1516">
        <v>35</v>
      </c>
      <c r="D1516" t="s">
        <v>7146</v>
      </c>
      <c r="E1516" t="s">
        <v>61</v>
      </c>
      <c r="F1516" t="s">
        <v>7147</v>
      </c>
      <c r="G1516" t="s">
        <v>106</v>
      </c>
      <c r="H1516">
        <v>3</v>
      </c>
      <c r="I1516" t="s">
        <v>27</v>
      </c>
      <c r="J1516" t="s">
        <v>466</v>
      </c>
      <c r="K1516">
        <v>558.66</v>
      </c>
      <c r="L1516">
        <v>2</v>
      </c>
      <c r="M1516">
        <v>35</v>
      </c>
      <c r="N1516" t="s">
        <v>30</v>
      </c>
      <c r="O1516" t="s">
        <v>91</v>
      </c>
      <c r="P1516" t="s">
        <v>54</v>
      </c>
      <c r="Q1516" t="s">
        <v>32</v>
      </c>
    </row>
    <row r="1517" spans="1:17" x14ac:dyDescent="0.3">
      <c r="A1517" t="s">
        <v>7149</v>
      </c>
      <c r="B1517" t="s">
        <v>7150</v>
      </c>
      <c r="C1517">
        <v>20</v>
      </c>
      <c r="D1517" t="s">
        <v>7151</v>
      </c>
      <c r="E1517" t="s">
        <v>51</v>
      </c>
      <c r="F1517" t="s">
        <v>2598</v>
      </c>
      <c r="G1517" s="86">
        <v>45904</v>
      </c>
      <c r="H1517">
        <v>1</v>
      </c>
      <c r="I1517" t="s">
        <v>52</v>
      </c>
      <c r="J1517" s="86">
        <v>44997</v>
      </c>
      <c r="K1517">
        <v>34.92</v>
      </c>
      <c r="L1517">
        <v>5</v>
      </c>
      <c r="M1517">
        <v>7</v>
      </c>
      <c r="N1517" t="s">
        <v>54</v>
      </c>
      <c r="O1517" t="s">
        <v>293</v>
      </c>
      <c r="P1517" t="s">
        <v>45</v>
      </c>
      <c r="Q1517" t="s">
        <v>69</v>
      </c>
    </row>
    <row r="1518" spans="1:17" x14ac:dyDescent="0.3">
      <c r="A1518" t="s">
        <v>7153</v>
      </c>
      <c r="B1518" t="s">
        <v>7154</v>
      </c>
      <c r="C1518">
        <v>30</v>
      </c>
      <c r="D1518" t="s">
        <v>7155</v>
      </c>
      <c r="E1518" t="s">
        <v>51</v>
      </c>
      <c r="F1518" s="86">
        <v>44418</v>
      </c>
      <c r="G1518" t="s">
        <v>4447</v>
      </c>
      <c r="H1518">
        <v>1</v>
      </c>
      <c r="I1518" t="s">
        <v>27</v>
      </c>
      <c r="J1518" s="86">
        <v>44780</v>
      </c>
      <c r="K1518">
        <v>316.57</v>
      </c>
      <c r="L1518">
        <v>6</v>
      </c>
      <c r="M1518">
        <v>18</v>
      </c>
      <c r="N1518" t="s">
        <v>45</v>
      </c>
      <c r="O1518" t="s">
        <v>135</v>
      </c>
      <c r="P1518" t="s">
        <v>45</v>
      </c>
      <c r="Q1518" t="s">
        <v>69</v>
      </c>
    </row>
    <row r="1519" spans="1:17" x14ac:dyDescent="0.3">
      <c r="A1519" t="s">
        <v>7157</v>
      </c>
      <c r="B1519" t="s">
        <v>7158</v>
      </c>
      <c r="C1519">
        <v>28</v>
      </c>
      <c r="D1519" t="s">
        <v>7159</v>
      </c>
      <c r="E1519" t="s">
        <v>40</v>
      </c>
      <c r="F1519" t="s">
        <v>3699</v>
      </c>
      <c r="G1519" t="s">
        <v>4909</v>
      </c>
      <c r="H1519">
        <v>2</v>
      </c>
      <c r="I1519" t="s">
        <v>27</v>
      </c>
      <c r="J1519" t="s">
        <v>802</v>
      </c>
      <c r="K1519">
        <v>243.66</v>
      </c>
      <c r="L1519">
        <v>5</v>
      </c>
      <c r="M1519">
        <v>37</v>
      </c>
      <c r="N1519" t="s">
        <v>56</v>
      </c>
      <c r="O1519" t="s">
        <v>354</v>
      </c>
      <c r="P1519" t="s">
        <v>45</v>
      </c>
      <c r="Q1519" t="s">
        <v>32</v>
      </c>
    </row>
    <row r="1520" spans="1:17" x14ac:dyDescent="0.3">
      <c r="A1520" t="s">
        <v>7161</v>
      </c>
      <c r="B1520" t="s">
        <v>7162</v>
      </c>
      <c r="C1520">
        <v>55</v>
      </c>
      <c r="D1520" t="s">
        <v>7163</v>
      </c>
      <c r="E1520" t="s">
        <v>25</v>
      </c>
      <c r="F1520" s="86">
        <v>44449</v>
      </c>
      <c r="G1520" t="s">
        <v>974</v>
      </c>
      <c r="H1520">
        <v>5</v>
      </c>
      <c r="I1520" t="s">
        <v>27</v>
      </c>
      <c r="J1520" s="86">
        <v>45934</v>
      </c>
      <c r="K1520">
        <v>158.84</v>
      </c>
      <c r="L1520">
        <v>9</v>
      </c>
      <c r="M1520">
        <v>9</v>
      </c>
      <c r="N1520" t="s">
        <v>56</v>
      </c>
      <c r="O1520" t="s">
        <v>175</v>
      </c>
      <c r="P1520" t="s">
        <v>56</v>
      </c>
      <c r="Q1520" t="s">
        <v>32</v>
      </c>
    </row>
    <row r="1521" spans="1:17" x14ac:dyDescent="0.3">
      <c r="A1521" t="s">
        <v>7165</v>
      </c>
      <c r="B1521" t="s">
        <v>7166</v>
      </c>
      <c r="C1521">
        <v>64</v>
      </c>
      <c r="D1521" t="s">
        <v>7167</v>
      </c>
      <c r="E1521" t="s">
        <v>88</v>
      </c>
      <c r="F1521" s="86">
        <v>44145</v>
      </c>
      <c r="G1521" s="86">
        <v>45720</v>
      </c>
      <c r="H1521">
        <v>0</v>
      </c>
      <c r="I1521" t="s">
        <v>52</v>
      </c>
      <c r="J1521" t="s">
        <v>228</v>
      </c>
      <c r="K1521">
        <v>30.74</v>
      </c>
      <c r="L1521">
        <v>7</v>
      </c>
      <c r="M1521">
        <v>27</v>
      </c>
      <c r="N1521" t="s">
        <v>68</v>
      </c>
      <c r="O1521" t="s">
        <v>269</v>
      </c>
      <c r="P1521" t="s">
        <v>56</v>
      </c>
      <c r="Q1521" t="s">
        <v>69</v>
      </c>
    </row>
    <row r="1522" spans="1:17" x14ac:dyDescent="0.3">
      <c r="A1522" t="s">
        <v>7169</v>
      </c>
      <c r="B1522" t="s">
        <v>7170</v>
      </c>
      <c r="C1522">
        <v>57</v>
      </c>
      <c r="D1522" t="s">
        <v>7171</v>
      </c>
      <c r="E1522" t="s">
        <v>95</v>
      </c>
      <c r="F1522" t="s">
        <v>1430</v>
      </c>
      <c r="G1522" t="s">
        <v>2113</v>
      </c>
      <c r="H1522">
        <v>3</v>
      </c>
      <c r="I1522" t="s">
        <v>52</v>
      </c>
      <c r="J1522" t="s">
        <v>6959</v>
      </c>
      <c r="K1522">
        <v>793.8</v>
      </c>
      <c r="L1522">
        <v>2</v>
      </c>
      <c r="M1522">
        <v>37</v>
      </c>
      <c r="N1522" t="s">
        <v>56</v>
      </c>
      <c r="O1522" t="s">
        <v>366</v>
      </c>
      <c r="P1522" t="s">
        <v>54</v>
      </c>
      <c r="Q1522" t="s">
        <v>32</v>
      </c>
    </row>
    <row r="1523" spans="1:17" x14ac:dyDescent="0.3">
      <c r="A1523" t="s">
        <v>7173</v>
      </c>
      <c r="B1523" t="s">
        <v>7174</v>
      </c>
      <c r="C1523">
        <v>20</v>
      </c>
      <c r="D1523" t="s">
        <v>7175</v>
      </c>
      <c r="E1523" t="s">
        <v>88</v>
      </c>
      <c r="F1523" t="s">
        <v>847</v>
      </c>
      <c r="G1523" t="s">
        <v>4608</v>
      </c>
      <c r="H1523">
        <v>1</v>
      </c>
      <c r="I1523" t="s">
        <v>27</v>
      </c>
      <c r="J1523" t="s">
        <v>4015</v>
      </c>
      <c r="K1523">
        <v>292.99</v>
      </c>
      <c r="L1523">
        <v>6</v>
      </c>
      <c r="M1523">
        <v>8</v>
      </c>
      <c r="N1523" t="s">
        <v>30</v>
      </c>
      <c r="O1523" t="s">
        <v>67</v>
      </c>
      <c r="P1523" t="s">
        <v>68</v>
      </c>
      <c r="Q1523" t="s">
        <v>69</v>
      </c>
    </row>
    <row r="1524" spans="1:17" x14ac:dyDescent="0.3">
      <c r="A1524" t="s">
        <v>7177</v>
      </c>
      <c r="B1524" t="s">
        <v>7178</v>
      </c>
      <c r="C1524">
        <v>62</v>
      </c>
      <c r="D1524" t="s">
        <v>7179</v>
      </c>
      <c r="E1524" t="s">
        <v>61</v>
      </c>
      <c r="F1524" t="s">
        <v>1582</v>
      </c>
      <c r="G1524" t="s">
        <v>745</v>
      </c>
      <c r="H1524">
        <v>4</v>
      </c>
      <c r="I1524" t="s">
        <v>52</v>
      </c>
      <c r="J1524" t="s">
        <v>2971</v>
      </c>
      <c r="K1524">
        <v>341.04</v>
      </c>
      <c r="L1524">
        <v>2</v>
      </c>
      <c r="M1524">
        <v>5</v>
      </c>
      <c r="N1524" t="s">
        <v>68</v>
      </c>
      <c r="O1524" t="s">
        <v>610</v>
      </c>
      <c r="P1524" t="s">
        <v>68</v>
      </c>
      <c r="Q1524" t="s">
        <v>32</v>
      </c>
    </row>
    <row r="1525" spans="1:17" x14ac:dyDescent="0.3">
      <c r="A1525" t="s">
        <v>7180</v>
      </c>
      <c r="B1525" t="s">
        <v>7181</v>
      </c>
      <c r="C1525">
        <v>58</v>
      </c>
      <c r="D1525" t="s">
        <v>7182</v>
      </c>
      <c r="E1525" t="s">
        <v>88</v>
      </c>
      <c r="F1525" t="s">
        <v>7183</v>
      </c>
      <c r="G1525" t="s">
        <v>5078</v>
      </c>
      <c r="H1525">
        <v>0</v>
      </c>
      <c r="I1525" t="s">
        <v>64</v>
      </c>
      <c r="J1525" s="86">
        <v>45049</v>
      </c>
      <c r="K1525">
        <v>205.75</v>
      </c>
      <c r="L1525">
        <v>7</v>
      </c>
      <c r="M1525">
        <v>5</v>
      </c>
      <c r="N1525" t="s">
        <v>56</v>
      </c>
      <c r="O1525" t="s">
        <v>373</v>
      </c>
      <c r="P1525" t="s">
        <v>54</v>
      </c>
      <c r="Q1525" t="s">
        <v>69</v>
      </c>
    </row>
    <row r="1526" spans="1:17" x14ac:dyDescent="0.3">
      <c r="A1526" t="s">
        <v>7185</v>
      </c>
      <c r="B1526" t="s">
        <v>7186</v>
      </c>
      <c r="C1526">
        <v>19</v>
      </c>
      <c r="D1526" t="s">
        <v>7187</v>
      </c>
      <c r="E1526" t="s">
        <v>95</v>
      </c>
      <c r="F1526" t="s">
        <v>3002</v>
      </c>
      <c r="G1526" t="s">
        <v>346</v>
      </c>
      <c r="H1526">
        <v>5</v>
      </c>
      <c r="I1526" t="s">
        <v>27</v>
      </c>
      <c r="J1526" t="s">
        <v>5342</v>
      </c>
      <c r="K1526">
        <v>126.42</v>
      </c>
      <c r="L1526">
        <v>7</v>
      </c>
      <c r="M1526">
        <v>45</v>
      </c>
      <c r="N1526" t="s">
        <v>56</v>
      </c>
      <c r="O1526" t="s">
        <v>373</v>
      </c>
      <c r="P1526" t="s">
        <v>54</v>
      </c>
      <c r="Q1526" t="s">
        <v>32</v>
      </c>
    </row>
    <row r="1527" spans="1:17" x14ac:dyDescent="0.3">
      <c r="A1527" t="s">
        <v>7189</v>
      </c>
      <c r="B1527" t="s">
        <v>7190</v>
      </c>
      <c r="C1527">
        <v>18</v>
      </c>
      <c r="D1527" t="s">
        <v>7191</v>
      </c>
      <c r="E1527" t="s">
        <v>25</v>
      </c>
      <c r="F1527" s="86">
        <v>44991</v>
      </c>
      <c r="G1527" t="s">
        <v>1732</v>
      </c>
      <c r="H1527">
        <v>5</v>
      </c>
      <c r="I1527" t="s">
        <v>27</v>
      </c>
      <c r="J1527" t="s">
        <v>1977</v>
      </c>
      <c r="K1527">
        <v>205.06</v>
      </c>
      <c r="L1527">
        <v>6</v>
      </c>
      <c r="M1527">
        <v>40</v>
      </c>
      <c r="N1527" t="s">
        <v>30</v>
      </c>
      <c r="O1527" t="s">
        <v>109</v>
      </c>
      <c r="P1527" t="s">
        <v>68</v>
      </c>
      <c r="Q1527" t="s">
        <v>32</v>
      </c>
    </row>
    <row r="1528" spans="1:17" x14ac:dyDescent="0.3">
      <c r="A1528" t="s">
        <v>7193</v>
      </c>
      <c r="B1528" t="s">
        <v>7194</v>
      </c>
      <c r="C1528">
        <v>18</v>
      </c>
      <c r="D1528" t="s">
        <v>7195</v>
      </c>
      <c r="E1528" t="s">
        <v>25</v>
      </c>
      <c r="F1528" s="86">
        <v>43931</v>
      </c>
      <c r="G1528" s="86">
        <v>45782</v>
      </c>
      <c r="H1528">
        <v>4</v>
      </c>
      <c r="I1528" t="s">
        <v>27</v>
      </c>
      <c r="J1528" s="86">
        <v>45778</v>
      </c>
      <c r="K1528">
        <v>87.18</v>
      </c>
      <c r="L1528">
        <v>2</v>
      </c>
      <c r="M1528">
        <v>14</v>
      </c>
      <c r="N1528" t="s">
        <v>45</v>
      </c>
      <c r="O1528" t="s">
        <v>855</v>
      </c>
      <c r="P1528" t="s">
        <v>45</v>
      </c>
      <c r="Q1528" t="s">
        <v>69</v>
      </c>
    </row>
    <row r="1529" spans="1:17" x14ac:dyDescent="0.3">
      <c r="A1529" t="s">
        <v>7197</v>
      </c>
      <c r="B1529" t="s">
        <v>7198</v>
      </c>
      <c r="C1529">
        <v>37</v>
      </c>
      <c r="D1529" t="s">
        <v>7199</v>
      </c>
      <c r="E1529" t="s">
        <v>40</v>
      </c>
      <c r="F1529" s="86">
        <v>44630</v>
      </c>
      <c r="G1529" t="s">
        <v>209</v>
      </c>
      <c r="H1529">
        <v>5</v>
      </c>
      <c r="I1529" t="s">
        <v>27</v>
      </c>
      <c r="J1529" t="s">
        <v>3483</v>
      </c>
      <c r="K1529">
        <v>40.229999999999997</v>
      </c>
      <c r="L1529">
        <v>7</v>
      </c>
      <c r="M1529">
        <v>40</v>
      </c>
      <c r="N1529" t="s">
        <v>45</v>
      </c>
      <c r="O1529" t="s">
        <v>366</v>
      </c>
      <c r="P1529" t="s">
        <v>54</v>
      </c>
      <c r="Q1529" t="s">
        <v>69</v>
      </c>
    </row>
    <row r="1530" spans="1:17" x14ac:dyDescent="0.3">
      <c r="A1530" t="s">
        <v>7201</v>
      </c>
      <c r="B1530" t="s">
        <v>7202</v>
      </c>
      <c r="C1530">
        <v>21</v>
      </c>
      <c r="D1530" t="s">
        <v>7203</v>
      </c>
      <c r="E1530" t="s">
        <v>40</v>
      </c>
      <c r="F1530" t="s">
        <v>1514</v>
      </c>
      <c r="G1530" s="86">
        <v>44938</v>
      </c>
      <c r="H1530">
        <v>4</v>
      </c>
      <c r="I1530" t="s">
        <v>52</v>
      </c>
      <c r="J1530" s="86">
        <v>45296</v>
      </c>
      <c r="K1530">
        <v>375.8</v>
      </c>
      <c r="L1530">
        <v>5</v>
      </c>
      <c r="M1530">
        <v>12</v>
      </c>
      <c r="N1530" t="s">
        <v>56</v>
      </c>
      <c r="O1530" t="s">
        <v>175</v>
      </c>
      <c r="P1530" t="s">
        <v>56</v>
      </c>
      <c r="Q1530" t="s">
        <v>69</v>
      </c>
    </row>
    <row r="1531" spans="1:17" x14ac:dyDescent="0.3">
      <c r="A1531" t="s">
        <v>7205</v>
      </c>
      <c r="B1531" t="s">
        <v>7206</v>
      </c>
      <c r="C1531">
        <v>20</v>
      </c>
      <c r="D1531" t="s">
        <v>7207</v>
      </c>
      <c r="E1531" t="s">
        <v>40</v>
      </c>
      <c r="F1531" t="s">
        <v>3558</v>
      </c>
      <c r="G1531" s="86">
        <v>45568</v>
      </c>
      <c r="H1531">
        <v>2</v>
      </c>
      <c r="I1531" t="s">
        <v>52</v>
      </c>
      <c r="J1531" s="86">
        <v>44987</v>
      </c>
      <c r="K1531">
        <v>277.5</v>
      </c>
      <c r="L1531">
        <v>5</v>
      </c>
      <c r="M1531">
        <v>42</v>
      </c>
      <c r="N1531" t="s">
        <v>56</v>
      </c>
      <c r="O1531" t="s">
        <v>109</v>
      </c>
      <c r="P1531" t="s">
        <v>68</v>
      </c>
      <c r="Q1531" t="s">
        <v>69</v>
      </c>
    </row>
    <row r="1532" spans="1:17" x14ac:dyDescent="0.3">
      <c r="A1532" t="s">
        <v>7209</v>
      </c>
      <c r="B1532" t="s">
        <v>7210</v>
      </c>
      <c r="C1532">
        <v>65</v>
      </c>
      <c r="D1532" t="s">
        <v>7211</v>
      </c>
      <c r="E1532" t="s">
        <v>61</v>
      </c>
      <c r="F1532" t="s">
        <v>690</v>
      </c>
      <c r="G1532" t="s">
        <v>339</v>
      </c>
      <c r="H1532">
        <v>5</v>
      </c>
      <c r="I1532" t="s">
        <v>27</v>
      </c>
      <c r="J1532" s="86">
        <v>44876</v>
      </c>
      <c r="K1532">
        <v>122.48</v>
      </c>
      <c r="L1532">
        <v>8</v>
      </c>
      <c r="M1532">
        <v>39</v>
      </c>
      <c r="N1532" t="s">
        <v>30</v>
      </c>
      <c r="O1532" t="s">
        <v>238</v>
      </c>
      <c r="P1532" t="s">
        <v>45</v>
      </c>
      <c r="Q1532" t="s">
        <v>322</v>
      </c>
    </row>
    <row r="1533" spans="1:17" x14ac:dyDescent="0.3">
      <c r="A1533" t="s">
        <v>7213</v>
      </c>
      <c r="B1533" t="s">
        <v>7214</v>
      </c>
      <c r="C1533">
        <v>47</v>
      </c>
      <c r="D1533" t="s">
        <v>7215</v>
      </c>
      <c r="E1533" t="s">
        <v>25</v>
      </c>
      <c r="F1533" s="86">
        <v>44511</v>
      </c>
      <c r="G1533" t="s">
        <v>5351</v>
      </c>
      <c r="H1533">
        <v>3</v>
      </c>
      <c r="I1533" t="s">
        <v>27</v>
      </c>
      <c r="J1533" t="s">
        <v>578</v>
      </c>
      <c r="K1533">
        <v>114.92</v>
      </c>
      <c r="L1533">
        <v>4</v>
      </c>
      <c r="M1533">
        <v>4</v>
      </c>
      <c r="N1533" t="s">
        <v>68</v>
      </c>
      <c r="O1533" t="s">
        <v>418</v>
      </c>
      <c r="P1533" t="s">
        <v>56</v>
      </c>
      <c r="Q1533" t="s">
        <v>69</v>
      </c>
    </row>
    <row r="1534" spans="1:17" x14ac:dyDescent="0.3">
      <c r="A1534" t="s">
        <v>7217</v>
      </c>
      <c r="B1534" t="s">
        <v>7218</v>
      </c>
      <c r="C1534">
        <v>53</v>
      </c>
      <c r="D1534" t="s">
        <v>7219</v>
      </c>
      <c r="E1534" t="s">
        <v>40</v>
      </c>
      <c r="F1534" t="s">
        <v>192</v>
      </c>
      <c r="G1534" s="86">
        <v>45572</v>
      </c>
      <c r="H1534">
        <v>5</v>
      </c>
      <c r="I1534" t="s">
        <v>27</v>
      </c>
      <c r="J1534" t="s">
        <v>4743</v>
      </c>
      <c r="K1534">
        <v>292.52999999999997</v>
      </c>
      <c r="L1534">
        <v>1</v>
      </c>
      <c r="M1534">
        <v>4</v>
      </c>
      <c r="N1534" t="s">
        <v>30</v>
      </c>
      <c r="O1534" t="s">
        <v>135</v>
      </c>
      <c r="P1534" t="s">
        <v>45</v>
      </c>
      <c r="Q1534" t="s">
        <v>69</v>
      </c>
    </row>
    <row r="1535" spans="1:17" x14ac:dyDescent="0.3">
      <c r="A1535" t="s">
        <v>7221</v>
      </c>
      <c r="B1535" t="s">
        <v>7222</v>
      </c>
      <c r="C1535">
        <v>66</v>
      </c>
      <c r="D1535" t="s">
        <v>7223</v>
      </c>
      <c r="E1535" t="s">
        <v>51</v>
      </c>
      <c r="F1535" s="86">
        <v>45019</v>
      </c>
      <c r="G1535" s="86">
        <v>45693</v>
      </c>
      <c r="H1535">
        <v>1</v>
      </c>
      <c r="I1535" t="s">
        <v>27</v>
      </c>
      <c r="J1535" s="86">
        <v>45512</v>
      </c>
      <c r="K1535">
        <v>239.23</v>
      </c>
      <c r="L1535">
        <v>3</v>
      </c>
      <c r="M1535">
        <v>11</v>
      </c>
      <c r="N1535" t="s">
        <v>68</v>
      </c>
      <c r="O1535" t="s">
        <v>77</v>
      </c>
      <c r="P1535" t="s">
        <v>54</v>
      </c>
      <c r="Q1535" t="s">
        <v>69</v>
      </c>
    </row>
    <row r="1536" spans="1:17" x14ac:dyDescent="0.3">
      <c r="A1536" t="s">
        <v>7225</v>
      </c>
      <c r="B1536" t="s">
        <v>7226</v>
      </c>
      <c r="C1536">
        <v>35</v>
      </c>
      <c r="D1536" t="s">
        <v>7227</v>
      </c>
      <c r="E1536" t="s">
        <v>95</v>
      </c>
      <c r="F1536" s="86">
        <v>44288</v>
      </c>
      <c r="G1536" t="s">
        <v>5436</v>
      </c>
      <c r="H1536">
        <v>3</v>
      </c>
      <c r="I1536" t="s">
        <v>52</v>
      </c>
      <c r="J1536" s="86">
        <v>44868</v>
      </c>
      <c r="K1536">
        <v>120.66</v>
      </c>
      <c r="L1536">
        <v>3</v>
      </c>
      <c r="M1536">
        <v>10</v>
      </c>
      <c r="N1536" t="s">
        <v>54</v>
      </c>
      <c r="O1536" t="s">
        <v>536</v>
      </c>
      <c r="P1536" t="s">
        <v>68</v>
      </c>
      <c r="Q1536" t="s">
        <v>69</v>
      </c>
    </row>
    <row r="1537" spans="1:17" x14ac:dyDescent="0.3">
      <c r="A1537" t="s">
        <v>7229</v>
      </c>
      <c r="B1537" t="s">
        <v>7230</v>
      </c>
      <c r="C1537">
        <v>41</v>
      </c>
      <c r="D1537" t="s">
        <v>7231</v>
      </c>
      <c r="E1537" t="s">
        <v>51</v>
      </c>
      <c r="F1537" t="s">
        <v>1669</v>
      </c>
      <c r="G1537" t="s">
        <v>1112</v>
      </c>
      <c r="H1537">
        <v>2</v>
      </c>
      <c r="I1537" t="s">
        <v>52</v>
      </c>
      <c r="J1537" t="s">
        <v>1112</v>
      </c>
      <c r="K1537">
        <v>129</v>
      </c>
      <c r="L1537">
        <v>9</v>
      </c>
      <c r="M1537">
        <v>30</v>
      </c>
      <c r="N1537" t="s">
        <v>30</v>
      </c>
      <c r="O1537" t="s">
        <v>624</v>
      </c>
      <c r="P1537" t="s">
        <v>30</v>
      </c>
      <c r="Q1537" t="s">
        <v>32</v>
      </c>
    </row>
    <row r="1538" spans="1:17" x14ac:dyDescent="0.3">
      <c r="A1538" t="s">
        <v>7233</v>
      </c>
      <c r="B1538" t="s">
        <v>7234</v>
      </c>
      <c r="C1538">
        <v>41</v>
      </c>
      <c r="D1538" t="s">
        <v>7235</v>
      </c>
      <c r="E1538" t="s">
        <v>88</v>
      </c>
      <c r="F1538" t="s">
        <v>1674</v>
      </c>
      <c r="G1538" s="86">
        <v>45331</v>
      </c>
      <c r="H1538">
        <v>2</v>
      </c>
      <c r="I1538" t="s">
        <v>27</v>
      </c>
      <c r="J1538" s="86">
        <v>45845</v>
      </c>
      <c r="K1538">
        <v>184.41</v>
      </c>
      <c r="L1538">
        <v>9</v>
      </c>
      <c r="M1538">
        <v>41</v>
      </c>
      <c r="N1538" t="s">
        <v>30</v>
      </c>
      <c r="O1538" t="s">
        <v>231</v>
      </c>
      <c r="P1538" t="s">
        <v>30</v>
      </c>
      <c r="Q1538" t="s">
        <v>69</v>
      </c>
    </row>
    <row r="1539" spans="1:17" x14ac:dyDescent="0.3">
      <c r="A1539" t="s">
        <v>7237</v>
      </c>
      <c r="B1539" t="s">
        <v>7238</v>
      </c>
      <c r="C1539">
        <v>43</v>
      </c>
      <c r="D1539" t="s">
        <v>7239</v>
      </c>
      <c r="E1539" t="s">
        <v>25</v>
      </c>
      <c r="F1539" t="s">
        <v>1053</v>
      </c>
      <c r="G1539" t="s">
        <v>1715</v>
      </c>
      <c r="H1539">
        <v>2</v>
      </c>
      <c r="I1539" t="s">
        <v>27</v>
      </c>
      <c r="J1539" s="86">
        <v>45995</v>
      </c>
      <c r="K1539">
        <v>90.24</v>
      </c>
      <c r="L1539">
        <v>6</v>
      </c>
      <c r="M1539">
        <v>16</v>
      </c>
      <c r="N1539" t="s">
        <v>45</v>
      </c>
      <c r="O1539" t="s">
        <v>837</v>
      </c>
      <c r="P1539" t="s">
        <v>56</v>
      </c>
      <c r="Q1539" t="s">
        <v>32</v>
      </c>
    </row>
    <row r="1540" spans="1:17" x14ac:dyDescent="0.3">
      <c r="A1540" t="s">
        <v>7241</v>
      </c>
      <c r="B1540" t="s">
        <v>7242</v>
      </c>
      <c r="C1540">
        <v>58</v>
      </c>
      <c r="D1540" t="s">
        <v>7243</v>
      </c>
      <c r="E1540" t="s">
        <v>51</v>
      </c>
      <c r="F1540" t="s">
        <v>711</v>
      </c>
      <c r="G1540" s="86">
        <v>44989</v>
      </c>
      <c r="H1540">
        <v>2</v>
      </c>
      <c r="I1540" t="s">
        <v>52</v>
      </c>
      <c r="J1540" t="s">
        <v>3813</v>
      </c>
      <c r="K1540">
        <v>135.02000000000001</v>
      </c>
      <c r="L1540">
        <v>4</v>
      </c>
      <c r="M1540">
        <v>38</v>
      </c>
      <c r="N1540" t="s">
        <v>68</v>
      </c>
      <c r="O1540" t="s">
        <v>99</v>
      </c>
      <c r="P1540" t="s">
        <v>56</v>
      </c>
      <c r="Q1540" t="s">
        <v>69</v>
      </c>
    </row>
    <row r="1541" spans="1:17" x14ac:dyDescent="0.3">
      <c r="A1541" t="s">
        <v>7245</v>
      </c>
      <c r="B1541" t="s">
        <v>7246</v>
      </c>
      <c r="C1541">
        <v>59</v>
      </c>
      <c r="D1541" t="s">
        <v>7247</v>
      </c>
      <c r="E1541" t="s">
        <v>25</v>
      </c>
      <c r="F1541" t="s">
        <v>7248</v>
      </c>
      <c r="G1541" t="s">
        <v>1977</v>
      </c>
      <c r="H1541">
        <v>4</v>
      </c>
      <c r="I1541" t="s">
        <v>27</v>
      </c>
      <c r="J1541" t="s">
        <v>1748</v>
      </c>
      <c r="K1541">
        <v>73.099999999999994</v>
      </c>
      <c r="L1541">
        <v>6</v>
      </c>
      <c r="M1541">
        <v>32</v>
      </c>
      <c r="N1541" t="s">
        <v>30</v>
      </c>
      <c r="O1541" t="s">
        <v>91</v>
      </c>
      <c r="P1541" t="s">
        <v>54</v>
      </c>
      <c r="Q1541" t="s">
        <v>32</v>
      </c>
    </row>
    <row r="1542" spans="1:17" x14ac:dyDescent="0.3">
      <c r="A1542" t="s">
        <v>7250</v>
      </c>
      <c r="B1542" t="s">
        <v>7251</v>
      </c>
      <c r="C1542">
        <v>30</v>
      </c>
      <c r="D1542" t="s">
        <v>7252</v>
      </c>
      <c r="E1542" t="s">
        <v>25</v>
      </c>
      <c r="F1542" t="s">
        <v>3807</v>
      </c>
      <c r="G1542" t="s">
        <v>4416</v>
      </c>
      <c r="H1542">
        <v>3</v>
      </c>
      <c r="I1542" t="s">
        <v>64</v>
      </c>
      <c r="J1542" t="s">
        <v>1006</v>
      </c>
      <c r="K1542">
        <v>314.7</v>
      </c>
      <c r="L1542">
        <v>2</v>
      </c>
      <c r="M1542">
        <v>4</v>
      </c>
      <c r="N1542" t="s">
        <v>68</v>
      </c>
      <c r="O1542" t="s">
        <v>366</v>
      </c>
      <c r="P1542" t="s">
        <v>54</v>
      </c>
      <c r="Q1542" t="s">
        <v>69</v>
      </c>
    </row>
    <row r="1543" spans="1:17" x14ac:dyDescent="0.3">
      <c r="A1543" t="s">
        <v>7254</v>
      </c>
      <c r="B1543" t="s">
        <v>7255</v>
      </c>
      <c r="C1543">
        <v>54</v>
      </c>
      <c r="D1543" t="s">
        <v>7256</v>
      </c>
      <c r="E1543" t="s">
        <v>25</v>
      </c>
      <c r="F1543" t="s">
        <v>1053</v>
      </c>
      <c r="G1543" s="86">
        <v>45323</v>
      </c>
      <c r="H1543">
        <v>4</v>
      </c>
      <c r="I1543" t="s">
        <v>27</v>
      </c>
      <c r="J1543" t="s">
        <v>1929</v>
      </c>
      <c r="K1543">
        <v>195.83</v>
      </c>
      <c r="L1543">
        <v>3</v>
      </c>
      <c r="M1543">
        <v>17</v>
      </c>
      <c r="N1543" t="s">
        <v>68</v>
      </c>
      <c r="O1543" t="s">
        <v>610</v>
      </c>
      <c r="P1543" t="s">
        <v>68</v>
      </c>
      <c r="Q1543" t="s">
        <v>32</v>
      </c>
    </row>
    <row r="1544" spans="1:17" x14ac:dyDescent="0.3">
      <c r="A1544" t="s">
        <v>7258</v>
      </c>
      <c r="B1544" t="s">
        <v>7259</v>
      </c>
      <c r="C1544">
        <v>40</v>
      </c>
      <c r="D1544" t="s">
        <v>7260</v>
      </c>
      <c r="E1544" t="s">
        <v>25</v>
      </c>
      <c r="F1544" t="s">
        <v>3595</v>
      </c>
      <c r="G1544" t="s">
        <v>616</v>
      </c>
      <c r="H1544">
        <v>4</v>
      </c>
      <c r="I1544" t="s">
        <v>52</v>
      </c>
      <c r="J1544" s="86">
        <v>45839</v>
      </c>
      <c r="K1544">
        <v>226.27</v>
      </c>
      <c r="L1544">
        <v>8</v>
      </c>
      <c r="M1544">
        <v>15</v>
      </c>
      <c r="N1544" t="s">
        <v>45</v>
      </c>
      <c r="O1544" t="s">
        <v>837</v>
      </c>
      <c r="P1544" t="s">
        <v>56</v>
      </c>
      <c r="Q1544" t="s">
        <v>69</v>
      </c>
    </row>
    <row r="1545" spans="1:17" x14ac:dyDescent="0.3">
      <c r="A1545" t="s">
        <v>7262</v>
      </c>
      <c r="B1545" t="s">
        <v>7263</v>
      </c>
      <c r="C1545">
        <v>49</v>
      </c>
      <c r="D1545" t="s">
        <v>7264</v>
      </c>
      <c r="E1545" t="s">
        <v>88</v>
      </c>
      <c r="F1545" s="86">
        <v>43932</v>
      </c>
      <c r="G1545" t="s">
        <v>2188</v>
      </c>
      <c r="H1545">
        <v>4</v>
      </c>
      <c r="I1545" t="s">
        <v>27</v>
      </c>
      <c r="J1545" t="s">
        <v>3526</v>
      </c>
      <c r="K1545">
        <v>486.7</v>
      </c>
      <c r="L1545">
        <v>3</v>
      </c>
      <c r="M1545">
        <v>5</v>
      </c>
      <c r="N1545" t="s">
        <v>56</v>
      </c>
      <c r="O1545" t="s">
        <v>175</v>
      </c>
      <c r="P1545" t="s">
        <v>56</v>
      </c>
      <c r="Q1545" t="s">
        <v>32</v>
      </c>
    </row>
    <row r="1546" spans="1:17" x14ac:dyDescent="0.3">
      <c r="A1546" t="s">
        <v>7266</v>
      </c>
      <c r="B1546" t="s">
        <v>7267</v>
      </c>
      <c r="C1546">
        <v>36</v>
      </c>
      <c r="D1546" t="s">
        <v>7268</v>
      </c>
      <c r="E1546" t="s">
        <v>40</v>
      </c>
      <c r="F1546" s="86">
        <v>45265</v>
      </c>
      <c r="G1546" t="s">
        <v>746</v>
      </c>
      <c r="H1546">
        <v>1</v>
      </c>
      <c r="I1546" t="s">
        <v>52</v>
      </c>
      <c r="J1546" t="s">
        <v>2972</v>
      </c>
      <c r="K1546">
        <v>588.03</v>
      </c>
      <c r="L1546">
        <v>3</v>
      </c>
      <c r="M1546">
        <v>3</v>
      </c>
      <c r="N1546" t="s">
        <v>45</v>
      </c>
      <c r="O1546" t="s">
        <v>211</v>
      </c>
      <c r="P1546" t="s">
        <v>68</v>
      </c>
      <c r="Q1546" t="s">
        <v>32</v>
      </c>
    </row>
    <row r="1547" spans="1:17" x14ac:dyDescent="0.3">
      <c r="A1547" t="s">
        <v>7270</v>
      </c>
      <c r="B1547" t="s">
        <v>7271</v>
      </c>
      <c r="C1547">
        <v>34</v>
      </c>
      <c r="D1547" t="s">
        <v>7272</v>
      </c>
      <c r="E1547" t="s">
        <v>88</v>
      </c>
      <c r="F1547" t="s">
        <v>2649</v>
      </c>
      <c r="G1547" t="s">
        <v>1159</v>
      </c>
      <c r="H1547">
        <v>3</v>
      </c>
      <c r="I1547" t="s">
        <v>52</v>
      </c>
      <c r="J1547" t="s">
        <v>4028</v>
      </c>
      <c r="K1547">
        <v>841.79</v>
      </c>
      <c r="L1547">
        <v>2</v>
      </c>
      <c r="M1547">
        <v>41</v>
      </c>
      <c r="N1547" t="s">
        <v>56</v>
      </c>
      <c r="O1547" t="s">
        <v>55</v>
      </c>
      <c r="P1547" t="s">
        <v>56</v>
      </c>
      <c r="Q1547" t="s">
        <v>32</v>
      </c>
    </row>
    <row r="1548" spans="1:17" x14ac:dyDescent="0.3">
      <c r="A1548" t="s">
        <v>7274</v>
      </c>
      <c r="B1548" t="s">
        <v>7275</v>
      </c>
      <c r="C1548">
        <v>18</v>
      </c>
      <c r="D1548" t="s">
        <v>7276</v>
      </c>
      <c r="E1548" t="s">
        <v>61</v>
      </c>
      <c r="F1548" t="s">
        <v>7277</v>
      </c>
      <c r="G1548" t="s">
        <v>7278</v>
      </c>
      <c r="H1548">
        <v>1</v>
      </c>
      <c r="I1548" t="s">
        <v>64</v>
      </c>
      <c r="J1548" t="s">
        <v>65</v>
      </c>
      <c r="K1548">
        <v>151.41999999999999</v>
      </c>
      <c r="L1548">
        <v>1</v>
      </c>
      <c r="M1548">
        <v>45</v>
      </c>
      <c r="N1548" t="s">
        <v>30</v>
      </c>
      <c r="O1548" t="s">
        <v>354</v>
      </c>
      <c r="P1548" t="s">
        <v>45</v>
      </c>
      <c r="Q1548" t="s">
        <v>32</v>
      </c>
    </row>
    <row r="1549" spans="1:17" x14ac:dyDescent="0.3">
      <c r="A1549" t="s">
        <v>7280</v>
      </c>
      <c r="B1549" t="s">
        <v>7281</v>
      </c>
      <c r="C1549">
        <v>65</v>
      </c>
      <c r="D1549" t="s">
        <v>7282</v>
      </c>
      <c r="E1549" t="s">
        <v>88</v>
      </c>
      <c r="F1549" t="s">
        <v>5723</v>
      </c>
      <c r="G1549" t="s">
        <v>7283</v>
      </c>
      <c r="H1549">
        <v>2</v>
      </c>
      <c r="I1549" t="s">
        <v>27</v>
      </c>
      <c r="J1549" t="s">
        <v>1836</v>
      </c>
      <c r="K1549">
        <v>263.27999999999997</v>
      </c>
      <c r="L1549">
        <v>4</v>
      </c>
      <c r="M1549">
        <v>25</v>
      </c>
      <c r="N1549" t="s">
        <v>45</v>
      </c>
      <c r="O1549" t="s">
        <v>837</v>
      </c>
      <c r="P1549" t="s">
        <v>56</v>
      </c>
      <c r="Q1549" t="s">
        <v>32</v>
      </c>
    </row>
    <row r="1550" spans="1:17" x14ac:dyDescent="0.3">
      <c r="A1550" t="s">
        <v>7285</v>
      </c>
      <c r="B1550" t="s">
        <v>7286</v>
      </c>
      <c r="C1550">
        <v>20</v>
      </c>
      <c r="D1550" t="s">
        <v>7287</v>
      </c>
      <c r="E1550" t="s">
        <v>25</v>
      </c>
      <c r="F1550" t="s">
        <v>5612</v>
      </c>
      <c r="G1550" t="s">
        <v>1497</v>
      </c>
      <c r="H1550">
        <v>2</v>
      </c>
      <c r="I1550" t="s">
        <v>52</v>
      </c>
      <c r="J1550" s="86">
        <v>45330</v>
      </c>
      <c r="K1550">
        <v>129.66999999999999</v>
      </c>
      <c r="L1550">
        <v>8</v>
      </c>
      <c r="M1550">
        <v>20</v>
      </c>
      <c r="N1550" t="s">
        <v>45</v>
      </c>
      <c r="O1550" t="s">
        <v>109</v>
      </c>
      <c r="P1550" t="s">
        <v>68</v>
      </c>
      <c r="Q1550" t="s">
        <v>32</v>
      </c>
    </row>
    <row r="1551" spans="1:17" x14ac:dyDescent="0.3">
      <c r="A1551" t="s">
        <v>7289</v>
      </c>
      <c r="B1551" t="s">
        <v>7290</v>
      </c>
      <c r="C1551">
        <v>30</v>
      </c>
      <c r="D1551" t="s">
        <v>7291</v>
      </c>
      <c r="E1551" t="s">
        <v>95</v>
      </c>
      <c r="F1551" t="s">
        <v>192</v>
      </c>
      <c r="G1551" s="86">
        <v>45454</v>
      </c>
      <c r="H1551">
        <v>2</v>
      </c>
      <c r="I1551" t="s">
        <v>27</v>
      </c>
      <c r="J1551" t="s">
        <v>4028</v>
      </c>
      <c r="K1551">
        <v>1735.82</v>
      </c>
      <c r="L1551">
        <v>1</v>
      </c>
      <c r="M1551">
        <v>42</v>
      </c>
      <c r="N1551" t="s">
        <v>30</v>
      </c>
      <c r="O1551" t="s">
        <v>55</v>
      </c>
      <c r="P1551" t="s">
        <v>56</v>
      </c>
      <c r="Q1551" t="s">
        <v>32</v>
      </c>
    </row>
    <row r="1552" spans="1:17" x14ac:dyDescent="0.3">
      <c r="A1552" t="s">
        <v>7293</v>
      </c>
      <c r="B1552" t="s">
        <v>7294</v>
      </c>
      <c r="C1552">
        <v>68</v>
      </c>
      <c r="D1552" t="s">
        <v>7295</v>
      </c>
      <c r="E1552" t="s">
        <v>95</v>
      </c>
      <c r="F1552" t="s">
        <v>980</v>
      </c>
      <c r="G1552" t="s">
        <v>601</v>
      </c>
      <c r="H1552">
        <v>2</v>
      </c>
      <c r="I1552" t="s">
        <v>27</v>
      </c>
      <c r="J1552" t="s">
        <v>2135</v>
      </c>
      <c r="K1552">
        <v>89.49</v>
      </c>
      <c r="L1552">
        <v>4</v>
      </c>
      <c r="M1552">
        <v>48</v>
      </c>
      <c r="N1552" t="s">
        <v>56</v>
      </c>
      <c r="O1552" t="s">
        <v>135</v>
      </c>
      <c r="P1552" t="s">
        <v>45</v>
      </c>
      <c r="Q1552" t="s">
        <v>32</v>
      </c>
    </row>
    <row r="1553" spans="1:17" x14ac:dyDescent="0.3">
      <c r="A1553" t="s">
        <v>7297</v>
      </c>
      <c r="B1553" t="s">
        <v>7298</v>
      </c>
      <c r="C1553">
        <v>40</v>
      </c>
      <c r="D1553" t="s">
        <v>7299</v>
      </c>
      <c r="E1553" t="s">
        <v>25</v>
      </c>
      <c r="F1553" s="86">
        <v>44813</v>
      </c>
      <c r="G1553" t="s">
        <v>4888</v>
      </c>
      <c r="H1553">
        <v>0</v>
      </c>
      <c r="I1553" t="s">
        <v>52</v>
      </c>
      <c r="J1553" t="s">
        <v>3714</v>
      </c>
      <c r="K1553">
        <v>84.45</v>
      </c>
      <c r="L1553">
        <v>8</v>
      </c>
      <c r="M1553">
        <v>31</v>
      </c>
      <c r="N1553" t="s">
        <v>68</v>
      </c>
      <c r="O1553" t="s">
        <v>597</v>
      </c>
      <c r="P1553" t="s">
        <v>45</v>
      </c>
      <c r="Q1553" t="s">
        <v>69</v>
      </c>
    </row>
    <row r="1554" spans="1:17" x14ac:dyDescent="0.3">
      <c r="A1554" t="s">
        <v>7301</v>
      </c>
      <c r="B1554" t="s">
        <v>7302</v>
      </c>
      <c r="C1554">
        <v>65</v>
      </c>
      <c r="D1554" t="s">
        <v>7303</v>
      </c>
      <c r="E1554" t="s">
        <v>51</v>
      </c>
      <c r="F1554" s="86">
        <v>44199</v>
      </c>
      <c r="G1554" s="86">
        <v>44541</v>
      </c>
      <c r="H1554">
        <v>0</v>
      </c>
      <c r="I1554" t="s">
        <v>27</v>
      </c>
      <c r="J1554" t="s">
        <v>236</v>
      </c>
      <c r="K1554">
        <v>101.16</v>
      </c>
      <c r="L1554">
        <v>7</v>
      </c>
      <c r="M1554">
        <v>21</v>
      </c>
      <c r="N1554" t="s">
        <v>68</v>
      </c>
      <c r="O1554" t="s">
        <v>821</v>
      </c>
      <c r="P1554" t="s">
        <v>68</v>
      </c>
      <c r="Q1554" t="s">
        <v>69</v>
      </c>
    </row>
    <row r="1555" spans="1:17" x14ac:dyDescent="0.3">
      <c r="A1555" t="s">
        <v>7304</v>
      </c>
      <c r="B1555" t="s">
        <v>7305</v>
      </c>
      <c r="C1555">
        <v>54</v>
      </c>
      <c r="D1555" t="s">
        <v>7306</v>
      </c>
      <c r="E1555" t="s">
        <v>88</v>
      </c>
      <c r="F1555" t="s">
        <v>1414</v>
      </c>
      <c r="G1555" t="s">
        <v>2072</v>
      </c>
      <c r="H1555">
        <v>3</v>
      </c>
      <c r="I1555" t="s">
        <v>27</v>
      </c>
      <c r="J1555" s="86">
        <v>44623</v>
      </c>
      <c r="K1555">
        <v>274.23</v>
      </c>
      <c r="L1555">
        <v>4</v>
      </c>
      <c r="M1555">
        <v>22</v>
      </c>
      <c r="N1555" t="s">
        <v>68</v>
      </c>
      <c r="O1555" t="s">
        <v>142</v>
      </c>
      <c r="P1555" t="s">
        <v>68</v>
      </c>
      <c r="Q1555" t="s">
        <v>32</v>
      </c>
    </row>
    <row r="1556" spans="1:17" x14ac:dyDescent="0.3">
      <c r="A1556" t="s">
        <v>7308</v>
      </c>
      <c r="B1556" t="s">
        <v>7309</v>
      </c>
      <c r="C1556">
        <v>63</v>
      </c>
      <c r="D1556" t="s">
        <v>7310</v>
      </c>
      <c r="E1556" t="s">
        <v>61</v>
      </c>
      <c r="F1556" t="s">
        <v>2250</v>
      </c>
      <c r="G1556" s="86">
        <v>45506</v>
      </c>
      <c r="H1556">
        <v>2</v>
      </c>
      <c r="I1556" t="s">
        <v>64</v>
      </c>
      <c r="J1556" t="s">
        <v>7311</v>
      </c>
      <c r="K1556">
        <v>62.25</v>
      </c>
      <c r="L1556">
        <v>9</v>
      </c>
      <c r="M1556">
        <v>45</v>
      </c>
      <c r="N1556" t="s">
        <v>68</v>
      </c>
      <c r="O1556" t="s">
        <v>231</v>
      </c>
      <c r="P1556" t="s">
        <v>30</v>
      </c>
      <c r="Q1556" t="s">
        <v>69</v>
      </c>
    </row>
    <row r="1557" spans="1:17" x14ac:dyDescent="0.3">
      <c r="A1557" t="s">
        <v>7312</v>
      </c>
      <c r="B1557" t="s">
        <v>7313</v>
      </c>
      <c r="C1557">
        <v>45</v>
      </c>
      <c r="D1557" t="s">
        <v>7314</v>
      </c>
      <c r="E1557" t="s">
        <v>40</v>
      </c>
      <c r="F1557" s="86">
        <v>45201</v>
      </c>
      <c r="G1557" s="86">
        <v>45451</v>
      </c>
      <c r="H1557">
        <v>5</v>
      </c>
      <c r="I1557" t="s">
        <v>52</v>
      </c>
      <c r="J1557" t="s">
        <v>2299</v>
      </c>
      <c r="K1557">
        <v>323.67</v>
      </c>
      <c r="L1557">
        <v>5</v>
      </c>
      <c r="M1557">
        <v>12</v>
      </c>
      <c r="N1557" t="s">
        <v>56</v>
      </c>
      <c r="O1557" t="s">
        <v>597</v>
      </c>
      <c r="P1557" t="s">
        <v>45</v>
      </c>
      <c r="Q1557" t="s">
        <v>32</v>
      </c>
    </row>
    <row r="1558" spans="1:17" x14ac:dyDescent="0.3">
      <c r="A1558" t="s">
        <v>7316</v>
      </c>
      <c r="B1558" t="s">
        <v>7317</v>
      </c>
      <c r="C1558">
        <v>65</v>
      </c>
      <c r="D1558" t="s">
        <v>7318</v>
      </c>
      <c r="E1558" t="s">
        <v>25</v>
      </c>
      <c r="F1558" s="86">
        <v>44356</v>
      </c>
      <c r="G1558" t="s">
        <v>5078</v>
      </c>
      <c r="H1558">
        <v>4</v>
      </c>
      <c r="I1558" t="s">
        <v>27</v>
      </c>
      <c r="J1558" s="86">
        <v>45723</v>
      </c>
      <c r="K1558">
        <v>960.43</v>
      </c>
      <c r="L1558">
        <v>1</v>
      </c>
      <c r="M1558">
        <v>44</v>
      </c>
      <c r="N1558" t="s">
        <v>56</v>
      </c>
      <c r="O1558" t="s">
        <v>44</v>
      </c>
      <c r="P1558" t="s">
        <v>45</v>
      </c>
      <c r="Q1558" t="s">
        <v>69</v>
      </c>
    </row>
    <row r="1559" spans="1:17" x14ac:dyDescent="0.3">
      <c r="A1559" t="s">
        <v>7320</v>
      </c>
      <c r="B1559" t="s">
        <v>7321</v>
      </c>
      <c r="C1559">
        <v>29</v>
      </c>
      <c r="D1559" t="s">
        <v>7322</v>
      </c>
      <c r="E1559" t="s">
        <v>25</v>
      </c>
      <c r="F1559" t="s">
        <v>6187</v>
      </c>
      <c r="G1559" t="s">
        <v>7323</v>
      </c>
      <c r="H1559">
        <v>3</v>
      </c>
      <c r="I1559" t="s">
        <v>27</v>
      </c>
      <c r="J1559" t="s">
        <v>1606</v>
      </c>
      <c r="K1559">
        <v>16.739999999999998</v>
      </c>
      <c r="L1559">
        <v>4</v>
      </c>
      <c r="M1559">
        <v>3</v>
      </c>
      <c r="N1559" t="s">
        <v>54</v>
      </c>
      <c r="O1559" t="s">
        <v>122</v>
      </c>
      <c r="P1559" t="s">
        <v>30</v>
      </c>
      <c r="Q1559" t="s">
        <v>32</v>
      </c>
    </row>
    <row r="1560" spans="1:17" x14ac:dyDescent="0.3">
      <c r="A1560" t="s">
        <v>7325</v>
      </c>
      <c r="B1560" t="s">
        <v>7326</v>
      </c>
      <c r="C1560">
        <v>30</v>
      </c>
      <c r="D1560" t="s">
        <v>7327</v>
      </c>
      <c r="E1560" t="s">
        <v>40</v>
      </c>
      <c r="F1560" s="86">
        <v>44358</v>
      </c>
      <c r="G1560" t="s">
        <v>3813</v>
      </c>
      <c r="H1560">
        <v>2</v>
      </c>
      <c r="I1560" t="s">
        <v>27</v>
      </c>
      <c r="J1560" s="86">
        <v>44816</v>
      </c>
      <c r="K1560">
        <v>202.24</v>
      </c>
      <c r="L1560">
        <v>6</v>
      </c>
      <c r="M1560">
        <v>10</v>
      </c>
      <c r="N1560" t="s">
        <v>54</v>
      </c>
      <c r="O1560" t="s">
        <v>109</v>
      </c>
      <c r="P1560" t="s">
        <v>68</v>
      </c>
      <c r="Q1560" t="s">
        <v>69</v>
      </c>
    </row>
    <row r="1561" spans="1:17" x14ac:dyDescent="0.3">
      <c r="A1561" t="s">
        <v>7329</v>
      </c>
      <c r="B1561" t="s">
        <v>7330</v>
      </c>
      <c r="C1561">
        <v>57</v>
      </c>
      <c r="D1561" t="s">
        <v>7331</v>
      </c>
      <c r="E1561" t="s">
        <v>88</v>
      </c>
      <c r="F1561" t="s">
        <v>1273</v>
      </c>
      <c r="G1561" s="86">
        <v>45908</v>
      </c>
      <c r="H1561">
        <v>5</v>
      </c>
      <c r="I1561" t="s">
        <v>27</v>
      </c>
      <c r="J1561" t="s">
        <v>6757</v>
      </c>
      <c r="K1561">
        <v>143.16</v>
      </c>
      <c r="L1561">
        <v>8</v>
      </c>
      <c r="M1561">
        <v>12</v>
      </c>
      <c r="N1561" t="s">
        <v>54</v>
      </c>
      <c r="O1561" t="s">
        <v>109</v>
      </c>
      <c r="P1561" t="s">
        <v>68</v>
      </c>
      <c r="Q1561" t="s">
        <v>32</v>
      </c>
    </row>
    <row r="1562" spans="1:17" x14ac:dyDescent="0.3">
      <c r="A1562" t="s">
        <v>7333</v>
      </c>
      <c r="B1562" t="s">
        <v>7334</v>
      </c>
      <c r="C1562">
        <v>39</v>
      </c>
      <c r="D1562" t="s">
        <v>7335</v>
      </c>
      <c r="E1562" t="s">
        <v>88</v>
      </c>
      <c r="F1562" s="86">
        <v>45265</v>
      </c>
      <c r="G1562" t="s">
        <v>7336</v>
      </c>
      <c r="H1562">
        <v>2</v>
      </c>
      <c r="I1562" t="s">
        <v>27</v>
      </c>
      <c r="J1562" s="86">
        <v>45026</v>
      </c>
      <c r="K1562">
        <v>1785.86</v>
      </c>
      <c r="L1562">
        <v>1</v>
      </c>
      <c r="M1562">
        <v>37</v>
      </c>
      <c r="N1562" t="s">
        <v>56</v>
      </c>
      <c r="O1562" t="s">
        <v>122</v>
      </c>
      <c r="P1562" t="s">
        <v>30</v>
      </c>
      <c r="Q1562" t="s">
        <v>32</v>
      </c>
    </row>
    <row r="1563" spans="1:17" x14ac:dyDescent="0.3">
      <c r="A1563" t="s">
        <v>7338</v>
      </c>
      <c r="B1563" t="s">
        <v>7339</v>
      </c>
      <c r="C1563">
        <v>65</v>
      </c>
      <c r="D1563" t="s">
        <v>7340</v>
      </c>
      <c r="E1563" t="s">
        <v>61</v>
      </c>
      <c r="F1563" s="86">
        <v>44417</v>
      </c>
      <c r="G1563" s="86">
        <v>45723</v>
      </c>
      <c r="H1563">
        <v>1</v>
      </c>
      <c r="I1563" t="s">
        <v>64</v>
      </c>
      <c r="J1563" t="s">
        <v>1867</v>
      </c>
      <c r="K1563">
        <v>328.43</v>
      </c>
      <c r="L1563">
        <v>5</v>
      </c>
      <c r="M1563">
        <v>26</v>
      </c>
      <c r="N1563" t="s">
        <v>68</v>
      </c>
      <c r="O1563" t="s">
        <v>99</v>
      </c>
      <c r="P1563" t="s">
        <v>56</v>
      </c>
      <c r="Q1563" t="s">
        <v>32</v>
      </c>
    </row>
    <row r="1564" spans="1:17" x14ac:dyDescent="0.3">
      <c r="A1564" t="s">
        <v>7342</v>
      </c>
      <c r="B1564" t="s">
        <v>7343</v>
      </c>
      <c r="C1564">
        <v>48</v>
      </c>
      <c r="D1564" t="s">
        <v>7344</v>
      </c>
      <c r="E1564" t="s">
        <v>61</v>
      </c>
      <c r="F1564" s="86">
        <v>44228</v>
      </c>
      <c r="G1564" s="86">
        <v>45173</v>
      </c>
      <c r="H1564">
        <v>4</v>
      </c>
      <c r="I1564" t="s">
        <v>27</v>
      </c>
      <c r="J1564" s="86">
        <v>44380</v>
      </c>
      <c r="K1564">
        <v>298.07</v>
      </c>
      <c r="L1564">
        <v>3</v>
      </c>
      <c r="M1564">
        <v>7</v>
      </c>
      <c r="N1564" t="s">
        <v>56</v>
      </c>
      <c r="O1564" t="s">
        <v>837</v>
      </c>
      <c r="P1564" t="s">
        <v>56</v>
      </c>
      <c r="Q1564" t="s">
        <v>69</v>
      </c>
    </row>
    <row r="1565" spans="1:17" x14ac:dyDescent="0.3">
      <c r="A1565" t="s">
        <v>7346</v>
      </c>
      <c r="B1565" t="s">
        <v>7347</v>
      </c>
      <c r="C1565">
        <v>41</v>
      </c>
      <c r="D1565" t="s">
        <v>7348</v>
      </c>
      <c r="E1565" t="s">
        <v>51</v>
      </c>
      <c r="F1565" t="s">
        <v>551</v>
      </c>
      <c r="G1565" t="s">
        <v>179</v>
      </c>
      <c r="H1565">
        <v>2</v>
      </c>
      <c r="I1565" t="s">
        <v>52</v>
      </c>
      <c r="J1565" t="s">
        <v>2615</v>
      </c>
      <c r="K1565">
        <v>506.96</v>
      </c>
      <c r="L1565">
        <v>1</v>
      </c>
      <c r="M1565">
        <v>28</v>
      </c>
      <c r="N1565" t="s">
        <v>30</v>
      </c>
      <c r="O1565" t="s">
        <v>223</v>
      </c>
      <c r="P1565" t="s">
        <v>56</v>
      </c>
      <c r="Q1565" t="s">
        <v>32</v>
      </c>
    </row>
    <row r="1566" spans="1:17" x14ac:dyDescent="0.3">
      <c r="A1566" t="s">
        <v>7350</v>
      </c>
      <c r="B1566" t="s">
        <v>7351</v>
      </c>
      <c r="C1566">
        <v>43</v>
      </c>
      <c r="D1566" t="s">
        <v>7352</v>
      </c>
      <c r="E1566" t="s">
        <v>51</v>
      </c>
      <c r="F1566" t="s">
        <v>5474</v>
      </c>
      <c r="G1566" t="s">
        <v>7353</v>
      </c>
      <c r="H1566">
        <v>1</v>
      </c>
      <c r="I1566" t="s">
        <v>27</v>
      </c>
      <c r="J1566" t="s">
        <v>1430</v>
      </c>
      <c r="K1566">
        <v>234.68</v>
      </c>
      <c r="L1566">
        <v>4</v>
      </c>
      <c r="M1566">
        <v>43</v>
      </c>
      <c r="N1566" t="s">
        <v>54</v>
      </c>
      <c r="O1566" t="s">
        <v>223</v>
      </c>
      <c r="P1566" t="s">
        <v>56</v>
      </c>
      <c r="Q1566" t="s">
        <v>69</v>
      </c>
    </row>
    <row r="1567" spans="1:17" x14ac:dyDescent="0.3">
      <c r="A1567" t="s">
        <v>7355</v>
      </c>
      <c r="B1567" t="s">
        <v>7356</v>
      </c>
      <c r="C1567">
        <v>19</v>
      </c>
      <c r="D1567" t="s">
        <v>7357</v>
      </c>
      <c r="E1567" t="s">
        <v>25</v>
      </c>
      <c r="F1567" t="s">
        <v>2543</v>
      </c>
      <c r="G1567" s="86">
        <v>45173</v>
      </c>
      <c r="H1567">
        <v>5</v>
      </c>
      <c r="I1567" t="s">
        <v>27</v>
      </c>
      <c r="J1567" t="s">
        <v>3953</v>
      </c>
      <c r="K1567">
        <v>346.97</v>
      </c>
      <c r="L1567">
        <v>3</v>
      </c>
      <c r="M1567">
        <v>33</v>
      </c>
      <c r="N1567" t="s">
        <v>45</v>
      </c>
      <c r="O1567" t="s">
        <v>251</v>
      </c>
      <c r="P1567" t="s">
        <v>30</v>
      </c>
      <c r="Q1567" t="s">
        <v>322</v>
      </c>
    </row>
    <row r="1568" spans="1:17" x14ac:dyDescent="0.3">
      <c r="A1568" t="s">
        <v>7359</v>
      </c>
      <c r="B1568" t="s">
        <v>7360</v>
      </c>
      <c r="C1568">
        <v>42</v>
      </c>
      <c r="D1568" t="s">
        <v>7361</v>
      </c>
      <c r="E1568" t="s">
        <v>61</v>
      </c>
      <c r="F1568" s="86">
        <v>44781</v>
      </c>
      <c r="G1568" t="s">
        <v>1190</v>
      </c>
      <c r="H1568">
        <v>0</v>
      </c>
      <c r="I1568" t="s">
        <v>52</v>
      </c>
      <c r="J1568" t="s">
        <v>4112</v>
      </c>
      <c r="K1568">
        <v>347.84</v>
      </c>
      <c r="L1568">
        <v>5</v>
      </c>
      <c r="M1568">
        <v>5</v>
      </c>
      <c r="N1568" t="s">
        <v>54</v>
      </c>
      <c r="O1568" t="s">
        <v>77</v>
      </c>
      <c r="P1568" t="s">
        <v>54</v>
      </c>
      <c r="Q1568" t="s">
        <v>69</v>
      </c>
    </row>
    <row r="1569" spans="1:17" x14ac:dyDescent="0.3">
      <c r="A1569" t="s">
        <v>7363</v>
      </c>
      <c r="B1569" t="s">
        <v>7364</v>
      </c>
      <c r="C1569">
        <v>35</v>
      </c>
      <c r="D1569" t="s">
        <v>7365</v>
      </c>
      <c r="E1569" t="s">
        <v>61</v>
      </c>
      <c r="F1569" t="s">
        <v>6543</v>
      </c>
      <c r="G1569" s="86">
        <v>44386</v>
      </c>
      <c r="H1569">
        <v>1</v>
      </c>
      <c r="I1569" t="s">
        <v>52</v>
      </c>
      <c r="J1569" t="s">
        <v>6724</v>
      </c>
      <c r="K1569">
        <v>121.64</v>
      </c>
      <c r="L1569">
        <v>8</v>
      </c>
      <c r="M1569">
        <v>38</v>
      </c>
      <c r="N1569" t="s">
        <v>45</v>
      </c>
      <c r="O1569" t="s">
        <v>597</v>
      </c>
      <c r="P1569" t="s">
        <v>45</v>
      </c>
      <c r="Q1569" t="s">
        <v>69</v>
      </c>
    </row>
    <row r="1570" spans="1:17" x14ac:dyDescent="0.3">
      <c r="A1570" t="s">
        <v>7367</v>
      </c>
      <c r="B1570" t="s">
        <v>7368</v>
      </c>
      <c r="C1570">
        <v>38</v>
      </c>
      <c r="D1570" t="s">
        <v>7369</v>
      </c>
      <c r="E1570" t="s">
        <v>61</v>
      </c>
      <c r="F1570" s="86">
        <v>44350</v>
      </c>
      <c r="G1570" t="s">
        <v>1391</v>
      </c>
      <c r="H1570">
        <v>5</v>
      </c>
      <c r="I1570" t="s">
        <v>27</v>
      </c>
      <c r="J1570" t="s">
        <v>2848</v>
      </c>
      <c r="K1570">
        <v>323.95999999999998</v>
      </c>
      <c r="L1570">
        <v>6</v>
      </c>
      <c r="M1570">
        <v>5</v>
      </c>
      <c r="N1570" t="s">
        <v>30</v>
      </c>
      <c r="O1570" t="s">
        <v>418</v>
      </c>
      <c r="P1570" t="s">
        <v>56</v>
      </c>
      <c r="Q1570" t="s">
        <v>32</v>
      </c>
    </row>
    <row r="1571" spans="1:17" x14ac:dyDescent="0.3">
      <c r="A1571" t="s">
        <v>7371</v>
      </c>
      <c r="B1571" t="s">
        <v>7372</v>
      </c>
      <c r="C1571">
        <v>28</v>
      </c>
      <c r="D1571" t="s">
        <v>7373</v>
      </c>
      <c r="E1571" t="s">
        <v>61</v>
      </c>
      <c r="F1571" t="s">
        <v>739</v>
      </c>
      <c r="G1571" s="86">
        <v>44875</v>
      </c>
      <c r="H1571">
        <v>5</v>
      </c>
      <c r="I1571" t="s">
        <v>27</v>
      </c>
      <c r="J1571" t="s">
        <v>825</v>
      </c>
      <c r="K1571">
        <v>171.03</v>
      </c>
      <c r="L1571">
        <v>9</v>
      </c>
      <c r="M1571">
        <v>17</v>
      </c>
      <c r="N1571" t="s">
        <v>45</v>
      </c>
      <c r="O1571" t="s">
        <v>149</v>
      </c>
      <c r="P1571" t="s">
        <v>30</v>
      </c>
      <c r="Q1571" t="s">
        <v>32</v>
      </c>
    </row>
    <row r="1572" spans="1:17" x14ac:dyDescent="0.3">
      <c r="A1572" t="s">
        <v>7375</v>
      </c>
      <c r="B1572" t="s">
        <v>7376</v>
      </c>
      <c r="C1572">
        <v>65</v>
      </c>
      <c r="D1572" t="s">
        <v>7377</v>
      </c>
      <c r="E1572" t="s">
        <v>61</v>
      </c>
      <c r="F1572" t="s">
        <v>236</v>
      </c>
      <c r="G1572" s="86">
        <v>45629</v>
      </c>
      <c r="H1572">
        <v>2</v>
      </c>
      <c r="I1572" t="s">
        <v>64</v>
      </c>
      <c r="J1572" t="s">
        <v>847</v>
      </c>
      <c r="K1572">
        <v>46.66</v>
      </c>
      <c r="L1572">
        <v>2</v>
      </c>
      <c r="M1572">
        <v>8</v>
      </c>
      <c r="N1572" t="s">
        <v>68</v>
      </c>
      <c r="O1572" t="s">
        <v>109</v>
      </c>
      <c r="P1572" t="s">
        <v>68</v>
      </c>
      <c r="Q1572" t="s">
        <v>69</v>
      </c>
    </row>
    <row r="1573" spans="1:17" x14ac:dyDescent="0.3">
      <c r="A1573" t="s">
        <v>7378</v>
      </c>
      <c r="B1573" t="s">
        <v>7379</v>
      </c>
      <c r="C1573">
        <v>49</v>
      </c>
      <c r="D1573" t="s">
        <v>7380</v>
      </c>
      <c r="E1573" t="s">
        <v>88</v>
      </c>
      <c r="F1573" t="s">
        <v>6543</v>
      </c>
      <c r="G1573" s="86">
        <v>45204</v>
      </c>
      <c r="H1573">
        <v>2</v>
      </c>
      <c r="I1573" t="s">
        <v>64</v>
      </c>
      <c r="J1573" t="s">
        <v>7381</v>
      </c>
      <c r="K1573">
        <v>87.07</v>
      </c>
      <c r="L1573">
        <v>8</v>
      </c>
      <c r="M1573">
        <v>38</v>
      </c>
      <c r="N1573" t="s">
        <v>68</v>
      </c>
      <c r="O1573" t="s">
        <v>77</v>
      </c>
      <c r="P1573" t="s">
        <v>54</v>
      </c>
      <c r="Q1573" t="s">
        <v>32</v>
      </c>
    </row>
    <row r="1574" spans="1:17" x14ac:dyDescent="0.3">
      <c r="A1574" t="s">
        <v>7383</v>
      </c>
      <c r="B1574" t="s">
        <v>7384</v>
      </c>
      <c r="C1574">
        <v>45</v>
      </c>
      <c r="D1574" t="s">
        <v>7385</v>
      </c>
      <c r="E1574" t="s">
        <v>88</v>
      </c>
      <c r="F1574" t="s">
        <v>207</v>
      </c>
      <c r="G1574" s="86">
        <v>44722</v>
      </c>
      <c r="H1574">
        <v>1</v>
      </c>
      <c r="I1574" t="s">
        <v>27</v>
      </c>
      <c r="J1574" s="86">
        <v>45811</v>
      </c>
      <c r="K1574">
        <v>169.39</v>
      </c>
      <c r="L1574">
        <v>7</v>
      </c>
      <c r="M1574">
        <v>5</v>
      </c>
      <c r="N1574" t="s">
        <v>30</v>
      </c>
      <c r="O1574" t="s">
        <v>199</v>
      </c>
      <c r="P1574" t="s">
        <v>54</v>
      </c>
      <c r="Q1574" t="s">
        <v>32</v>
      </c>
    </row>
    <row r="1575" spans="1:17" x14ac:dyDescent="0.3">
      <c r="A1575" t="s">
        <v>7387</v>
      </c>
      <c r="B1575" t="s">
        <v>7388</v>
      </c>
      <c r="C1575">
        <v>42</v>
      </c>
      <c r="D1575" t="s">
        <v>7389</v>
      </c>
      <c r="E1575" t="s">
        <v>51</v>
      </c>
      <c r="F1575" t="s">
        <v>3372</v>
      </c>
      <c r="G1575" s="86">
        <v>44927</v>
      </c>
      <c r="H1575">
        <v>0</v>
      </c>
      <c r="I1575" t="s">
        <v>64</v>
      </c>
      <c r="J1575" t="s">
        <v>2522</v>
      </c>
      <c r="K1575">
        <v>206.04</v>
      </c>
      <c r="L1575">
        <v>7</v>
      </c>
      <c r="M1575">
        <v>29</v>
      </c>
      <c r="N1575" t="s">
        <v>54</v>
      </c>
      <c r="O1575" t="s">
        <v>31</v>
      </c>
      <c r="P1575" t="s">
        <v>30</v>
      </c>
      <c r="Q1575" t="s">
        <v>32</v>
      </c>
    </row>
    <row r="1576" spans="1:17" x14ac:dyDescent="0.3">
      <c r="A1576" t="s">
        <v>7391</v>
      </c>
      <c r="B1576" t="s">
        <v>7392</v>
      </c>
      <c r="C1576">
        <v>64</v>
      </c>
      <c r="D1576" t="s">
        <v>7393</v>
      </c>
      <c r="E1576" t="s">
        <v>51</v>
      </c>
      <c r="F1576" t="s">
        <v>3595</v>
      </c>
      <c r="G1576" s="86">
        <v>45262</v>
      </c>
      <c r="H1576">
        <v>1</v>
      </c>
      <c r="I1576" t="s">
        <v>27</v>
      </c>
      <c r="J1576" s="86">
        <v>44688</v>
      </c>
      <c r="K1576">
        <v>131.97999999999999</v>
      </c>
      <c r="L1576">
        <v>9</v>
      </c>
      <c r="M1576">
        <v>26</v>
      </c>
      <c r="N1576" t="s">
        <v>56</v>
      </c>
      <c r="O1576" t="s">
        <v>175</v>
      </c>
      <c r="P1576" t="s">
        <v>56</v>
      </c>
      <c r="Q1576" t="s">
        <v>69</v>
      </c>
    </row>
    <row r="1577" spans="1:17" x14ac:dyDescent="0.3">
      <c r="A1577" t="s">
        <v>7395</v>
      </c>
      <c r="B1577" t="s">
        <v>7396</v>
      </c>
      <c r="C1577">
        <v>41</v>
      </c>
      <c r="D1577" t="s">
        <v>7397</v>
      </c>
      <c r="E1577" t="s">
        <v>25</v>
      </c>
      <c r="F1577" t="s">
        <v>556</v>
      </c>
      <c r="G1577" t="s">
        <v>1827</v>
      </c>
      <c r="H1577">
        <v>3</v>
      </c>
      <c r="I1577" t="s">
        <v>27</v>
      </c>
      <c r="J1577" s="86">
        <v>45418</v>
      </c>
      <c r="K1577">
        <v>22.25</v>
      </c>
      <c r="L1577">
        <v>2</v>
      </c>
      <c r="M1577">
        <v>12</v>
      </c>
      <c r="N1577" t="s">
        <v>68</v>
      </c>
      <c r="O1577" t="s">
        <v>91</v>
      </c>
      <c r="P1577" t="s">
        <v>54</v>
      </c>
      <c r="Q1577" t="s">
        <v>69</v>
      </c>
    </row>
    <row r="1578" spans="1:17" x14ac:dyDescent="0.3">
      <c r="A1578" t="s">
        <v>7399</v>
      </c>
      <c r="B1578" t="s">
        <v>7400</v>
      </c>
      <c r="C1578">
        <v>49</v>
      </c>
      <c r="D1578" t="s">
        <v>7401</v>
      </c>
      <c r="E1578" t="s">
        <v>25</v>
      </c>
      <c r="F1578" s="86">
        <v>44084</v>
      </c>
      <c r="G1578" t="s">
        <v>670</v>
      </c>
      <c r="H1578">
        <v>3</v>
      </c>
      <c r="I1578" t="s">
        <v>52</v>
      </c>
      <c r="J1578" t="s">
        <v>2313</v>
      </c>
      <c r="K1578">
        <v>124.98</v>
      </c>
      <c r="L1578">
        <v>6</v>
      </c>
      <c r="M1578">
        <v>18</v>
      </c>
      <c r="N1578" t="s">
        <v>45</v>
      </c>
      <c r="O1578" t="s">
        <v>418</v>
      </c>
      <c r="P1578" t="s">
        <v>56</v>
      </c>
      <c r="Q1578" t="s">
        <v>32</v>
      </c>
    </row>
    <row r="1579" spans="1:17" x14ac:dyDescent="0.3">
      <c r="A1579" t="s">
        <v>7403</v>
      </c>
      <c r="B1579" t="s">
        <v>7404</v>
      </c>
      <c r="C1579">
        <v>61</v>
      </c>
      <c r="D1579" t="s">
        <v>7405</v>
      </c>
      <c r="E1579" t="s">
        <v>25</v>
      </c>
      <c r="F1579" t="s">
        <v>3493</v>
      </c>
      <c r="G1579" s="86">
        <v>45383</v>
      </c>
      <c r="H1579">
        <v>2</v>
      </c>
      <c r="I1579" t="s">
        <v>27</v>
      </c>
      <c r="J1579" t="s">
        <v>4456</v>
      </c>
      <c r="K1579">
        <v>265.51</v>
      </c>
      <c r="L1579">
        <v>5</v>
      </c>
      <c r="M1579">
        <v>16</v>
      </c>
      <c r="N1579" t="s">
        <v>56</v>
      </c>
      <c r="O1579" t="s">
        <v>135</v>
      </c>
      <c r="P1579" t="s">
        <v>45</v>
      </c>
      <c r="Q1579" t="s">
        <v>69</v>
      </c>
    </row>
    <row r="1580" spans="1:17" x14ac:dyDescent="0.3">
      <c r="A1580" t="s">
        <v>7407</v>
      </c>
      <c r="B1580" t="s">
        <v>7408</v>
      </c>
      <c r="C1580">
        <v>54</v>
      </c>
      <c r="D1580" t="s">
        <v>7409</v>
      </c>
      <c r="E1580" t="s">
        <v>88</v>
      </c>
      <c r="F1580" s="86">
        <v>44113</v>
      </c>
      <c r="G1580" t="s">
        <v>639</v>
      </c>
      <c r="H1580">
        <v>1</v>
      </c>
      <c r="I1580" t="s">
        <v>64</v>
      </c>
      <c r="J1580" s="86">
        <v>45571</v>
      </c>
      <c r="K1580">
        <v>219.54</v>
      </c>
      <c r="L1580">
        <v>9</v>
      </c>
      <c r="M1580">
        <v>19</v>
      </c>
      <c r="N1580" t="s">
        <v>68</v>
      </c>
      <c r="O1580" t="s">
        <v>99</v>
      </c>
      <c r="P1580" t="s">
        <v>56</v>
      </c>
      <c r="Q1580" t="s">
        <v>69</v>
      </c>
    </row>
    <row r="1581" spans="1:17" x14ac:dyDescent="0.3">
      <c r="A1581" t="s">
        <v>7411</v>
      </c>
      <c r="B1581" t="s">
        <v>7412</v>
      </c>
      <c r="C1581">
        <v>61</v>
      </c>
      <c r="D1581" t="s">
        <v>7413</v>
      </c>
      <c r="E1581" t="s">
        <v>51</v>
      </c>
      <c r="F1581" t="s">
        <v>1333</v>
      </c>
      <c r="G1581" s="86">
        <v>45024</v>
      </c>
      <c r="H1581">
        <v>4</v>
      </c>
      <c r="I1581" t="s">
        <v>27</v>
      </c>
      <c r="J1581" t="s">
        <v>3832</v>
      </c>
      <c r="K1581">
        <v>255.15</v>
      </c>
      <c r="L1581">
        <v>5</v>
      </c>
      <c r="M1581">
        <v>41</v>
      </c>
      <c r="N1581" t="s">
        <v>54</v>
      </c>
      <c r="O1581" t="s">
        <v>245</v>
      </c>
      <c r="P1581" t="s">
        <v>54</v>
      </c>
      <c r="Q1581" t="s">
        <v>69</v>
      </c>
    </row>
    <row r="1582" spans="1:17" x14ac:dyDescent="0.3">
      <c r="A1582" t="s">
        <v>7415</v>
      </c>
      <c r="B1582" t="s">
        <v>7416</v>
      </c>
      <c r="C1582">
        <v>27</v>
      </c>
      <c r="D1582" t="s">
        <v>7417</v>
      </c>
      <c r="E1582" t="s">
        <v>51</v>
      </c>
      <c r="F1582" s="86">
        <v>44114</v>
      </c>
      <c r="G1582" t="s">
        <v>4878</v>
      </c>
      <c r="H1582">
        <v>0</v>
      </c>
      <c r="I1582" t="s">
        <v>27</v>
      </c>
      <c r="J1582" s="86">
        <v>44198</v>
      </c>
      <c r="K1582">
        <v>264.99</v>
      </c>
      <c r="L1582">
        <v>7</v>
      </c>
      <c r="M1582">
        <v>3</v>
      </c>
      <c r="N1582" t="s">
        <v>56</v>
      </c>
      <c r="O1582" t="s">
        <v>109</v>
      </c>
      <c r="P1582" t="s">
        <v>68</v>
      </c>
      <c r="Q1582" t="s">
        <v>32</v>
      </c>
    </row>
    <row r="1583" spans="1:17" x14ac:dyDescent="0.3">
      <c r="A1583" t="s">
        <v>7419</v>
      </c>
      <c r="B1583" t="s">
        <v>7420</v>
      </c>
      <c r="C1583">
        <v>57</v>
      </c>
      <c r="D1583" t="s">
        <v>7421</v>
      </c>
      <c r="E1583" t="s">
        <v>88</v>
      </c>
      <c r="F1583" s="86">
        <v>44230</v>
      </c>
      <c r="G1583" s="86">
        <v>44686</v>
      </c>
      <c r="H1583">
        <v>0</v>
      </c>
      <c r="I1583" t="s">
        <v>52</v>
      </c>
      <c r="J1583" t="s">
        <v>7422</v>
      </c>
      <c r="K1583">
        <v>253.66</v>
      </c>
      <c r="L1583">
        <v>6</v>
      </c>
      <c r="M1583">
        <v>38</v>
      </c>
      <c r="N1583" t="s">
        <v>45</v>
      </c>
      <c r="O1583" t="s">
        <v>837</v>
      </c>
      <c r="P1583" t="s">
        <v>56</v>
      </c>
      <c r="Q1583" t="s">
        <v>32</v>
      </c>
    </row>
    <row r="1584" spans="1:17" x14ac:dyDescent="0.3">
      <c r="A1584" t="s">
        <v>7424</v>
      </c>
      <c r="B1584" t="s">
        <v>7425</v>
      </c>
      <c r="C1584">
        <v>59</v>
      </c>
      <c r="D1584" t="s">
        <v>7426</v>
      </c>
      <c r="E1584" t="s">
        <v>95</v>
      </c>
      <c r="F1584" s="86">
        <v>44113</v>
      </c>
      <c r="G1584" t="s">
        <v>2088</v>
      </c>
      <c r="H1584">
        <v>0</v>
      </c>
      <c r="I1584" t="s">
        <v>27</v>
      </c>
      <c r="J1584" t="s">
        <v>5787</v>
      </c>
      <c r="K1584">
        <v>215.04</v>
      </c>
      <c r="L1584">
        <v>3</v>
      </c>
      <c r="M1584">
        <v>14</v>
      </c>
      <c r="N1584" t="s">
        <v>54</v>
      </c>
      <c r="O1584" t="s">
        <v>269</v>
      </c>
      <c r="P1584" t="s">
        <v>56</v>
      </c>
      <c r="Q1584" t="s">
        <v>32</v>
      </c>
    </row>
    <row r="1585" spans="1:17" x14ac:dyDescent="0.3">
      <c r="A1585" t="s">
        <v>7428</v>
      </c>
      <c r="B1585" t="s">
        <v>7429</v>
      </c>
      <c r="C1585">
        <v>61</v>
      </c>
      <c r="D1585" t="s">
        <v>7430</v>
      </c>
      <c r="E1585" t="s">
        <v>25</v>
      </c>
      <c r="F1585" t="s">
        <v>2680</v>
      </c>
      <c r="G1585" s="86">
        <v>45603</v>
      </c>
      <c r="H1585">
        <v>5</v>
      </c>
      <c r="I1585" t="s">
        <v>52</v>
      </c>
      <c r="J1585" t="s">
        <v>2781</v>
      </c>
      <c r="K1585">
        <v>1226.3699999999999</v>
      </c>
      <c r="L1585">
        <v>1</v>
      </c>
      <c r="M1585">
        <v>11</v>
      </c>
      <c r="N1585" t="s">
        <v>30</v>
      </c>
      <c r="O1585" t="s">
        <v>245</v>
      </c>
      <c r="P1585" t="s">
        <v>54</v>
      </c>
      <c r="Q1585" t="s">
        <v>69</v>
      </c>
    </row>
    <row r="1586" spans="1:17" x14ac:dyDescent="0.3">
      <c r="A1586" t="s">
        <v>7432</v>
      </c>
      <c r="B1586" t="s">
        <v>7433</v>
      </c>
      <c r="C1586">
        <v>55</v>
      </c>
      <c r="D1586" t="s">
        <v>7434</v>
      </c>
      <c r="E1586" t="s">
        <v>51</v>
      </c>
      <c r="F1586" t="s">
        <v>3407</v>
      </c>
      <c r="G1586" t="s">
        <v>5045</v>
      </c>
      <c r="H1586">
        <v>1</v>
      </c>
      <c r="I1586" t="s">
        <v>27</v>
      </c>
      <c r="J1586" t="s">
        <v>3506</v>
      </c>
      <c r="K1586">
        <v>31.81</v>
      </c>
      <c r="L1586">
        <v>5</v>
      </c>
      <c r="M1586">
        <v>40</v>
      </c>
      <c r="N1586" t="s">
        <v>56</v>
      </c>
      <c r="O1586" t="s">
        <v>175</v>
      </c>
      <c r="P1586" t="s">
        <v>56</v>
      </c>
      <c r="Q1586" t="s">
        <v>32</v>
      </c>
    </row>
    <row r="1587" spans="1:17" x14ac:dyDescent="0.3">
      <c r="A1587" t="s">
        <v>7436</v>
      </c>
      <c r="B1587" t="s">
        <v>7437</v>
      </c>
      <c r="C1587">
        <v>24</v>
      </c>
      <c r="D1587" t="s">
        <v>7438</v>
      </c>
      <c r="E1587" t="s">
        <v>88</v>
      </c>
      <c r="F1587" t="s">
        <v>5427</v>
      </c>
      <c r="G1587" s="86">
        <v>45362</v>
      </c>
      <c r="H1587">
        <v>4</v>
      </c>
      <c r="I1587" t="s">
        <v>27</v>
      </c>
      <c r="J1587" t="s">
        <v>1513</v>
      </c>
      <c r="K1587">
        <v>966.86</v>
      </c>
      <c r="L1587">
        <v>1</v>
      </c>
      <c r="M1587">
        <v>44</v>
      </c>
      <c r="N1587" t="s">
        <v>56</v>
      </c>
      <c r="O1587" t="s">
        <v>837</v>
      </c>
      <c r="P1587" t="s">
        <v>56</v>
      </c>
      <c r="Q1587" t="s">
        <v>69</v>
      </c>
    </row>
    <row r="1588" spans="1:17" x14ac:dyDescent="0.3">
      <c r="A1588" t="s">
        <v>7440</v>
      </c>
      <c r="B1588" t="s">
        <v>7441</v>
      </c>
      <c r="C1588">
        <v>58</v>
      </c>
      <c r="D1588" t="s">
        <v>7442</v>
      </c>
      <c r="E1588" t="s">
        <v>40</v>
      </c>
      <c r="F1588" s="86">
        <v>44323</v>
      </c>
      <c r="G1588" s="86">
        <v>45662</v>
      </c>
      <c r="H1588">
        <v>5</v>
      </c>
      <c r="I1588" t="s">
        <v>27</v>
      </c>
      <c r="J1588" t="s">
        <v>1725</v>
      </c>
      <c r="K1588">
        <v>196.24</v>
      </c>
      <c r="L1588">
        <v>6</v>
      </c>
      <c r="M1588">
        <v>31</v>
      </c>
      <c r="N1588" t="s">
        <v>30</v>
      </c>
      <c r="O1588" t="s">
        <v>199</v>
      </c>
      <c r="P1588" t="s">
        <v>54</v>
      </c>
      <c r="Q1588" t="s">
        <v>69</v>
      </c>
    </row>
    <row r="1589" spans="1:17" x14ac:dyDescent="0.3">
      <c r="A1589" t="s">
        <v>7444</v>
      </c>
      <c r="B1589" t="s">
        <v>7445</v>
      </c>
      <c r="C1589">
        <v>24</v>
      </c>
      <c r="D1589" t="s">
        <v>7446</v>
      </c>
      <c r="E1589" t="s">
        <v>88</v>
      </c>
      <c r="F1589" s="86">
        <v>44963</v>
      </c>
      <c r="G1589" t="s">
        <v>2374</v>
      </c>
      <c r="H1589">
        <v>0</v>
      </c>
      <c r="I1589" t="s">
        <v>27</v>
      </c>
      <c r="J1589" t="s">
        <v>508</v>
      </c>
      <c r="K1589">
        <v>279.32</v>
      </c>
      <c r="L1589">
        <v>7</v>
      </c>
      <c r="M1589">
        <v>23</v>
      </c>
      <c r="N1589" t="s">
        <v>54</v>
      </c>
      <c r="O1589" t="s">
        <v>175</v>
      </c>
      <c r="P1589" t="s">
        <v>56</v>
      </c>
      <c r="Q1589" t="s">
        <v>32</v>
      </c>
    </row>
    <row r="1590" spans="1:17" x14ac:dyDescent="0.3">
      <c r="A1590" t="s">
        <v>7448</v>
      </c>
      <c r="B1590" t="s">
        <v>7449</v>
      </c>
      <c r="C1590">
        <v>65</v>
      </c>
      <c r="D1590" t="s">
        <v>7450</v>
      </c>
      <c r="E1590" t="s">
        <v>51</v>
      </c>
      <c r="F1590" s="86">
        <v>44663</v>
      </c>
      <c r="G1590" s="86">
        <v>45512</v>
      </c>
      <c r="H1590">
        <v>5</v>
      </c>
      <c r="I1590" t="s">
        <v>64</v>
      </c>
      <c r="J1590" s="86">
        <v>45542</v>
      </c>
      <c r="K1590">
        <v>125.73</v>
      </c>
      <c r="L1590">
        <v>8</v>
      </c>
      <c r="M1590">
        <v>17</v>
      </c>
      <c r="N1590" t="s">
        <v>56</v>
      </c>
      <c r="O1590" t="s">
        <v>293</v>
      </c>
      <c r="P1590" t="s">
        <v>45</v>
      </c>
      <c r="Q1590" t="s">
        <v>69</v>
      </c>
    </row>
    <row r="1591" spans="1:17" x14ac:dyDescent="0.3">
      <c r="A1591" t="s">
        <v>7452</v>
      </c>
      <c r="B1591" t="s">
        <v>7453</v>
      </c>
      <c r="C1591">
        <v>41</v>
      </c>
      <c r="D1591" t="s">
        <v>7454</v>
      </c>
      <c r="E1591" t="s">
        <v>51</v>
      </c>
      <c r="F1591" t="s">
        <v>6511</v>
      </c>
      <c r="G1591" s="86">
        <v>45476</v>
      </c>
      <c r="H1591">
        <v>4</v>
      </c>
      <c r="I1591" t="s">
        <v>27</v>
      </c>
      <c r="J1591" s="86">
        <v>45331</v>
      </c>
      <c r="K1591">
        <v>480.9</v>
      </c>
      <c r="L1591">
        <v>3</v>
      </c>
      <c r="M1591">
        <v>12</v>
      </c>
      <c r="N1591" t="s">
        <v>45</v>
      </c>
      <c r="O1591" t="s">
        <v>77</v>
      </c>
      <c r="P1591" t="s">
        <v>54</v>
      </c>
      <c r="Q1591" t="s">
        <v>69</v>
      </c>
    </row>
    <row r="1592" spans="1:17" x14ac:dyDescent="0.3">
      <c r="A1592" t="s">
        <v>7456</v>
      </c>
      <c r="B1592" t="s">
        <v>7457</v>
      </c>
      <c r="C1592">
        <v>59</v>
      </c>
      <c r="D1592" t="s">
        <v>7458</v>
      </c>
      <c r="E1592" t="s">
        <v>25</v>
      </c>
      <c r="F1592" t="s">
        <v>5426</v>
      </c>
      <c r="G1592" t="s">
        <v>1960</v>
      </c>
      <c r="H1592">
        <v>5</v>
      </c>
      <c r="I1592" t="s">
        <v>27</v>
      </c>
      <c r="J1592" s="86">
        <v>44816</v>
      </c>
      <c r="K1592">
        <v>359.75</v>
      </c>
      <c r="L1592">
        <v>5</v>
      </c>
      <c r="M1592">
        <v>25</v>
      </c>
      <c r="N1592" t="s">
        <v>56</v>
      </c>
      <c r="O1592" t="s">
        <v>269</v>
      </c>
      <c r="P1592" t="s">
        <v>56</v>
      </c>
      <c r="Q1592" t="s">
        <v>69</v>
      </c>
    </row>
    <row r="1593" spans="1:17" x14ac:dyDescent="0.3">
      <c r="A1593" t="s">
        <v>7460</v>
      </c>
      <c r="B1593" t="s">
        <v>7461</v>
      </c>
      <c r="C1593">
        <v>63</v>
      </c>
      <c r="D1593" t="s">
        <v>7462</v>
      </c>
      <c r="E1593" t="s">
        <v>88</v>
      </c>
      <c r="F1593" s="86">
        <v>45144</v>
      </c>
      <c r="G1593" t="s">
        <v>97</v>
      </c>
      <c r="H1593">
        <v>2</v>
      </c>
      <c r="I1593" t="s">
        <v>27</v>
      </c>
      <c r="J1593" t="s">
        <v>2241</v>
      </c>
      <c r="K1593">
        <v>159.41</v>
      </c>
      <c r="L1593">
        <v>7</v>
      </c>
      <c r="M1593">
        <v>32</v>
      </c>
      <c r="N1593" t="s">
        <v>45</v>
      </c>
      <c r="O1593" t="s">
        <v>175</v>
      </c>
      <c r="P1593" t="s">
        <v>56</v>
      </c>
      <c r="Q1593" t="s">
        <v>322</v>
      </c>
    </row>
    <row r="1594" spans="1:17" x14ac:dyDescent="0.3">
      <c r="A1594" t="s">
        <v>7464</v>
      </c>
      <c r="B1594" t="s">
        <v>7465</v>
      </c>
      <c r="C1594">
        <v>26</v>
      </c>
      <c r="D1594" t="s">
        <v>7466</v>
      </c>
      <c r="E1594" t="s">
        <v>61</v>
      </c>
      <c r="F1594" t="s">
        <v>3802</v>
      </c>
      <c r="G1594" t="s">
        <v>185</v>
      </c>
      <c r="H1594">
        <v>0</v>
      </c>
      <c r="I1594" t="s">
        <v>52</v>
      </c>
      <c r="J1594" t="s">
        <v>2455</v>
      </c>
      <c r="K1594">
        <v>623.01</v>
      </c>
      <c r="L1594">
        <v>2</v>
      </c>
      <c r="M1594">
        <v>8</v>
      </c>
      <c r="N1594" t="s">
        <v>68</v>
      </c>
      <c r="O1594" t="s">
        <v>597</v>
      </c>
      <c r="P1594" t="s">
        <v>45</v>
      </c>
      <c r="Q1594" t="s">
        <v>322</v>
      </c>
    </row>
    <row r="1595" spans="1:17" x14ac:dyDescent="0.3">
      <c r="A1595" t="s">
        <v>7468</v>
      </c>
      <c r="B1595" t="s">
        <v>7469</v>
      </c>
      <c r="C1595">
        <v>34</v>
      </c>
      <c r="D1595" t="s">
        <v>7470</v>
      </c>
      <c r="E1595" t="s">
        <v>95</v>
      </c>
      <c r="F1595" s="86">
        <v>44652</v>
      </c>
      <c r="G1595" s="86">
        <v>44806</v>
      </c>
      <c r="H1595">
        <v>1</v>
      </c>
      <c r="I1595" t="s">
        <v>64</v>
      </c>
      <c r="J1595" t="s">
        <v>4402</v>
      </c>
      <c r="K1595">
        <v>171.77</v>
      </c>
      <c r="L1595">
        <v>4</v>
      </c>
      <c r="M1595">
        <v>43</v>
      </c>
      <c r="N1595" t="s">
        <v>56</v>
      </c>
      <c r="O1595" t="s">
        <v>269</v>
      </c>
      <c r="P1595" t="s">
        <v>56</v>
      </c>
      <c r="Q1595" t="s">
        <v>32</v>
      </c>
    </row>
    <row r="1596" spans="1:17" x14ac:dyDescent="0.3">
      <c r="A1596" t="s">
        <v>7472</v>
      </c>
      <c r="B1596" t="s">
        <v>7473</v>
      </c>
      <c r="C1596">
        <v>53</v>
      </c>
      <c r="D1596" t="s">
        <v>7474</v>
      </c>
      <c r="E1596" t="s">
        <v>88</v>
      </c>
      <c r="F1596" t="s">
        <v>267</v>
      </c>
      <c r="G1596" s="86">
        <v>45570</v>
      </c>
      <c r="H1596">
        <v>5</v>
      </c>
      <c r="I1596" t="s">
        <v>27</v>
      </c>
      <c r="J1596" t="s">
        <v>480</v>
      </c>
      <c r="K1596">
        <v>140.03</v>
      </c>
      <c r="L1596">
        <v>3</v>
      </c>
      <c r="M1596">
        <v>25</v>
      </c>
      <c r="N1596" t="s">
        <v>30</v>
      </c>
      <c r="O1596" t="s">
        <v>194</v>
      </c>
      <c r="P1596" t="s">
        <v>56</v>
      </c>
      <c r="Q1596" t="s">
        <v>32</v>
      </c>
    </row>
    <row r="1597" spans="1:17" x14ac:dyDescent="0.3">
      <c r="A1597" t="s">
        <v>7476</v>
      </c>
      <c r="B1597" t="s">
        <v>7477</v>
      </c>
      <c r="C1597">
        <v>42</v>
      </c>
      <c r="D1597" t="s">
        <v>7478</v>
      </c>
      <c r="E1597" t="s">
        <v>88</v>
      </c>
      <c r="F1597" t="s">
        <v>2167</v>
      </c>
      <c r="G1597" t="s">
        <v>1324</v>
      </c>
      <c r="H1597">
        <v>4</v>
      </c>
      <c r="I1597" t="s">
        <v>27</v>
      </c>
      <c r="J1597" t="s">
        <v>1052</v>
      </c>
      <c r="K1597">
        <v>222.75</v>
      </c>
      <c r="L1597">
        <v>5</v>
      </c>
      <c r="M1597">
        <v>35</v>
      </c>
      <c r="N1597" t="s">
        <v>30</v>
      </c>
      <c r="O1597" t="s">
        <v>175</v>
      </c>
      <c r="P1597" t="s">
        <v>56</v>
      </c>
      <c r="Q1597" t="s">
        <v>69</v>
      </c>
    </row>
    <row r="1598" spans="1:17" x14ac:dyDescent="0.3">
      <c r="A1598" t="s">
        <v>7480</v>
      </c>
      <c r="B1598" t="s">
        <v>7481</v>
      </c>
      <c r="C1598">
        <v>58</v>
      </c>
      <c r="D1598" t="s">
        <v>7482</v>
      </c>
      <c r="E1598" t="s">
        <v>25</v>
      </c>
      <c r="F1598" t="s">
        <v>979</v>
      </c>
      <c r="G1598" t="s">
        <v>4949</v>
      </c>
      <c r="H1598">
        <v>2</v>
      </c>
      <c r="I1598" t="s">
        <v>64</v>
      </c>
      <c r="J1598" t="s">
        <v>2225</v>
      </c>
      <c r="K1598">
        <v>867.89</v>
      </c>
      <c r="L1598">
        <v>2</v>
      </c>
      <c r="M1598">
        <v>12</v>
      </c>
      <c r="N1598" t="s">
        <v>45</v>
      </c>
      <c r="O1598" t="s">
        <v>366</v>
      </c>
      <c r="P1598" t="s">
        <v>54</v>
      </c>
      <c r="Q1598" t="s">
        <v>69</v>
      </c>
    </row>
    <row r="1599" spans="1:17" x14ac:dyDescent="0.3">
      <c r="A1599" t="s">
        <v>7484</v>
      </c>
      <c r="B1599" t="s">
        <v>7485</v>
      </c>
      <c r="C1599">
        <v>61</v>
      </c>
      <c r="D1599" t="s">
        <v>7486</v>
      </c>
      <c r="E1599" t="s">
        <v>95</v>
      </c>
      <c r="F1599" t="s">
        <v>4998</v>
      </c>
      <c r="G1599" s="86">
        <v>45211</v>
      </c>
      <c r="H1599">
        <v>5</v>
      </c>
      <c r="I1599" t="s">
        <v>64</v>
      </c>
      <c r="J1599" t="s">
        <v>2152</v>
      </c>
      <c r="K1599">
        <v>426.44</v>
      </c>
      <c r="L1599">
        <v>2</v>
      </c>
      <c r="M1599">
        <v>10</v>
      </c>
      <c r="N1599" t="s">
        <v>68</v>
      </c>
      <c r="O1599" t="s">
        <v>837</v>
      </c>
      <c r="P1599" t="s">
        <v>56</v>
      </c>
      <c r="Q1599" t="s">
        <v>32</v>
      </c>
    </row>
    <row r="1600" spans="1:17" x14ac:dyDescent="0.3">
      <c r="A1600" t="s">
        <v>7488</v>
      </c>
      <c r="B1600" t="s">
        <v>7489</v>
      </c>
      <c r="C1600">
        <v>47</v>
      </c>
      <c r="D1600" t="s">
        <v>7490</v>
      </c>
      <c r="E1600" t="s">
        <v>40</v>
      </c>
      <c r="F1600" t="s">
        <v>994</v>
      </c>
      <c r="G1600" t="s">
        <v>994</v>
      </c>
      <c r="H1600">
        <v>2</v>
      </c>
      <c r="I1600" t="s">
        <v>27</v>
      </c>
      <c r="J1600" t="s">
        <v>1238</v>
      </c>
      <c r="K1600">
        <v>274.02</v>
      </c>
      <c r="L1600">
        <v>5</v>
      </c>
      <c r="M1600">
        <v>22</v>
      </c>
      <c r="N1600" t="s">
        <v>30</v>
      </c>
      <c r="O1600" t="s">
        <v>44</v>
      </c>
      <c r="P1600" t="s">
        <v>45</v>
      </c>
      <c r="Q1600" t="s">
        <v>32</v>
      </c>
    </row>
    <row r="1601" spans="1:17" x14ac:dyDescent="0.3">
      <c r="A1601" t="s">
        <v>7492</v>
      </c>
      <c r="B1601" t="s">
        <v>7493</v>
      </c>
      <c r="C1601">
        <v>33</v>
      </c>
      <c r="D1601" t="s">
        <v>7494</v>
      </c>
      <c r="E1601" t="s">
        <v>88</v>
      </c>
      <c r="F1601" t="s">
        <v>4101</v>
      </c>
      <c r="G1601" t="s">
        <v>670</v>
      </c>
      <c r="H1601">
        <v>4</v>
      </c>
      <c r="I1601" t="s">
        <v>27</v>
      </c>
      <c r="J1601" t="s">
        <v>480</v>
      </c>
      <c r="K1601">
        <v>222.6</v>
      </c>
      <c r="L1601">
        <v>6</v>
      </c>
      <c r="M1601">
        <v>12</v>
      </c>
      <c r="N1601" t="s">
        <v>56</v>
      </c>
      <c r="O1601" t="s">
        <v>142</v>
      </c>
      <c r="P1601" t="s">
        <v>68</v>
      </c>
      <c r="Q1601" t="s">
        <v>69</v>
      </c>
    </row>
    <row r="1602" spans="1:17" x14ac:dyDescent="0.3">
      <c r="A1602" t="s">
        <v>7496</v>
      </c>
      <c r="B1602" t="s">
        <v>7497</v>
      </c>
      <c r="C1602">
        <v>44</v>
      </c>
      <c r="D1602" t="s">
        <v>7498</v>
      </c>
      <c r="E1602" t="s">
        <v>51</v>
      </c>
      <c r="F1602" t="s">
        <v>808</v>
      </c>
      <c r="G1602" t="s">
        <v>2768</v>
      </c>
      <c r="H1602">
        <v>2</v>
      </c>
      <c r="I1602" t="s">
        <v>27</v>
      </c>
      <c r="J1602" s="86">
        <v>44958</v>
      </c>
      <c r="K1602">
        <v>177.18</v>
      </c>
      <c r="L1602">
        <v>9</v>
      </c>
      <c r="M1602">
        <v>30</v>
      </c>
      <c r="N1602" t="s">
        <v>54</v>
      </c>
      <c r="O1602" t="s">
        <v>91</v>
      </c>
      <c r="P1602" t="s">
        <v>54</v>
      </c>
      <c r="Q1602" t="s">
        <v>32</v>
      </c>
    </row>
    <row r="1603" spans="1:17" x14ac:dyDescent="0.3">
      <c r="A1603" t="s">
        <v>7500</v>
      </c>
      <c r="B1603" t="s">
        <v>7501</v>
      </c>
      <c r="C1603">
        <v>58</v>
      </c>
      <c r="D1603" t="s">
        <v>7502</v>
      </c>
      <c r="E1603" t="s">
        <v>95</v>
      </c>
      <c r="F1603" t="s">
        <v>7503</v>
      </c>
      <c r="G1603" t="s">
        <v>1514</v>
      </c>
      <c r="H1603">
        <v>3</v>
      </c>
      <c r="I1603" t="s">
        <v>52</v>
      </c>
      <c r="J1603" t="s">
        <v>2499</v>
      </c>
      <c r="K1603">
        <v>506.88</v>
      </c>
      <c r="L1603">
        <v>2</v>
      </c>
      <c r="M1603">
        <v>47</v>
      </c>
      <c r="N1603" t="s">
        <v>56</v>
      </c>
      <c r="O1603" t="s">
        <v>116</v>
      </c>
      <c r="P1603" t="s">
        <v>54</v>
      </c>
      <c r="Q1603" t="s">
        <v>32</v>
      </c>
    </row>
    <row r="1604" spans="1:17" x14ac:dyDescent="0.3">
      <c r="A1604" t="s">
        <v>7505</v>
      </c>
      <c r="B1604" t="s">
        <v>7506</v>
      </c>
      <c r="C1604">
        <v>59</v>
      </c>
      <c r="D1604" t="s">
        <v>7507</v>
      </c>
      <c r="E1604" t="s">
        <v>61</v>
      </c>
      <c r="F1604" s="86">
        <v>43872</v>
      </c>
      <c r="G1604" s="86">
        <v>44292</v>
      </c>
      <c r="H1604">
        <v>2</v>
      </c>
      <c r="I1604" t="s">
        <v>52</v>
      </c>
      <c r="J1604" s="86">
        <v>43932</v>
      </c>
      <c r="K1604">
        <v>142.16</v>
      </c>
      <c r="L1604">
        <v>8</v>
      </c>
      <c r="M1604">
        <v>1</v>
      </c>
      <c r="N1604" t="s">
        <v>56</v>
      </c>
      <c r="O1604" t="s">
        <v>245</v>
      </c>
      <c r="P1604" t="s">
        <v>54</v>
      </c>
      <c r="Q1604" t="s">
        <v>32</v>
      </c>
    </row>
    <row r="1605" spans="1:17" x14ac:dyDescent="0.3">
      <c r="A1605" t="s">
        <v>7509</v>
      </c>
      <c r="B1605" t="s">
        <v>7510</v>
      </c>
      <c r="C1605">
        <v>50</v>
      </c>
      <c r="D1605" t="s">
        <v>7511</v>
      </c>
      <c r="E1605" t="s">
        <v>61</v>
      </c>
      <c r="F1605" s="86">
        <v>45114</v>
      </c>
      <c r="G1605" t="s">
        <v>89</v>
      </c>
      <c r="H1605">
        <v>4</v>
      </c>
      <c r="I1605" t="s">
        <v>27</v>
      </c>
      <c r="J1605" t="s">
        <v>404</v>
      </c>
      <c r="K1605">
        <v>186.9</v>
      </c>
      <c r="L1605">
        <v>6</v>
      </c>
      <c r="M1605">
        <v>29</v>
      </c>
      <c r="N1605" t="s">
        <v>56</v>
      </c>
      <c r="O1605" t="s">
        <v>135</v>
      </c>
      <c r="P1605" t="s">
        <v>45</v>
      </c>
      <c r="Q1605" t="s">
        <v>32</v>
      </c>
    </row>
    <row r="1606" spans="1:17" x14ac:dyDescent="0.3">
      <c r="A1606" t="s">
        <v>7513</v>
      </c>
      <c r="B1606" t="s">
        <v>7514</v>
      </c>
      <c r="C1606">
        <v>20</v>
      </c>
      <c r="D1606" t="s">
        <v>7515</v>
      </c>
      <c r="E1606" t="s">
        <v>88</v>
      </c>
      <c r="F1606" t="s">
        <v>584</v>
      </c>
      <c r="G1606" t="s">
        <v>2790</v>
      </c>
      <c r="H1606">
        <v>4</v>
      </c>
      <c r="I1606" t="s">
        <v>27</v>
      </c>
      <c r="J1606" t="s">
        <v>215</v>
      </c>
      <c r="K1606">
        <v>46.03</v>
      </c>
      <c r="L1606">
        <v>8</v>
      </c>
      <c r="M1606">
        <v>24</v>
      </c>
      <c r="N1606" t="s">
        <v>56</v>
      </c>
      <c r="O1606" t="s">
        <v>231</v>
      </c>
      <c r="P1606" t="s">
        <v>30</v>
      </c>
      <c r="Q1606" t="s">
        <v>32</v>
      </c>
    </row>
    <row r="1607" spans="1:17" x14ac:dyDescent="0.3">
      <c r="A1607" t="s">
        <v>7517</v>
      </c>
      <c r="B1607" t="s">
        <v>7518</v>
      </c>
      <c r="C1607">
        <v>60</v>
      </c>
      <c r="D1607" t="s">
        <v>7519</v>
      </c>
      <c r="E1607" t="s">
        <v>88</v>
      </c>
      <c r="F1607" t="s">
        <v>1583</v>
      </c>
      <c r="G1607" t="s">
        <v>7520</v>
      </c>
      <c r="H1607">
        <v>5</v>
      </c>
      <c r="I1607" t="s">
        <v>27</v>
      </c>
      <c r="J1607" s="86">
        <v>45298</v>
      </c>
      <c r="K1607">
        <v>119.98</v>
      </c>
      <c r="L1607">
        <v>7</v>
      </c>
      <c r="M1607">
        <v>14</v>
      </c>
      <c r="N1607" t="s">
        <v>45</v>
      </c>
      <c r="O1607" t="s">
        <v>55</v>
      </c>
      <c r="P1607" t="s">
        <v>56</v>
      </c>
      <c r="Q1607" t="s">
        <v>69</v>
      </c>
    </row>
    <row r="1608" spans="1:17" x14ac:dyDescent="0.3">
      <c r="A1608" t="s">
        <v>7522</v>
      </c>
      <c r="B1608" t="s">
        <v>7523</v>
      </c>
      <c r="C1608">
        <v>43</v>
      </c>
      <c r="D1608" t="s">
        <v>7524</v>
      </c>
      <c r="E1608" t="s">
        <v>95</v>
      </c>
      <c r="F1608" t="s">
        <v>3501</v>
      </c>
      <c r="G1608" s="86">
        <v>45086</v>
      </c>
      <c r="H1608">
        <v>0</v>
      </c>
      <c r="I1608" t="s">
        <v>27</v>
      </c>
      <c r="J1608" s="86">
        <v>44593</v>
      </c>
      <c r="K1608">
        <v>428.32</v>
      </c>
      <c r="L1608">
        <v>1</v>
      </c>
      <c r="M1608">
        <v>38</v>
      </c>
      <c r="N1608" t="s">
        <v>54</v>
      </c>
      <c r="O1608" t="s">
        <v>373</v>
      </c>
      <c r="P1608" t="s">
        <v>54</v>
      </c>
      <c r="Q1608" t="s">
        <v>32</v>
      </c>
    </row>
    <row r="1609" spans="1:17" x14ac:dyDescent="0.3">
      <c r="A1609" t="s">
        <v>7526</v>
      </c>
      <c r="B1609" t="s">
        <v>7527</v>
      </c>
      <c r="C1609">
        <v>62</v>
      </c>
      <c r="D1609" t="s">
        <v>7528</v>
      </c>
      <c r="E1609" t="s">
        <v>61</v>
      </c>
      <c r="F1609" s="86">
        <v>44932</v>
      </c>
      <c r="G1609" s="86">
        <v>45241</v>
      </c>
      <c r="H1609">
        <v>4</v>
      </c>
      <c r="I1609" t="s">
        <v>27</v>
      </c>
      <c r="J1609" t="s">
        <v>284</v>
      </c>
      <c r="K1609">
        <v>434.76</v>
      </c>
      <c r="L1609">
        <v>4</v>
      </c>
      <c r="M1609">
        <v>30</v>
      </c>
      <c r="N1609" t="s">
        <v>56</v>
      </c>
      <c r="O1609" t="s">
        <v>116</v>
      </c>
      <c r="P1609" t="s">
        <v>54</v>
      </c>
      <c r="Q1609" t="s">
        <v>69</v>
      </c>
    </row>
    <row r="1610" spans="1:17" x14ac:dyDescent="0.3">
      <c r="A1610" t="s">
        <v>7530</v>
      </c>
      <c r="B1610" t="s">
        <v>7531</v>
      </c>
      <c r="C1610">
        <v>64</v>
      </c>
      <c r="D1610" t="s">
        <v>7532</v>
      </c>
      <c r="E1610" t="s">
        <v>95</v>
      </c>
      <c r="F1610" t="s">
        <v>2795</v>
      </c>
      <c r="G1610" s="86">
        <v>44960</v>
      </c>
      <c r="H1610">
        <v>1</v>
      </c>
      <c r="I1610" t="s">
        <v>27</v>
      </c>
      <c r="J1610" s="86">
        <v>45638</v>
      </c>
      <c r="K1610">
        <v>823.43</v>
      </c>
      <c r="L1610">
        <v>1</v>
      </c>
      <c r="M1610">
        <v>16</v>
      </c>
      <c r="N1610" t="s">
        <v>54</v>
      </c>
      <c r="O1610" t="s">
        <v>77</v>
      </c>
      <c r="P1610" t="s">
        <v>54</v>
      </c>
      <c r="Q1610" t="s">
        <v>32</v>
      </c>
    </row>
    <row r="1611" spans="1:17" x14ac:dyDescent="0.3">
      <c r="A1611" t="s">
        <v>7534</v>
      </c>
      <c r="B1611" t="s">
        <v>7535</v>
      </c>
      <c r="C1611">
        <v>35</v>
      </c>
      <c r="D1611" t="s">
        <v>7536</v>
      </c>
      <c r="E1611" t="s">
        <v>40</v>
      </c>
      <c r="F1611" t="s">
        <v>4169</v>
      </c>
      <c r="G1611" t="s">
        <v>1836</v>
      </c>
      <c r="H1611">
        <v>4</v>
      </c>
      <c r="I1611" t="s">
        <v>27</v>
      </c>
      <c r="J1611" t="s">
        <v>2763</v>
      </c>
      <c r="K1611">
        <v>457.86</v>
      </c>
      <c r="L1611">
        <v>4</v>
      </c>
      <c r="M1611">
        <v>11</v>
      </c>
      <c r="N1611" t="s">
        <v>54</v>
      </c>
      <c r="O1611" t="s">
        <v>44</v>
      </c>
      <c r="P1611" t="s">
        <v>45</v>
      </c>
      <c r="Q1611" t="s">
        <v>32</v>
      </c>
    </row>
    <row r="1612" spans="1:17" x14ac:dyDescent="0.3">
      <c r="A1612" t="s">
        <v>7538</v>
      </c>
      <c r="B1612" t="s">
        <v>7539</v>
      </c>
      <c r="C1612">
        <v>18</v>
      </c>
      <c r="D1612" t="s">
        <v>7540</v>
      </c>
      <c r="E1612" t="s">
        <v>40</v>
      </c>
      <c r="F1612" s="86">
        <v>44907</v>
      </c>
      <c r="G1612" t="s">
        <v>1143</v>
      </c>
      <c r="H1612">
        <v>0</v>
      </c>
      <c r="I1612" t="s">
        <v>64</v>
      </c>
      <c r="J1612" t="s">
        <v>2697</v>
      </c>
      <c r="K1612">
        <v>101.26</v>
      </c>
      <c r="L1612">
        <v>7</v>
      </c>
      <c r="M1612">
        <v>2</v>
      </c>
      <c r="N1612" t="s">
        <v>56</v>
      </c>
      <c r="O1612" t="s">
        <v>604</v>
      </c>
      <c r="P1612" t="s">
        <v>45</v>
      </c>
      <c r="Q1612" t="s">
        <v>32</v>
      </c>
    </row>
    <row r="1613" spans="1:17" x14ac:dyDescent="0.3">
      <c r="A1613" t="s">
        <v>7542</v>
      </c>
      <c r="B1613" t="s">
        <v>7543</v>
      </c>
      <c r="C1613">
        <v>55</v>
      </c>
      <c r="D1613" t="s">
        <v>7544</v>
      </c>
      <c r="E1613" t="s">
        <v>51</v>
      </c>
      <c r="F1613" t="s">
        <v>249</v>
      </c>
      <c r="G1613" t="s">
        <v>5832</v>
      </c>
      <c r="H1613">
        <v>4</v>
      </c>
      <c r="I1613" t="s">
        <v>64</v>
      </c>
      <c r="J1613" t="s">
        <v>7545</v>
      </c>
      <c r="K1613">
        <v>96.22</v>
      </c>
      <c r="L1613">
        <v>6</v>
      </c>
      <c r="M1613">
        <v>20</v>
      </c>
      <c r="N1613" t="s">
        <v>68</v>
      </c>
      <c r="O1613" t="s">
        <v>128</v>
      </c>
      <c r="P1613" t="s">
        <v>54</v>
      </c>
      <c r="Q1613" t="s">
        <v>69</v>
      </c>
    </row>
    <row r="1614" spans="1:17" x14ac:dyDescent="0.3">
      <c r="A1614" t="s">
        <v>7547</v>
      </c>
      <c r="B1614" t="s">
        <v>7548</v>
      </c>
      <c r="C1614">
        <v>54</v>
      </c>
      <c r="D1614" t="s">
        <v>7549</v>
      </c>
      <c r="E1614" t="s">
        <v>88</v>
      </c>
      <c r="F1614" t="s">
        <v>3685</v>
      </c>
      <c r="G1614" s="86">
        <v>45391</v>
      </c>
      <c r="H1614">
        <v>1</v>
      </c>
      <c r="I1614" t="s">
        <v>52</v>
      </c>
      <c r="J1614" s="86">
        <v>45022</v>
      </c>
      <c r="K1614">
        <v>231.8</v>
      </c>
      <c r="L1614">
        <v>5</v>
      </c>
      <c r="M1614">
        <v>16</v>
      </c>
      <c r="N1614" t="s">
        <v>56</v>
      </c>
      <c r="O1614" t="s">
        <v>31</v>
      </c>
      <c r="P1614" t="s">
        <v>30</v>
      </c>
      <c r="Q1614" t="s">
        <v>32</v>
      </c>
    </row>
    <row r="1615" spans="1:17" x14ac:dyDescent="0.3">
      <c r="A1615" t="s">
        <v>7551</v>
      </c>
      <c r="B1615" t="s">
        <v>7552</v>
      </c>
      <c r="C1615">
        <v>46</v>
      </c>
      <c r="D1615" t="s">
        <v>7553</v>
      </c>
      <c r="E1615" t="s">
        <v>25</v>
      </c>
      <c r="F1615" t="s">
        <v>1622</v>
      </c>
      <c r="G1615" t="s">
        <v>1268</v>
      </c>
      <c r="H1615">
        <v>0</v>
      </c>
      <c r="I1615" t="s">
        <v>27</v>
      </c>
      <c r="J1615" t="s">
        <v>3674</v>
      </c>
      <c r="K1615">
        <v>322.05</v>
      </c>
      <c r="L1615">
        <v>5</v>
      </c>
      <c r="M1615">
        <v>24</v>
      </c>
      <c r="N1615" t="s">
        <v>56</v>
      </c>
      <c r="O1615" t="s">
        <v>245</v>
      </c>
      <c r="P1615" t="s">
        <v>54</v>
      </c>
      <c r="Q1615" t="s">
        <v>32</v>
      </c>
    </row>
    <row r="1616" spans="1:17" x14ac:dyDescent="0.3">
      <c r="A1616" t="s">
        <v>7555</v>
      </c>
      <c r="B1616" t="s">
        <v>7556</v>
      </c>
      <c r="C1616">
        <v>60</v>
      </c>
      <c r="D1616" t="s">
        <v>7557</v>
      </c>
      <c r="E1616" t="s">
        <v>25</v>
      </c>
      <c r="F1616" t="s">
        <v>6710</v>
      </c>
      <c r="G1616" t="s">
        <v>3412</v>
      </c>
      <c r="H1616">
        <v>1</v>
      </c>
      <c r="I1616" t="s">
        <v>52</v>
      </c>
      <c r="J1616" t="s">
        <v>790</v>
      </c>
      <c r="K1616">
        <v>69.27</v>
      </c>
      <c r="L1616">
        <v>6</v>
      </c>
      <c r="M1616">
        <v>43</v>
      </c>
      <c r="N1616" t="s">
        <v>30</v>
      </c>
      <c r="O1616" t="s">
        <v>175</v>
      </c>
      <c r="P1616" t="s">
        <v>56</v>
      </c>
      <c r="Q1616" t="s">
        <v>69</v>
      </c>
    </row>
    <row r="1617" spans="1:17" x14ac:dyDescent="0.3">
      <c r="A1617" t="s">
        <v>7559</v>
      </c>
      <c r="B1617" t="s">
        <v>7560</v>
      </c>
      <c r="C1617">
        <v>65</v>
      </c>
      <c r="D1617" t="s">
        <v>7561</v>
      </c>
      <c r="E1617" t="s">
        <v>88</v>
      </c>
      <c r="F1617" t="s">
        <v>1988</v>
      </c>
      <c r="G1617" t="s">
        <v>7562</v>
      </c>
      <c r="H1617">
        <v>4</v>
      </c>
      <c r="I1617" t="s">
        <v>27</v>
      </c>
      <c r="J1617" s="86">
        <v>44481</v>
      </c>
      <c r="K1617">
        <v>1699.62</v>
      </c>
      <c r="L1617">
        <v>1</v>
      </c>
      <c r="M1617">
        <v>17</v>
      </c>
      <c r="N1617" t="s">
        <v>56</v>
      </c>
      <c r="O1617" t="s">
        <v>55</v>
      </c>
      <c r="P1617" t="s">
        <v>56</v>
      </c>
      <c r="Q1617" t="s">
        <v>69</v>
      </c>
    </row>
    <row r="1618" spans="1:17" x14ac:dyDescent="0.3">
      <c r="A1618" t="s">
        <v>7564</v>
      </c>
      <c r="B1618" t="s">
        <v>7565</v>
      </c>
      <c r="C1618">
        <v>32</v>
      </c>
      <c r="D1618" t="s">
        <v>7566</v>
      </c>
      <c r="E1618" t="s">
        <v>61</v>
      </c>
      <c r="F1618" t="s">
        <v>4817</v>
      </c>
      <c r="G1618" s="86">
        <v>45363</v>
      </c>
      <c r="H1618">
        <v>0</v>
      </c>
      <c r="I1618" t="s">
        <v>27</v>
      </c>
      <c r="J1618" t="s">
        <v>2973</v>
      </c>
      <c r="K1618">
        <v>260.12</v>
      </c>
      <c r="L1618">
        <v>7</v>
      </c>
      <c r="M1618">
        <v>44</v>
      </c>
      <c r="N1618" t="s">
        <v>68</v>
      </c>
      <c r="O1618" t="s">
        <v>169</v>
      </c>
      <c r="P1618" t="s">
        <v>30</v>
      </c>
      <c r="Q1618" t="s">
        <v>69</v>
      </c>
    </row>
    <row r="1619" spans="1:17" x14ac:dyDescent="0.3">
      <c r="A1619" t="s">
        <v>7568</v>
      </c>
      <c r="B1619" t="s">
        <v>7569</v>
      </c>
      <c r="C1619">
        <v>50</v>
      </c>
      <c r="D1619" t="s">
        <v>7570</v>
      </c>
      <c r="E1619" t="s">
        <v>25</v>
      </c>
      <c r="F1619" s="86">
        <v>44572</v>
      </c>
      <c r="G1619" t="s">
        <v>4062</v>
      </c>
      <c r="H1619">
        <v>0</v>
      </c>
      <c r="I1619" t="s">
        <v>27</v>
      </c>
      <c r="J1619" s="86">
        <v>44935</v>
      </c>
      <c r="K1619">
        <v>161.93</v>
      </c>
      <c r="L1619">
        <v>8</v>
      </c>
      <c r="M1619">
        <v>43</v>
      </c>
      <c r="N1619" t="s">
        <v>68</v>
      </c>
      <c r="O1619" t="s">
        <v>169</v>
      </c>
      <c r="P1619" t="s">
        <v>30</v>
      </c>
      <c r="Q1619" t="s">
        <v>32</v>
      </c>
    </row>
    <row r="1620" spans="1:17" x14ac:dyDescent="0.3">
      <c r="A1620" t="s">
        <v>7571</v>
      </c>
      <c r="B1620" t="s">
        <v>7572</v>
      </c>
      <c r="C1620">
        <v>45</v>
      </c>
      <c r="D1620" t="s">
        <v>7573</v>
      </c>
      <c r="E1620" t="s">
        <v>95</v>
      </c>
      <c r="F1620" s="86">
        <v>44691</v>
      </c>
      <c r="G1620" s="86">
        <v>45359</v>
      </c>
      <c r="H1620">
        <v>1</v>
      </c>
      <c r="I1620" t="s">
        <v>27</v>
      </c>
      <c r="J1620" t="s">
        <v>1318</v>
      </c>
      <c r="K1620">
        <v>191.99</v>
      </c>
      <c r="L1620">
        <v>7</v>
      </c>
      <c r="M1620">
        <v>3</v>
      </c>
      <c r="N1620" t="s">
        <v>54</v>
      </c>
      <c r="O1620" t="s">
        <v>354</v>
      </c>
      <c r="P1620" t="s">
        <v>45</v>
      </c>
      <c r="Q1620" t="s">
        <v>32</v>
      </c>
    </row>
    <row r="1621" spans="1:17" x14ac:dyDescent="0.3">
      <c r="A1621" t="s">
        <v>7575</v>
      </c>
      <c r="B1621" t="s">
        <v>7576</v>
      </c>
      <c r="C1621">
        <v>22</v>
      </c>
      <c r="D1621" t="s">
        <v>7577</v>
      </c>
      <c r="E1621" t="s">
        <v>88</v>
      </c>
      <c r="F1621" t="s">
        <v>3107</v>
      </c>
      <c r="G1621" t="s">
        <v>2446</v>
      </c>
      <c r="H1621">
        <v>2</v>
      </c>
      <c r="I1621" t="s">
        <v>52</v>
      </c>
      <c r="J1621" t="s">
        <v>6086</v>
      </c>
      <c r="K1621">
        <v>91.6</v>
      </c>
      <c r="L1621">
        <v>9</v>
      </c>
      <c r="M1621">
        <v>37</v>
      </c>
      <c r="N1621" t="s">
        <v>45</v>
      </c>
      <c r="O1621" t="s">
        <v>269</v>
      </c>
      <c r="P1621" t="s">
        <v>56</v>
      </c>
      <c r="Q1621" t="s">
        <v>69</v>
      </c>
    </row>
    <row r="1622" spans="1:17" x14ac:dyDescent="0.3">
      <c r="A1622" t="s">
        <v>7579</v>
      </c>
      <c r="B1622" t="s">
        <v>7580</v>
      </c>
      <c r="C1622">
        <v>65</v>
      </c>
      <c r="D1622" t="s">
        <v>7581</v>
      </c>
      <c r="E1622" t="s">
        <v>61</v>
      </c>
      <c r="F1622" s="86">
        <v>44291</v>
      </c>
      <c r="G1622" s="86">
        <v>44690</v>
      </c>
      <c r="H1622">
        <v>0</v>
      </c>
      <c r="I1622" t="s">
        <v>27</v>
      </c>
      <c r="J1622" s="86">
        <v>44777</v>
      </c>
      <c r="K1622">
        <v>109.84</v>
      </c>
      <c r="L1622">
        <v>8</v>
      </c>
      <c r="M1622">
        <v>12</v>
      </c>
      <c r="N1622" t="s">
        <v>45</v>
      </c>
      <c r="O1622" t="s">
        <v>597</v>
      </c>
      <c r="P1622" t="s">
        <v>45</v>
      </c>
      <c r="Q1622" t="s">
        <v>69</v>
      </c>
    </row>
    <row r="1623" spans="1:17" x14ac:dyDescent="0.3">
      <c r="A1623" t="s">
        <v>7583</v>
      </c>
      <c r="B1623" t="s">
        <v>7584</v>
      </c>
      <c r="C1623">
        <v>57</v>
      </c>
      <c r="D1623" t="s">
        <v>7585</v>
      </c>
      <c r="E1623" t="s">
        <v>40</v>
      </c>
      <c r="F1623" t="s">
        <v>1970</v>
      </c>
      <c r="G1623" s="86">
        <v>45809</v>
      </c>
      <c r="H1623">
        <v>2</v>
      </c>
      <c r="I1623" t="s">
        <v>64</v>
      </c>
      <c r="J1623" t="s">
        <v>1312</v>
      </c>
      <c r="K1623">
        <v>502.39</v>
      </c>
      <c r="L1623">
        <v>2</v>
      </c>
      <c r="M1623">
        <v>34</v>
      </c>
      <c r="N1623" t="s">
        <v>56</v>
      </c>
      <c r="O1623" t="s">
        <v>245</v>
      </c>
      <c r="P1623" t="s">
        <v>54</v>
      </c>
      <c r="Q1623" t="s">
        <v>69</v>
      </c>
    </row>
    <row r="1624" spans="1:17" x14ac:dyDescent="0.3">
      <c r="A1624" t="s">
        <v>7587</v>
      </c>
      <c r="B1624" t="s">
        <v>7588</v>
      </c>
      <c r="C1624">
        <v>66</v>
      </c>
      <c r="D1624" t="s">
        <v>7589</v>
      </c>
      <c r="E1624" t="s">
        <v>51</v>
      </c>
      <c r="F1624" s="86">
        <v>44481</v>
      </c>
      <c r="G1624" t="s">
        <v>2673</v>
      </c>
      <c r="H1624">
        <v>3</v>
      </c>
      <c r="I1624" t="s">
        <v>27</v>
      </c>
      <c r="J1624" t="s">
        <v>2353</v>
      </c>
      <c r="K1624">
        <v>201.65</v>
      </c>
      <c r="L1624">
        <v>9</v>
      </c>
      <c r="M1624">
        <v>21</v>
      </c>
      <c r="N1624" t="s">
        <v>68</v>
      </c>
      <c r="O1624" t="s">
        <v>223</v>
      </c>
      <c r="P1624" t="s">
        <v>56</v>
      </c>
      <c r="Q1624" t="s">
        <v>69</v>
      </c>
    </row>
    <row r="1625" spans="1:17" x14ac:dyDescent="0.3">
      <c r="A1625" t="s">
        <v>7591</v>
      </c>
      <c r="B1625" t="s">
        <v>7592</v>
      </c>
      <c r="C1625">
        <v>24</v>
      </c>
      <c r="D1625" t="s">
        <v>7593</v>
      </c>
      <c r="E1625" t="s">
        <v>61</v>
      </c>
      <c r="F1625" s="86">
        <v>44720</v>
      </c>
      <c r="G1625" t="s">
        <v>2800</v>
      </c>
      <c r="H1625">
        <v>4</v>
      </c>
      <c r="I1625" t="s">
        <v>27</v>
      </c>
      <c r="J1625" t="s">
        <v>1989</v>
      </c>
      <c r="K1625">
        <v>418.77</v>
      </c>
      <c r="L1625">
        <v>4</v>
      </c>
      <c r="M1625">
        <v>32</v>
      </c>
      <c r="N1625" t="s">
        <v>45</v>
      </c>
      <c r="O1625" t="s">
        <v>837</v>
      </c>
      <c r="P1625" t="s">
        <v>56</v>
      </c>
      <c r="Q1625" t="s">
        <v>32</v>
      </c>
    </row>
    <row r="1626" spans="1:17" x14ac:dyDescent="0.3">
      <c r="A1626" t="s">
        <v>7595</v>
      </c>
      <c r="B1626" t="s">
        <v>7596</v>
      </c>
      <c r="C1626">
        <v>46</v>
      </c>
      <c r="D1626" t="s">
        <v>7597</v>
      </c>
      <c r="E1626" t="s">
        <v>88</v>
      </c>
      <c r="F1626" s="86">
        <v>44291</v>
      </c>
      <c r="G1626" t="s">
        <v>2569</v>
      </c>
      <c r="H1626">
        <v>4</v>
      </c>
      <c r="I1626" t="s">
        <v>52</v>
      </c>
      <c r="J1626" s="86">
        <v>45051</v>
      </c>
      <c r="K1626">
        <v>642.34</v>
      </c>
      <c r="L1626">
        <v>2</v>
      </c>
      <c r="M1626">
        <v>42</v>
      </c>
      <c r="N1626" t="s">
        <v>68</v>
      </c>
      <c r="O1626" t="s">
        <v>269</v>
      </c>
      <c r="P1626" t="s">
        <v>56</v>
      </c>
      <c r="Q1626" t="s">
        <v>32</v>
      </c>
    </row>
    <row r="1627" spans="1:17" x14ac:dyDescent="0.3">
      <c r="A1627" t="s">
        <v>7599</v>
      </c>
      <c r="B1627" t="s">
        <v>7600</v>
      </c>
      <c r="C1627">
        <v>50</v>
      </c>
      <c r="D1627" t="s">
        <v>7601</v>
      </c>
      <c r="E1627" t="s">
        <v>88</v>
      </c>
      <c r="F1627" t="s">
        <v>1663</v>
      </c>
      <c r="G1627" s="86">
        <v>45839</v>
      </c>
      <c r="H1627">
        <v>4</v>
      </c>
      <c r="I1627" t="s">
        <v>64</v>
      </c>
      <c r="J1627" s="86">
        <v>44992</v>
      </c>
      <c r="K1627">
        <v>935.56</v>
      </c>
      <c r="L1627">
        <v>2</v>
      </c>
      <c r="M1627">
        <v>47</v>
      </c>
      <c r="N1627" t="s">
        <v>68</v>
      </c>
      <c r="O1627" t="s">
        <v>373</v>
      </c>
      <c r="P1627" t="s">
        <v>54</v>
      </c>
      <c r="Q1627" t="s">
        <v>69</v>
      </c>
    </row>
    <row r="1628" spans="1:17" x14ac:dyDescent="0.3">
      <c r="A1628" t="s">
        <v>7603</v>
      </c>
      <c r="B1628" t="s">
        <v>7604</v>
      </c>
      <c r="C1628">
        <v>46</v>
      </c>
      <c r="D1628" t="s">
        <v>7605</v>
      </c>
      <c r="E1628" t="s">
        <v>51</v>
      </c>
      <c r="F1628" t="s">
        <v>3846</v>
      </c>
      <c r="G1628" s="86">
        <v>44601</v>
      </c>
      <c r="H1628">
        <v>2</v>
      </c>
      <c r="I1628" t="s">
        <v>52</v>
      </c>
      <c r="J1628" s="86">
        <v>45328</v>
      </c>
      <c r="K1628">
        <v>339.15</v>
      </c>
      <c r="L1628">
        <v>4</v>
      </c>
      <c r="M1628">
        <v>27</v>
      </c>
      <c r="N1628" t="s">
        <v>45</v>
      </c>
      <c r="O1628" t="s">
        <v>251</v>
      </c>
      <c r="P1628" t="s">
        <v>30</v>
      </c>
      <c r="Q1628" t="s">
        <v>69</v>
      </c>
    </row>
    <row r="1629" spans="1:17" x14ac:dyDescent="0.3">
      <c r="A1629" t="s">
        <v>7607</v>
      </c>
      <c r="B1629" t="s">
        <v>7608</v>
      </c>
      <c r="C1629">
        <v>23</v>
      </c>
      <c r="D1629" t="s">
        <v>7609</v>
      </c>
      <c r="E1629" t="s">
        <v>95</v>
      </c>
      <c r="F1629" s="86">
        <v>43932</v>
      </c>
      <c r="G1629" s="86">
        <v>45113</v>
      </c>
      <c r="H1629">
        <v>4</v>
      </c>
      <c r="I1629" t="s">
        <v>27</v>
      </c>
      <c r="J1629" s="86">
        <v>45597</v>
      </c>
      <c r="K1629">
        <v>375.92</v>
      </c>
      <c r="L1629">
        <v>4</v>
      </c>
      <c r="M1629">
        <v>26</v>
      </c>
      <c r="N1629" t="s">
        <v>54</v>
      </c>
      <c r="O1629" t="s">
        <v>77</v>
      </c>
      <c r="P1629" t="s">
        <v>54</v>
      </c>
      <c r="Q1629" t="s">
        <v>69</v>
      </c>
    </row>
    <row r="1630" spans="1:17" x14ac:dyDescent="0.3">
      <c r="A1630" t="s">
        <v>7611</v>
      </c>
      <c r="B1630" t="s">
        <v>7612</v>
      </c>
      <c r="C1630">
        <v>64</v>
      </c>
      <c r="D1630" t="s">
        <v>7613</v>
      </c>
      <c r="E1630" t="s">
        <v>25</v>
      </c>
      <c r="F1630" s="86">
        <v>44596</v>
      </c>
      <c r="G1630" s="86">
        <v>44569</v>
      </c>
      <c r="H1630">
        <v>1</v>
      </c>
      <c r="I1630" t="s">
        <v>27</v>
      </c>
      <c r="J1630" t="s">
        <v>1036</v>
      </c>
      <c r="K1630">
        <v>1105.58</v>
      </c>
      <c r="L1630">
        <v>1</v>
      </c>
      <c r="M1630">
        <v>30</v>
      </c>
      <c r="N1630" t="s">
        <v>30</v>
      </c>
      <c r="O1630" t="s">
        <v>536</v>
      </c>
      <c r="P1630" t="s">
        <v>68</v>
      </c>
      <c r="Q1630" t="s">
        <v>32</v>
      </c>
    </row>
    <row r="1631" spans="1:17" x14ac:dyDescent="0.3">
      <c r="A1631" t="s">
        <v>7615</v>
      </c>
      <c r="B1631" t="s">
        <v>7616</v>
      </c>
      <c r="C1631">
        <v>32</v>
      </c>
      <c r="D1631" t="s">
        <v>7617</v>
      </c>
      <c r="E1631" t="s">
        <v>88</v>
      </c>
      <c r="F1631" t="s">
        <v>275</v>
      </c>
      <c r="G1631" s="86">
        <v>45571</v>
      </c>
      <c r="H1631">
        <v>5</v>
      </c>
      <c r="I1631" t="s">
        <v>27</v>
      </c>
      <c r="J1631" t="s">
        <v>2441</v>
      </c>
      <c r="K1631">
        <v>95.07</v>
      </c>
      <c r="L1631">
        <v>9</v>
      </c>
      <c r="M1631">
        <v>45</v>
      </c>
      <c r="N1631" t="s">
        <v>54</v>
      </c>
      <c r="O1631" t="s">
        <v>223</v>
      </c>
      <c r="P1631" t="s">
        <v>56</v>
      </c>
      <c r="Q1631" t="s">
        <v>32</v>
      </c>
    </row>
    <row r="1632" spans="1:17" x14ac:dyDescent="0.3">
      <c r="A1632" t="s">
        <v>7619</v>
      </c>
      <c r="B1632" t="s">
        <v>7620</v>
      </c>
      <c r="C1632">
        <v>36</v>
      </c>
      <c r="D1632" t="s">
        <v>7621</v>
      </c>
      <c r="E1632" t="s">
        <v>40</v>
      </c>
      <c r="F1632" t="s">
        <v>2951</v>
      </c>
      <c r="G1632" t="s">
        <v>106</v>
      </c>
      <c r="H1632">
        <v>3</v>
      </c>
      <c r="I1632" t="s">
        <v>52</v>
      </c>
      <c r="J1632" s="86">
        <v>45908</v>
      </c>
      <c r="K1632">
        <v>166.35</v>
      </c>
      <c r="L1632">
        <v>8</v>
      </c>
      <c r="M1632">
        <v>43</v>
      </c>
      <c r="N1632" t="s">
        <v>68</v>
      </c>
      <c r="O1632" t="s">
        <v>169</v>
      </c>
      <c r="P1632" t="s">
        <v>30</v>
      </c>
      <c r="Q1632" t="s">
        <v>69</v>
      </c>
    </row>
    <row r="1633" spans="1:17" x14ac:dyDescent="0.3">
      <c r="A1633" t="s">
        <v>7623</v>
      </c>
      <c r="B1633" t="s">
        <v>7624</v>
      </c>
      <c r="C1633">
        <v>26</v>
      </c>
      <c r="D1633" t="s">
        <v>7625</v>
      </c>
      <c r="E1633" t="s">
        <v>51</v>
      </c>
      <c r="F1633" s="86">
        <v>45051</v>
      </c>
      <c r="G1633" s="86">
        <v>45332</v>
      </c>
      <c r="H1633">
        <v>2</v>
      </c>
      <c r="I1633" t="s">
        <v>27</v>
      </c>
      <c r="J1633" s="86">
        <v>45384</v>
      </c>
      <c r="K1633">
        <v>476.29</v>
      </c>
      <c r="L1633">
        <v>4</v>
      </c>
      <c r="M1633">
        <v>21</v>
      </c>
      <c r="N1633" t="s">
        <v>45</v>
      </c>
      <c r="O1633" t="s">
        <v>31</v>
      </c>
      <c r="P1633" t="s">
        <v>30</v>
      </c>
      <c r="Q1633" t="s">
        <v>69</v>
      </c>
    </row>
    <row r="1634" spans="1:17" x14ac:dyDescent="0.3">
      <c r="A1634" t="s">
        <v>7627</v>
      </c>
      <c r="B1634" t="s">
        <v>7628</v>
      </c>
      <c r="C1634">
        <v>67</v>
      </c>
      <c r="D1634" t="s">
        <v>7629</v>
      </c>
      <c r="E1634" t="s">
        <v>95</v>
      </c>
      <c r="F1634" t="s">
        <v>7630</v>
      </c>
      <c r="G1634" t="s">
        <v>3200</v>
      </c>
      <c r="H1634">
        <v>3</v>
      </c>
      <c r="I1634" t="s">
        <v>64</v>
      </c>
      <c r="J1634" s="86">
        <v>44629</v>
      </c>
      <c r="K1634">
        <v>498.96</v>
      </c>
      <c r="L1634">
        <v>3</v>
      </c>
      <c r="M1634">
        <v>40</v>
      </c>
      <c r="N1634" t="s">
        <v>30</v>
      </c>
      <c r="O1634" t="s">
        <v>31</v>
      </c>
      <c r="P1634" t="s">
        <v>30</v>
      </c>
      <c r="Q1634" t="s">
        <v>69</v>
      </c>
    </row>
    <row r="1635" spans="1:17" x14ac:dyDescent="0.3">
      <c r="A1635" t="s">
        <v>7632</v>
      </c>
      <c r="B1635" t="s">
        <v>7633</v>
      </c>
      <c r="C1635">
        <v>61</v>
      </c>
      <c r="D1635" t="s">
        <v>7634</v>
      </c>
      <c r="E1635" t="s">
        <v>25</v>
      </c>
      <c r="F1635" t="s">
        <v>208</v>
      </c>
      <c r="G1635" t="s">
        <v>4186</v>
      </c>
      <c r="H1635">
        <v>0</v>
      </c>
      <c r="I1635" t="s">
        <v>64</v>
      </c>
      <c r="J1635" t="s">
        <v>3430</v>
      </c>
      <c r="K1635">
        <v>212.7</v>
      </c>
      <c r="L1635">
        <v>4</v>
      </c>
      <c r="M1635">
        <v>29</v>
      </c>
      <c r="N1635" t="s">
        <v>54</v>
      </c>
      <c r="O1635" t="s">
        <v>610</v>
      </c>
      <c r="P1635" t="s">
        <v>68</v>
      </c>
      <c r="Q1635" t="s">
        <v>69</v>
      </c>
    </row>
    <row r="1636" spans="1:17" x14ac:dyDescent="0.3">
      <c r="A1636" t="s">
        <v>7636</v>
      </c>
      <c r="B1636" t="s">
        <v>7637</v>
      </c>
      <c r="C1636">
        <v>22</v>
      </c>
      <c r="D1636" t="s">
        <v>7638</v>
      </c>
      <c r="E1636" t="s">
        <v>25</v>
      </c>
      <c r="F1636" t="s">
        <v>3398</v>
      </c>
      <c r="G1636" t="s">
        <v>2455</v>
      </c>
      <c r="H1636">
        <v>1</v>
      </c>
      <c r="I1636" t="s">
        <v>27</v>
      </c>
      <c r="J1636" t="s">
        <v>394</v>
      </c>
      <c r="K1636">
        <v>1839.2</v>
      </c>
      <c r="L1636">
        <v>1</v>
      </c>
      <c r="M1636">
        <v>48</v>
      </c>
      <c r="N1636" t="s">
        <v>56</v>
      </c>
      <c r="O1636" t="s">
        <v>211</v>
      </c>
      <c r="P1636" t="s">
        <v>68</v>
      </c>
      <c r="Q1636" t="s">
        <v>32</v>
      </c>
    </row>
    <row r="1637" spans="1:17" x14ac:dyDescent="0.3">
      <c r="A1637" t="s">
        <v>7640</v>
      </c>
      <c r="B1637" t="s">
        <v>7641</v>
      </c>
      <c r="C1637">
        <v>62</v>
      </c>
      <c r="D1637" t="s">
        <v>7642</v>
      </c>
      <c r="E1637" t="s">
        <v>95</v>
      </c>
      <c r="F1637" s="86">
        <v>44684</v>
      </c>
      <c r="G1637" s="86">
        <v>45907</v>
      </c>
      <c r="H1637">
        <v>1</v>
      </c>
      <c r="I1637" t="s">
        <v>27</v>
      </c>
      <c r="J1637" s="86">
        <v>45575</v>
      </c>
      <c r="K1637">
        <v>317.92</v>
      </c>
      <c r="L1637">
        <v>4</v>
      </c>
      <c r="M1637">
        <v>23</v>
      </c>
      <c r="N1637" t="s">
        <v>54</v>
      </c>
      <c r="O1637" t="s">
        <v>425</v>
      </c>
      <c r="P1637" t="s">
        <v>30</v>
      </c>
      <c r="Q1637" t="s">
        <v>69</v>
      </c>
    </row>
    <row r="1638" spans="1:17" x14ac:dyDescent="0.3">
      <c r="A1638" t="s">
        <v>7643</v>
      </c>
      <c r="B1638" t="s">
        <v>7644</v>
      </c>
      <c r="C1638">
        <v>45</v>
      </c>
      <c r="D1638" t="s">
        <v>7645</v>
      </c>
      <c r="E1638" t="s">
        <v>51</v>
      </c>
      <c r="F1638" t="s">
        <v>7646</v>
      </c>
      <c r="G1638" t="s">
        <v>1243</v>
      </c>
      <c r="H1638">
        <v>1</v>
      </c>
      <c r="I1638" t="s">
        <v>64</v>
      </c>
      <c r="J1638" t="s">
        <v>1117</v>
      </c>
      <c r="K1638">
        <v>125.84</v>
      </c>
      <c r="L1638">
        <v>9</v>
      </c>
      <c r="M1638">
        <v>49</v>
      </c>
      <c r="N1638" t="s">
        <v>54</v>
      </c>
      <c r="O1638" t="s">
        <v>77</v>
      </c>
      <c r="P1638" t="s">
        <v>54</v>
      </c>
      <c r="Q1638" t="s">
        <v>32</v>
      </c>
    </row>
    <row r="1639" spans="1:17" x14ac:dyDescent="0.3">
      <c r="A1639" t="s">
        <v>7648</v>
      </c>
      <c r="B1639" t="s">
        <v>7649</v>
      </c>
      <c r="C1639">
        <v>59</v>
      </c>
      <c r="D1639" t="s">
        <v>7650</v>
      </c>
      <c r="E1639" t="s">
        <v>61</v>
      </c>
      <c r="F1639" t="s">
        <v>797</v>
      </c>
      <c r="G1639" t="s">
        <v>1811</v>
      </c>
      <c r="H1639">
        <v>3</v>
      </c>
      <c r="I1639" t="s">
        <v>27</v>
      </c>
      <c r="J1639" s="86">
        <v>45876</v>
      </c>
      <c r="K1639">
        <v>53.62</v>
      </c>
      <c r="L1639">
        <v>8</v>
      </c>
      <c r="M1639">
        <v>30</v>
      </c>
      <c r="N1639" t="s">
        <v>45</v>
      </c>
      <c r="O1639" t="s">
        <v>604</v>
      </c>
      <c r="P1639" t="s">
        <v>45</v>
      </c>
      <c r="Q1639" t="s">
        <v>69</v>
      </c>
    </row>
    <row r="1640" spans="1:17" x14ac:dyDescent="0.3">
      <c r="A1640" t="s">
        <v>7652</v>
      </c>
      <c r="B1640" t="s">
        <v>7653</v>
      </c>
      <c r="C1640">
        <v>42</v>
      </c>
      <c r="D1640" t="s">
        <v>7654</v>
      </c>
      <c r="E1640" t="s">
        <v>88</v>
      </c>
      <c r="F1640" t="s">
        <v>1085</v>
      </c>
      <c r="G1640" t="s">
        <v>724</v>
      </c>
      <c r="H1640">
        <v>5</v>
      </c>
      <c r="I1640" t="s">
        <v>27</v>
      </c>
      <c r="J1640" s="86">
        <v>44626</v>
      </c>
      <c r="K1640">
        <v>223.59</v>
      </c>
      <c r="L1640">
        <v>7</v>
      </c>
      <c r="M1640">
        <v>4</v>
      </c>
      <c r="N1640" t="s">
        <v>30</v>
      </c>
      <c r="O1640" t="s">
        <v>366</v>
      </c>
      <c r="P1640" t="s">
        <v>54</v>
      </c>
      <c r="Q1640" t="s">
        <v>69</v>
      </c>
    </row>
    <row r="1641" spans="1:17" x14ac:dyDescent="0.3">
      <c r="A1641" t="s">
        <v>7656</v>
      </c>
      <c r="B1641" t="s">
        <v>7657</v>
      </c>
      <c r="C1641">
        <v>26</v>
      </c>
      <c r="D1641" t="s">
        <v>7658</v>
      </c>
      <c r="E1641" t="s">
        <v>40</v>
      </c>
      <c r="F1641" t="s">
        <v>2313</v>
      </c>
      <c r="G1641" s="86">
        <v>44845</v>
      </c>
      <c r="H1641">
        <v>0</v>
      </c>
      <c r="I1641" t="s">
        <v>64</v>
      </c>
      <c r="J1641" t="s">
        <v>830</v>
      </c>
      <c r="K1641">
        <v>49.19</v>
      </c>
      <c r="L1641">
        <v>3</v>
      </c>
      <c r="M1641">
        <v>29</v>
      </c>
      <c r="N1641" t="s">
        <v>45</v>
      </c>
      <c r="O1641" t="s">
        <v>238</v>
      </c>
      <c r="P1641" t="s">
        <v>45</v>
      </c>
      <c r="Q1641" t="s">
        <v>32</v>
      </c>
    </row>
    <row r="1642" spans="1:17" x14ac:dyDescent="0.3">
      <c r="A1642" t="s">
        <v>7660</v>
      </c>
      <c r="B1642" t="s">
        <v>7661</v>
      </c>
      <c r="C1642">
        <v>37</v>
      </c>
      <c r="D1642" t="s">
        <v>7662</v>
      </c>
      <c r="E1642" t="s">
        <v>61</v>
      </c>
      <c r="F1642" s="86">
        <v>45175</v>
      </c>
      <c r="G1642" t="s">
        <v>2763</v>
      </c>
      <c r="H1642">
        <v>2</v>
      </c>
      <c r="I1642" t="s">
        <v>27</v>
      </c>
      <c r="J1642" s="86">
        <v>44995</v>
      </c>
      <c r="K1642">
        <v>211</v>
      </c>
      <c r="L1642">
        <v>7</v>
      </c>
      <c r="M1642">
        <v>15</v>
      </c>
      <c r="N1642" t="s">
        <v>30</v>
      </c>
      <c r="O1642" t="s">
        <v>821</v>
      </c>
      <c r="P1642" t="s">
        <v>68</v>
      </c>
      <c r="Q1642" t="s">
        <v>32</v>
      </c>
    </row>
    <row r="1643" spans="1:17" x14ac:dyDescent="0.3">
      <c r="A1643" t="s">
        <v>7664</v>
      </c>
      <c r="B1643" t="s">
        <v>7665</v>
      </c>
      <c r="C1643">
        <v>36</v>
      </c>
      <c r="D1643" t="s">
        <v>7666</v>
      </c>
      <c r="E1643" t="s">
        <v>88</v>
      </c>
      <c r="F1643" t="s">
        <v>2019</v>
      </c>
      <c r="G1643" t="s">
        <v>3372</v>
      </c>
      <c r="H1643">
        <v>0</v>
      </c>
      <c r="I1643" t="s">
        <v>27</v>
      </c>
      <c r="J1643" s="86">
        <v>45352</v>
      </c>
      <c r="K1643">
        <v>905.81</v>
      </c>
      <c r="L1643">
        <v>2</v>
      </c>
      <c r="M1643">
        <v>46</v>
      </c>
      <c r="N1643" t="s">
        <v>68</v>
      </c>
      <c r="O1643" t="s">
        <v>128</v>
      </c>
      <c r="P1643" t="s">
        <v>54</v>
      </c>
      <c r="Q1643" t="s">
        <v>69</v>
      </c>
    </row>
    <row r="1644" spans="1:17" x14ac:dyDescent="0.3">
      <c r="A1644" t="s">
        <v>7668</v>
      </c>
      <c r="B1644" t="s">
        <v>7669</v>
      </c>
      <c r="C1644">
        <v>60</v>
      </c>
      <c r="D1644" t="s">
        <v>7670</v>
      </c>
      <c r="E1644" t="s">
        <v>88</v>
      </c>
      <c r="F1644" s="86">
        <v>45082</v>
      </c>
      <c r="G1644" s="86">
        <v>45083</v>
      </c>
      <c r="H1644">
        <v>5</v>
      </c>
      <c r="I1644" t="s">
        <v>27</v>
      </c>
      <c r="J1644" s="86">
        <v>45692</v>
      </c>
      <c r="K1644">
        <v>97.72</v>
      </c>
      <c r="L1644">
        <v>8</v>
      </c>
      <c r="M1644">
        <v>2</v>
      </c>
      <c r="N1644" t="s">
        <v>56</v>
      </c>
      <c r="O1644" t="s">
        <v>837</v>
      </c>
      <c r="P1644" t="s">
        <v>56</v>
      </c>
      <c r="Q1644" t="s">
        <v>32</v>
      </c>
    </row>
    <row r="1645" spans="1:17" x14ac:dyDescent="0.3">
      <c r="A1645" t="s">
        <v>7672</v>
      </c>
      <c r="B1645" t="s">
        <v>7673</v>
      </c>
      <c r="C1645">
        <v>34</v>
      </c>
      <c r="D1645" t="s">
        <v>7674</v>
      </c>
      <c r="E1645" t="s">
        <v>61</v>
      </c>
      <c r="F1645" s="86">
        <v>44449</v>
      </c>
      <c r="G1645" t="s">
        <v>6086</v>
      </c>
      <c r="H1645">
        <v>1</v>
      </c>
      <c r="I1645" t="s">
        <v>52</v>
      </c>
      <c r="J1645" s="86">
        <v>45936</v>
      </c>
      <c r="K1645">
        <v>410.74</v>
      </c>
      <c r="L1645">
        <v>3</v>
      </c>
      <c r="M1645">
        <v>39</v>
      </c>
      <c r="N1645" t="s">
        <v>45</v>
      </c>
      <c r="O1645" t="s">
        <v>199</v>
      </c>
      <c r="P1645" t="s">
        <v>54</v>
      </c>
      <c r="Q1645" t="s">
        <v>69</v>
      </c>
    </row>
    <row r="1646" spans="1:17" x14ac:dyDescent="0.3">
      <c r="A1646" t="s">
        <v>7676</v>
      </c>
      <c r="B1646" t="s">
        <v>7677</v>
      </c>
      <c r="C1646">
        <v>43</v>
      </c>
      <c r="D1646" t="s">
        <v>7678</v>
      </c>
      <c r="E1646" t="s">
        <v>25</v>
      </c>
      <c r="F1646" t="s">
        <v>502</v>
      </c>
      <c r="G1646" t="s">
        <v>6700</v>
      </c>
      <c r="H1646">
        <v>0</v>
      </c>
      <c r="I1646" t="s">
        <v>27</v>
      </c>
      <c r="J1646" t="s">
        <v>4817</v>
      </c>
      <c r="K1646">
        <v>91.62</v>
      </c>
      <c r="L1646">
        <v>6</v>
      </c>
      <c r="M1646">
        <v>9</v>
      </c>
      <c r="N1646" t="s">
        <v>30</v>
      </c>
      <c r="O1646" t="s">
        <v>55</v>
      </c>
      <c r="P1646" t="s">
        <v>56</v>
      </c>
      <c r="Q1646" t="s">
        <v>32</v>
      </c>
    </row>
    <row r="1647" spans="1:17" x14ac:dyDescent="0.3">
      <c r="A1647" t="s">
        <v>7680</v>
      </c>
      <c r="B1647" t="s">
        <v>7681</v>
      </c>
      <c r="C1647">
        <v>55</v>
      </c>
      <c r="D1647" t="s">
        <v>7682</v>
      </c>
      <c r="E1647" t="s">
        <v>61</v>
      </c>
      <c r="F1647" s="86">
        <v>44659</v>
      </c>
      <c r="G1647" s="86">
        <v>45602</v>
      </c>
      <c r="H1647">
        <v>2</v>
      </c>
      <c r="I1647" t="s">
        <v>52</v>
      </c>
      <c r="J1647" t="s">
        <v>81</v>
      </c>
      <c r="K1647">
        <v>173.84</v>
      </c>
      <c r="L1647">
        <v>5</v>
      </c>
      <c r="M1647">
        <v>46</v>
      </c>
      <c r="N1647" t="s">
        <v>45</v>
      </c>
      <c r="O1647" t="s">
        <v>245</v>
      </c>
      <c r="P1647" t="s">
        <v>54</v>
      </c>
      <c r="Q1647" t="s">
        <v>32</v>
      </c>
    </row>
    <row r="1648" spans="1:17" x14ac:dyDescent="0.3">
      <c r="A1648" t="s">
        <v>7684</v>
      </c>
      <c r="B1648" t="s">
        <v>7685</v>
      </c>
      <c r="C1648">
        <v>33</v>
      </c>
      <c r="D1648" t="s">
        <v>7686</v>
      </c>
      <c r="E1648" t="s">
        <v>95</v>
      </c>
      <c r="F1648" t="s">
        <v>3174</v>
      </c>
      <c r="G1648" s="86">
        <v>45843</v>
      </c>
      <c r="H1648">
        <v>5</v>
      </c>
      <c r="I1648" t="s">
        <v>27</v>
      </c>
      <c r="J1648" t="s">
        <v>1215</v>
      </c>
      <c r="K1648">
        <v>255.81</v>
      </c>
      <c r="L1648">
        <v>6</v>
      </c>
      <c r="M1648">
        <v>35</v>
      </c>
      <c r="N1648" t="s">
        <v>54</v>
      </c>
      <c r="O1648" t="s">
        <v>624</v>
      </c>
      <c r="P1648" t="s">
        <v>30</v>
      </c>
      <c r="Q1648" t="s">
        <v>32</v>
      </c>
    </row>
    <row r="1649" spans="1:17" x14ac:dyDescent="0.3">
      <c r="A1649" t="s">
        <v>7688</v>
      </c>
      <c r="B1649" t="s">
        <v>7689</v>
      </c>
      <c r="C1649">
        <v>40</v>
      </c>
      <c r="D1649" t="s">
        <v>7690</v>
      </c>
      <c r="E1649" t="s">
        <v>51</v>
      </c>
      <c r="F1649" s="86">
        <v>44902</v>
      </c>
      <c r="G1649" t="s">
        <v>1884</v>
      </c>
      <c r="H1649">
        <v>2</v>
      </c>
      <c r="I1649" t="s">
        <v>52</v>
      </c>
      <c r="J1649" t="s">
        <v>4033</v>
      </c>
      <c r="K1649">
        <v>358.63</v>
      </c>
      <c r="L1649">
        <v>2</v>
      </c>
      <c r="M1649">
        <v>6</v>
      </c>
      <c r="N1649" t="s">
        <v>56</v>
      </c>
      <c r="O1649" t="s">
        <v>109</v>
      </c>
      <c r="P1649" t="s">
        <v>68</v>
      </c>
      <c r="Q1649" t="s">
        <v>69</v>
      </c>
    </row>
    <row r="1650" spans="1:17" x14ac:dyDescent="0.3">
      <c r="A1650" t="s">
        <v>7692</v>
      </c>
      <c r="B1650" t="s">
        <v>7693</v>
      </c>
      <c r="C1650">
        <v>47</v>
      </c>
      <c r="D1650" t="s">
        <v>7694</v>
      </c>
      <c r="E1650" t="s">
        <v>88</v>
      </c>
      <c r="F1650" s="86">
        <v>44906</v>
      </c>
      <c r="G1650" s="86">
        <v>45242</v>
      </c>
      <c r="H1650">
        <v>2</v>
      </c>
      <c r="I1650" t="s">
        <v>64</v>
      </c>
      <c r="J1650" t="s">
        <v>4817</v>
      </c>
      <c r="K1650">
        <v>12.28</v>
      </c>
      <c r="L1650">
        <v>4</v>
      </c>
      <c r="M1650">
        <v>35</v>
      </c>
      <c r="N1650" t="s">
        <v>56</v>
      </c>
      <c r="O1650" t="s">
        <v>624</v>
      </c>
      <c r="P1650" t="s">
        <v>30</v>
      </c>
      <c r="Q1650" t="s">
        <v>32</v>
      </c>
    </row>
    <row r="1651" spans="1:17" x14ac:dyDescent="0.3">
      <c r="A1651" t="s">
        <v>7696</v>
      </c>
      <c r="B1651" t="s">
        <v>7697</v>
      </c>
      <c r="C1651">
        <v>54</v>
      </c>
      <c r="D1651" t="s">
        <v>7698</v>
      </c>
      <c r="E1651" t="s">
        <v>61</v>
      </c>
      <c r="F1651" t="s">
        <v>2469</v>
      </c>
      <c r="G1651" t="s">
        <v>466</v>
      </c>
      <c r="H1651">
        <v>4</v>
      </c>
      <c r="I1651" t="s">
        <v>27</v>
      </c>
      <c r="J1651" s="86">
        <v>45871</v>
      </c>
      <c r="K1651">
        <v>112.04</v>
      </c>
      <c r="L1651">
        <v>8</v>
      </c>
      <c r="M1651">
        <v>29</v>
      </c>
      <c r="N1651" t="s">
        <v>56</v>
      </c>
      <c r="O1651" t="s">
        <v>837</v>
      </c>
      <c r="P1651" t="s">
        <v>56</v>
      </c>
      <c r="Q1651" t="s">
        <v>69</v>
      </c>
    </row>
    <row r="1652" spans="1:17" x14ac:dyDescent="0.3">
      <c r="A1652" t="s">
        <v>7700</v>
      </c>
      <c r="B1652" t="s">
        <v>7701</v>
      </c>
      <c r="C1652">
        <v>36</v>
      </c>
      <c r="D1652" t="s">
        <v>7702</v>
      </c>
      <c r="E1652" t="s">
        <v>95</v>
      </c>
      <c r="F1652" s="86">
        <v>44930</v>
      </c>
      <c r="G1652" s="86">
        <v>45636</v>
      </c>
      <c r="H1652">
        <v>0</v>
      </c>
      <c r="I1652" t="s">
        <v>64</v>
      </c>
      <c r="J1652" s="86">
        <v>45573</v>
      </c>
      <c r="K1652">
        <v>1885.06</v>
      </c>
      <c r="L1652">
        <v>1</v>
      </c>
      <c r="M1652">
        <v>33</v>
      </c>
      <c r="N1652" t="s">
        <v>54</v>
      </c>
      <c r="O1652" t="s">
        <v>116</v>
      </c>
      <c r="P1652" t="s">
        <v>54</v>
      </c>
      <c r="Q1652" t="s">
        <v>32</v>
      </c>
    </row>
    <row r="1653" spans="1:17" x14ac:dyDescent="0.3">
      <c r="A1653" t="s">
        <v>7704</v>
      </c>
      <c r="B1653" t="s">
        <v>7705</v>
      </c>
      <c r="C1653">
        <v>26</v>
      </c>
      <c r="D1653" t="s">
        <v>7706</v>
      </c>
      <c r="E1653" t="s">
        <v>51</v>
      </c>
      <c r="F1653" t="s">
        <v>7183</v>
      </c>
      <c r="G1653" t="s">
        <v>2167</v>
      </c>
      <c r="H1653">
        <v>3</v>
      </c>
      <c r="I1653" t="s">
        <v>64</v>
      </c>
      <c r="J1653" t="s">
        <v>3495</v>
      </c>
      <c r="K1653">
        <v>714.4</v>
      </c>
      <c r="L1653">
        <v>2</v>
      </c>
      <c r="M1653">
        <v>30</v>
      </c>
      <c r="N1653" t="s">
        <v>54</v>
      </c>
      <c r="O1653" t="s">
        <v>238</v>
      </c>
      <c r="P1653" t="s">
        <v>45</v>
      </c>
      <c r="Q1653" t="s">
        <v>69</v>
      </c>
    </row>
    <row r="1654" spans="1:17" x14ac:dyDescent="0.3">
      <c r="A1654" t="s">
        <v>7708</v>
      </c>
      <c r="B1654" t="s">
        <v>7709</v>
      </c>
      <c r="C1654">
        <v>21</v>
      </c>
      <c r="D1654" t="s">
        <v>7710</v>
      </c>
      <c r="E1654" t="s">
        <v>61</v>
      </c>
      <c r="F1654" t="s">
        <v>1982</v>
      </c>
      <c r="G1654" s="86">
        <v>44570</v>
      </c>
      <c r="H1654">
        <v>2</v>
      </c>
      <c r="I1654" t="s">
        <v>27</v>
      </c>
      <c r="J1654" t="s">
        <v>6221</v>
      </c>
      <c r="K1654">
        <v>277.69</v>
      </c>
      <c r="L1654">
        <v>6</v>
      </c>
      <c r="M1654">
        <v>10</v>
      </c>
      <c r="N1654" t="s">
        <v>54</v>
      </c>
      <c r="O1654" t="s">
        <v>175</v>
      </c>
      <c r="P1654" t="s">
        <v>56</v>
      </c>
      <c r="Q1654" t="s">
        <v>32</v>
      </c>
    </row>
    <row r="1655" spans="1:17" x14ac:dyDescent="0.3">
      <c r="A1655" t="s">
        <v>7712</v>
      </c>
      <c r="B1655" t="s">
        <v>7713</v>
      </c>
      <c r="C1655">
        <v>62</v>
      </c>
      <c r="D1655" t="s">
        <v>7714</v>
      </c>
      <c r="E1655" t="s">
        <v>51</v>
      </c>
      <c r="F1655" s="86">
        <v>43992</v>
      </c>
      <c r="G1655" s="86">
        <v>45174</v>
      </c>
      <c r="H1655">
        <v>5</v>
      </c>
      <c r="I1655" t="s">
        <v>52</v>
      </c>
      <c r="J1655" t="s">
        <v>2219</v>
      </c>
      <c r="K1655">
        <v>108.33</v>
      </c>
      <c r="L1655">
        <v>8</v>
      </c>
      <c r="M1655">
        <v>33</v>
      </c>
      <c r="N1655" t="s">
        <v>54</v>
      </c>
      <c r="O1655" t="s">
        <v>245</v>
      </c>
      <c r="P1655" t="s">
        <v>54</v>
      </c>
      <c r="Q1655" t="s">
        <v>69</v>
      </c>
    </row>
    <row r="1656" spans="1:17" x14ac:dyDescent="0.3">
      <c r="A1656" t="s">
        <v>7716</v>
      </c>
      <c r="B1656" t="s">
        <v>7717</v>
      </c>
      <c r="C1656">
        <v>55</v>
      </c>
      <c r="D1656" t="s">
        <v>7718</v>
      </c>
      <c r="E1656" t="s">
        <v>88</v>
      </c>
      <c r="F1656" s="86">
        <v>44197</v>
      </c>
      <c r="G1656" s="86">
        <v>44387</v>
      </c>
      <c r="H1656">
        <v>5</v>
      </c>
      <c r="I1656" t="s">
        <v>64</v>
      </c>
      <c r="J1656" s="86">
        <v>44927</v>
      </c>
      <c r="K1656">
        <v>1831.4</v>
      </c>
      <c r="L1656">
        <v>1</v>
      </c>
      <c r="M1656">
        <v>4</v>
      </c>
      <c r="N1656" t="s">
        <v>30</v>
      </c>
      <c r="O1656" t="s">
        <v>128</v>
      </c>
      <c r="P1656" t="s">
        <v>54</v>
      </c>
      <c r="Q1656" t="s">
        <v>32</v>
      </c>
    </row>
    <row r="1657" spans="1:17" x14ac:dyDescent="0.3">
      <c r="A1657" t="s">
        <v>7720</v>
      </c>
      <c r="B1657" t="s">
        <v>7721</v>
      </c>
      <c r="C1657">
        <v>42</v>
      </c>
      <c r="D1657" t="s">
        <v>7722</v>
      </c>
      <c r="E1657" t="s">
        <v>88</v>
      </c>
      <c r="F1657" s="86">
        <v>44470</v>
      </c>
      <c r="G1657" t="s">
        <v>4074</v>
      </c>
      <c r="H1657">
        <v>2</v>
      </c>
      <c r="I1657" t="s">
        <v>52</v>
      </c>
      <c r="J1657" s="86">
        <v>44208</v>
      </c>
      <c r="K1657">
        <v>524.46</v>
      </c>
      <c r="L1657">
        <v>1</v>
      </c>
      <c r="M1657">
        <v>12</v>
      </c>
      <c r="N1657" t="s">
        <v>68</v>
      </c>
      <c r="O1657" t="s">
        <v>109</v>
      </c>
      <c r="P1657" t="s">
        <v>68</v>
      </c>
      <c r="Q1657" t="s">
        <v>32</v>
      </c>
    </row>
    <row r="1658" spans="1:17" x14ac:dyDescent="0.3">
      <c r="A1658" t="s">
        <v>7724</v>
      </c>
      <c r="B1658" t="s">
        <v>7725</v>
      </c>
      <c r="C1658">
        <v>35</v>
      </c>
      <c r="D1658" t="s">
        <v>7726</v>
      </c>
      <c r="E1658" t="s">
        <v>25</v>
      </c>
      <c r="F1658" t="s">
        <v>961</v>
      </c>
      <c r="G1658" s="86">
        <v>45782</v>
      </c>
      <c r="H1658">
        <v>5</v>
      </c>
      <c r="I1658" t="s">
        <v>27</v>
      </c>
      <c r="J1658" s="86">
        <v>45419</v>
      </c>
      <c r="K1658">
        <v>351.58</v>
      </c>
      <c r="L1658">
        <v>3</v>
      </c>
      <c r="M1658">
        <v>13</v>
      </c>
      <c r="N1658" t="s">
        <v>30</v>
      </c>
      <c r="O1658" t="s">
        <v>821</v>
      </c>
      <c r="P1658" t="s">
        <v>68</v>
      </c>
      <c r="Q1658" t="s">
        <v>69</v>
      </c>
    </row>
    <row r="1659" spans="1:17" x14ac:dyDescent="0.3">
      <c r="A1659" t="s">
        <v>7728</v>
      </c>
      <c r="B1659" t="s">
        <v>7729</v>
      </c>
      <c r="C1659">
        <v>69</v>
      </c>
      <c r="D1659" t="s">
        <v>7730</v>
      </c>
      <c r="E1659" t="s">
        <v>61</v>
      </c>
      <c r="F1659" t="s">
        <v>5977</v>
      </c>
      <c r="G1659" t="s">
        <v>6711</v>
      </c>
      <c r="H1659">
        <v>5</v>
      </c>
      <c r="I1659" t="s">
        <v>27</v>
      </c>
      <c r="J1659" t="s">
        <v>363</v>
      </c>
      <c r="K1659">
        <v>79.3</v>
      </c>
      <c r="L1659">
        <v>9</v>
      </c>
      <c r="M1659">
        <v>34</v>
      </c>
      <c r="N1659" t="s">
        <v>54</v>
      </c>
      <c r="O1659" t="s">
        <v>55</v>
      </c>
      <c r="P1659" t="s">
        <v>56</v>
      </c>
      <c r="Q1659" t="s">
        <v>322</v>
      </c>
    </row>
    <row r="1660" spans="1:17" x14ac:dyDescent="0.3">
      <c r="A1660" t="s">
        <v>7732</v>
      </c>
      <c r="B1660" t="s">
        <v>7733</v>
      </c>
      <c r="C1660">
        <v>42</v>
      </c>
      <c r="D1660" t="s">
        <v>7734</v>
      </c>
      <c r="E1660" t="s">
        <v>95</v>
      </c>
      <c r="F1660" s="86">
        <v>44318</v>
      </c>
      <c r="G1660" t="s">
        <v>4848</v>
      </c>
      <c r="H1660">
        <v>0</v>
      </c>
      <c r="I1660" t="s">
        <v>27</v>
      </c>
      <c r="J1660" s="86">
        <v>45301</v>
      </c>
      <c r="K1660">
        <v>428.49</v>
      </c>
      <c r="L1660">
        <v>3</v>
      </c>
      <c r="M1660">
        <v>38</v>
      </c>
      <c r="N1660" t="s">
        <v>68</v>
      </c>
      <c r="O1660" t="s">
        <v>366</v>
      </c>
      <c r="P1660" t="s">
        <v>54</v>
      </c>
      <c r="Q1660" t="s">
        <v>69</v>
      </c>
    </row>
    <row r="1661" spans="1:17" x14ac:dyDescent="0.3">
      <c r="A1661" t="s">
        <v>7736</v>
      </c>
      <c r="B1661" t="s">
        <v>7737</v>
      </c>
      <c r="C1661">
        <v>34</v>
      </c>
      <c r="D1661" t="s">
        <v>7738</v>
      </c>
      <c r="E1661" t="s">
        <v>61</v>
      </c>
      <c r="F1661" s="86">
        <v>44230</v>
      </c>
      <c r="G1661" t="s">
        <v>4283</v>
      </c>
      <c r="H1661">
        <v>2</v>
      </c>
      <c r="I1661" t="s">
        <v>27</v>
      </c>
      <c r="J1661" t="s">
        <v>4186</v>
      </c>
      <c r="K1661">
        <v>63.22</v>
      </c>
      <c r="L1661">
        <v>5</v>
      </c>
      <c r="M1661">
        <v>15</v>
      </c>
      <c r="N1661" t="s">
        <v>68</v>
      </c>
      <c r="O1661" t="s">
        <v>238</v>
      </c>
      <c r="P1661" t="s">
        <v>45</v>
      </c>
      <c r="Q1661" t="s">
        <v>69</v>
      </c>
    </row>
    <row r="1662" spans="1:17" x14ac:dyDescent="0.3">
      <c r="A1662" t="s">
        <v>7740</v>
      </c>
      <c r="B1662" t="s">
        <v>7741</v>
      </c>
      <c r="C1662">
        <v>39</v>
      </c>
      <c r="D1662" t="s">
        <v>7742</v>
      </c>
      <c r="E1662" t="s">
        <v>88</v>
      </c>
      <c r="F1662" t="s">
        <v>2000</v>
      </c>
      <c r="G1662" s="86">
        <v>44602</v>
      </c>
      <c r="H1662">
        <v>0</v>
      </c>
      <c r="I1662" t="s">
        <v>64</v>
      </c>
      <c r="J1662" s="86">
        <v>45754</v>
      </c>
      <c r="K1662">
        <v>137.12</v>
      </c>
      <c r="L1662">
        <v>8</v>
      </c>
      <c r="M1662">
        <v>20</v>
      </c>
      <c r="N1662" t="s">
        <v>56</v>
      </c>
      <c r="O1662" t="s">
        <v>142</v>
      </c>
      <c r="P1662" t="s">
        <v>68</v>
      </c>
      <c r="Q1662" t="s">
        <v>69</v>
      </c>
    </row>
    <row r="1663" spans="1:17" x14ac:dyDescent="0.3">
      <c r="A1663" t="s">
        <v>7744</v>
      </c>
      <c r="B1663" t="s">
        <v>7745</v>
      </c>
      <c r="C1663">
        <v>21</v>
      </c>
      <c r="D1663" t="s">
        <v>7746</v>
      </c>
      <c r="E1663" t="s">
        <v>40</v>
      </c>
      <c r="F1663" s="86">
        <v>44287</v>
      </c>
      <c r="G1663" s="86">
        <v>45119</v>
      </c>
      <c r="H1663">
        <v>1</v>
      </c>
      <c r="I1663" t="s">
        <v>27</v>
      </c>
      <c r="J1663" t="s">
        <v>556</v>
      </c>
      <c r="K1663">
        <v>209.09</v>
      </c>
      <c r="L1663">
        <v>3</v>
      </c>
      <c r="M1663">
        <v>16</v>
      </c>
      <c r="N1663" t="s">
        <v>56</v>
      </c>
      <c r="O1663" t="s">
        <v>31</v>
      </c>
      <c r="P1663" t="s">
        <v>30</v>
      </c>
      <c r="Q1663" t="s">
        <v>69</v>
      </c>
    </row>
    <row r="1664" spans="1:17" x14ac:dyDescent="0.3">
      <c r="A1664" t="s">
        <v>7748</v>
      </c>
      <c r="B1664" t="s">
        <v>7749</v>
      </c>
      <c r="C1664">
        <v>55</v>
      </c>
      <c r="D1664" t="s">
        <v>7750</v>
      </c>
      <c r="E1664" t="s">
        <v>88</v>
      </c>
      <c r="F1664" s="86">
        <v>44719</v>
      </c>
      <c r="G1664" t="s">
        <v>1976</v>
      </c>
      <c r="H1664">
        <v>4</v>
      </c>
      <c r="I1664" t="s">
        <v>27</v>
      </c>
      <c r="J1664" s="86">
        <v>44784</v>
      </c>
      <c r="K1664">
        <v>294.64</v>
      </c>
      <c r="L1664">
        <v>4</v>
      </c>
      <c r="M1664">
        <v>22</v>
      </c>
      <c r="N1664" t="s">
        <v>45</v>
      </c>
      <c r="O1664" t="s">
        <v>116</v>
      </c>
      <c r="P1664" t="s">
        <v>54</v>
      </c>
      <c r="Q1664" t="s">
        <v>32</v>
      </c>
    </row>
    <row r="1665" spans="1:17" x14ac:dyDescent="0.3">
      <c r="A1665" t="s">
        <v>7752</v>
      </c>
      <c r="B1665" t="s">
        <v>7753</v>
      </c>
      <c r="C1665">
        <v>51</v>
      </c>
      <c r="D1665" t="s">
        <v>7754</v>
      </c>
      <c r="E1665" t="s">
        <v>51</v>
      </c>
      <c r="F1665" t="s">
        <v>2522</v>
      </c>
      <c r="G1665" s="86">
        <v>45631</v>
      </c>
      <c r="H1665">
        <v>5</v>
      </c>
      <c r="I1665" t="s">
        <v>27</v>
      </c>
      <c r="J1665" t="s">
        <v>1552</v>
      </c>
      <c r="K1665">
        <v>147.02000000000001</v>
      </c>
      <c r="L1665">
        <v>5</v>
      </c>
      <c r="M1665">
        <v>31</v>
      </c>
      <c r="N1665" t="s">
        <v>56</v>
      </c>
      <c r="O1665" t="s">
        <v>837</v>
      </c>
      <c r="P1665" t="s">
        <v>56</v>
      </c>
      <c r="Q1665" t="s">
        <v>32</v>
      </c>
    </row>
    <row r="1666" spans="1:17" x14ac:dyDescent="0.3">
      <c r="A1666" t="s">
        <v>7756</v>
      </c>
      <c r="B1666" t="s">
        <v>7757</v>
      </c>
      <c r="C1666">
        <v>64</v>
      </c>
      <c r="D1666" t="s">
        <v>7758</v>
      </c>
      <c r="E1666" t="s">
        <v>51</v>
      </c>
      <c r="F1666" s="86">
        <v>44355</v>
      </c>
      <c r="G1666" s="86">
        <v>45239</v>
      </c>
      <c r="H1666">
        <v>5</v>
      </c>
      <c r="I1666" t="s">
        <v>52</v>
      </c>
      <c r="J1666" t="s">
        <v>393</v>
      </c>
      <c r="K1666">
        <v>327.61</v>
      </c>
      <c r="L1666">
        <v>6</v>
      </c>
      <c r="M1666">
        <v>19</v>
      </c>
      <c r="N1666" t="s">
        <v>56</v>
      </c>
      <c r="O1666" t="s">
        <v>149</v>
      </c>
      <c r="P1666" t="s">
        <v>30</v>
      </c>
      <c r="Q1666" t="s">
        <v>69</v>
      </c>
    </row>
    <row r="1667" spans="1:17" x14ac:dyDescent="0.3">
      <c r="A1667" t="s">
        <v>7760</v>
      </c>
      <c r="B1667" t="s">
        <v>7761</v>
      </c>
      <c r="C1667">
        <v>64</v>
      </c>
      <c r="D1667" t="s">
        <v>7762</v>
      </c>
      <c r="E1667" t="s">
        <v>40</v>
      </c>
      <c r="F1667" s="86">
        <v>44387</v>
      </c>
      <c r="G1667" s="86">
        <v>45420</v>
      </c>
      <c r="H1667">
        <v>3</v>
      </c>
      <c r="I1667" t="s">
        <v>64</v>
      </c>
      <c r="J1667" t="s">
        <v>4283</v>
      </c>
      <c r="K1667">
        <v>823.69</v>
      </c>
      <c r="L1667">
        <v>2</v>
      </c>
      <c r="M1667">
        <v>2</v>
      </c>
      <c r="N1667" t="s">
        <v>45</v>
      </c>
      <c r="O1667" t="s">
        <v>366</v>
      </c>
      <c r="P1667" t="s">
        <v>54</v>
      </c>
      <c r="Q1667" t="s">
        <v>69</v>
      </c>
    </row>
    <row r="1668" spans="1:17" x14ac:dyDescent="0.3">
      <c r="A1668" t="s">
        <v>7764</v>
      </c>
      <c r="B1668" t="s">
        <v>7765</v>
      </c>
      <c r="C1668">
        <v>66</v>
      </c>
      <c r="D1668" t="s">
        <v>7766</v>
      </c>
      <c r="E1668" t="s">
        <v>40</v>
      </c>
      <c r="F1668" s="86">
        <v>45114</v>
      </c>
      <c r="G1668" t="s">
        <v>602</v>
      </c>
      <c r="H1668">
        <v>2</v>
      </c>
      <c r="I1668" t="s">
        <v>27</v>
      </c>
      <c r="J1668" s="86">
        <v>45329</v>
      </c>
      <c r="K1668">
        <v>20.04</v>
      </c>
      <c r="L1668">
        <v>7</v>
      </c>
      <c r="M1668">
        <v>8</v>
      </c>
      <c r="N1668" t="s">
        <v>56</v>
      </c>
      <c r="O1668" t="s">
        <v>837</v>
      </c>
      <c r="P1668" t="s">
        <v>56</v>
      </c>
      <c r="Q1668" t="s">
        <v>32</v>
      </c>
    </row>
    <row r="1669" spans="1:17" x14ac:dyDescent="0.3">
      <c r="A1669" t="s">
        <v>7768</v>
      </c>
      <c r="B1669" t="s">
        <v>7769</v>
      </c>
      <c r="C1669">
        <v>32</v>
      </c>
      <c r="D1669" t="s">
        <v>7770</v>
      </c>
      <c r="E1669" t="s">
        <v>25</v>
      </c>
      <c r="F1669" s="86">
        <v>45205</v>
      </c>
      <c r="G1669" s="86">
        <v>45875</v>
      </c>
      <c r="H1669">
        <v>4</v>
      </c>
      <c r="I1669" t="s">
        <v>52</v>
      </c>
      <c r="J1669" s="86">
        <v>45114</v>
      </c>
      <c r="K1669">
        <v>175.23</v>
      </c>
      <c r="L1669">
        <v>9</v>
      </c>
      <c r="M1669">
        <v>22</v>
      </c>
      <c r="N1669" t="s">
        <v>56</v>
      </c>
      <c r="O1669" t="s">
        <v>55</v>
      </c>
      <c r="P1669" t="s">
        <v>56</v>
      </c>
      <c r="Q1669" t="s">
        <v>32</v>
      </c>
    </row>
    <row r="1670" spans="1:17" x14ac:dyDescent="0.3">
      <c r="A1670" t="s">
        <v>7772</v>
      </c>
      <c r="B1670" t="s">
        <v>7773</v>
      </c>
      <c r="C1670">
        <v>55</v>
      </c>
      <c r="D1670" t="s">
        <v>7774</v>
      </c>
      <c r="E1670" t="s">
        <v>88</v>
      </c>
      <c r="F1670" s="86">
        <v>44197</v>
      </c>
      <c r="G1670" s="86">
        <v>45628</v>
      </c>
      <c r="H1670">
        <v>5</v>
      </c>
      <c r="I1670" t="s">
        <v>27</v>
      </c>
      <c r="J1670" t="s">
        <v>4693</v>
      </c>
      <c r="K1670">
        <v>330.08</v>
      </c>
      <c r="L1670">
        <v>5</v>
      </c>
      <c r="M1670">
        <v>34</v>
      </c>
      <c r="N1670" t="s">
        <v>54</v>
      </c>
      <c r="O1670" t="s">
        <v>597</v>
      </c>
      <c r="P1670" t="s">
        <v>45</v>
      </c>
      <c r="Q1670" t="s">
        <v>69</v>
      </c>
    </row>
    <row r="1671" spans="1:17" x14ac:dyDescent="0.3">
      <c r="A1671" t="s">
        <v>7776</v>
      </c>
      <c r="B1671" t="s">
        <v>7777</v>
      </c>
      <c r="C1671">
        <v>59</v>
      </c>
      <c r="D1671" t="s">
        <v>7778</v>
      </c>
      <c r="E1671" t="s">
        <v>40</v>
      </c>
      <c r="F1671" s="86">
        <v>45111</v>
      </c>
      <c r="G1671" s="86">
        <v>44964</v>
      </c>
      <c r="H1671">
        <v>5</v>
      </c>
      <c r="I1671" t="s">
        <v>64</v>
      </c>
      <c r="J1671" t="s">
        <v>2957</v>
      </c>
      <c r="K1671">
        <v>240.04</v>
      </c>
      <c r="L1671">
        <v>2</v>
      </c>
      <c r="M1671">
        <v>36</v>
      </c>
      <c r="N1671" t="s">
        <v>45</v>
      </c>
      <c r="O1671" t="s">
        <v>116</v>
      </c>
      <c r="P1671" t="s">
        <v>54</v>
      </c>
      <c r="Q1671" t="s">
        <v>69</v>
      </c>
    </row>
    <row r="1672" spans="1:17" x14ac:dyDescent="0.3">
      <c r="A1672" t="s">
        <v>7780</v>
      </c>
      <c r="B1672" t="s">
        <v>7781</v>
      </c>
      <c r="C1672">
        <v>24</v>
      </c>
      <c r="D1672" t="s">
        <v>7782</v>
      </c>
      <c r="E1672" t="s">
        <v>51</v>
      </c>
      <c r="F1672" t="s">
        <v>6770</v>
      </c>
      <c r="G1672" s="86">
        <v>44663</v>
      </c>
      <c r="H1672">
        <v>0</v>
      </c>
      <c r="I1672" t="s">
        <v>27</v>
      </c>
      <c r="J1672" t="s">
        <v>1606</v>
      </c>
      <c r="K1672">
        <v>3.68</v>
      </c>
      <c r="L1672">
        <v>9</v>
      </c>
      <c r="M1672">
        <v>47</v>
      </c>
      <c r="N1672" t="s">
        <v>45</v>
      </c>
      <c r="O1672" t="s">
        <v>128</v>
      </c>
      <c r="P1672" t="s">
        <v>54</v>
      </c>
      <c r="Q1672" t="s">
        <v>32</v>
      </c>
    </row>
    <row r="1673" spans="1:17" x14ac:dyDescent="0.3">
      <c r="A1673" t="s">
        <v>7784</v>
      </c>
      <c r="B1673" t="s">
        <v>7785</v>
      </c>
      <c r="C1673">
        <v>66</v>
      </c>
      <c r="D1673" t="s">
        <v>7786</v>
      </c>
      <c r="E1673" t="s">
        <v>25</v>
      </c>
      <c r="F1673" t="s">
        <v>4533</v>
      </c>
      <c r="G1673" t="s">
        <v>653</v>
      </c>
      <c r="H1673">
        <v>3</v>
      </c>
      <c r="I1673" t="s">
        <v>27</v>
      </c>
      <c r="J1673" s="86">
        <v>45207</v>
      </c>
      <c r="K1673">
        <v>323.89</v>
      </c>
      <c r="L1673">
        <v>2</v>
      </c>
      <c r="M1673">
        <v>37</v>
      </c>
      <c r="N1673" t="s">
        <v>45</v>
      </c>
      <c r="O1673" t="s">
        <v>211</v>
      </c>
      <c r="P1673" t="s">
        <v>68</v>
      </c>
      <c r="Q1673" t="s">
        <v>32</v>
      </c>
    </row>
    <row r="1674" spans="1:17" x14ac:dyDescent="0.3">
      <c r="A1674" t="s">
        <v>7788</v>
      </c>
      <c r="B1674" t="s">
        <v>7789</v>
      </c>
      <c r="C1674">
        <v>48</v>
      </c>
      <c r="D1674" t="s">
        <v>7790</v>
      </c>
      <c r="E1674" t="s">
        <v>88</v>
      </c>
      <c r="F1674" t="s">
        <v>3087</v>
      </c>
      <c r="G1674" s="86">
        <v>45997</v>
      </c>
      <c r="H1674">
        <v>4</v>
      </c>
      <c r="I1674" t="s">
        <v>52</v>
      </c>
      <c r="J1674" t="s">
        <v>1095</v>
      </c>
      <c r="K1674">
        <v>29.26</v>
      </c>
      <c r="L1674">
        <v>9</v>
      </c>
      <c r="M1674">
        <v>34</v>
      </c>
      <c r="N1674" t="s">
        <v>54</v>
      </c>
      <c r="O1674" t="s">
        <v>157</v>
      </c>
      <c r="P1674" t="s">
        <v>68</v>
      </c>
      <c r="Q1674" t="s">
        <v>32</v>
      </c>
    </row>
    <row r="1675" spans="1:17" x14ac:dyDescent="0.3">
      <c r="A1675" t="s">
        <v>7792</v>
      </c>
      <c r="B1675" t="s">
        <v>7793</v>
      </c>
      <c r="C1675">
        <v>22</v>
      </c>
      <c r="D1675" t="s">
        <v>7794</v>
      </c>
      <c r="E1675" t="s">
        <v>51</v>
      </c>
      <c r="F1675" s="86">
        <v>44719</v>
      </c>
      <c r="G1675" t="s">
        <v>2983</v>
      </c>
      <c r="H1675">
        <v>3</v>
      </c>
      <c r="I1675" t="s">
        <v>64</v>
      </c>
      <c r="J1675" s="86">
        <v>45359</v>
      </c>
      <c r="K1675">
        <v>119.12</v>
      </c>
      <c r="L1675">
        <v>5</v>
      </c>
      <c r="M1675">
        <v>2</v>
      </c>
      <c r="N1675" t="s">
        <v>56</v>
      </c>
      <c r="O1675" t="s">
        <v>211</v>
      </c>
      <c r="P1675" t="s">
        <v>68</v>
      </c>
      <c r="Q1675" t="s">
        <v>32</v>
      </c>
    </row>
    <row r="1676" spans="1:17" x14ac:dyDescent="0.3">
      <c r="A1676" t="s">
        <v>7796</v>
      </c>
      <c r="B1676" t="s">
        <v>7797</v>
      </c>
      <c r="C1676">
        <v>66</v>
      </c>
      <c r="D1676" t="s">
        <v>7798</v>
      </c>
      <c r="E1676" t="s">
        <v>95</v>
      </c>
      <c r="F1676" t="s">
        <v>1085</v>
      </c>
      <c r="G1676" t="s">
        <v>1685</v>
      </c>
      <c r="H1676">
        <v>5</v>
      </c>
      <c r="I1676" t="s">
        <v>27</v>
      </c>
      <c r="J1676" t="s">
        <v>3559</v>
      </c>
      <c r="K1676">
        <v>156.26</v>
      </c>
      <c r="L1676">
        <v>8</v>
      </c>
      <c r="M1676">
        <v>42</v>
      </c>
      <c r="N1676" t="s">
        <v>45</v>
      </c>
      <c r="O1676" t="s">
        <v>245</v>
      </c>
      <c r="P1676" t="s">
        <v>54</v>
      </c>
      <c r="Q1676" t="s">
        <v>69</v>
      </c>
    </row>
    <row r="1677" spans="1:17" x14ac:dyDescent="0.3">
      <c r="A1677" t="s">
        <v>7800</v>
      </c>
      <c r="B1677" t="s">
        <v>7801</v>
      </c>
      <c r="C1677">
        <v>28</v>
      </c>
      <c r="D1677" t="s">
        <v>7802</v>
      </c>
      <c r="E1677" t="s">
        <v>95</v>
      </c>
      <c r="F1677" s="86">
        <v>44237</v>
      </c>
      <c r="G1677" t="s">
        <v>1553</v>
      </c>
      <c r="H1677">
        <v>4</v>
      </c>
      <c r="I1677" t="s">
        <v>64</v>
      </c>
      <c r="J1677" t="s">
        <v>7278</v>
      </c>
      <c r="K1677">
        <v>135.47</v>
      </c>
      <c r="L1677">
        <v>6</v>
      </c>
      <c r="M1677">
        <v>3</v>
      </c>
      <c r="N1677" t="s">
        <v>54</v>
      </c>
      <c r="O1677" t="s">
        <v>373</v>
      </c>
      <c r="P1677" t="s">
        <v>54</v>
      </c>
      <c r="Q1677" t="s">
        <v>69</v>
      </c>
    </row>
    <row r="1678" spans="1:17" x14ac:dyDescent="0.3">
      <c r="A1678" t="s">
        <v>7804</v>
      </c>
      <c r="B1678" t="s">
        <v>7805</v>
      </c>
      <c r="C1678">
        <v>48</v>
      </c>
      <c r="D1678" t="s">
        <v>7806</v>
      </c>
      <c r="E1678" t="s">
        <v>25</v>
      </c>
      <c r="F1678" s="86">
        <v>43932</v>
      </c>
      <c r="G1678" t="s">
        <v>2219</v>
      </c>
      <c r="H1678">
        <v>3</v>
      </c>
      <c r="I1678" t="s">
        <v>27</v>
      </c>
      <c r="J1678" s="86">
        <v>44323</v>
      </c>
      <c r="K1678">
        <v>814.81</v>
      </c>
      <c r="L1678">
        <v>2</v>
      </c>
      <c r="M1678">
        <v>25</v>
      </c>
      <c r="N1678" t="s">
        <v>68</v>
      </c>
      <c r="O1678" t="s">
        <v>223</v>
      </c>
      <c r="P1678" t="s">
        <v>56</v>
      </c>
      <c r="Q1678" t="s">
        <v>69</v>
      </c>
    </row>
    <row r="1679" spans="1:17" x14ac:dyDescent="0.3">
      <c r="A1679" t="s">
        <v>7808</v>
      </c>
      <c r="B1679" t="s">
        <v>7809</v>
      </c>
      <c r="C1679">
        <v>35</v>
      </c>
      <c r="D1679" t="s">
        <v>7810</v>
      </c>
      <c r="E1679" t="s">
        <v>61</v>
      </c>
      <c r="F1679" t="s">
        <v>4073</v>
      </c>
      <c r="G1679" s="86">
        <v>45174</v>
      </c>
      <c r="H1679">
        <v>0</v>
      </c>
      <c r="I1679" t="s">
        <v>27</v>
      </c>
      <c r="J1679" t="s">
        <v>2643</v>
      </c>
      <c r="K1679">
        <v>403.86</v>
      </c>
      <c r="L1679">
        <v>2</v>
      </c>
      <c r="M1679">
        <v>43</v>
      </c>
      <c r="N1679" t="s">
        <v>68</v>
      </c>
      <c r="O1679" t="s">
        <v>128</v>
      </c>
      <c r="P1679" t="s">
        <v>54</v>
      </c>
      <c r="Q1679" t="s">
        <v>32</v>
      </c>
    </row>
    <row r="1680" spans="1:17" x14ac:dyDescent="0.3">
      <c r="A1680" t="s">
        <v>7812</v>
      </c>
      <c r="B1680" t="s">
        <v>7813</v>
      </c>
      <c r="C1680">
        <v>27</v>
      </c>
      <c r="D1680" t="s">
        <v>7814</v>
      </c>
      <c r="E1680" t="s">
        <v>40</v>
      </c>
      <c r="F1680" s="86">
        <v>44506</v>
      </c>
      <c r="G1680" t="s">
        <v>659</v>
      </c>
      <c r="H1680">
        <v>0</v>
      </c>
      <c r="I1680" t="s">
        <v>27</v>
      </c>
      <c r="J1680" t="s">
        <v>290</v>
      </c>
      <c r="K1680">
        <v>163.55000000000001</v>
      </c>
      <c r="L1680">
        <v>6</v>
      </c>
      <c r="M1680">
        <v>48</v>
      </c>
      <c r="N1680" t="s">
        <v>54</v>
      </c>
      <c r="O1680" t="s">
        <v>536</v>
      </c>
      <c r="P1680" t="s">
        <v>68</v>
      </c>
      <c r="Q1680" t="s">
        <v>32</v>
      </c>
    </row>
    <row r="1681" spans="1:17" x14ac:dyDescent="0.3">
      <c r="A1681" t="s">
        <v>7816</v>
      </c>
      <c r="B1681" t="s">
        <v>7817</v>
      </c>
      <c r="C1681">
        <v>24</v>
      </c>
      <c r="D1681" t="s">
        <v>7818</v>
      </c>
      <c r="E1681" t="s">
        <v>88</v>
      </c>
      <c r="F1681" t="s">
        <v>894</v>
      </c>
      <c r="G1681" t="s">
        <v>6511</v>
      </c>
      <c r="H1681">
        <v>2</v>
      </c>
      <c r="I1681" t="s">
        <v>64</v>
      </c>
      <c r="J1681" s="86">
        <v>45631</v>
      </c>
      <c r="K1681">
        <v>75.069999999999993</v>
      </c>
      <c r="L1681">
        <v>5</v>
      </c>
      <c r="M1681">
        <v>32</v>
      </c>
      <c r="N1681" t="s">
        <v>54</v>
      </c>
      <c r="O1681" t="s">
        <v>223</v>
      </c>
      <c r="P1681" t="s">
        <v>56</v>
      </c>
      <c r="Q1681" t="s">
        <v>32</v>
      </c>
    </row>
    <row r="1682" spans="1:17" x14ac:dyDescent="0.3">
      <c r="A1682" t="s">
        <v>7820</v>
      </c>
      <c r="B1682" t="s">
        <v>7821</v>
      </c>
      <c r="C1682">
        <v>69</v>
      </c>
      <c r="D1682" t="s">
        <v>7822</v>
      </c>
      <c r="E1682" t="s">
        <v>51</v>
      </c>
      <c r="F1682" s="86">
        <v>44897</v>
      </c>
      <c r="G1682" s="86">
        <v>44808</v>
      </c>
      <c r="H1682">
        <v>0</v>
      </c>
      <c r="I1682" t="s">
        <v>27</v>
      </c>
      <c r="J1682" t="s">
        <v>1006</v>
      </c>
      <c r="K1682">
        <v>118.64</v>
      </c>
      <c r="L1682">
        <v>8</v>
      </c>
      <c r="M1682">
        <v>1</v>
      </c>
      <c r="N1682" t="s">
        <v>56</v>
      </c>
      <c r="O1682" t="s">
        <v>128</v>
      </c>
      <c r="P1682" t="s">
        <v>54</v>
      </c>
      <c r="Q1682" t="s">
        <v>32</v>
      </c>
    </row>
    <row r="1683" spans="1:17" x14ac:dyDescent="0.3">
      <c r="A1683" t="s">
        <v>7824</v>
      </c>
      <c r="B1683" t="s">
        <v>7825</v>
      </c>
      <c r="C1683">
        <v>65</v>
      </c>
      <c r="D1683" t="s">
        <v>7826</v>
      </c>
      <c r="E1683" t="s">
        <v>95</v>
      </c>
      <c r="F1683" s="86">
        <v>44202</v>
      </c>
      <c r="G1683" t="s">
        <v>6840</v>
      </c>
      <c r="H1683">
        <v>4</v>
      </c>
      <c r="I1683" t="s">
        <v>27</v>
      </c>
      <c r="J1683" s="86">
        <v>44480</v>
      </c>
      <c r="K1683">
        <v>53.37</v>
      </c>
      <c r="L1683">
        <v>7</v>
      </c>
      <c r="M1683">
        <v>34</v>
      </c>
      <c r="N1683" t="s">
        <v>68</v>
      </c>
      <c r="O1683" t="s">
        <v>855</v>
      </c>
      <c r="P1683" t="s">
        <v>45</v>
      </c>
      <c r="Q1683" t="s">
        <v>32</v>
      </c>
    </row>
    <row r="1684" spans="1:17" x14ac:dyDescent="0.3">
      <c r="A1684" t="s">
        <v>7828</v>
      </c>
      <c r="B1684" t="s">
        <v>7829</v>
      </c>
      <c r="C1684">
        <v>65</v>
      </c>
      <c r="D1684" t="s">
        <v>7830</v>
      </c>
      <c r="E1684" t="s">
        <v>95</v>
      </c>
      <c r="F1684" s="86">
        <v>44929</v>
      </c>
      <c r="G1684" s="86">
        <v>45416</v>
      </c>
      <c r="H1684">
        <v>3</v>
      </c>
      <c r="I1684" t="s">
        <v>27</v>
      </c>
      <c r="J1684" s="86">
        <v>45547</v>
      </c>
      <c r="K1684">
        <v>101.28</v>
      </c>
      <c r="L1684">
        <v>6</v>
      </c>
      <c r="M1684">
        <v>38</v>
      </c>
      <c r="N1684" t="s">
        <v>56</v>
      </c>
      <c r="O1684" t="s">
        <v>149</v>
      </c>
      <c r="P1684" t="s">
        <v>30</v>
      </c>
      <c r="Q1684" t="s">
        <v>32</v>
      </c>
    </row>
    <row r="1685" spans="1:17" x14ac:dyDescent="0.3">
      <c r="A1685" t="s">
        <v>7832</v>
      </c>
      <c r="B1685" t="s">
        <v>7833</v>
      </c>
      <c r="C1685">
        <v>55</v>
      </c>
      <c r="D1685" t="s">
        <v>7834</v>
      </c>
      <c r="E1685" t="s">
        <v>40</v>
      </c>
      <c r="F1685" s="86">
        <v>45048</v>
      </c>
      <c r="G1685" t="s">
        <v>7835</v>
      </c>
      <c r="H1685">
        <v>4</v>
      </c>
      <c r="I1685" t="s">
        <v>27</v>
      </c>
      <c r="J1685" t="s">
        <v>4302</v>
      </c>
      <c r="K1685">
        <v>86.01</v>
      </c>
      <c r="L1685">
        <v>5</v>
      </c>
      <c r="M1685">
        <v>48</v>
      </c>
      <c r="N1685" t="s">
        <v>45</v>
      </c>
      <c r="O1685" t="s">
        <v>245</v>
      </c>
      <c r="P1685" t="s">
        <v>54</v>
      </c>
      <c r="Q1685" t="s">
        <v>69</v>
      </c>
    </row>
    <row r="1686" spans="1:17" x14ac:dyDescent="0.3">
      <c r="A1686" t="s">
        <v>7837</v>
      </c>
      <c r="B1686" t="s">
        <v>7838</v>
      </c>
      <c r="C1686">
        <v>26</v>
      </c>
      <c r="D1686" t="s">
        <v>7839</v>
      </c>
      <c r="E1686" t="s">
        <v>61</v>
      </c>
      <c r="F1686" t="s">
        <v>2679</v>
      </c>
      <c r="G1686" t="s">
        <v>364</v>
      </c>
      <c r="H1686">
        <v>3</v>
      </c>
      <c r="I1686" t="s">
        <v>27</v>
      </c>
      <c r="J1686" s="86">
        <v>45536</v>
      </c>
      <c r="K1686">
        <v>306.85000000000002</v>
      </c>
      <c r="L1686">
        <v>5</v>
      </c>
      <c r="M1686">
        <v>11</v>
      </c>
      <c r="N1686" t="s">
        <v>45</v>
      </c>
      <c r="O1686" t="s">
        <v>855</v>
      </c>
      <c r="P1686" t="s">
        <v>45</v>
      </c>
      <c r="Q1686" t="s">
        <v>69</v>
      </c>
    </row>
    <row r="1687" spans="1:17" x14ac:dyDescent="0.3">
      <c r="A1687" t="s">
        <v>7841</v>
      </c>
      <c r="B1687" t="s">
        <v>7842</v>
      </c>
      <c r="C1687">
        <v>20</v>
      </c>
      <c r="D1687" t="s">
        <v>7843</v>
      </c>
      <c r="E1687" t="s">
        <v>25</v>
      </c>
      <c r="F1687" t="s">
        <v>2549</v>
      </c>
      <c r="G1687" t="s">
        <v>4909</v>
      </c>
      <c r="H1687">
        <v>1</v>
      </c>
      <c r="I1687" t="s">
        <v>27</v>
      </c>
      <c r="J1687" t="s">
        <v>2152</v>
      </c>
      <c r="K1687">
        <v>177.19</v>
      </c>
      <c r="L1687">
        <v>3</v>
      </c>
      <c r="M1687">
        <v>27</v>
      </c>
      <c r="N1687" t="s">
        <v>68</v>
      </c>
      <c r="O1687" t="s">
        <v>366</v>
      </c>
      <c r="P1687" t="s">
        <v>54</v>
      </c>
      <c r="Q1687" t="s">
        <v>322</v>
      </c>
    </row>
    <row r="1688" spans="1:17" x14ac:dyDescent="0.3">
      <c r="A1688" t="s">
        <v>7845</v>
      </c>
      <c r="B1688" t="s">
        <v>7846</v>
      </c>
      <c r="C1688">
        <v>51</v>
      </c>
      <c r="D1688" t="s">
        <v>7847</v>
      </c>
      <c r="E1688" t="s">
        <v>51</v>
      </c>
      <c r="F1688" t="s">
        <v>2538</v>
      </c>
      <c r="G1688" s="86">
        <v>45115</v>
      </c>
      <c r="H1688">
        <v>0</v>
      </c>
      <c r="I1688" t="s">
        <v>52</v>
      </c>
      <c r="J1688" t="s">
        <v>2609</v>
      </c>
      <c r="K1688">
        <v>1804.28</v>
      </c>
      <c r="L1688">
        <v>1</v>
      </c>
      <c r="M1688">
        <v>32</v>
      </c>
      <c r="N1688" t="s">
        <v>45</v>
      </c>
      <c r="O1688" t="s">
        <v>99</v>
      </c>
      <c r="P1688" t="s">
        <v>56</v>
      </c>
      <c r="Q1688" t="s">
        <v>32</v>
      </c>
    </row>
    <row r="1689" spans="1:17" x14ac:dyDescent="0.3">
      <c r="A1689" t="s">
        <v>7849</v>
      </c>
      <c r="B1689" t="s">
        <v>7850</v>
      </c>
      <c r="C1689">
        <v>35</v>
      </c>
      <c r="D1689" t="s">
        <v>7851</v>
      </c>
      <c r="E1689" t="s">
        <v>95</v>
      </c>
      <c r="F1689" t="s">
        <v>2933</v>
      </c>
      <c r="G1689" t="s">
        <v>319</v>
      </c>
      <c r="H1689">
        <v>0</v>
      </c>
      <c r="I1689" t="s">
        <v>64</v>
      </c>
      <c r="J1689" s="86">
        <v>45693</v>
      </c>
      <c r="K1689">
        <v>25.63</v>
      </c>
      <c r="L1689">
        <v>4</v>
      </c>
      <c r="M1689">
        <v>2</v>
      </c>
      <c r="N1689" t="s">
        <v>54</v>
      </c>
      <c r="O1689" t="s">
        <v>238</v>
      </c>
      <c r="P1689" t="s">
        <v>45</v>
      </c>
      <c r="Q1689" t="s">
        <v>69</v>
      </c>
    </row>
    <row r="1690" spans="1:17" x14ac:dyDescent="0.3">
      <c r="A1690" t="s">
        <v>7853</v>
      </c>
      <c r="B1690" t="s">
        <v>7854</v>
      </c>
      <c r="C1690">
        <v>58</v>
      </c>
      <c r="D1690" t="s">
        <v>7855</v>
      </c>
      <c r="E1690" t="s">
        <v>40</v>
      </c>
      <c r="F1690" t="s">
        <v>6356</v>
      </c>
      <c r="G1690" s="86">
        <v>44477</v>
      </c>
      <c r="H1690">
        <v>2</v>
      </c>
      <c r="I1690" t="s">
        <v>27</v>
      </c>
      <c r="J1690" t="s">
        <v>664</v>
      </c>
      <c r="K1690">
        <v>18.2</v>
      </c>
      <c r="L1690">
        <v>6</v>
      </c>
      <c r="M1690">
        <v>23</v>
      </c>
      <c r="N1690" t="s">
        <v>30</v>
      </c>
      <c r="O1690" t="s">
        <v>99</v>
      </c>
      <c r="P1690" t="s">
        <v>56</v>
      </c>
      <c r="Q1690" t="s">
        <v>69</v>
      </c>
    </row>
    <row r="1691" spans="1:17" x14ac:dyDescent="0.3">
      <c r="A1691" t="s">
        <v>7857</v>
      </c>
      <c r="B1691" t="s">
        <v>7858</v>
      </c>
      <c r="C1691">
        <v>50</v>
      </c>
      <c r="D1691" t="s">
        <v>7859</v>
      </c>
      <c r="E1691" t="s">
        <v>40</v>
      </c>
      <c r="F1691" t="s">
        <v>7860</v>
      </c>
      <c r="G1691" t="s">
        <v>3210</v>
      </c>
      <c r="H1691">
        <v>4</v>
      </c>
      <c r="I1691" t="s">
        <v>27</v>
      </c>
      <c r="J1691" s="86">
        <v>45081</v>
      </c>
      <c r="K1691">
        <v>200.74</v>
      </c>
      <c r="L1691">
        <v>5</v>
      </c>
      <c r="M1691">
        <v>38</v>
      </c>
      <c r="N1691" t="s">
        <v>30</v>
      </c>
      <c r="O1691" t="s">
        <v>91</v>
      </c>
      <c r="P1691" t="s">
        <v>54</v>
      </c>
      <c r="Q1691" t="s">
        <v>32</v>
      </c>
    </row>
    <row r="1692" spans="1:17" x14ac:dyDescent="0.3">
      <c r="A1692" t="s">
        <v>7862</v>
      </c>
      <c r="B1692" t="s">
        <v>7863</v>
      </c>
      <c r="C1692">
        <v>42</v>
      </c>
      <c r="D1692" t="s">
        <v>7864</v>
      </c>
      <c r="E1692" t="s">
        <v>25</v>
      </c>
      <c r="F1692" t="s">
        <v>4057</v>
      </c>
      <c r="G1692" t="s">
        <v>6711</v>
      </c>
      <c r="H1692">
        <v>0</v>
      </c>
      <c r="I1692" t="s">
        <v>27</v>
      </c>
      <c r="J1692" t="s">
        <v>1852</v>
      </c>
      <c r="K1692">
        <v>301.07</v>
      </c>
      <c r="L1692">
        <v>6</v>
      </c>
      <c r="M1692">
        <v>46</v>
      </c>
      <c r="N1692" t="s">
        <v>68</v>
      </c>
      <c r="O1692" t="s">
        <v>354</v>
      </c>
      <c r="P1692" t="s">
        <v>45</v>
      </c>
      <c r="Q1692" t="s">
        <v>32</v>
      </c>
    </row>
    <row r="1693" spans="1:17" x14ac:dyDescent="0.3">
      <c r="A1693" t="s">
        <v>7865</v>
      </c>
      <c r="B1693" t="s">
        <v>7866</v>
      </c>
      <c r="C1693">
        <v>21</v>
      </c>
      <c r="D1693" t="s">
        <v>7867</v>
      </c>
      <c r="E1693" t="s">
        <v>40</v>
      </c>
      <c r="F1693" s="86">
        <v>45021</v>
      </c>
      <c r="G1693" t="s">
        <v>740</v>
      </c>
      <c r="H1693">
        <v>0</v>
      </c>
      <c r="I1693" t="s">
        <v>27</v>
      </c>
      <c r="J1693" s="86">
        <v>45815</v>
      </c>
      <c r="K1693">
        <v>383.59</v>
      </c>
      <c r="L1693">
        <v>3</v>
      </c>
      <c r="M1693">
        <v>33</v>
      </c>
      <c r="N1693" t="s">
        <v>68</v>
      </c>
      <c r="O1693" t="s">
        <v>624</v>
      </c>
      <c r="P1693" t="s">
        <v>30</v>
      </c>
      <c r="Q1693" t="s">
        <v>69</v>
      </c>
    </row>
    <row r="1694" spans="1:17" x14ac:dyDescent="0.3">
      <c r="A1694" t="s">
        <v>7869</v>
      </c>
      <c r="B1694" t="s">
        <v>7870</v>
      </c>
      <c r="C1694">
        <v>46</v>
      </c>
      <c r="D1694" t="s">
        <v>7871</v>
      </c>
      <c r="E1694" t="s">
        <v>95</v>
      </c>
      <c r="F1694" t="s">
        <v>26</v>
      </c>
      <c r="G1694" t="s">
        <v>2727</v>
      </c>
      <c r="H1694">
        <v>4</v>
      </c>
      <c r="I1694" t="s">
        <v>52</v>
      </c>
      <c r="J1694" s="86">
        <v>45815</v>
      </c>
      <c r="K1694">
        <v>159.88</v>
      </c>
      <c r="L1694">
        <v>5</v>
      </c>
      <c r="M1694">
        <v>31</v>
      </c>
      <c r="N1694" t="s">
        <v>54</v>
      </c>
      <c r="O1694" t="s">
        <v>142</v>
      </c>
      <c r="P1694" t="s">
        <v>68</v>
      </c>
      <c r="Q1694" t="s">
        <v>69</v>
      </c>
    </row>
    <row r="1695" spans="1:17" x14ac:dyDescent="0.3">
      <c r="A1695" t="s">
        <v>7873</v>
      </c>
      <c r="B1695" t="s">
        <v>7874</v>
      </c>
      <c r="C1695">
        <v>62</v>
      </c>
      <c r="D1695" t="s">
        <v>7875</v>
      </c>
      <c r="E1695" t="s">
        <v>95</v>
      </c>
      <c r="F1695" s="86">
        <v>45108</v>
      </c>
      <c r="G1695" t="s">
        <v>1737</v>
      </c>
      <c r="H1695">
        <v>3</v>
      </c>
      <c r="I1695" t="s">
        <v>27</v>
      </c>
      <c r="J1695" t="s">
        <v>3483</v>
      </c>
      <c r="K1695">
        <v>96.74</v>
      </c>
      <c r="L1695">
        <v>6</v>
      </c>
      <c r="M1695">
        <v>17</v>
      </c>
      <c r="N1695" t="s">
        <v>45</v>
      </c>
      <c r="O1695" t="s">
        <v>128</v>
      </c>
      <c r="P1695" t="s">
        <v>54</v>
      </c>
      <c r="Q1695" t="s">
        <v>69</v>
      </c>
    </row>
    <row r="1696" spans="1:17" x14ac:dyDescent="0.3">
      <c r="A1696" t="s">
        <v>7877</v>
      </c>
      <c r="B1696" t="s">
        <v>7878</v>
      </c>
      <c r="C1696">
        <v>33</v>
      </c>
      <c r="D1696" t="s">
        <v>7879</v>
      </c>
      <c r="E1696" t="s">
        <v>51</v>
      </c>
      <c r="F1696" t="s">
        <v>6710</v>
      </c>
      <c r="G1696" t="s">
        <v>345</v>
      </c>
      <c r="H1696">
        <v>1</v>
      </c>
      <c r="I1696" t="s">
        <v>64</v>
      </c>
      <c r="J1696" s="86">
        <v>45390</v>
      </c>
      <c r="K1696">
        <v>147.04</v>
      </c>
      <c r="L1696">
        <v>8</v>
      </c>
      <c r="M1696">
        <v>12</v>
      </c>
      <c r="N1696" t="s">
        <v>30</v>
      </c>
      <c r="O1696" t="s">
        <v>624</v>
      </c>
      <c r="P1696" t="s">
        <v>30</v>
      </c>
      <c r="Q1696" t="s">
        <v>322</v>
      </c>
    </row>
    <row r="1697" spans="1:17" x14ac:dyDescent="0.3">
      <c r="A1697" t="s">
        <v>7881</v>
      </c>
      <c r="B1697" t="s">
        <v>7882</v>
      </c>
      <c r="C1697">
        <v>59</v>
      </c>
      <c r="D1697" t="s">
        <v>7883</v>
      </c>
      <c r="E1697" t="s">
        <v>95</v>
      </c>
      <c r="F1697" t="s">
        <v>878</v>
      </c>
      <c r="G1697" t="s">
        <v>5318</v>
      </c>
      <c r="H1697">
        <v>0</v>
      </c>
      <c r="I1697" t="s">
        <v>27</v>
      </c>
      <c r="J1697" s="86">
        <v>45508</v>
      </c>
      <c r="K1697">
        <v>67.84</v>
      </c>
      <c r="L1697">
        <v>9</v>
      </c>
      <c r="M1697">
        <v>12</v>
      </c>
      <c r="N1697" t="s">
        <v>54</v>
      </c>
      <c r="O1697" t="s">
        <v>597</v>
      </c>
      <c r="P1697" t="s">
        <v>45</v>
      </c>
      <c r="Q1697" t="s">
        <v>69</v>
      </c>
    </row>
    <row r="1698" spans="1:17" x14ac:dyDescent="0.3">
      <c r="A1698" t="s">
        <v>7885</v>
      </c>
      <c r="B1698" t="s">
        <v>7886</v>
      </c>
      <c r="C1698">
        <v>60</v>
      </c>
      <c r="D1698" t="s">
        <v>7887</v>
      </c>
      <c r="E1698" t="s">
        <v>95</v>
      </c>
      <c r="F1698" t="s">
        <v>3685</v>
      </c>
      <c r="G1698" t="s">
        <v>590</v>
      </c>
      <c r="H1698">
        <v>3</v>
      </c>
      <c r="I1698" t="s">
        <v>27</v>
      </c>
      <c r="J1698" t="s">
        <v>1100</v>
      </c>
      <c r="K1698">
        <v>488.97</v>
      </c>
      <c r="L1698">
        <v>1</v>
      </c>
      <c r="M1698">
        <v>49</v>
      </c>
      <c r="N1698" t="s">
        <v>56</v>
      </c>
      <c r="O1698" t="s">
        <v>245</v>
      </c>
      <c r="P1698" t="s">
        <v>54</v>
      </c>
      <c r="Q1698" t="s">
        <v>69</v>
      </c>
    </row>
    <row r="1699" spans="1:17" x14ac:dyDescent="0.3">
      <c r="A1699" t="s">
        <v>7889</v>
      </c>
      <c r="B1699" t="s">
        <v>7890</v>
      </c>
      <c r="C1699">
        <v>21</v>
      </c>
      <c r="D1699" t="s">
        <v>7891</v>
      </c>
      <c r="E1699" t="s">
        <v>51</v>
      </c>
      <c r="F1699" t="s">
        <v>3330</v>
      </c>
      <c r="G1699" t="s">
        <v>5166</v>
      </c>
      <c r="H1699">
        <v>1</v>
      </c>
      <c r="I1699" t="s">
        <v>27</v>
      </c>
      <c r="J1699" t="s">
        <v>186</v>
      </c>
      <c r="K1699">
        <v>257.60000000000002</v>
      </c>
      <c r="L1699">
        <v>7</v>
      </c>
      <c r="M1699">
        <v>34</v>
      </c>
      <c r="N1699" t="s">
        <v>30</v>
      </c>
      <c r="O1699" t="s">
        <v>67</v>
      </c>
      <c r="P1699" t="s">
        <v>68</v>
      </c>
      <c r="Q1699" t="s">
        <v>69</v>
      </c>
    </row>
    <row r="1700" spans="1:17" x14ac:dyDescent="0.3">
      <c r="A1700" t="s">
        <v>7893</v>
      </c>
      <c r="B1700" t="s">
        <v>7894</v>
      </c>
      <c r="C1700">
        <v>62</v>
      </c>
      <c r="D1700" t="s">
        <v>7895</v>
      </c>
      <c r="E1700" t="s">
        <v>51</v>
      </c>
      <c r="F1700" t="s">
        <v>7896</v>
      </c>
      <c r="G1700" s="86">
        <v>44872</v>
      </c>
      <c r="H1700">
        <v>4</v>
      </c>
      <c r="I1700" t="s">
        <v>64</v>
      </c>
      <c r="J1700" t="s">
        <v>42</v>
      </c>
      <c r="K1700">
        <v>200.49</v>
      </c>
      <c r="L1700">
        <v>2</v>
      </c>
      <c r="M1700">
        <v>41</v>
      </c>
      <c r="N1700" t="s">
        <v>54</v>
      </c>
      <c r="O1700" t="s">
        <v>199</v>
      </c>
      <c r="P1700" t="s">
        <v>54</v>
      </c>
      <c r="Q1700" t="s">
        <v>32</v>
      </c>
    </row>
    <row r="1701" spans="1:17" x14ac:dyDescent="0.3">
      <c r="A1701" t="s">
        <v>7898</v>
      </c>
      <c r="B1701" t="s">
        <v>7899</v>
      </c>
      <c r="C1701">
        <v>52</v>
      </c>
      <c r="D1701" t="s">
        <v>7900</v>
      </c>
      <c r="E1701" t="s">
        <v>51</v>
      </c>
      <c r="F1701" t="s">
        <v>81</v>
      </c>
      <c r="G1701" t="s">
        <v>4222</v>
      </c>
      <c r="H1701">
        <v>3</v>
      </c>
      <c r="I1701" t="s">
        <v>27</v>
      </c>
      <c r="J1701" t="s">
        <v>3330</v>
      </c>
      <c r="K1701">
        <v>80.900000000000006</v>
      </c>
      <c r="L1701">
        <v>9</v>
      </c>
      <c r="M1701">
        <v>22</v>
      </c>
      <c r="N1701" t="s">
        <v>54</v>
      </c>
      <c r="O1701" t="s">
        <v>116</v>
      </c>
      <c r="P1701" t="s">
        <v>54</v>
      </c>
      <c r="Q1701" t="s">
        <v>69</v>
      </c>
    </row>
    <row r="1702" spans="1:17" x14ac:dyDescent="0.3">
      <c r="A1702" t="s">
        <v>7902</v>
      </c>
      <c r="B1702" t="s">
        <v>7903</v>
      </c>
      <c r="C1702">
        <v>44</v>
      </c>
      <c r="D1702" t="s">
        <v>7904</v>
      </c>
      <c r="E1702" t="s">
        <v>88</v>
      </c>
      <c r="F1702" t="s">
        <v>1924</v>
      </c>
      <c r="G1702" t="s">
        <v>852</v>
      </c>
      <c r="H1702">
        <v>3</v>
      </c>
      <c r="I1702" t="s">
        <v>52</v>
      </c>
      <c r="J1702" s="86">
        <v>45297</v>
      </c>
      <c r="K1702">
        <v>157.66999999999999</v>
      </c>
      <c r="L1702">
        <v>9</v>
      </c>
      <c r="M1702">
        <v>13</v>
      </c>
      <c r="N1702" t="s">
        <v>30</v>
      </c>
      <c r="O1702" t="s">
        <v>91</v>
      </c>
      <c r="P1702" t="s">
        <v>54</v>
      </c>
      <c r="Q1702" t="s">
        <v>69</v>
      </c>
    </row>
    <row r="1703" spans="1:17" x14ac:dyDescent="0.3">
      <c r="A1703" t="s">
        <v>7906</v>
      </c>
      <c r="B1703" t="s">
        <v>7907</v>
      </c>
      <c r="C1703">
        <v>65</v>
      </c>
      <c r="D1703" t="s">
        <v>7908</v>
      </c>
      <c r="E1703" t="s">
        <v>40</v>
      </c>
      <c r="F1703" t="s">
        <v>7909</v>
      </c>
      <c r="G1703" t="s">
        <v>590</v>
      </c>
      <c r="H1703">
        <v>5</v>
      </c>
      <c r="I1703" t="s">
        <v>27</v>
      </c>
      <c r="J1703" t="s">
        <v>2455</v>
      </c>
      <c r="K1703">
        <v>104.98</v>
      </c>
      <c r="L1703">
        <v>8</v>
      </c>
      <c r="M1703">
        <v>26</v>
      </c>
      <c r="N1703" t="s">
        <v>45</v>
      </c>
      <c r="O1703" t="s">
        <v>269</v>
      </c>
      <c r="P1703" t="s">
        <v>56</v>
      </c>
      <c r="Q1703" t="s">
        <v>32</v>
      </c>
    </row>
    <row r="1704" spans="1:17" x14ac:dyDescent="0.3">
      <c r="A1704" t="s">
        <v>7911</v>
      </c>
      <c r="B1704" t="s">
        <v>7912</v>
      </c>
      <c r="C1704">
        <v>50</v>
      </c>
      <c r="D1704" t="s">
        <v>7913</v>
      </c>
      <c r="E1704" t="s">
        <v>51</v>
      </c>
      <c r="F1704" t="s">
        <v>3200</v>
      </c>
      <c r="G1704" s="86">
        <v>45511</v>
      </c>
      <c r="H1704">
        <v>4</v>
      </c>
      <c r="I1704" t="s">
        <v>27</v>
      </c>
      <c r="J1704" s="86">
        <v>45421</v>
      </c>
      <c r="K1704">
        <v>62.9</v>
      </c>
      <c r="L1704">
        <v>4</v>
      </c>
      <c r="M1704">
        <v>13</v>
      </c>
      <c r="N1704" t="s">
        <v>56</v>
      </c>
      <c r="O1704" t="s">
        <v>536</v>
      </c>
      <c r="P1704" t="s">
        <v>68</v>
      </c>
      <c r="Q1704" t="s">
        <v>32</v>
      </c>
    </row>
    <row r="1705" spans="1:17" x14ac:dyDescent="0.3">
      <c r="A1705" t="s">
        <v>7915</v>
      </c>
      <c r="B1705" t="s">
        <v>7916</v>
      </c>
      <c r="C1705">
        <v>30</v>
      </c>
      <c r="D1705" t="s">
        <v>7917</v>
      </c>
      <c r="E1705" t="s">
        <v>25</v>
      </c>
      <c r="F1705" s="86">
        <v>43873</v>
      </c>
      <c r="G1705" t="s">
        <v>274</v>
      </c>
      <c r="H1705">
        <v>4</v>
      </c>
      <c r="I1705" t="s">
        <v>52</v>
      </c>
      <c r="J1705" t="s">
        <v>3652</v>
      </c>
      <c r="K1705">
        <v>145.29</v>
      </c>
      <c r="L1705">
        <v>3</v>
      </c>
      <c r="M1705">
        <v>24</v>
      </c>
      <c r="N1705" t="s">
        <v>56</v>
      </c>
      <c r="O1705" t="s">
        <v>597</v>
      </c>
      <c r="P1705" t="s">
        <v>45</v>
      </c>
      <c r="Q1705" t="s">
        <v>69</v>
      </c>
    </row>
    <row r="1706" spans="1:17" x14ac:dyDescent="0.3">
      <c r="A1706" t="s">
        <v>7919</v>
      </c>
      <c r="B1706" t="s">
        <v>7920</v>
      </c>
      <c r="C1706">
        <v>28</v>
      </c>
      <c r="D1706" t="s">
        <v>7921</v>
      </c>
      <c r="E1706" t="s">
        <v>61</v>
      </c>
      <c r="F1706" t="s">
        <v>5393</v>
      </c>
      <c r="G1706" t="s">
        <v>7922</v>
      </c>
      <c r="H1706">
        <v>4</v>
      </c>
      <c r="I1706" t="s">
        <v>52</v>
      </c>
      <c r="J1706" t="s">
        <v>467</v>
      </c>
      <c r="K1706">
        <v>858.36</v>
      </c>
      <c r="L1706">
        <v>2</v>
      </c>
      <c r="M1706">
        <v>44</v>
      </c>
      <c r="N1706" t="s">
        <v>45</v>
      </c>
      <c r="O1706" t="s">
        <v>116</v>
      </c>
      <c r="P1706" t="s">
        <v>54</v>
      </c>
      <c r="Q1706" t="s">
        <v>32</v>
      </c>
    </row>
    <row r="1707" spans="1:17" x14ac:dyDescent="0.3">
      <c r="A1707" t="s">
        <v>7924</v>
      </c>
      <c r="B1707" t="s">
        <v>7925</v>
      </c>
      <c r="C1707">
        <v>57</v>
      </c>
      <c r="D1707" t="s">
        <v>7926</v>
      </c>
      <c r="E1707" t="s">
        <v>25</v>
      </c>
      <c r="F1707" t="s">
        <v>841</v>
      </c>
      <c r="G1707" s="86">
        <v>44355</v>
      </c>
      <c r="H1707">
        <v>1</v>
      </c>
      <c r="I1707" t="s">
        <v>52</v>
      </c>
      <c r="J1707" t="s">
        <v>702</v>
      </c>
      <c r="K1707">
        <v>821.24</v>
      </c>
      <c r="L1707">
        <v>2</v>
      </c>
      <c r="M1707">
        <v>23</v>
      </c>
      <c r="N1707" t="s">
        <v>45</v>
      </c>
      <c r="O1707" t="s">
        <v>31</v>
      </c>
      <c r="P1707" t="s">
        <v>30</v>
      </c>
      <c r="Q1707" t="s">
        <v>69</v>
      </c>
    </row>
    <row r="1708" spans="1:17" x14ac:dyDescent="0.3">
      <c r="A1708" t="s">
        <v>7928</v>
      </c>
      <c r="B1708" t="s">
        <v>7929</v>
      </c>
      <c r="C1708">
        <v>40</v>
      </c>
      <c r="D1708" t="s">
        <v>7930</v>
      </c>
      <c r="E1708" t="s">
        <v>95</v>
      </c>
      <c r="F1708" s="86">
        <v>44419</v>
      </c>
      <c r="G1708" t="s">
        <v>1497</v>
      </c>
      <c r="H1708">
        <v>3</v>
      </c>
      <c r="I1708" t="s">
        <v>52</v>
      </c>
      <c r="J1708" t="s">
        <v>621</v>
      </c>
      <c r="K1708">
        <v>165.58</v>
      </c>
      <c r="L1708">
        <v>8</v>
      </c>
      <c r="M1708">
        <v>21</v>
      </c>
      <c r="N1708" t="s">
        <v>54</v>
      </c>
      <c r="O1708" t="s">
        <v>293</v>
      </c>
      <c r="P1708" t="s">
        <v>45</v>
      </c>
      <c r="Q1708" t="s">
        <v>69</v>
      </c>
    </row>
    <row r="1709" spans="1:17" x14ac:dyDescent="0.3">
      <c r="A1709" t="s">
        <v>7932</v>
      </c>
      <c r="B1709" t="s">
        <v>7933</v>
      </c>
      <c r="C1709">
        <v>39</v>
      </c>
      <c r="D1709" t="s">
        <v>7934</v>
      </c>
      <c r="E1709" t="s">
        <v>40</v>
      </c>
      <c r="F1709" s="86">
        <v>44866</v>
      </c>
      <c r="G1709" t="s">
        <v>3714</v>
      </c>
      <c r="H1709">
        <v>5</v>
      </c>
      <c r="I1709" t="s">
        <v>27</v>
      </c>
      <c r="J1709" t="s">
        <v>1190</v>
      </c>
      <c r="K1709">
        <v>93.48</v>
      </c>
      <c r="L1709">
        <v>9</v>
      </c>
      <c r="M1709">
        <v>39</v>
      </c>
      <c r="N1709" t="s">
        <v>56</v>
      </c>
      <c r="O1709" t="s">
        <v>128</v>
      </c>
      <c r="P1709" t="s">
        <v>54</v>
      </c>
      <c r="Q1709" t="s">
        <v>32</v>
      </c>
    </row>
    <row r="1710" spans="1:17" x14ac:dyDescent="0.3">
      <c r="A1710" t="s">
        <v>7936</v>
      </c>
      <c r="B1710" t="s">
        <v>7937</v>
      </c>
      <c r="C1710">
        <v>33</v>
      </c>
      <c r="D1710" t="s">
        <v>7938</v>
      </c>
      <c r="E1710" t="s">
        <v>40</v>
      </c>
      <c r="F1710" t="s">
        <v>1969</v>
      </c>
      <c r="G1710" s="86">
        <v>45636</v>
      </c>
      <c r="H1710">
        <v>1</v>
      </c>
      <c r="I1710" t="s">
        <v>52</v>
      </c>
      <c r="J1710" s="86">
        <v>45938</v>
      </c>
      <c r="K1710">
        <v>227.54</v>
      </c>
      <c r="L1710">
        <v>8</v>
      </c>
      <c r="M1710">
        <v>10</v>
      </c>
      <c r="N1710" t="s">
        <v>30</v>
      </c>
      <c r="O1710" t="s">
        <v>238</v>
      </c>
      <c r="P1710" t="s">
        <v>45</v>
      </c>
      <c r="Q1710" t="s">
        <v>32</v>
      </c>
    </row>
    <row r="1711" spans="1:17" x14ac:dyDescent="0.3">
      <c r="A1711" t="s">
        <v>7940</v>
      </c>
      <c r="B1711" t="s">
        <v>7941</v>
      </c>
      <c r="C1711">
        <v>40</v>
      </c>
      <c r="D1711" t="s">
        <v>7942</v>
      </c>
      <c r="E1711" t="s">
        <v>40</v>
      </c>
      <c r="F1711" t="s">
        <v>4731</v>
      </c>
      <c r="G1711" t="s">
        <v>1503</v>
      </c>
      <c r="H1711">
        <v>1</v>
      </c>
      <c r="I1711" t="s">
        <v>64</v>
      </c>
      <c r="J1711" t="s">
        <v>1298</v>
      </c>
      <c r="K1711">
        <v>259.94</v>
      </c>
      <c r="L1711">
        <v>6</v>
      </c>
      <c r="M1711">
        <v>35</v>
      </c>
      <c r="N1711" t="s">
        <v>56</v>
      </c>
      <c r="O1711" t="s">
        <v>418</v>
      </c>
      <c r="P1711" t="s">
        <v>56</v>
      </c>
      <c r="Q1711" t="s">
        <v>69</v>
      </c>
    </row>
    <row r="1712" spans="1:17" x14ac:dyDescent="0.3">
      <c r="A1712" t="s">
        <v>7944</v>
      </c>
      <c r="B1712" t="s">
        <v>7945</v>
      </c>
      <c r="C1712">
        <v>20</v>
      </c>
      <c r="D1712" t="s">
        <v>7946</v>
      </c>
      <c r="E1712" t="s">
        <v>61</v>
      </c>
      <c r="F1712" t="s">
        <v>2173</v>
      </c>
      <c r="G1712" s="86">
        <v>45537</v>
      </c>
      <c r="H1712">
        <v>0</v>
      </c>
      <c r="I1712" t="s">
        <v>27</v>
      </c>
      <c r="J1712" t="s">
        <v>140</v>
      </c>
      <c r="K1712">
        <v>232</v>
      </c>
      <c r="L1712">
        <v>8</v>
      </c>
      <c r="M1712">
        <v>39</v>
      </c>
      <c r="N1712" t="s">
        <v>54</v>
      </c>
      <c r="O1712" t="s">
        <v>269</v>
      </c>
      <c r="P1712" t="s">
        <v>56</v>
      </c>
      <c r="Q1712" t="s">
        <v>32</v>
      </c>
    </row>
    <row r="1713" spans="1:17" x14ac:dyDescent="0.3">
      <c r="A1713" t="s">
        <v>7948</v>
      </c>
      <c r="B1713" t="s">
        <v>7949</v>
      </c>
      <c r="C1713">
        <v>47</v>
      </c>
      <c r="D1713" t="s">
        <v>7950</v>
      </c>
      <c r="E1713" t="s">
        <v>61</v>
      </c>
      <c r="F1713" s="86">
        <v>44596</v>
      </c>
      <c r="G1713" s="86">
        <v>45391</v>
      </c>
      <c r="H1713">
        <v>5</v>
      </c>
      <c r="I1713" t="s">
        <v>64</v>
      </c>
      <c r="J1713" s="86">
        <v>44928</v>
      </c>
      <c r="K1713">
        <v>184.92</v>
      </c>
      <c r="L1713">
        <v>7</v>
      </c>
      <c r="M1713">
        <v>34</v>
      </c>
      <c r="N1713" t="s">
        <v>45</v>
      </c>
      <c r="O1713" t="s">
        <v>91</v>
      </c>
      <c r="P1713" t="s">
        <v>54</v>
      </c>
      <c r="Q1713" t="s">
        <v>69</v>
      </c>
    </row>
    <row r="1714" spans="1:17" x14ac:dyDescent="0.3">
      <c r="A1714" t="s">
        <v>7951</v>
      </c>
      <c r="B1714" t="s">
        <v>7952</v>
      </c>
      <c r="C1714">
        <v>53</v>
      </c>
      <c r="D1714" t="s">
        <v>7953</v>
      </c>
      <c r="E1714" t="s">
        <v>95</v>
      </c>
      <c r="F1714" s="86">
        <v>45080</v>
      </c>
      <c r="G1714" t="s">
        <v>508</v>
      </c>
      <c r="H1714">
        <v>2</v>
      </c>
      <c r="I1714" t="s">
        <v>27</v>
      </c>
      <c r="J1714" s="86">
        <v>45326</v>
      </c>
      <c r="K1714">
        <v>186.91</v>
      </c>
      <c r="L1714">
        <v>6</v>
      </c>
      <c r="M1714">
        <v>30</v>
      </c>
      <c r="N1714" t="s">
        <v>56</v>
      </c>
      <c r="O1714" t="s">
        <v>418</v>
      </c>
      <c r="P1714" t="s">
        <v>56</v>
      </c>
      <c r="Q1714" t="s">
        <v>69</v>
      </c>
    </row>
    <row r="1715" spans="1:17" x14ac:dyDescent="0.3">
      <c r="A1715" t="s">
        <v>7955</v>
      </c>
      <c r="B1715" t="s">
        <v>7956</v>
      </c>
      <c r="C1715">
        <v>66</v>
      </c>
      <c r="D1715" t="s">
        <v>7957</v>
      </c>
      <c r="E1715" t="s">
        <v>61</v>
      </c>
      <c r="F1715" s="86">
        <v>44294</v>
      </c>
      <c r="G1715" s="86">
        <v>45904</v>
      </c>
      <c r="H1715">
        <v>4</v>
      </c>
      <c r="I1715" t="s">
        <v>27</v>
      </c>
      <c r="J1715" s="86">
        <v>45597</v>
      </c>
      <c r="K1715">
        <v>82.59</v>
      </c>
      <c r="L1715">
        <v>9</v>
      </c>
      <c r="M1715">
        <v>46</v>
      </c>
      <c r="N1715" t="s">
        <v>68</v>
      </c>
      <c r="O1715" t="s">
        <v>44</v>
      </c>
      <c r="P1715" t="s">
        <v>45</v>
      </c>
      <c r="Q1715" t="s">
        <v>32</v>
      </c>
    </row>
    <row r="1716" spans="1:17" x14ac:dyDescent="0.3">
      <c r="A1716" t="s">
        <v>7959</v>
      </c>
      <c r="B1716" t="s">
        <v>7960</v>
      </c>
      <c r="C1716">
        <v>27</v>
      </c>
      <c r="D1716" t="s">
        <v>7961</v>
      </c>
      <c r="E1716" t="s">
        <v>40</v>
      </c>
      <c r="F1716" t="s">
        <v>275</v>
      </c>
      <c r="G1716" t="s">
        <v>1184</v>
      </c>
      <c r="H1716">
        <v>4</v>
      </c>
      <c r="I1716" t="s">
        <v>27</v>
      </c>
      <c r="J1716" t="s">
        <v>3731</v>
      </c>
      <c r="K1716">
        <v>31.93</v>
      </c>
      <c r="L1716">
        <v>3</v>
      </c>
      <c r="M1716">
        <v>36</v>
      </c>
      <c r="N1716" t="s">
        <v>45</v>
      </c>
      <c r="O1716" t="s">
        <v>238</v>
      </c>
      <c r="P1716" t="s">
        <v>45</v>
      </c>
      <c r="Q1716" t="s">
        <v>69</v>
      </c>
    </row>
    <row r="1717" spans="1:17" x14ac:dyDescent="0.3">
      <c r="A1717" t="s">
        <v>7963</v>
      </c>
      <c r="B1717" t="s">
        <v>7964</v>
      </c>
      <c r="C1717">
        <v>48</v>
      </c>
      <c r="D1717" t="s">
        <v>7965</v>
      </c>
      <c r="E1717" t="s">
        <v>51</v>
      </c>
      <c r="F1717" t="s">
        <v>1386</v>
      </c>
      <c r="G1717" t="s">
        <v>5171</v>
      </c>
      <c r="H1717">
        <v>4</v>
      </c>
      <c r="I1717" t="s">
        <v>64</v>
      </c>
      <c r="J1717" t="s">
        <v>3516</v>
      </c>
      <c r="K1717">
        <v>244.96</v>
      </c>
      <c r="L1717">
        <v>4</v>
      </c>
      <c r="M1717">
        <v>7</v>
      </c>
      <c r="N1717" t="s">
        <v>54</v>
      </c>
      <c r="O1717" t="s">
        <v>597</v>
      </c>
      <c r="P1717" t="s">
        <v>45</v>
      </c>
      <c r="Q1717" t="s">
        <v>69</v>
      </c>
    </row>
    <row r="1718" spans="1:17" x14ac:dyDescent="0.3">
      <c r="A1718" t="s">
        <v>7967</v>
      </c>
      <c r="B1718" t="s">
        <v>7968</v>
      </c>
      <c r="C1718">
        <v>36</v>
      </c>
      <c r="D1718" t="s">
        <v>7969</v>
      </c>
      <c r="E1718" t="s">
        <v>61</v>
      </c>
      <c r="F1718" t="s">
        <v>7283</v>
      </c>
      <c r="G1718" s="86">
        <v>44479</v>
      </c>
      <c r="H1718">
        <v>2</v>
      </c>
      <c r="I1718" t="s">
        <v>52</v>
      </c>
      <c r="J1718" t="s">
        <v>180</v>
      </c>
      <c r="K1718">
        <v>79.27</v>
      </c>
      <c r="L1718">
        <v>4</v>
      </c>
      <c r="M1718">
        <v>48</v>
      </c>
      <c r="N1718" t="s">
        <v>56</v>
      </c>
      <c r="O1718" t="s">
        <v>238</v>
      </c>
      <c r="P1718" t="s">
        <v>45</v>
      </c>
      <c r="Q1718" t="s">
        <v>32</v>
      </c>
    </row>
    <row r="1719" spans="1:17" x14ac:dyDescent="0.3">
      <c r="A1719" t="s">
        <v>7971</v>
      </c>
      <c r="B1719" t="s">
        <v>7972</v>
      </c>
      <c r="C1719">
        <v>43</v>
      </c>
      <c r="D1719" t="s">
        <v>7973</v>
      </c>
      <c r="E1719" t="s">
        <v>51</v>
      </c>
      <c r="F1719" s="86">
        <v>44930</v>
      </c>
      <c r="G1719" t="s">
        <v>2615</v>
      </c>
      <c r="H1719">
        <v>4</v>
      </c>
      <c r="I1719" t="s">
        <v>27</v>
      </c>
      <c r="J1719" s="86">
        <v>45265</v>
      </c>
      <c r="K1719">
        <v>27.61</v>
      </c>
      <c r="L1719">
        <v>9</v>
      </c>
      <c r="M1719">
        <v>42</v>
      </c>
      <c r="N1719" t="s">
        <v>56</v>
      </c>
      <c r="O1719" t="s">
        <v>122</v>
      </c>
      <c r="P1719" t="s">
        <v>30</v>
      </c>
      <c r="Q1719" t="s">
        <v>69</v>
      </c>
    </row>
    <row r="1720" spans="1:17" x14ac:dyDescent="0.3">
      <c r="A1720" t="s">
        <v>7975</v>
      </c>
      <c r="B1720" t="s">
        <v>7976</v>
      </c>
      <c r="C1720">
        <v>18</v>
      </c>
      <c r="D1720" t="s">
        <v>7977</v>
      </c>
      <c r="E1720" t="s">
        <v>25</v>
      </c>
      <c r="F1720" t="s">
        <v>2167</v>
      </c>
      <c r="G1720" t="s">
        <v>2430</v>
      </c>
      <c r="H1720">
        <v>5</v>
      </c>
      <c r="I1720" t="s">
        <v>52</v>
      </c>
      <c r="J1720" t="s">
        <v>1497</v>
      </c>
      <c r="K1720">
        <v>30.43</v>
      </c>
      <c r="L1720">
        <v>9</v>
      </c>
      <c r="M1720">
        <v>18</v>
      </c>
      <c r="N1720" t="s">
        <v>68</v>
      </c>
      <c r="O1720" t="s">
        <v>116</v>
      </c>
      <c r="P1720" t="s">
        <v>54</v>
      </c>
      <c r="Q1720" t="s">
        <v>69</v>
      </c>
    </row>
    <row r="1721" spans="1:17" x14ac:dyDescent="0.3">
      <c r="A1721" t="s">
        <v>7979</v>
      </c>
      <c r="B1721" t="s">
        <v>7980</v>
      </c>
      <c r="C1721">
        <v>40</v>
      </c>
      <c r="D1721" t="s">
        <v>7981</v>
      </c>
      <c r="E1721" t="s">
        <v>51</v>
      </c>
      <c r="F1721" s="86">
        <v>43962</v>
      </c>
      <c r="G1721" s="86">
        <v>45141</v>
      </c>
      <c r="H1721">
        <v>1</v>
      </c>
      <c r="I1721" t="s">
        <v>52</v>
      </c>
      <c r="J1721" s="86">
        <v>45484</v>
      </c>
      <c r="K1721">
        <v>870.22</v>
      </c>
      <c r="L1721">
        <v>2</v>
      </c>
      <c r="M1721">
        <v>35</v>
      </c>
      <c r="N1721" t="s">
        <v>68</v>
      </c>
      <c r="O1721" t="s">
        <v>175</v>
      </c>
      <c r="P1721" t="s">
        <v>56</v>
      </c>
      <c r="Q1721" t="s">
        <v>32</v>
      </c>
    </row>
    <row r="1722" spans="1:17" x14ac:dyDescent="0.3">
      <c r="A1722" t="s">
        <v>7983</v>
      </c>
      <c r="B1722" t="s">
        <v>7984</v>
      </c>
      <c r="C1722">
        <v>22</v>
      </c>
      <c r="D1722" t="s">
        <v>7985</v>
      </c>
      <c r="E1722" t="s">
        <v>40</v>
      </c>
      <c r="F1722" s="86">
        <v>45200</v>
      </c>
      <c r="G1722" t="s">
        <v>1338</v>
      </c>
      <c r="H1722">
        <v>3</v>
      </c>
      <c r="I1722" t="s">
        <v>64</v>
      </c>
      <c r="J1722" t="s">
        <v>1005</v>
      </c>
      <c r="K1722">
        <v>175.59</v>
      </c>
      <c r="L1722">
        <v>9</v>
      </c>
      <c r="M1722">
        <v>41</v>
      </c>
      <c r="N1722" t="s">
        <v>45</v>
      </c>
      <c r="O1722" t="s">
        <v>418</v>
      </c>
      <c r="P1722" t="s">
        <v>56</v>
      </c>
      <c r="Q1722" t="s">
        <v>32</v>
      </c>
    </row>
    <row r="1723" spans="1:17" x14ac:dyDescent="0.3">
      <c r="A1723" t="s">
        <v>7987</v>
      </c>
      <c r="B1723" t="s">
        <v>7988</v>
      </c>
      <c r="C1723">
        <v>18</v>
      </c>
      <c r="D1723" t="s">
        <v>7989</v>
      </c>
      <c r="E1723" t="s">
        <v>95</v>
      </c>
      <c r="F1723" s="86">
        <v>44084</v>
      </c>
      <c r="G1723" s="86">
        <v>45447</v>
      </c>
      <c r="H1723">
        <v>2</v>
      </c>
      <c r="I1723" t="s">
        <v>27</v>
      </c>
      <c r="J1723" t="s">
        <v>1541</v>
      </c>
      <c r="K1723">
        <v>362.98</v>
      </c>
      <c r="L1723">
        <v>4</v>
      </c>
      <c r="M1723">
        <v>27</v>
      </c>
      <c r="N1723" t="s">
        <v>56</v>
      </c>
      <c r="O1723" t="s">
        <v>604</v>
      </c>
      <c r="P1723" t="s">
        <v>45</v>
      </c>
      <c r="Q1723" t="s">
        <v>32</v>
      </c>
    </row>
    <row r="1724" spans="1:17" x14ac:dyDescent="0.3">
      <c r="A1724" t="s">
        <v>7991</v>
      </c>
      <c r="B1724" t="s">
        <v>7992</v>
      </c>
      <c r="C1724">
        <v>25</v>
      </c>
      <c r="D1724" t="s">
        <v>7993</v>
      </c>
      <c r="E1724" t="s">
        <v>40</v>
      </c>
      <c r="F1724" t="s">
        <v>1917</v>
      </c>
      <c r="G1724" t="s">
        <v>1889</v>
      </c>
      <c r="H1724">
        <v>3</v>
      </c>
      <c r="I1724" t="s">
        <v>52</v>
      </c>
      <c r="J1724" t="s">
        <v>1801</v>
      </c>
      <c r="K1724">
        <v>473.31</v>
      </c>
      <c r="L1724">
        <v>3</v>
      </c>
      <c r="M1724">
        <v>2</v>
      </c>
      <c r="N1724" t="s">
        <v>54</v>
      </c>
      <c r="O1724" t="s">
        <v>157</v>
      </c>
      <c r="P1724" t="s">
        <v>68</v>
      </c>
      <c r="Q1724" t="s">
        <v>32</v>
      </c>
    </row>
    <row r="1725" spans="1:17" x14ac:dyDescent="0.3">
      <c r="A1725" t="s">
        <v>7995</v>
      </c>
      <c r="B1725" t="s">
        <v>7996</v>
      </c>
      <c r="C1725">
        <v>18</v>
      </c>
      <c r="D1725" t="s">
        <v>7997</v>
      </c>
      <c r="E1725" t="s">
        <v>95</v>
      </c>
      <c r="F1725" t="s">
        <v>2207</v>
      </c>
      <c r="G1725" t="s">
        <v>1075</v>
      </c>
      <c r="H1725">
        <v>3</v>
      </c>
      <c r="I1725" t="s">
        <v>27</v>
      </c>
      <c r="J1725" t="s">
        <v>2598</v>
      </c>
      <c r="K1725">
        <v>156.06</v>
      </c>
      <c r="L1725">
        <v>6</v>
      </c>
      <c r="M1725">
        <v>9</v>
      </c>
      <c r="N1725" t="s">
        <v>54</v>
      </c>
      <c r="O1725" t="s">
        <v>536</v>
      </c>
      <c r="P1725" t="s">
        <v>68</v>
      </c>
      <c r="Q1725" t="s">
        <v>32</v>
      </c>
    </row>
    <row r="1726" spans="1:17" x14ac:dyDescent="0.3">
      <c r="A1726" t="s">
        <v>7999</v>
      </c>
      <c r="B1726" t="s">
        <v>8000</v>
      </c>
      <c r="C1726">
        <v>42</v>
      </c>
      <c r="D1726" t="s">
        <v>8001</v>
      </c>
      <c r="E1726" t="s">
        <v>40</v>
      </c>
      <c r="F1726" t="s">
        <v>5645</v>
      </c>
      <c r="G1726" t="s">
        <v>4015</v>
      </c>
      <c r="H1726">
        <v>4</v>
      </c>
      <c r="I1726" t="s">
        <v>27</v>
      </c>
      <c r="J1726" t="s">
        <v>963</v>
      </c>
      <c r="K1726">
        <v>14.15</v>
      </c>
      <c r="L1726">
        <v>5</v>
      </c>
      <c r="M1726">
        <v>31</v>
      </c>
      <c r="N1726" t="s">
        <v>45</v>
      </c>
      <c r="O1726" t="s">
        <v>122</v>
      </c>
      <c r="P1726" t="s">
        <v>30</v>
      </c>
      <c r="Q1726" t="s">
        <v>69</v>
      </c>
    </row>
    <row r="1727" spans="1:17" x14ac:dyDescent="0.3">
      <c r="A1727" t="s">
        <v>8003</v>
      </c>
      <c r="B1727" t="s">
        <v>8004</v>
      </c>
      <c r="C1727">
        <v>26</v>
      </c>
      <c r="D1727" t="s">
        <v>8005</v>
      </c>
      <c r="E1727" t="s">
        <v>25</v>
      </c>
      <c r="F1727" s="86">
        <v>44291</v>
      </c>
      <c r="G1727" t="s">
        <v>3861</v>
      </c>
      <c r="H1727">
        <v>5</v>
      </c>
      <c r="I1727" t="s">
        <v>52</v>
      </c>
      <c r="J1727" t="s">
        <v>410</v>
      </c>
      <c r="K1727">
        <v>164.04</v>
      </c>
      <c r="L1727">
        <v>8</v>
      </c>
      <c r="M1727">
        <v>13</v>
      </c>
      <c r="N1727" t="s">
        <v>45</v>
      </c>
      <c r="O1727" t="s">
        <v>269</v>
      </c>
      <c r="P1727" t="s">
        <v>56</v>
      </c>
      <c r="Q1727" t="s">
        <v>69</v>
      </c>
    </row>
    <row r="1728" spans="1:17" x14ac:dyDescent="0.3">
      <c r="A1728" t="s">
        <v>8007</v>
      </c>
      <c r="B1728" t="s">
        <v>8008</v>
      </c>
      <c r="C1728">
        <v>53</v>
      </c>
      <c r="D1728" t="s">
        <v>8009</v>
      </c>
      <c r="E1728" t="s">
        <v>25</v>
      </c>
      <c r="F1728" t="s">
        <v>4416</v>
      </c>
      <c r="G1728" t="s">
        <v>8010</v>
      </c>
      <c r="H1728">
        <v>5</v>
      </c>
      <c r="I1728" t="s">
        <v>27</v>
      </c>
      <c r="J1728" t="s">
        <v>2000</v>
      </c>
      <c r="K1728">
        <v>206.77</v>
      </c>
      <c r="L1728">
        <v>3</v>
      </c>
      <c r="M1728">
        <v>23</v>
      </c>
      <c r="N1728" t="s">
        <v>30</v>
      </c>
      <c r="O1728" t="s">
        <v>821</v>
      </c>
      <c r="P1728" t="s">
        <v>68</v>
      </c>
      <c r="Q1728" t="s">
        <v>32</v>
      </c>
    </row>
    <row r="1729" spans="1:17" x14ac:dyDescent="0.3">
      <c r="A1729" t="s">
        <v>8012</v>
      </c>
      <c r="B1729" t="s">
        <v>8013</v>
      </c>
      <c r="C1729">
        <v>49</v>
      </c>
      <c r="D1729" t="s">
        <v>8014</v>
      </c>
      <c r="E1729" t="s">
        <v>88</v>
      </c>
      <c r="F1729" t="s">
        <v>1046</v>
      </c>
      <c r="G1729" t="s">
        <v>1253</v>
      </c>
      <c r="H1729">
        <v>1</v>
      </c>
      <c r="I1729" t="s">
        <v>52</v>
      </c>
      <c r="J1729" t="s">
        <v>4191</v>
      </c>
      <c r="K1729">
        <v>972.15</v>
      </c>
      <c r="L1729">
        <v>2</v>
      </c>
      <c r="M1729">
        <v>1</v>
      </c>
      <c r="N1729" t="s">
        <v>45</v>
      </c>
      <c r="O1729" t="s">
        <v>269</v>
      </c>
      <c r="P1729" t="s">
        <v>56</v>
      </c>
      <c r="Q1729" t="s">
        <v>322</v>
      </c>
    </row>
    <row r="1730" spans="1:17" x14ac:dyDescent="0.3">
      <c r="A1730" t="s">
        <v>8016</v>
      </c>
      <c r="B1730" t="s">
        <v>8017</v>
      </c>
      <c r="C1730">
        <v>43</v>
      </c>
      <c r="D1730" t="s">
        <v>8018</v>
      </c>
      <c r="E1730" t="s">
        <v>40</v>
      </c>
      <c r="F1730" t="s">
        <v>2680</v>
      </c>
      <c r="G1730" t="s">
        <v>4505</v>
      </c>
      <c r="H1730">
        <v>3</v>
      </c>
      <c r="I1730" t="s">
        <v>27</v>
      </c>
      <c r="J1730" t="s">
        <v>1205</v>
      </c>
      <c r="K1730">
        <v>33.549999999999997</v>
      </c>
      <c r="L1730">
        <v>2</v>
      </c>
      <c r="M1730">
        <v>36</v>
      </c>
      <c r="N1730" t="s">
        <v>56</v>
      </c>
      <c r="O1730" t="s">
        <v>269</v>
      </c>
      <c r="P1730" t="s">
        <v>56</v>
      </c>
      <c r="Q1730" t="s">
        <v>32</v>
      </c>
    </row>
    <row r="1731" spans="1:17" x14ac:dyDescent="0.3">
      <c r="A1731" t="s">
        <v>8020</v>
      </c>
      <c r="B1731" t="s">
        <v>8021</v>
      </c>
      <c r="C1731">
        <v>18</v>
      </c>
      <c r="D1731" t="s">
        <v>8022</v>
      </c>
      <c r="E1731" t="s">
        <v>51</v>
      </c>
      <c r="F1731" s="86">
        <v>44780</v>
      </c>
      <c r="G1731" s="86">
        <v>45110</v>
      </c>
      <c r="H1731">
        <v>5</v>
      </c>
      <c r="I1731" t="s">
        <v>27</v>
      </c>
      <c r="J1731" t="s">
        <v>513</v>
      </c>
      <c r="K1731">
        <v>227.4</v>
      </c>
      <c r="L1731">
        <v>4</v>
      </c>
      <c r="M1731">
        <v>18</v>
      </c>
      <c r="N1731" t="s">
        <v>45</v>
      </c>
      <c r="O1731" t="s">
        <v>67</v>
      </c>
      <c r="P1731" t="s">
        <v>68</v>
      </c>
      <c r="Q1731" t="s">
        <v>322</v>
      </c>
    </row>
    <row r="1732" spans="1:17" x14ac:dyDescent="0.3">
      <c r="A1732" t="s">
        <v>8024</v>
      </c>
      <c r="B1732" t="s">
        <v>8025</v>
      </c>
      <c r="C1732">
        <v>25</v>
      </c>
      <c r="D1732" t="s">
        <v>8026</v>
      </c>
      <c r="E1732" t="s">
        <v>40</v>
      </c>
      <c r="F1732" t="s">
        <v>2533</v>
      </c>
      <c r="G1732" t="s">
        <v>6511</v>
      </c>
      <c r="H1732">
        <v>2</v>
      </c>
      <c r="I1732" t="s">
        <v>52</v>
      </c>
      <c r="J1732" s="86">
        <v>44845</v>
      </c>
      <c r="K1732">
        <v>262.56</v>
      </c>
      <c r="L1732">
        <v>4</v>
      </c>
      <c r="M1732">
        <v>26</v>
      </c>
      <c r="N1732" t="s">
        <v>30</v>
      </c>
      <c r="O1732" t="s">
        <v>245</v>
      </c>
      <c r="P1732" t="s">
        <v>54</v>
      </c>
      <c r="Q1732" t="s">
        <v>69</v>
      </c>
    </row>
    <row r="1733" spans="1:17" x14ac:dyDescent="0.3">
      <c r="A1733" t="s">
        <v>8028</v>
      </c>
      <c r="B1733" t="s">
        <v>8029</v>
      </c>
      <c r="C1733">
        <v>42</v>
      </c>
      <c r="D1733" t="s">
        <v>8030</v>
      </c>
      <c r="E1733" t="s">
        <v>61</v>
      </c>
      <c r="F1733" s="86">
        <v>44659</v>
      </c>
      <c r="G1733" s="86">
        <v>44987</v>
      </c>
      <c r="H1733">
        <v>3</v>
      </c>
      <c r="I1733" t="s">
        <v>27</v>
      </c>
      <c r="J1733" s="86">
        <v>44691</v>
      </c>
      <c r="K1733">
        <v>388.38</v>
      </c>
      <c r="L1733">
        <v>2</v>
      </c>
      <c r="M1733">
        <v>35</v>
      </c>
      <c r="N1733" t="s">
        <v>56</v>
      </c>
      <c r="O1733" t="s">
        <v>604</v>
      </c>
      <c r="P1733" t="s">
        <v>45</v>
      </c>
      <c r="Q1733" t="s">
        <v>32</v>
      </c>
    </row>
    <row r="1734" spans="1:17" x14ac:dyDescent="0.3">
      <c r="A1734" t="s">
        <v>8032</v>
      </c>
      <c r="B1734" t="s">
        <v>8033</v>
      </c>
      <c r="C1734">
        <v>47</v>
      </c>
      <c r="D1734" t="s">
        <v>8034</v>
      </c>
      <c r="E1734" t="s">
        <v>88</v>
      </c>
      <c r="F1734" s="86">
        <v>44813</v>
      </c>
      <c r="G1734" s="86">
        <v>45873</v>
      </c>
      <c r="H1734">
        <v>3</v>
      </c>
      <c r="I1734" t="s">
        <v>27</v>
      </c>
      <c r="J1734" t="s">
        <v>2314</v>
      </c>
      <c r="K1734">
        <v>157.06</v>
      </c>
      <c r="L1734">
        <v>9</v>
      </c>
      <c r="M1734">
        <v>34</v>
      </c>
      <c r="N1734" t="s">
        <v>30</v>
      </c>
      <c r="O1734" t="s">
        <v>373</v>
      </c>
      <c r="P1734" t="s">
        <v>54</v>
      </c>
      <c r="Q1734" t="s">
        <v>69</v>
      </c>
    </row>
    <row r="1735" spans="1:17" x14ac:dyDescent="0.3">
      <c r="A1735" t="s">
        <v>8036</v>
      </c>
      <c r="B1735" t="s">
        <v>8037</v>
      </c>
      <c r="C1735">
        <v>20</v>
      </c>
      <c r="D1735" t="s">
        <v>8038</v>
      </c>
      <c r="E1735" t="s">
        <v>25</v>
      </c>
      <c r="F1735" t="s">
        <v>680</v>
      </c>
      <c r="G1735" t="s">
        <v>2928</v>
      </c>
      <c r="H1735">
        <v>2</v>
      </c>
      <c r="I1735" t="s">
        <v>27</v>
      </c>
      <c r="J1735" s="86">
        <v>45180</v>
      </c>
      <c r="K1735">
        <v>171.09</v>
      </c>
      <c r="L1735">
        <v>5</v>
      </c>
      <c r="M1735">
        <v>36</v>
      </c>
      <c r="N1735" t="s">
        <v>54</v>
      </c>
      <c r="O1735" t="s">
        <v>231</v>
      </c>
      <c r="P1735" t="s">
        <v>30</v>
      </c>
      <c r="Q1735" t="s">
        <v>32</v>
      </c>
    </row>
    <row r="1736" spans="1:17" x14ac:dyDescent="0.3">
      <c r="A1736" t="s">
        <v>8040</v>
      </c>
      <c r="B1736" t="s">
        <v>8041</v>
      </c>
      <c r="C1736">
        <v>41</v>
      </c>
      <c r="D1736" t="s">
        <v>8042</v>
      </c>
      <c r="E1736" t="s">
        <v>61</v>
      </c>
      <c r="F1736" s="86">
        <v>44907</v>
      </c>
      <c r="G1736" t="s">
        <v>3488</v>
      </c>
      <c r="H1736">
        <v>1</v>
      </c>
      <c r="I1736" t="s">
        <v>27</v>
      </c>
      <c r="J1736" t="s">
        <v>784</v>
      </c>
      <c r="K1736">
        <v>317.36</v>
      </c>
      <c r="L1736">
        <v>5</v>
      </c>
      <c r="M1736">
        <v>19</v>
      </c>
      <c r="N1736" t="s">
        <v>56</v>
      </c>
      <c r="O1736" t="s">
        <v>354</v>
      </c>
      <c r="P1736" t="s">
        <v>45</v>
      </c>
      <c r="Q1736" t="s">
        <v>32</v>
      </c>
    </row>
    <row r="1737" spans="1:17" x14ac:dyDescent="0.3">
      <c r="A1737" t="s">
        <v>8044</v>
      </c>
      <c r="B1737" t="s">
        <v>8045</v>
      </c>
      <c r="C1737">
        <v>65</v>
      </c>
      <c r="D1737" t="s">
        <v>8046</v>
      </c>
      <c r="E1737" t="s">
        <v>95</v>
      </c>
      <c r="F1737" t="s">
        <v>2648</v>
      </c>
      <c r="G1737" s="86">
        <v>45450</v>
      </c>
      <c r="H1737">
        <v>0</v>
      </c>
      <c r="I1737" t="s">
        <v>27</v>
      </c>
      <c r="J1737" s="86">
        <v>44780</v>
      </c>
      <c r="K1737">
        <v>613.07000000000005</v>
      </c>
      <c r="L1737">
        <v>3</v>
      </c>
      <c r="M1737">
        <v>22</v>
      </c>
      <c r="N1737" t="s">
        <v>56</v>
      </c>
      <c r="O1737" t="s">
        <v>135</v>
      </c>
      <c r="P1737" t="s">
        <v>45</v>
      </c>
      <c r="Q1737" t="s">
        <v>69</v>
      </c>
    </row>
    <row r="1738" spans="1:17" x14ac:dyDescent="0.3">
      <c r="A1738" t="s">
        <v>8048</v>
      </c>
      <c r="B1738" t="s">
        <v>8049</v>
      </c>
      <c r="C1738">
        <v>33</v>
      </c>
      <c r="D1738" t="s">
        <v>8050</v>
      </c>
      <c r="E1738" t="s">
        <v>88</v>
      </c>
      <c r="F1738" s="86">
        <v>44624</v>
      </c>
      <c r="G1738" s="86">
        <v>45115</v>
      </c>
      <c r="H1738">
        <v>4</v>
      </c>
      <c r="I1738" t="s">
        <v>27</v>
      </c>
      <c r="J1738" t="s">
        <v>209</v>
      </c>
      <c r="K1738">
        <v>87.29</v>
      </c>
      <c r="L1738">
        <v>9</v>
      </c>
      <c r="M1738">
        <v>40</v>
      </c>
      <c r="N1738" t="s">
        <v>45</v>
      </c>
      <c r="O1738" t="s">
        <v>837</v>
      </c>
      <c r="P1738" t="s">
        <v>56</v>
      </c>
      <c r="Q1738" t="s">
        <v>69</v>
      </c>
    </row>
    <row r="1739" spans="1:17" x14ac:dyDescent="0.3">
      <c r="A1739" t="s">
        <v>8052</v>
      </c>
      <c r="B1739" t="s">
        <v>8053</v>
      </c>
      <c r="C1739">
        <v>69</v>
      </c>
      <c r="D1739" t="s">
        <v>8054</v>
      </c>
      <c r="E1739" t="s">
        <v>40</v>
      </c>
      <c r="F1739" t="s">
        <v>1599</v>
      </c>
      <c r="G1739" t="s">
        <v>1430</v>
      </c>
      <c r="H1739">
        <v>4</v>
      </c>
      <c r="I1739" t="s">
        <v>27</v>
      </c>
      <c r="J1739" t="s">
        <v>1338</v>
      </c>
      <c r="K1739">
        <v>90.99</v>
      </c>
      <c r="L1739">
        <v>5</v>
      </c>
      <c r="M1739">
        <v>35</v>
      </c>
      <c r="N1739" t="s">
        <v>30</v>
      </c>
      <c r="O1739" t="s">
        <v>269</v>
      </c>
      <c r="P1739" t="s">
        <v>56</v>
      </c>
      <c r="Q1739" t="s">
        <v>32</v>
      </c>
    </row>
    <row r="1740" spans="1:17" x14ac:dyDescent="0.3">
      <c r="A1740" t="s">
        <v>8056</v>
      </c>
      <c r="B1740" t="s">
        <v>8057</v>
      </c>
      <c r="C1740">
        <v>27</v>
      </c>
      <c r="D1740" t="s">
        <v>8058</v>
      </c>
      <c r="E1740" t="s">
        <v>88</v>
      </c>
      <c r="F1740" t="s">
        <v>825</v>
      </c>
      <c r="G1740" t="s">
        <v>2241</v>
      </c>
      <c r="H1740">
        <v>4</v>
      </c>
      <c r="I1740" t="s">
        <v>27</v>
      </c>
      <c r="J1740" s="86">
        <v>45599</v>
      </c>
      <c r="K1740">
        <v>291.43</v>
      </c>
      <c r="L1740">
        <v>3</v>
      </c>
      <c r="M1740">
        <v>40</v>
      </c>
      <c r="N1740" t="s">
        <v>45</v>
      </c>
      <c r="O1740" t="s">
        <v>597</v>
      </c>
      <c r="P1740" t="s">
        <v>45</v>
      </c>
      <c r="Q1740" t="s">
        <v>69</v>
      </c>
    </row>
    <row r="1741" spans="1:17" x14ac:dyDescent="0.3">
      <c r="A1741" t="s">
        <v>8060</v>
      </c>
      <c r="B1741" t="s">
        <v>8061</v>
      </c>
      <c r="C1741">
        <v>36</v>
      </c>
      <c r="D1741" t="s">
        <v>8062</v>
      </c>
      <c r="E1741" t="s">
        <v>51</v>
      </c>
      <c r="F1741" t="s">
        <v>675</v>
      </c>
      <c r="G1741" t="s">
        <v>1811</v>
      </c>
      <c r="H1741">
        <v>3</v>
      </c>
      <c r="I1741" t="s">
        <v>52</v>
      </c>
      <c r="J1741" t="s">
        <v>3330</v>
      </c>
      <c r="K1741">
        <v>407.69</v>
      </c>
      <c r="L1741">
        <v>1</v>
      </c>
      <c r="M1741">
        <v>47</v>
      </c>
      <c r="N1741" t="s">
        <v>45</v>
      </c>
      <c r="O1741" t="s">
        <v>251</v>
      </c>
      <c r="P1741" t="s">
        <v>30</v>
      </c>
      <c r="Q1741" t="s">
        <v>69</v>
      </c>
    </row>
    <row r="1742" spans="1:17" x14ac:dyDescent="0.3">
      <c r="A1742" t="s">
        <v>8064</v>
      </c>
      <c r="B1742" t="s">
        <v>8065</v>
      </c>
      <c r="C1742">
        <v>69</v>
      </c>
      <c r="D1742" t="s">
        <v>8066</v>
      </c>
      <c r="E1742" t="s">
        <v>61</v>
      </c>
      <c r="F1742" t="s">
        <v>6798</v>
      </c>
      <c r="G1742" s="86">
        <v>45874</v>
      </c>
      <c r="H1742">
        <v>3</v>
      </c>
      <c r="I1742" t="s">
        <v>27</v>
      </c>
      <c r="J1742" t="s">
        <v>382</v>
      </c>
      <c r="K1742">
        <v>52.8</v>
      </c>
      <c r="L1742">
        <v>8</v>
      </c>
      <c r="M1742">
        <v>33</v>
      </c>
      <c r="N1742" t="s">
        <v>56</v>
      </c>
      <c r="O1742" t="s">
        <v>194</v>
      </c>
      <c r="P1742" t="s">
        <v>56</v>
      </c>
      <c r="Q1742" t="s">
        <v>69</v>
      </c>
    </row>
    <row r="1743" spans="1:17" x14ac:dyDescent="0.3">
      <c r="A1743" t="s">
        <v>8068</v>
      </c>
      <c r="B1743" t="s">
        <v>8069</v>
      </c>
      <c r="C1743">
        <v>32</v>
      </c>
      <c r="D1743" t="s">
        <v>8070</v>
      </c>
      <c r="E1743" t="s">
        <v>40</v>
      </c>
      <c r="F1743" t="s">
        <v>3470</v>
      </c>
      <c r="G1743" t="s">
        <v>3300</v>
      </c>
      <c r="H1743">
        <v>4</v>
      </c>
      <c r="I1743" t="s">
        <v>27</v>
      </c>
      <c r="J1743" s="86">
        <v>44663</v>
      </c>
      <c r="K1743">
        <v>248.17</v>
      </c>
      <c r="L1743">
        <v>1</v>
      </c>
      <c r="M1743">
        <v>18</v>
      </c>
      <c r="N1743" t="s">
        <v>30</v>
      </c>
      <c r="O1743" t="s">
        <v>135</v>
      </c>
      <c r="P1743" t="s">
        <v>45</v>
      </c>
      <c r="Q1743" t="s">
        <v>32</v>
      </c>
    </row>
    <row r="1744" spans="1:17" x14ac:dyDescent="0.3">
      <c r="A1744" t="s">
        <v>8072</v>
      </c>
      <c r="B1744" t="s">
        <v>8073</v>
      </c>
      <c r="C1744">
        <v>52</v>
      </c>
      <c r="D1744" t="s">
        <v>8074</v>
      </c>
      <c r="E1744" t="s">
        <v>61</v>
      </c>
      <c r="F1744" t="s">
        <v>242</v>
      </c>
      <c r="G1744" t="s">
        <v>2972</v>
      </c>
      <c r="H1744">
        <v>1</v>
      </c>
      <c r="I1744" t="s">
        <v>27</v>
      </c>
      <c r="J1744" t="s">
        <v>2421</v>
      </c>
      <c r="K1744">
        <v>406.4</v>
      </c>
      <c r="L1744">
        <v>4</v>
      </c>
      <c r="M1744">
        <v>19</v>
      </c>
      <c r="N1744" t="s">
        <v>56</v>
      </c>
      <c r="O1744" t="s">
        <v>245</v>
      </c>
      <c r="P1744" t="s">
        <v>54</v>
      </c>
      <c r="Q1744" t="s">
        <v>32</v>
      </c>
    </row>
    <row r="1745" spans="1:17" x14ac:dyDescent="0.3">
      <c r="A1745" t="s">
        <v>8076</v>
      </c>
      <c r="B1745" t="s">
        <v>8077</v>
      </c>
      <c r="C1745">
        <v>62</v>
      </c>
      <c r="D1745" t="s">
        <v>8078</v>
      </c>
      <c r="E1745" t="s">
        <v>25</v>
      </c>
      <c r="F1745" s="86">
        <v>44534</v>
      </c>
      <c r="G1745" t="s">
        <v>4795</v>
      </c>
      <c r="H1745">
        <v>2</v>
      </c>
      <c r="I1745" t="s">
        <v>27</v>
      </c>
      <c r="J1745" t="s">
        <v>825</v>
      </c>
      <c r="K1745">
        <v>49.62</v>
      </c>
      <c r="L1745">
        <v>6</v>
      </c>
      <c r="M1745">
        <v>49</v>
      </c>
      <c r="N1745" t="s">
        <v>30</v>
      </c>
      <c r="O1745" t="s">
        <v>55</v>
      </c>
      <c r="P1745" t="s">
        <v>56</v>
      </c>
      <c r="Q1745" t="s">
        <v>32</v>
      </c>
    </row>
    <row r="1746" spans="1:17" x14ac:dyDescent="0.3">
      <c r="A1746" t="s">
        <v>8080</v>
      </c>
      <c r="B1746" t="s">
        <v>8081</v>
      </c>
      <c r="C1746">
        <v>26</v>
      </c>
      <c r="D1746" t="s">
        <v>8082</v>
      </c>
      <c r="E1746" t="s">
        <v>51</v>
      </c>
      <c r="F1746" t="s">
        <v>3501</v>
      </c>
      <c r="G1746" t="s">
        <v>236</v>
      </c>
      <c r="H1746">
        <v>5</v>
      </c>
      <c r="I1746" t="s">
        <v>27</v>
      </c>
      <c r="J1746" t="s">
        <v>2743</v>
      </c>
      <c r="K1746">
        <v>194.3</v>
      </c>
      <c r="L1746">
        <v>6</v>
      </c>
      <c r="M1746">
        <v>11</v>
      </c>
      <c r="N1746" t="s">
        <v>56</v>
      </c>
      <c r="O1746" t="s">
        <v>128</v>
      </c>
      <c r="P1746" t="s">
        <v>54</v>
      </c>
      <c r="Q1746" t="s">
        <v>69</v>
      </c>
    </row>
    <row r="1747" spans="1:17" x14ac:dyDescent="0.3">
      <c r="A1747" t="s">
        <v>8084</v>
      </c>
      <c r="B1747" t="s">
        <v>8085</v>
      </c>
      <c r="C1747">
        <v>33</v>
      </c>
      <c r="D1747" t="s">
        <v>8086</v>
      </c>
      <c r="E1747" t="s">
        <v>40</v>
      </c>
      <c r="F1747" t="s">
        <v>6770</v>
      </c>
      <c r="G1747" t="s">
        <v>717</v>
      </c>
      <c r="H1747">
        <v>0</v>
      </c>
      <c r="I1747" t="s">
        <v>27</v>
      </c>
      <c r="J1747" s="86">
        <v>45536</v>
      </c>
      <c r="K1747">
        <v>141.25</v>
      </c>
      <c r="L1747">
        <v>7</v>
      </c>
      <c r="M1747">
        <v>16</v>
      </c>
      <c r="N1747" t="s">
        <v>68</v>
      </c>
      <c r="O1747" t="s">
        <v>199</v>
      </c>
      <c r="P1747" t="s">
        <v>54</v>
      </c>
      <c r="Q1747" t="s">
        <v>32</v>
      </c>
    </row>
    <row r="1748" spans="1:17" x14ac:dyDescent="0.3">
      <c r="A1748" t="s">
        <v>8088</v>
      </c>
      <c r="B1748" t="s">
        <v>8089</v>
      </c>
      <c r="C1748">
        <v>53</v>
      </c>
      <c r="D1748" t="s">
        <v>8090</v>
      </c>
      <c r="E1748" t="s">
        <v>25</v>
      </c>
      <c r="F1748" t="s">
        <v>1430</v>
      </c>
      <c r="G1748" t="s">
        <v>2737</v>
      </c>
      <c r="H1748">
        <v>1</v>
      </c>
      <c r="I1748" t="s">
        <v>64</v>
      </c>
      <c r="J1748" s="86">
        <v>45292</v>
      </c>
      <c r="K1748">
        <v>499.41</v>
      </c>
      <c r="L1748">
        <v>3</v>
      </c>
      <c r="M1748">
        <v>35</v>
      </c>
      <c r="N1748" t="s">
        <v>54</v>
      </c>
      <c r="O1748" t="s">
        <v>55</v>
      </c>
      <c r="P1748" t="s">
        <v>56</v>
      </c>
      <c r="Q1748" t="s">
        <v>32</v>
      </c>
    </row>
    <row r="1749" spans="1:17" x14ac:dyDescent="0.3">
      <c r="A1749" t="s">
        <v>8092</v>
      </c>
      <c r="B1749" t="s">
        <v>8093</v>
      </c>
      <c r="C1749">
        <v>56</v>
      </c>
      <c r="D1749" t="s">
        <v>8094</v>
      </c>
      <c r="E1749" t="s">
        <v>95</v>
      </c>
      <c r="F1749" t="s">
        <v>7503</v>
      </c>
      <c r="G1749" s="86">
        <v>45634</v>
      </c>
      <c r="H1749">
        <v>1</v>
      </c>
      <c r="I1749" t="s">
        <v>52</v>
      </c>
      <c r="J1749" s="86">
        <v>45813</v>
      </c>
      <c r="K1749">
        <v>242.33</v>
      </c>
      <c r="L1749">
        <v>1</v>
      </c>
      <c r="M1749">
        <v>12</v>
      </c>
      <c r="N1749" t="s">
        <v>68</v>
      </c>
      <c r="O1749" t="s">
        <v>293</v>
      </c>
      <c r="P1749" t="s">
        <v>45</v>
      </c>
      <c r="Q1749" t="s">
        <v>32</v>
      </c>
    </row>
    <row r="1750" spans="1:17" x14ac:dyDescent="0.3">
      <c r="A1750" t="s">
        <v>8096</v>
      </c>
      <c r="B1750" t="s">
        <v>8097</v>
      </c>
      <c r="C1750">
        <v>52</v>
      </c>
      <c r="D1750" t="s">
        <v>8098</v>
      </c>
      <c r="E1750" t="s">
        <v>95</v>
      </c>
      <c r="F1750" t="s">
        <v>6538</v>
      </c>
      <c r="G1750" t="s">
        <v>1970</v>
      </c>
      <c r="H1750">
        <v>2</v>
      </c>
      <c r="I1750" t="s">
        <v>27</v>
      </c>
      <c r="J1750" t="s">
        <v>4968</v>
      </c>
      <c r="K1750">
        <v>946.91</v>
      </c>
      <c r="L1750">
        <v>1</v>
      </c>
      <c r="M1750">
        <v>21</v>
      </c>
      <c r="N1750" t="s">
        <v>54</v>
      </c>
      <c r="O1750" t="s">
        <v>245</v>
      </c>
      <c r="P1750" t="s">
        <v>54</v>
      </c>
      <c r="Q1750" t="s">
        <v>32</v>
      </c>
    </row>
    <row r="1751" spans="1:17" x14ac:dyDescent="0.3">
      <c r="A1751" t="s">
        <v>8100</v>
      </c>
      <c r="B1751" t="s">
        <v>8101</v>
      </c>
      <c r="C1751">
        <v>50</v>
      </c>
      <c r="D1751" t="s">
        <v>8102</v>
      </c>
      <c r="E1751" t="s">
        <v>95</v>
      </c>
      <c r="F1751" t="s">
        <v>4786</v>
      </c>
      <c r="G1751" s="86">
        <v>44869</v>
      </c>
      <c r="H1751">
        <v>0</v>
      </c>
      <c r="I1751" t="s">
        <v>27</v>
      </c>
      <c r="J1751" t="s">
        <v>1344</v>
      </c>
      <c r="K1751">
        <v>411.67</v>
      </c>
      <c r="L1751">
        <v>1</v>
      </c>
      <c r="M1751">
        <v>25</v>
      </c>
      <c r="N1751" t="s">
        <v>56</v>
      </c>
      <c r="O1751" t="s">
        <v>354</v>
      </c>
      <c r="P1751" t="s">
        <v>45</v>
      </c>
      <c r="Q1751" t="s">
        <v>69</v>
      </c>
    </row>
    <row r="1752" spans="1:17" x14ac:dyDescent="0.3">
      <c r="A1752" t="s">
        <v>8104</v>
      </c>
      <c r="B1752" t="s">
        <v>8105</v>
      </c>
      <c r="C1752">
        <v>34</v>
      </c>
      <c r="D1752" t="s">
        <v>8106</v>
      </c>
      <c r="E1752" t="s">
        <v>25</v>
      </c>
      <c r="F1752" t="s">
        <v>1764</v>
      </c>
      <c r="G1752" s="86">
        <v>45841</v>
      </c>
      <c r="H1752">
        <v>1</v>
      </c>
      <c r="I1752" t="s">
        <v>27</v>
      </c>
      <c r="J1752" t="s">
        <v>746</v>
      </c>
      <c r="K1752">
        <v>177.74</v>
      </c>
      <c r="L1752">
        <v>8</v>
      </c>
      <c r="M1752">
        <v>34</v>
      </c>
      <c r="N1752" t="s">
        <v>56</v>
      </c>
      <c r="O1752" t="s">
        <v>610</v>
      </c>
      <c r="P1752" t="s">
        <v>68</v>
      </c>
      <c r="Q1752" t="s">
        <v>32</v>
      </c>
    </row>
    <row r="1753" spans="1:17" x14ac:dyDescent="0.3">
      <c r="A1753" t="s">
        <v>8108</v>
      </c>
      <c r="B1753" t="s">
        <v>8109</v>
      </c>
      <c r="C1753">
        <v>26</v>
      </c>
      <c r="D1753" t="s">
        <v>8110</v>
      </c>
      <c r="E1753" t="s">
        <v>95</v>
      </c>
      <c r="F1753" t="s">
        <v>2019</v>
      </c>
      <c r="G1753" s="86">
        <v>44906</v>
      </c>
      <c r="H1753">
        <v>4</v>
      </c>
      <c r="I1753" t="s">
        <v>27</v>
      </c>
      <c r="J1753" s="86">
        <v>44933</v>
      </c>
      <c r="K1753">
        <v>500.06</v>
      </c>
      <c r="L1753">
        <v>3</v>
      </c>
      <c r="M1753">
        <v>4</v>
      </c>
      <c r="N1753" t="s">
        <v>30</v>
      </c>
      <c r="O1753" t="s">
        <v>597</v>
      </c>
      <c r="P1753" t="s">
        <v>45</v>
      </c>
      <c r="Q1753" t="s">
        <v>32</v>
      </c>
    </row>
    <row r="1754" spans="1:17" x14ac:dyDescent="0.3">
      <c r="A1754" t="s">
        <v>8112</v>
      </c>
      <c r="B1754" t="s">
        <v>8113</v>
      </c>
      <c r="C1754">
        <v>59</v>
      </c>
      <c r="D1754" t="s">
        <v>8114</v>
      </c>
      <c r="E1754" t="s">
        <v>25</v>
      </c>
      <c r="F1754" t="s">
        <v>2066</v>
      </c>
      <c r="G1754" t="s">
        <v>2061</v>
      </c>
      <c r="H1754">
        <v>5</v>
      </c>
      <c r="I1754" t="s">
        <v>27</v>
      </c>
      <c r="J1754" s="86">
        <v>44875</v>
      </c>
      <c r="K1754">
        <v>397.85</v>
      </c>
      <c r="L1754">
        <v>3</v>
      </c>
      <c r="M1754">
        <v>24</v>
      </c>
      <c r="N1754" t="s">
        <v>56</v>
      </c>
      <c r="O1754" t="s">
        <v>366</v>
      </c>
      <c r="P1754" t="s">
        <v>54</v>
      </c>
      <c r="Q1754" t="s">
        <v>32</v>
      </c>
    </row>
    <row r="1755" spans="1:17" x14ac:dyDescent="0.3">
      <c r="A1755" t="s">
        <v>8116</v>
      </c>
      <c r="B1755" t="s">
        <v>8117</v>
      </c>
      <c r="C1755">
        <v>29</v>
      </c>
      <c r="D1755" t="s">
        <v>8118</v>
      </c>
      <c r="E1755" t="s">
        <v>95</v>
      </c>
      <c r="F1755" t="s">
        <v>1513</v>
      </c>
      <c r="G1755" t="s">
        <v>946</v>
      </c>
      <c r="H1755">
        <v>3</v>
      </c>
      <c r="I1755" t="s">
        <v>27</v>
      </c>
      <c r="J1755" t="s">
        <v>2512</v>
      </c>
      <c r="K1755">
        <v>48.17</v>
      </c>
      <c r="L1755">
        <v>5</v>
      </c>
      <c r="M1755">
        <v>12</v>
      </c>
      <c r="N1755" t="s">
        <v>54</v>
      </c>
      <c r="O1755" t="s">
        <v>99</v>
      </c>
      <c r="P1755" t="s">
        <v>56</v>
      </c>
      <c r="Q1755" t="s">
        <v>69</v>
      </c>
    </row>
    <row r="1756" spans="1:17" x14ac:dyDescent="0.3">
      <c r="A1756" t="s">
        <v>8120</v>
      </c>
      <c r="B1756" t="s">
        <v>8121</v>
      </c>
      <c r="C1756">
        <v>41</v>
      </c>
      <c r="D1756" t="s">
        <v>8122</v>
      </c>
      <c r="E1756" t="s">
        <v>40</v>
      </c>
      <c r="F1756" s="86">
        <v>44807</v>
      </c>
      <c r="G1756" t="s">
        <v>1454</v>
      </c>
      <c r="H1756">
        <v>4</v>
      </c>
      <c r="I1756" t="s">
        <v>64</v>
      </c>
      <c r="J1756" t="s">
        <v>4981</v>
      </c>
      <c r="K1756">
        <v>205.14</v>
      </c>
      <c r="L1756">
        <v>6</v>
      </c>
      <c r="M1756">
        <v>38</v>
      </c>
      <c r="N1756" t="s">
        <v>56</v>
      </c>
      <c r="O1756" t="s">
        <v>157</v>
      </c>
      <c r="P1756" t="s">
        <v>68</v>
      </c>
      <c r="Q1756" t="s">
        <v>69</v>
      </c>
    </row>
    <row r="1757" spans="1:17" x14ac:dyDescent="0.3">
      <c r="A1757" t="s">
        <v>8124</v>
      </c>
      <c r="B1757" t="s">
        <v>8125</v>
      </c>
      <c r="C1757">
        <v>51</v>
      </c>
      <c r="D1757" t="s">
        <v>8126</v>
      </c>
      <c r="E1757" t="s">
        <v>40</v>
      </c>
      <c r="F1757" s="86">
        <v>44628</v>
      </c>
      <c r="G1757" t="s">
        <v>544</v>
      </c>
      <c r="H1757">
        <v>4</v>
      </c>
      <c r="I1757" t="s">
        <v>27</v>
      </c>
      <c r="J1757" t="s">
        <v>4336</v>
      </c>
      <c r="K1757">
        <v>168.77</v>
      </c>
      <c r="L1757">
        <v>5</v>
      </c>
      <c r="M1757">
        <v>25</v>
      </c>
      <c r="N1757" t="s">
        <v>30</v>
      </c>
      <c r="O1757" t="s">
        <v>269</v>
      </c>
      <c r="P1757" t="s">
        <v>56</v>
      </c>
      <c r="Q1757" t="s">
        <v>32</v>
      </c>
    </row>
    <row r="1758" spans="1:17" x14ac:dyDescent="0.3">
      <c r="A1758" t="s">
        <v>8128</v>
      </c>
      <c r="B1758" t="s">
        <v>8129</v>
      </c>
      <c r="C1758">
        <v>56</v>
      </c>
      <c r="D1758" t="s">
        <v>8130</v>
      </c>
      <c r="E1758" t="s">
        <v>51</v>
      </c>
      <c r="F1758" t="s">
        <v>2933</v>
      </c>
      <c r="G1758" s="86">
        <v>45115</v>
      </c>
      <c r="H1758">
        <v>5</v>
      </c>
      <c r="I1758" t="s">
        <v>27</v>
      </c>
      <c r="J1758" t="s">
        <v>2072</v>
      </c>
      <c r="K1758">
        <v>246.43</v>
      </c>
      <c r="L1758">
        <v>6</v>
      </c>
      <c r="M1758">
        <v>25</v>
      </c>
      <c r="N1758" t="s">
        <v>54</v>
      </c>
      <c r="O1758" t="s">
        <v>175</v>
      </c>
      <c r="P1758" t="s">
        <v>56</v>
      </c>
      <c r="Q1758" t="s">
        <v>69</v>
      </c>
    </row>
    <row r="1759" spans="1:17" x14ac:dyDescent="0.3">
      <c r="A1759" t="s">
        <v>8132</v>
      </c>
      <c r="B1759" t="s">
        <v>8133</v>
      </c>
      <c r="C1759">
        <v>22</v>
      </c>
      <c r="D1759" t="s">
        <v>8134</v>
      </c>
      <c r="E1759" t="s">
        <v>88</v>
      </c>
      <c r="F1759" t="s">
        <v>573</v>
      </c>
      <c r="G1759" s="86">
        <v>45696</v>
      </c>
      <c r="H1759">
        <v>0</v>
      </c>
      <c r="I1759" t="s">
        <v>27</v>
      </c>
      <c r="J1759" t="s">
        <v>1354</v>
      </c>
      <c r="K1759">
        <v>292.64</v>
      </c>
      <c r="L1759">
        <v>5</v>
      </c>
      <c r="M1759">
        <v>32</v>
      </c>
      <c r="N1759" t="s">
        <v>68</v>
      </c>
      <c r="O1759" t="s">
        <v>223</v>
      </c>
      <c r="P1759" t="s">
        <v>56</v>
      </c>
      <c r="Q1759" t="s">
        <v>69</v>
      </c>
    </row>
    <row r="1760" spans="1:17" x14ac:dyDescent="0.3">
      <c r="A1760" t="s">
        <v>8136</v>
      </c>
      <c r="B1760" t="s">
        <v>8137</v>
      </c>
      <c r="C1760">
        <v>61</v>
      </c>
      <c r="D1760" t="s">
        <v>8138</v>
      </c>
      <c r="E1760" t="s">
        <v>25</v>
      </c>
      <c r="F1760" t="s">
        <v>7323</v>
      </c>
      <c r="G1760" s="86">
        <v>45903</v>
      </c>
      <c r="H1760">
        <v>4</v>
      </c>
      <c r="I1760" t="s">
        <v>52</v>
      </c>
      <c r="J1760" s="86">
        <v>45570</v>
      </c>
      <c r="K1760">
        <v>203.28</v>
      </c>
      <c r="L1760">
        <v>5</v>
      </c>
      <c r="M1760">
        <v>47</v>
      </c>
      <c r="N1760" t="s">
        <v>45</v>
      </c>
      <c r="O1760" t="s">
        <v>821</v>
      </c>
      <c r="P1760" t="s">
        <v>68</v>
      </c>
      <c r="Q1760" t="s">
        <v>32</v>
      </c>
    </row>
    <row r="1761" spans="1:17" x14ac:dyDescent="0.3">
      <c r="A1761" t="s">
        <v>8140</v>
      </c>
      <c r="B1761" t="s">
        <v>8141</v>
      </c>
      <c r="C1761">
        <v>37</v>
      </c>
      <c r="D1761" t="s">
        <v>8142</v>
      </c>
      <c r="E1761" t="s">
        <v>51</v>
      </c>
      <c r="F1761" t="s">
        <v>4200</v>
      </c>
      <c r="G1761" s="86">
        <v>45173</v>
      </c>
      <c r="H1761">
        <v>4</v>
      </c>
      <c r="I1761" t="s">
        <v>64</v>
      </c>
      <c r="J1761" t="s">
        <v>1106</v>
      </c>
      <c r="K1761">
        <v>931.8</v>
      </c>
      <c r="L1761">
        <v>2</v>
      </c>
      <c r="M1761">
        <v>46</v>
      </c>
      <c r="N1761" t="s">
        <v>56</v>
      </c>
      <c r="O1761" t="s">
        <v>245</v>
      </c>
      <c r="P1761" t="s">
        <v>54</v>
      </c>
      <c r="Q1761" t="s">
        <v>69</v>
      </c>
    </row>
    <row r="1762" spans="1:17" x14ac:dyDescent="0.3">
      <c r="A1762" t="s">
        <v>8144</v>
      </c>
      <c r="B1762" t="s">
        <v>8145</v>
      </c>
      <c r="C1762">
        <v>62</v>
      </c>
      <c r="D1762" t="s">
        <v>8146</v>
      </c>
      <c r="E1762" t="s">
        <v>40</v>
      </c>
      <c r="F1762" s="86">
        <v>44663</v>
      </c>
      <c r="G1762" t="s">
        <v>2588</v>
      </c>
      <c r="H1762">
        <v>1</v>
      </c>
      <c r="I1762" t="s">
        <v>52</v>
      </c>
      <c r="J1762" s="86">
        <v>45303</v>
      </c>
      <c r="K1762">
        <v>117.18</v>
      </c>
      <c r="L1762">
        <v>9</v>
      </c>
      <c r="M1762">
        <v>9</v>
      </c>
      <c r="N1762" t="s">
        <v>54</v>
      </c>
      <c r="O1762" t="s">
        <v>31</v>
      </c>
      <c r="P1762" t="s">
        <v>30</v>
      </c>
      <c r="Q1762" t="s">
        <v>69</v>
      </c>
    </row>
    <row r="1763" spans="1:17" x14ac:dyDescent="0.3">
      <c r="A1763" t="s">
        <v>8148</v>
      </c>
      <c r="B1763" t="s">
        <v>8149</v>
      </c>
      <c r="C1763">
        <v>42</v>
      </c>
      <c r="D1763" t="s">
        <v>8150</v>
      </c>
      <c r="E1763" t="s">
        <v>25</v>
      </c>
      <c r="F1763" s="86">
        <v>44294</v>
      </c>
      <c r="G1763" s="86">
        <v>44599</v>
      </c>
      <c r="H1763">
        <v>4</v>
      </c>
      <c r="I1763" t="s">
        <v>52</v>
      </c>
      <c r="J1763" t="s">
        <v>2727</v>
      </c>
      <c r="K1763">
        <v>39.659999999999997</v>
      </c>
      <c r="L1763">
        <v>7</v>
      </c>
      <c r="M1763">
        <v>34</v>
      </c>
      <c r="N1763" t="s">
        <v>54</v>
      </c>
      <c r="O1763" t="s">
        <v>31</v>
      </c>
      <c r="P1763" t="s">
        <v>30</v>
      </c>
      <c r="Q1763" t="s">
        <v>69</v>
      </c>
    </row>
    <row r="1764" spans="1:17" x14ac:dyDescent="0.3">
      <c r="A1764" t="s">
        <v>8152</v>
      </c>
      <c r="B1764" t="s">
        <v>8153</v>
      </c>
      <c r="C1764">
        <v>26</v>
      </c>
      <c r="D1764" t="s">
        <v>8154</v>
      </c>
      <c r="E1764" t="s">
        <v>51</v>
      </c>
      <c r="F1764" t="s">
        <v>383</v>
      </c>
      <c r="G1764" s="86">
        <v>44840</v>
      </c>
      <c r="H1764">
        <v>1</v>
      </c>
      <c r="I1764" t="s">
        <v>52</v>
      </c>
      <c r="J1764" s="86">
        <v>45027</v>
      </c>
      <c r="K1764">
        <v>47.52</v>
      </c>
      <c r="L1764">
        <v>5</v>
      </c>
      <c r="M1764">
        <v>25</v>
      </c>
      <c r="N1764" t="s">
        <v>30</v>
      </c>
      <c r="O1764" t="s">
        <v>157</v>
      </c>
      <c r="P1764" t="s">
        <v>68</v>
      </c>
      <c r="Q1764" t="s">
        <v>69</v>
      </c>
    </row>
    <row r="1765" spans="1:17" x14ac:dyDescent="0.3">
      <c r="A1765" t="s">
        <v>8156</v>
      </c>
      <c r="B1765" t="s">
        <v>8157</v>
      </c>
      <c r="C1765">
        <v>34</v>
      </c>
      <c r="D1765" t="s">
        <v>8158</v>
      </c>
      <c r="E1765" t="s">
        <v>88</v>
      </c>
      <c r="F1765" s="86">
        <v>44960</v>
      </c>
      <c r="G1765" t="s">
        <v>792</v>
      </c>
      <c r="H1765">
        <v>1</v>
      </c>
      <c r="I1765" t="s">
        <v>52</v>
      </c>
      <c r="J1765" t="s">
        <v>1106</v>
      </c>
      <c r="K1765">
        <v>165.16</v>
      </c>
      <c r="L1765">
        <v>9</v>
      </c>
      <c r="M1765">
        <v>9</v>
      </c>
      <c r="N1765" t="s">
        <v>54</v>
      </c>
      <c r="O1765" t="s">
        <v>536</v>
      </c>
      <c r="P1765" t="s">
        <v>68</v>
      </c>
      <c r="Q1765" t="s">
        <v>69</v>
      </c>
    </row>
    <row r="1766" spans="1:17" x14ac:dyDescent="0.3">
      <c r="A1766" t="s">
        <v>8160</v>
      </c>
      <c r="B1766" t="s">
        <v>8161</v>
      </c>
      <c r="C1766">
        <v>46</v>
      </c>
      <c r="D1766" t="s">
        <v>8162</v>
      </c>
      <c r="E1766" t="s">
        <v>61</v>
      </c>
      <c r="F1766" t="s">
        <v>2604</v>
      </c>
      <c r="G1766" s="86">
        <v>45413</v>
      </c>
      <c r="H1766">
        <v>5</v>
      </c>
      <c r="I1766" t="s">
        <v>27</v>
      </c>
      <c r="J1766" s="86">
        <v>45605</v>
      </c>
      <c r="K1766">
        <v>28.8</v>
      </c>
      <c r="L1766">
        <v>2</v>
      </c>
      <c r="M1766">
        <v>15</v>
      </c>
      <c r="N1766" t="s">
        <v>56</v>
      </c>
      <c r="O1766" t="s">
        <v>122</v>
      </c>
      <c r="P1766" t="s">
        <v>30</v>
      </c>
      <c r="Q1766" t="s">
        <v>32</v>
      </c>
    </row>
    <row r="1767" spans="1:17" x14ac:dyDescent="0.3">
      <c r="A1767" t="s">
        <v>8164</v>
      </c>
      <c r="B1767" t="s">
        <v>8165</v>
      </c>
      <c r="C1767">
        <v>44</v>
      </c>
      <c r="D1767" t="s">
        <v>8166</v>
      </c>
      <c r="E1767" t="s">
        <v>61</v>
      </c>
      <c r="F1767" t="s">
        <v>409</v>
      </c>
      <c r="G1767" s="86">
        <v>45661</v>
      </c>
      <c r="H1767">
        <v>1</v>
      </c>
      <c r="I1767" t="s">
        <v>27</v>
      </c>
      <c r="J1767" s="86">
        <v>45722</v>
      </c>
      <c r="K1767">
        <v>64.239999999999995</v>
      </c>
      <c r="L1767">
        <v>9</v>
      </c>
      <c r="M1767">
        <v>39</v>
      </c>
      <c r="N1767" t="s">
        <v>45</v>
      </c>
      <c r="O1767" t="s">
        <v>55</v>
      </c>
      <c r="P1767" t="s">
        <v>56</v>
      </c>
      <c r="Q1767" t="s">
        <v>32</v>
      </c>
    </row>
    <row r="1768" spans="1:17" x14ac:dyDescent="0.3">
      <c r="A1768" t="s">
        <v>8168</v>
      </c>
      <c r="B1768" t="s">
        <v>8169</v>
      </c>
      <c r="C1768">
        <v>29</v>
      </c>
      <c r="D1768" t="s">
        <v>8170</v>
      </c>
      <c r="E1768" t="s">
        <v>40</v>
      </c>
      <c r="F1768" t="s">
        <v>1879</v>
      </c>
      <c r="G1768" t="s">
        <v>863</v>
      </c>
      <c r="H1768">
        <v>1</v>
      </c>
      <c r="I1768" t="s">
        <v>27</v>
      </c>
      <c r="J1768" t="s">
        <v>4457</v>
      </c>
      <c r="K1768">
        <v>493.6</v>
      </c>
      <c r="L1768">
        <v>2</v>
      </c>
      <c r="M1768">
        <v>31</v>
      </c>
      <c r="N1768" t="s">
        <v>30</v>
      </c>
      <c r="O1768" t="s">
        <v>91</v>
      </c>
      <c r="P1768" t="s">
        <v>54</v>
      </c>
      <c r="Q1768" t="s">
        <v>69</v>
      </c>
    </row>
    <row r="1769" spans="1:17" x14ac:dyDescent="0.3">
      <c r="A1769" t="s">
        <v>8172</v>
      </c>
      <c r="B1769" t="s">
        <v>8173</v>
      </c>
      <c r="C1769">
        <v>42</v>
      </c>
      <c r="D1769" t="s">
        <v>8174</v>
      </c>
      <c r="E1769" t="s">
        <v>88</v>
      </c>
      <c r="F1769" t="s">
        <v>6221</v>
      </c>
      <c r="G1769" t="s">
        <v>1924</v>
      </c>
      <c r="H1769">
        <v>2</v>
      </c>
      <c r="I1769" t="s">
        <v>64</v>
      </c>
      <c r="J1769" t="s">
        <v>4113</v>
      </c>
      <c r="K1769">
        <v>180.2</v>
      </c>
      <c r="L1769">
        <v>7</v>
      </c>
      <c r="M1769">
        <v>39</v>
      </c>
      <c r="N1769" t="s">
        <v>45</v>
      </c>
      <c r="O1769" t="s">
        <v>99</v>
      </c>
      <c r="P1769" t="s">
        <v>56</v>
      </c>
      <c r="Q1769" t="s">
        <v>69</v>
      </c>
    </row>
    <row r="1770" spans="1:17" x14ac:dyDescent="0.3">
      <c r="A1770" t="s">
        <v>8176</v>
      </c>
      <c r="B1770" t="s">
        <v>8177</v>
      </c>
      <c r="C1770">
        <v>37</v>
      </c>
      <c r="D1770" t="s">
        <v>8178</v>
      </c>
      <c r="E1770" t="s">
        <v>95</v>
      </c>
      <c r="F1770" t="s">
        <v>1179</v>
      </c>
      <c r="G1770" s="86">
        <v>45537</v>
      </c>
      <c r="H1770">
        <v>4</v>
      </c>
      <c r="I1770" t="s">
        <v>27</v>
      </c>
      <c r="J1770" s="86">
        <v>45055</v>
      </c>
      <c r="K1770">
        <v>121.43</v>
      </c>
      <c r="L1770">
        <v>3</v>
      </c>
      <c r="M1770">
        <v>36</v>
      </c>
      <c r="N1770" t="s">
        <v>30</v>
      </c>
      <c r="O1770" t="s">
        <v>31</v>
      </c>
      <c r="P1770" t="s">
        <v>30</v>
      </c>
      <c r="Q1770" t="s">
        <v>32</v>
      </c>
    </row>
    <row r="1771" spans="1:17" x14ac:dyDescent="0.3">
      <c r="A1771" t="s">
        <v>8180</v>
      </c>
      <c r="B1771" t="s">
        <v>8181</v>
      </c>
      <c r="C1771">
        <v>46</v>
      </c>
      <c r="D1771" t="s">
        <v>8182</v>
      </c>
      <c r="E1771" t="s">
        <v>95</v>
      </c>
      <c r="F1771" t="s">
        <v>6543</v>
      </c>
      <c r="G1771" t="s">
        <v>2626</v>
      </c>
      <c r="H1771">
        <v>0</v>
      </c>
      <c r="I1771" t="s">
        <v>64</v>
      </c>
      <c r="J1771" t="s">
        <v>2034</v>
      </c>
      <c r="K1771">
        <v>322.7</v>
      </c>
      <c r="L1771">
        <v>3</v>
      </c>
      <c r="M1771">
        <v>26</v>
      </c>
      <c r="N1771" t="s">
        <v>54</v>
      </c>
      <c r="O1771" t="s">
        <v>821</v>
      </c>
      <c r="P1771" t="s">
        <v>68</v>
      </c>
      <c r="Q1771" t="s">
        <v>322</v>
      </c>
    </row>
    <row r="1772" spans="1:17" x14ac:dyDescent="0.3">
      <c r="A1772" t="s">
        <v>8184</v>
      </c>
      <c r="B1772" t="s">
        <v>8185</v>
      </c>
      <c r="C1772">
        <v>58</v>
      </c>
      <c r="D1772" t="s">
        <v>8186</v>
      </c>
      <c r="E1772" t="s">
        <v>88</v>
      </c>
      <c r="F1772" s="86">
        <v>44720</v>
      </c>
      <c r="G1772" t="s">
        <v>220</v>
      </c>
      <c r="H1772">
        <v>4</v>
      </c>
      <c r="I1772" t="s">
        <v>52</v>
      </c>
      <c r="J1772" s="86">
        <v>45449</v>
      </c>
      <c r="K1772">
        <v>527.36</v>
      </c>
      <c r="L1772">
        <v>1</v>
      </c>
      <c r="M1772">
        <v>35</v>
      </c>
      <c r="N1772" t="s">
        <v>45</v>
      </c>
      <c r="O1772" t="s">
        <v>610</v>
      </c>
      <c r="P1772" t="s">
        <v>68</v>
      </c>
      <c r="Q1772" t="s">
        <v>32</v>
      </c>
    </row>
    <row r="1773" spans="1:17" x14ac:dyDescent="0.3">
      <c r="A1773" t="s">
        <v>8188</v>
      </c>
      <c r="B1773" t="s">
        <v>8189</v>
      </c>
      <c r="C1773">
        <v>50</v>
      </c>
      <c r="D1773" t="s">
        <v>8190</v>
      </c>
      <c r="E1773" t="s">
        <v>25</v>
      </c>
      <c r="F1773" t="s">
        <v>1452</v>
      </c>
      <c r="G1773" s="86">
        <v>45546</v>
      </c>
      <c r="H1773">
        <v>3</v>
      </c>
      <c r="I1773" t="s">
        <v>27</v>
      </c>
      <c r="J1773" t="s">
        <v>670</v>
      </c>
      <c r="K1773">
        <v>101.44</v>
      </c>
      <c r="L1773">
        <v>9</v>
      </c>
      <c r="M1773">
        <v>33</v>
      </c>
      <c r="N1773" t="s">
        <v>56</v>
      </c>
      <c r="O1773" t="s">
        <v>99</v>
      </c>
      <c r="P1773" t="s">
        <v>56</v>
      </c>
      <c r="Q1773" t="s">
        <v>69</v>
      </c>
    </row>
    <row r="1774" spans="1:17" x14ac:dyDescent="0.3">
      <c r="A1774" t="s">
        <v>8192</v>
      </c>
      <c r="B1774" t="s">
        <v>8193</v>
      </c>
      <c r="C1774">
        <v>44</v>
      </c>
      <c r="D1774" t="s">
        <v>8194</v>
      </c>
      <c r="E1774" t="s">
        <v>25</v>
      </c>
      <c r="F1774" s="86">
        <v>44384</v>
      </c>
      <c r="G1774" t="s">
        <v>2543</v>
      </c>
      <c r="H1774">
        <v>2</v>
      </c>
      <c r="I1774" t="s">
        <v>27</v>
      </c>
      <c r="J1774" t="s">
        <v>5393</v>
      </c>
      <c r="K1774">
        <v>225.41</v>
      </c>
      <c r="L1774">
        <v>5</v>
      </c>
      <c r="M1774">
        <v>1</v>
      </c>
      <c r="N1774" t="s">
        <v>30</v>
      </c>
      <c r="O1774" t="s">
        <v>821</v>
      </c>
      <c r="P1774" t="s">
        <v>68</v>
      </c>
      <c r="Q1774" t="s">
        <v>69</v>
      </c>
    </row>
    <row r="1775" spans="1:17" x14ac:dyDescent="0.3">
      <c r="A1775" t="s">
        <v>8196</v>
      </c>
      <c r="B1775" t="s">
        <v>8197</v>
      </c>
      <c r="C1775">
        <v>33</v>
      </c>
      <c r="D1775" t="s">
        <v>8198</v>
      </c>
      <c r="E1775" t="s">
        <v>95</v>
      </c>
      <c r="F1775" t="s">
        <v>652</v>
      </c>
      <c r="G1775" t="s">
        <v>5166</v>
      </c>
      <c r="H1775">
        <v>1</v>
      </c>
      <c r="I1775" t="s">
        <v>27</v>
      </c>
      <c r="J1775" t="s">
        <v>1715</v>
      </c>
      <c r="K1775">
        <v>554.73</v>
      </c>
      <c r="L1775">
        <v>1</v>
      </c>
      <c r="M1775">
        <v>16</v>
      </c>
      <c r="N1775" t="s">
        <v>68</v>
      </c>
      <c r="O1775" t="s">
        <v>194</v>
      </c>
      <c r="P1775" t="s">
        <v>56</v>
      </c>
      <c r="Q1775" t="s">
        <v>32</v>
      </c>
    </row>
    <row r="1776" spans="1:17" x14ac:dyDescent="0.3">
      <c r="A1776" t="s">
        <v>8200</v>
      </c>
      <c r="B1776" t="s">
        <v>8201</v>
      </c>
      <c r="C1776">
        <v>58</v>
      </c>
      <c r="D1776" t="s">
        <v>8202</v>
      </c>
      <c r="E1776" t="s">
        <v>95</v>
      </c>
      <c r="F1776" t="s">
        <v>4048</v>
      </c>
      <c r="G1776" s="86">
        <v>45266</v>
      </c>
      <c r="H1776">
        <v>2</v>
      </c>
      <c r="I1776" t="s">
        <v>27</v>
      </c>
      <c r="J1776" t="s">
        <v>423</v>
      </c>
      <c r="K1776">
        <v>641.76</v>
      </c>
      <c r="L1776">
        <v>3</v>
      </c>
      <c r="M1776">
        <v>18</v>
      </c>
      <c r="N1776" t="s">
        <v>45</v>
      </c>
      <c r="O1776" t="s">
        <v>109</v>
      </c>
      <c r="P1776" t="s">
        <v>68</v>
      </c>
      <c r="Q1776" t="s">
        <v>69</v>
      </c>
    </row>
    <row r="1777" spans="1:17" x14ac:dyDescent="0.3">
      <c r="A1777" t="s">
        <v>8204</v>
      </c>
      <c r="B1777" t="s">
        <v>8205</v>
      </c>
      <c r="C1777">
        <v>26</v>
      </c>
      <c r="D1777" t="s">
        <v>8206</v>
      </c>
      <c r="E1777" t="s">
        <v>88</v>
      </c>
      <c r="F1777" t="s">
        <v>1143</v>
      </c>
      <c r="G1777" t="s">
        <v>4402</v>
      </c>
      <c r="H1777">
        <v>0</v>
      </c>
      <c r="I1777" t="s">
        <v>64</v>
      </c>
      <c r="J1777" t="s">
        <v>4113</v>
      </c>
      <c r="K1777">
        <v>116.39</v>
      </c>
      <c r="L1777">
        <v>9</v>
      </c>
      <c r="M1777">
        <v>38</v>
      </c>
      <c r="N1777" t="s">
        <v>68</v>
      </c>
      <c r="O1777" t="s">
        <v>99</v>
      </c>
      <c r="P1777" t="s">
        <v>56</v>
      </c>
      <c r="Q1777" t="s">
        <v>69</v>
      </c>
    </row>
    <row r="1778" spans="1:17" x14ac:dyDescent="0.3">
      <c r="A1778" t="s">
        <v>8208</v>
      </c>
      <c r="B1778" t="s">
        <v>8209</v>
      </c>
      <c r="C1778">
        <v>48</v>
      </c>
      <c r="D1778" t="s">
        <v>8210</v>
      </c>
      <c r="E1778" t="s">
        <v>40</v>
      </c>
      <c r="F1778" s="86">
        <v>44596</v>
      </c>
      <c r="G1778" t="s">
        <v>4015</v>
      </c>
      <c r="H1778">
        <v>4</v>
      </c>
      <c r="I1778" t="s">
        <v>52</v>
      </c>
      <c r="J1778" t="s">
        <v>409</v>
      </c>
      <c r="K1778">
        <v>277.08999999999997</v>
      </c>
      <c r="L1778">
        <v>3</v>
      </c>
      <c r="M1778">
        <v>12</v>
      </c>
      <c r="N1778" t="s">
        <v>54</v>
      </c>
      <c r="O1778" t="s">
        <v>122</v>
      </c>
      <c r="P1778" t="s">
        <v>30</v>
      </c>
      <c r="Q1778" t="s">
        <v>69</v>
      </c>
    </row>
    <row r="1779" spans="1:17" x14ac:dyDescent="0.3">
      <c r="A1779" t="s">
        <v>8212</v>
      </c>
      <c r="B1779" t="s">
        <v>8213</v>
      </c>
      <c r="C1779">
        <v>60</v>
      </c>
      <c r="D1779" t="s">
        <v>8214</v>
      </c>
      <c r="E1779" t="s">
        <v>88</v>
      </c>
      <c r="F1779" s="86">
        <v>44352</v>
      </c>
      <c r="G1779" s="86">
        <v>45695</v>
      </c>
      <c r="H1779">
        <v>5</v>
      </c>
      <c r="I1779" t="s">
        <v>27</v>
      </c>
      <c r="J1779" t="s">
        <v>2402</v>
      </c>
      <c r="K1779">
        <v>68.3</v>
      </c>
      <c r="L1779">
        <v>8</v>
      </c>
      <c r="M1779">
        <v>9</v>
      </c>
      <c r="N1779" t="s">
        <v>54</v>
      </c>
      <c r="O1779" t="s">
        <v>199</v>
      </c>
      <c r="P1779" t="s">
        <v>54</v>
      </c>
      <c r="Q1779" t="s">
        <v>32</v>
      </c>
    </row>
    <row r="1780" spans="1:17" x14ac:dyDescent="0.3">
      <c r="A1780" t="s">
        <v>8216</v>
      </c>
      <c r="B1780" t="s">
        <v>8217</v>
      </c>
      <c r="C1780">
        <v>33</v>
      </c>
      <c r="D1780" t="s">
        <v>8218</v>
      </c>
      <c r="E1780" t="s">
        <v>88</v>
      </c>
      <c r="F1780" s="86">
        <v>44622</v>
      </c>
      <c r="G1780" s="86">
        <v>45418</v>
      </c>
      <c r="H1780">
        <v>3</v>
      </c>
      <c r="I1780" t="s">
        <v>52</v>
      </c>
      <c r="J1780" t="s">
        <v>1036</v>
      </c>
      <c r="K1780">
        <v>978.54</v>
      </c>
      <c r="L1780">
        <v>2</v>
      </c>
      <c r="M1780">
        <v>37</v>
      </c>
      <c r="N1780" t="s">
        <v>54</v>
      </c>
      <c r="O1780" t="s">
        <v>597</v>
      </c>
      <c r="P1780" t="s">
        <v>45</v>
      </c>
      <c r="Q1780" t="s">
        <v>69</v>
      </c>
    </row>
    <row r="1781" spans="1:17" x14ac:dyDescent="0.3">
      <c r="A1781" t="s">
        <v>8220</v>
      </c>
      <c r="B1781" t="s">
        <v>8221</v>
      </c>
      <c r="C1781">
        <v>35</v>
      </c>
      <c r="D1781" t="s">
        <v>8222</v>
      </c>
      <c r="E1781" t="s">
        <v>51</v>
      </c>
      <c r="F1781" s="86">
        <v>44538</v>
      </c>
      <c r="G1781" s="86">
        <v>45637</v>
      </c>
      <c r="H1781">
        <v>0</v>
      </c>
      <c r="I1781" t="s">
        <v>27</v>
      </c>
      <c r="J1781" t="s">
        <v>508</v>
      </c>
      <c r="K1781">
        <v>1241.77</v>
      </c>
      <c r="L1781">
        <v>1</v>
      </c>
      <c r="M1781">
        <v>36</v>
      </c>
      <c r="N1781" t="s">
        <v>54</v>
      </c>
      <c r="O1781" t="s">
        <v>231</v>
      </c>
      <c r="P1781" t="s">
        <v>30</v>
      </c>
      <c r="Q1781" t="s">
        <v>69</v>
      </c>
    </row>
    <row r="1782" spans="1:17" x14ac:dyDescent="0.3">
      <c r="A1782" t="s">
        <v>8224</v>
      </c>
      <c r="B1782" t="s">
        <v>8225</v>
      </c>
      <c r="C1782">
        <v>30</v>
      </c>
      <c r="D1782" t="s">
        <v>8226</v>
      </c>
      <c r="E1782" t="s">
        <v>61</v>
      </c>
      <c r="F1782" t="s">
        <v>440</v>
      </c>
      <c r="G1782" s="86">
        <v>45753</v>
      </c>
      <c r="H1782">
        <v>0</v>
      </c>
      <c r="I1782" t="s">
        <v>27</v>
      </c>
      <c r="J1782" s="86">
        <v>45755</v>
      </c>
      <c r="K1782">
        <v>394.54</v>
      </c>
      <c r="L1782">
        <v>3</v>
      </c>
      <c r="M1782">
        <v>11</v>
      </c>
      <c r="N1782" t="s">
        <v>56</v>
      </c>
      <c r="O1782" t="s">
        <v>128</v>
      </c>
      <c r="P1782" t="s">
        <v>54</v>
      </c>
      <c r="Q1782" t="s">
        <v>69</v>
      </c>
    </row>
    <row r="1783" spans="1:17" x14ac:dyDescent="0.3">
      <c r="A1783" t="s">
        <v>8228</v>
      </c>
      <c r="B1783" t="s">
        <v>8229</v>
      </c>
      <c r="C1783">
        <v>50</v>
      </c>
      <c r="D1783" t="s">
        <v>8230</v>
      </c>
      <c r="E1783" t="s">
        <v>61</v>
      </c>
      <c r="F1783" t="s">
        <v>3643</v>
      </c>
      <c r="G1783" t="s">
        <v>4107</v>
      </c>
      <c r="H1783">
        <v>1</v>
      </c>
      <c r="I1783" t="s">
        <v>52</v>
      </c>
      <c r="J1783" s="86">
        <v>45359</v>
      </c>
      <c r="K1783">
        <v>5.39</v>
      </c>
      <c r="L1783">
        <v>8</v>
      </c>
      <c r="M1783">
        <v>38</v>
      </c>
      <c r="N1783" t="s">
        <v>54</v>
      </c>
      <c r="O1783" t="s">
        <v>77</v>
      </c>
      <c r="P1783" t="s">
        <v>54</v>
      </c>
      <c r="Q1783" t="s">
        <v>32</v>
      </c>
    </row>
    <row r="1784" spans="1:17" x14ac:dyDescent="0.3">
      <c r="A1784" t="s">
        <v>8232</v>
      </c>
      <c r="B1784" t="s">
        <v>8233</v>
      </c>
      <c r="C1784">
        <v>40</v>
      </c>
      <c r="D1784" t="s">
        <v>8234</v>
      </c>
      <c r="E1784" t="s">
        <v>61</v>
      </c>
      <c r="F1784" t="s">
        <v>5474</v>
      </c>
      <c r="G1784" t="s">
        <v>2135</v>
      </c>
      <c r="H1784">
        <v>5</v>
      </c>
      <c r="I1784" t="s">
        <v>27</v>
      </c>
      <c r="J1784" s="86">
        <v>44986</v>
      </c>
      <c r="K1784">
        <v>120.41</v>
      </c>
      <c r="L1784">
        <v>8</v>
      </c>
      <c r="M1784">
        <v>19</v>
      </c>
      <c r="N1784" t="s">
        <v>45</v>
      </c>
      <c r="O1784" t="s">
        <v>624</v>
      </c>
      <c r="P1784" t="s">
        <v>30</v>
      </c>
      <c r="Q1784" t="s">
        <v>69</v>
      </c>
    </row>
    <row r="1785" spans="1:17" x14ac:dyDescent="0.3">
      <c r="A1785" t="s">
        <v>8236</v>
      </c>
      <c r="B1785" t="s">
        <v>8237</v>
      </c>
      <c r="C1785">
        <v>48</v>
      </c>
      <c r="D1785" t="s">
        <v>8238</v>
      </c>
      <c r="E1785" t="s">
        <v>95</v>
      </c>
      <c r="F1785" s="86">
        <v>44873</v>
      </c>
      <c r="G1785" s="86">
        <v>44962</v>
      </c>
      <c r="H1785">
        <v>3</v>
      </c>
      <c r="I1785" t="s">
        <v>27</v>
      </c>
      <c r="J1785" t="s">
        <v>4572</v>
      </c>
      <c r="K1785">
        <v>124.3</v>
      </c>
      <c r="L1785">
        <v>8</v>
      </c>
      <c r="M1785">
        <v>15</v>
      </c>
      <c r="N1785" t="s">
        <v>30</v>
      </c>
      <c r="O1785" t="s">
        <v>624</v>
      </c>
      <c r="P1785" t="s">
        <v>30</v>
      </c>
      <c r="Q1785" t="s">
        <v>69</v>
      </c>
    </row>
    <row r="1786" spans="1:17" x14ac:dyDescent="0.3">
      <c r="A1786" t="s">
        <v>8240</v>
      </c>
      <c r="B1786" t="s">
        <v>8241</v>
      </c>
      <c r="C1786">
        <v>48</v>
      </c>
      <c r="D1786" t="s">
        <v>8242</v>
      </c>
      <c r="E1786" t="s">
        <v>95</v>
      </c>
      <c r="F1786" t="s">
        <v>2559</v>
      </c>
      <c r="G1786" t="s">
        <v>1635</v>
      </c>
      <c r="H1786">
        <v>5</v>
      </c>
      <c r="I1786" t="s">
        <v>27</v>
      </c>
      <c r="J1786" t="s">
        <v>393</v>
      </c>
      <c r="K1786">
        <v>179.9</v>
      </c>
      <c r="L1786">
        <v>2</v>
      </c>
      <c r="M1786">
        <v>40</v>
      </c>
      <c r="N1786" t="s">
        <v>54</v>
      </c>
      <c r="O1786" t="s">
        <v>109</v>
      </c>
      <c r="P1786" t="s">
        <v>68</v>
      </c>
      <c r="Q1786" t="s">
        <v>69</v>
      </c>
    </row>
    <row r="1787" spans="1:17" x14ac:dyDescent="0.3">
      <c r="A1787" t="s">
        <v>8244</v>
      </c>
      <c r="B1787" t="s">
        <v>8245</v>
      </c>
      <c r="C1787">
        <v>64</v>
      </c>
      <c r="D1787" t="s">
        <v>8246</v>
      </c>
      <c r="E1787" t="s">
        <v>25</v>
      </c>
      <c r="F1787" t="s">
        <v>1982</v>
      </c>
      <c r="G1787" s="86">
        <v>44875</v>
      </c>
      <c r="H1787">
        <v>1</v>
      </c>
      <c r="I1787" t="s">
        <v>52</v>
      </c>
      <c r="J1787" s="86">
        <v>45538</v>
      </c>
      <c r="K1787">
        <v>151.58000000000001</v>
      </c>
      <c r="L1787">
        <v>7</v>
      </c>
      <c r="M1787">
        <v>47</v>
      </c>
      <c r="N1787" t="s">
        <v>45</v>
      </c>
      <c r="O1787" t="s">
        <v>418</v>
      </c>
      <c r="P1787" t="s">
        <v>56</v>
      </c>
      <c r="Q1787" t="s">
        <v>69</v>
      </c>
    </row>
    <row r="1788" spans="1:17" x14ac:dyDescent="0.3">
      <c r="A1788" t="s">
        <v>8248</v>
      </c>
      <c r="B1788" t="s">
        <v>8249</v>
      </c>
      <c r="C1788">
        <v>61</v>
      </c>
      <c r="D1788" t="s">
        <v>8250</v>
      </c>
      <c r="E1788" t="s">
        <v>40</v>
      </c>
      <c r="F1788" s="86">
        <v>45237</v>
      </c>
      <c r="G1788" s="86">
        <v>45149</v>
      </c>
      <c r="H1788">
        <v>3</v>
      </c>
      <c r="I1788" t="s">
        <v>27</v>
      </c>
      <c r="J1788" t="s">
        <v>5706</v>
      </c>
      <c r="K1788">
        <v>165.18</v>
      </c>
      <c r="L1788">
        <v>8</v>
      </c>
      <c r="M1788">
        <v>19</v>
      </c>
      <c r="N1788" t="s">
        <v>45</v>
      </c>
      <c r="O1788" t="s">
        <v>44</v>
      </c>
      <c r="P1788" t="s">
        <v>45</v>
      </c>
      <c r="Q1788" t="s">
        <v>32</v>
      </c>
    </row>
    <row r="1789" spans="1:17" x14ac:dyDescent="0.3">
      <c r="A1789" t="s">
        <v>8252</v>
      </c>
      <c r="B1789" t="s">
        <v>8253</v>
      </c>
      <c r="C1789">
        <v>29</v>
      </c>
      <c r="D1789" t="s">
        <v>8254</v>
      </c>
      <c r="E1789" t="s">
        <v>25</v>
      </c>
      <c r="F1789" t="s">
        <v>440</v>
      </c>
      <c r="G1789" t="s">
        <v>4608</v>
      </c>
      <c r="H1789">
        <v>4</v>
      </c>
      <c r="I1789" t="s">
        <v>27</v>
      </c>
      <c r="J1789" t="s">
        <v>5687</v>
      </c>
      <c r="K1789">
        <v>65.760000000000005</v>
      </c>
      <c r="L1789">
        <v>7</v>
      </c>
      <c r="M1789">
        <v>5</v>
      </c>
      <c r="N1789" t="s">
        <v>54</v>
      </c>
      <c r="O1789" t="s">
        <v>425</v>
      </c>
      <c r="P1789" t="s">
        <v>30</v>
      </c>
      <c r="Q1789" t="s">
        <v>69</v>
      </c>
    </row>
    <row r="1790" spans="1:17" x14ac:dyDescent="0.3">
      <c r="A1790" t="s">
        <v>8256</v>
      </c>
      <c r="B1790" t="s">
        <v>8257</v>
      </c>
      <c r="C1790">
        <v>64</v>
      </c>
      <c r="D1790" t="s">
        <v>8258</v>
      </c>
      <c r="E1790" t="s">
        <v>51</v>
      </c>
      <c r="F1790" t="s">
        <v>2402</v>
      </c>
      <c r="G1790" t="s">
        <v>4426</v>
      </c>
      <c r="H1790">
        <v>1</v>
      </c>
      <c r="I1790" t="s">
        <v>52</v>
      </c>
      <c r="J1790" s="86">
        <v>44204</v>
      </c>
      <c r="K1790">
        <v>123.74</v>
      </c>
      <c r="L1790">
        <v>9</v>
      </c>
      <c r="M1790">
        <v>8</v>
      </c>
      <c r="N1790" t="s">
        <v>45</v>
      </c>
      <c r="O1790" t="s">
        <v>604</v>
      </c>
      <c r="P1790" t="s">
        <v>45</v>
      </c>
      <c r="Q1790" t="s">
        <v>32</v>
      </c>
    </row>
    <row r="1791" spans="1:17" x14ac:dyDescent="0.3">
      <c r="A1791" t="s">
        <v>8260</v>
      </c>
      <c r="B1791" t="s">
        <v>8261</v>
      </c>
      <c r="C1791">
        <v>22</v>
      </c>
      <c r="D1791" t="s">
        <v>8262</v>
      </c>
      <c r="E1791" t="s">
        <v>25</v>
      </c>
      <c r="F1791" t="s">
        <v>5485</v>
      </c>
      <c r="G1791" t="s">
        <v>4074</v>
      </c>
      <c r="H1791">
        <v>1</v>
      </c>
      <c r="I1791" t="s">
        <v>27</v>
      </c>
      <c r="J1791" s="86">
        <v>44320</v>
      </c>
      <c r="K1791">
        <v>62.2</v>
      </c>
      <c r="L1791">
        <v>4</v>
      </c>
      <c r="M1791">
        <v>11</v>
      </c>
      <c r="N1791" t="s">
        <v>54</v>
      </c>
      <c r="O1791" t="s">
        <v>251</v>
      </c>
      <c r="P1791" t="s">
        <v>30</v>
      </c>
      <c r="Q1791" t="s">
        <v>69</v>
      </c>
    </row>
    <row r="1792" spans="1:17" x14ac:dyDescent="0.3">
      <c r="A1792" t="s">
        <v>8264</v>
      </c>
      <c r="B1792" t="s">
        <v>8265</v>
      </c>
      <c r="C1792">
        <v>54</v>
      </c>
      <c r="D1792" t="s">
        <v>8266</v>
      </c>
      <c r="E1792" t="s">
        <v>88</v>
      </c>
      <c r="F1792" s="86">
        <v>44573</v>
      </c>
      <c r="G1792" s="86">
        <v>45265</v>
      </c>
      <c r="H1792">
        <v>3</v>
      </c>
      <c r="I1792" t="s">
        <v>27</v>
      </c>
      <c r="J1792" t="s">
        <v>3531</v>
      </c>
      <c r="K1792">
        <v>10.18</v>
      </c>
      <c r="L1792">
        <v>4</v>
      </c>
      <c r="M1792">
        <v>13</v>
      </c>
      <c r="N1792" t="s">
        <v>54</v>
      </c>
      <c r="O1792" t="s">
        <v>194</v>
      </c>
      <c r="P1792" t="s">
        <v>56</v>
      </c>
      <c r="Q1792" t="s">
        <v>32</v>
      </c>
    </row>
    <row r="1793" spans="1:17" x14ac:dyDescent="0.3">
      <c r="A1793" t="s">
        <v>8268</v>
      </c>
      <c r="B1793" t="s">
        <v>8269</v>
      </c>
      <c r="C1793">
        <v>52</v>
      </c>
      <c r="D1793" t="s">
        <v>8270</v>
      </c>
      <c r="E1793" t="s">
        <v>88</v>
      </c>
      <c r="F1793" t="s">
        <v>5589</v>
      </c>
      <c r="G1793" s="86">
        <v>45783</v>
      </c>
      <c r="H1793">
        <v>5</v>
      </c>
      <c r="I1793" t="s">
        <v>64</v>
      </c>
      <c r="J1793" s="86">
        <v>45511</v>
      </c>
      <c r="K1793">
        <v>178.14</v>
      </c>
      <c r="L1793">
        <v>7</v>
      </c>
      <c r="M1793">
        <v>31</v>
      </c>
      <c r="N1793" t="s">
        <v>45</v>
      </c>
      <c r="O1793" t="s">
        <v>194</v>
      </c>
      <c r="P1793" t="s">
        <v>56</v>
      </c>
      <c r="Q1793" t="s">
        <v>32</v>
      </c>
    </row>
    <row r="1794" spans="1:17" x14ac:dyDescent="0.3">
      <c r="A1794" t="s">
        <v>8272</v>
      </c>
      <c r="B1794" t="s">
        <v>8273</v>
      </c>
      <c r="C1794">
        <v>47</v>
      </c>
      <c r="D1794" t="s">
        <v>8274</v>
      </c>
      <c r="E1794" t="s">
        <v>25</v>
      </c>
      <c r="F1794" s="86">
        <v>44781</v>
      </c>
      <c r="G1794" t="s">
        <v>2691</v>
      </c>
      <c r="H1794">
        <v>4</v>
      </c>
      <c r="I1794" t="s">
        <v>27</v>
      </c>
      <c r="J1794" t="s">
        <v>7017</v>
      </c>
      <c r="K1794">
        <v>821.69</v>
      </c>
      <c r="L1794">
        <v>1</v>
      </c>
      <c r="M1794">
        <v>44</v>
      </c>
      <c r="N1794" t="s">
        <v>30</v>
      </c>
      <c r="O1794" t="s">
        <v>211</v>
      </c>
      <c r="P1794" t="s">
        <v>68</v>
      </c>
      <c r="Q1794" t="s">
        <v>69</v>
      </c>
    </row>
    <row r="1795" spans="1:17" x14ac:dyDescent="0.3">
      <c r="A1795" t="s">
        <v>8276</v>
      </c>
      <c r="B1795" t="s">
        <v>8277</v>
      </c>
      <c r="C1795">
        <v>63</v>
      </c>
      <c r="D1795" t="s">
        <v>8278</v>
      </c>
      <c r="E1795" t="s">
        <v>25</v>
      </c>
      <c r="F1795" t="s">
        <v>6338</v>
      </c>
      <c r="G1795" s="86">
        <v>44936</v>
      </c>
      <c r="H1795">
        <v>0</v>
      </c>
      <c r="I1795" t="s">
        <v>64</v>
      </c>
      <c r="J1795" t="s">
        <v>2300</v>
      </c>
      <c r="K1795">
        <v>166.66</v>
      </c>
      <c r="L1795">
        <v>7</v>
      </c>
      <c r="M1795">
        <v>16</v>
      </c>
      <c r="N1795" t="s">
        <v>45</v>
      </c>
      <c r="O1795" t="s">
        <v>91</v>
      </c>
      <c r="P1795" t="s">
        <v>54</v>
      </c>
      <c r="Q1795" t="s">
        <v>69</v>
      </c>
    </row>
    <row r="1796" spans="1:17" x14ac:dyDescent="0.3">
      <c r="A1796" t="s">
        <v>8280</v>
      </c>
      <c r="B1796" t="s">
        <v>8281</v>
      </c>
      <c r="C1796">
        <v>25</v>
      </c>
      <c r="D1796" t="s">
        <v>8282</v>
      </c>
      <c r="E1796" t="s">
        <v>61</v>
      </c>
      <c r="F1796" t="s">
        <v>1189</v>
      </c>
      <c r="G1796" t="s">
        <v>3899</v>
      </c>
      <c r="H1796">
        <v>2</v>
      </c>
      <c r="I1796" t="s">
        <v>64</v>
      </c>
      <c r="J1796" t="s">
        <v>1020</v>
      </c>
      <c r="K1796">
        <v>715.99</v>
      </c>
      <c r="L1796">
        <v>1</v>
      </c>
      <c r="M1796">
        <v>39</v>
      </c>
      <c r="N1796" t="s">
        <v>68</v>
      </c>
      <c r="O1796" t="s">
        <v>604</v>
      </c>
      <c r="P1796" t="s">
        <v>45</v>
      </c>
      <c r="Q1796" t="s">
        <v>32</v>
      </c>
    </row>
    <row r="1797" spans="1:17" x14ac:dyDescent="0.3">
      <c r="A1797" t="s">
        <v>8284</v>
      </c>
      <c r="B1797" t="s">
        <v>8285</v>
      </c>
      <c r="C1797">
        <v>50</v>
      </c>
      <c r="D1797" t="s">
        <v>8286</v>
      </c>
      <c r="E1797" t="s">
        <v>61</v>
      </c>
      <c r="F1797" t="s">
        <v>4581</v>
      </c>
      <c r="G1797" t="s">
        <v>962</v>
      </c>
      <c r="H1797">
        <v>1</v>
      </c>
      <c r="I1797" t="s">
        <v>52</v>
      </c>
      <c r="J1797" t="s">
        <v>3705</v>
      </c>
      <c r="K1797">
        <v>1397.94</v>
      </c>
      <c r="L1797">
        <v>1</v>
      </c>
      <c r="M1797">
        <v>5</v>
      </c>
      <c r="N1797" t="s">
        <v>30</v>
      </c>
      <c r="O1797" t="s">
        <v>169</v>
      </c>
      <c r="P1797" t="s">
        <v>30</v>
      </c>
      <c r="Q1797" t="s">
        <v>69</v>
      </c>
    </row>
    <row r="1798" spans="1:17" x14ac:dyDescent="0.3">
      <c r="A1798" t="s">
        <v>8288</v>
      </c>
      <c r="B1798" t="s">
        <v>8289</v>
      </c>
      <c r="C1798">
        <v>21</v>
      </c>
      <c r="D1798" t="s">
        <v>8290</v>
      </c>
      <c r="E1798" t="s">
        <v>88</v>
      </c>
      <c r="F1798" t="s">
        <v>6366</v>
      </c>
      <c r="G1798" t="s">
        <v>154</v>
      </c>
      <c r="H1798">
        <v>1</v>
      </c>
      <c r="I1798" t="s">
        <v>27</v>
      </c>
      <c r="J1798" t="s">
        <v>166</v>
      </c>
      <c r="K1798">
        <v>307.89</v>
      </c>
      <c r="L1798">
        <v>5</v>
      </c>
      <c r="M1798">
        <v>35</v>
      </c>
      <c r="N1798" t="s">
        <v>30</v>
      </c>
      <c r="O1798" t="s">
        <v>366</v>
      </c>
      <c r="P1798" t="s">
        <v>54</v>
      </c>
      <c r="Q1798" t="s">
        <v>32</v>
      </c>
    </row>
    <row r="1799" spans="1:17" x14ac:dyDescent="0.3">
      <c r="A1799" t="s">
        <v>8292</v>
      </c>
      <c r="B1799" t="s">
        <v>8293</v>
      </c>
      <c r="C1799">
        <v>68</v>
      </c>
      <c r="D1799" t="s">
        <v>8294</v>
      </c>
      <c r="E1799" t="s">
        <v>88</v>
      </c>
      <c r="F1799" t="s">
        <v>1452</v>
      </c>
      <c r="G1799" s="86">
        <v>45424</v>
      </c>
      <c r="H1799">
        <v>4</v>
      </c>
      <c r="I1799" t="s">
        <v>27</v>
      </c>
      <c r="J1799" t="s">
        <v>1601</v>
      </c>
      <c r="K1799">
        <v>146.78</v>
      </c>
      <c r="L1799">
        <v>9</v>
      </c>
      <c r="M1799">
        <v>6</v>
      </c>
      <c r="N1799" t="s">
        <v>54</v>
      </c>
      <c r="O1799" t="s">
        <v>269</v>
      </c>
      <c r="P1799" t="s">
        <v>56</v>
      </c>
      <c r="Q1799" t="s">
        <v>32</v>
      </c>
    </row>
    <row r="1800" spans="1:17" x14ac:dyDescent="0.3">
      <c r="A1800" t="s">
        <v>8296</v>
      </c>
      <c r="B1800" t="s">
        <v>8297</v>
      </c>
      <c r="C1800">
        <v>40</v>
      </c>
      <c r="D1800" t="s">
        <v>8298</v>
      </c>
      <c r="E1800" t="s">
        <v>88</v>
      </c>
      <c r="F1800" t="s">
        <v>6221</v>
      </c>
      <c r="G1800" t="s">
        <v>2104</v>
      </c>
      <c r="H1800">
        <v>1</v>
      </c>
      <c r="I1800" t="s">
        <v>27</v>
      </c>
      <c r="J1800" t="s">
        <v>852</v>
      </c>
      <c r="K1800">
        <v>82.46</v>
      </c>
      <c r="L1800">
        <v>3</v>
      </c>
      <c r="M1800">
        <v>41</v>
      </c>
      <c r="N1800" t="s">
        <v>56</v>
      </c>
      <c r="O1800" t="s">
        <v>128</v>
      </c>
      <c r="P1800" t="s">
        <v>54</v>
      </c>
      <c r="Q1800" t="s">
        <v>32</v>
      </c>
    </row>
    <row r="1801" spans="1:17" x14ac:dyDescent="0.3">
      <c r="A1801" t="s">
        <v>8300</v>
      </c>
      <c r="B1801" t="s">
        <v>8301</v>
      </c>
      <c r="C1801">
        <v>20</v>
      </c>
      <c r="D1801" t="s">
        <v>8302</v>
      </c>
      <c r="E1801" t="s">
        <v>88</v>
      </c>
      <c r="F1801" s="86">
        <v>44417</v>
      </c>
      <c r="G1801" s="86">
        <v>44510</v>
      </c>
      <c r="H1801">
        <v>1</v>
      </c>
      <c r="I1801" t="s">
        <v>27</v>
      </c>
      <c r="J1801" s="86">
        <v>45116</v>
      </c>
      <c r="K1801">
        <v>406.43</v>
      </c>
      <c r="L1801">
        <v>4</v>
      </c>
      <c r="M1801">
        <v>11</v>
      </c>
      <c r="N1801" t="s">
        <v>30</v>
      </c>
      <c r="O1801" t="s">
        <v>624</v>
      </c>
      <c r="P1801" t="s">
        <v>30</v>
      </c>
      <c r="Q1801" t="s">
        <v>32</v>
      </c>
    </row>
    <row r="1802" spans="1:17" x14ac:dyDescent="0.3">
      <c r="A1802" t="s">
        <v>8304</v>
      </c>
      <c r="B1802" t="s">
        <v>8305</v>
      </c>
      <c r="C1802">
        <v>20</v>
      </c>
      <c r="D1802" t="s">
        <v>8306</v>
      </c>
      <c r="E1802" t="s">
        <v>88</v>
      </c>
      <c r="F1802" t="s">
        <v>1232</v>
      </c>
      <c r="G1802" s="86">
        <v>44656</v>
      </c>
      <c r="H1802">
        <v>2</v>
      </c>
      <c r="I1802" t="s">
        <v>27</v>
      </c>
      <c r="J1802" t="s">
        <v>2061</v>
      </c>
      <c r="K1802">
        <v>871.44</v>
      </c>
      <c r="L1802">
        <v>2</v>
      </c>
      <c r="M1802">
        <v>35</v>
      </c>
      <c r="N1802" t="s">
        <v>45</v>
      </c>
      <c r="O1802" t="s">
        <v>109</v>
      </c>
      <c r="P1802" t="s">
        <v>68</v>
      </c>
      <c r="Q1802" t="s">
        <v>32</v>
      </c>
    </row>
    <row r="1803" spans="1:17" x14ac:dyDescent="0.3">
      <c r="A1803" t="s">
        <v>8308</v>
      </c>
      <c r="B1803" t="s">
        <v>8309</v>
      </c>
      <c r="C1803">
        <v>51</v>
      </c>
      <c r="D1803" t="s">
        <v>8310</v>
      </c>
      <c r="E1803" t="s">
        <v>88</v>
      </c>
      <c r="F1803" s="86">
        <v>44877</v>
      </c>
      <c r="G1803" t="s">
        <v>2957</v>
      </c>
      <c r="H1803">
        <v>5</v>
      </c>
      <c r="I1803" t="s">
        <v>27</v>
      </c>
      <c r="J1803" t="s">
        <v>284</v>
      </c>
      <c r="K1803">
        <v>204.5</v>
      </c>
      <c r="L1803">
        <v>8</v>
      </c>
      <c r="M1803">
        <v>9</v>
      </c>
      <c r="N1803" t="s">
        <v>45</v>
      </c>
      <c r="O1803" t="s">
        <v>425</v>
      </c>
      <c r="P1803" t="s">
        <v>30</v>
      </c>
      <c r="Q1803" t="s">
        <v>32</v>
      </c>
    </row>
    <row r="1804" spans="1:17" x14ac:dyDescent="0.3">
      <c r="A1804" t="s">
        <v>8312</v>
      </c>
      <c r="B1804" t="s">
        <v>8313</v>
      </c>
      <c r="C1804">
        <v>37</v>
      </c>
      <c r="D1804" t="s">
        <v>8314</v>
      </c>
      <c r="E1804" t="s">
        <v>51</v>
      </c>
      <c r="F1804" s="86">
        <v>44055</v>
      </c>
      <c r="G1804" t="s">
        <v>1764</v>
      </c>
      <c r="H1804">
        <v>4</v>
      </c>
      <c r="I1804" t="s">
        <v>27</v>
      </c>
      <c r="J1804" s="86">
        <v>44774</v>
      </c>
      <c r="K1804">
        <v>390.24</v>
      </c>
      <c r="L1804">
        <v>2</v>
      </c>
      <c r="M1804">
        <v>49</v>
      </c>
      <c r="N1804" t="s">
        <v>54</v>
      </c>
      <c r="O1804" t="s">
        <v>31</v>
      </c>
      <c r="P1804" t="s">
        <v>30</v>
      </c>
      <c r="Q1804" t="s">
        <v>32</v>
      </c>
    </row>
    <row r="1805" spans="1:17" x14ac:dyDescent="0.3">
      <c r="A1805" t="s">
        <v>8316</v>
      </c>
      <c r="B1805" t="s">
        <v>8317</v>
      </c>
      <c r="C1805">
        <v>57</v>
      </c>
      <c r="D1805" t="s">
        <v>8318</v>
      </c>
      <c r="E1805" t="s">
        <v>51</v>
      </c>
      <c r="F1805" s="86">
        <v>44903</v>
      </c>
      <c r="G1805" t="s">
        <v>4848</v>
      </c>
      <c r="H1805">
        <v>1</v>
      </c>
      <c r="I1805" t="s">
        <v>27</v>
      </c>
      <c r="J1805" t="s">
        <v>3785</v>
      </c>
      <c r="K1805">
        <v>295.37</v>
      </c>
      <c r="L1805">
        <v>6</v>
      </c>
      <c r="M1805">
        <v>27</v>
      </c>
      <c r="N1805" t="s">
        <v>30</v>
      </c>
      <c r="O1805" t="s">
        <v>354</v>
      </c>
      <c r="P1805" t="s">
        <v>45</v>
      </c>
      <c r="Q1805" t="s">
        <v>69</v>
      </c>
    </row>
    <row r="1806" spans="1:17" x14ac:dyDescent="0.3">
      <c r="A1806" t="s">
        <v>8320</v>
      </c>
      <c r="B1806" t="s">
        <v>8321</v>
      </c>
      <c r="C1806">
        <v>40</v>
      </c>
      <c r="D1806" t="s">
        <v>8322</v>
      </c>
      <c r="E1806" t="s">
        <v>88</v>
      </c>
      <c r="F1806" s="86">
        <v>44777</v>
      </c>
      <c r="G1806" s="86">
        <v>45962</v>
      </c>
      <c r="H1806">
        <v>5</v>
      </c>
      <c r="I1806" t="s">
        <v>52</v>
      </c>
      <c r="J1806" t="s">
        <v>161</v>
      </c>
      <c r="K1806">
        <v>855.07</v>
      </c>
      <c r="L1806">
        <v>2</v>
      </c>
      <c r="M1806">
        <v>2</v>
      </c>
      <c r="N1806" t="s">
        <v>30</v>
      </c>
      <c r="O1806" t="s">
        <v>610</v>
      </c>
      <c r="P1806" t="s">
        <v>68</v>
      </c>
      <c r="Q1806" t="s">
        <v>69</v>
      </c>
    </row>
    <row r="1807" spans="1:17" x14ac:dyDescent="0.3">
      <c r="A1807" t="s">
        <v>8324</v>
      </c>
      <c r="B1807" t="s">
        <v>8325</v>
      </c>
      <c r="C1807">
        <v>55</v>
      </c>
      <c r="D1807" t="s">
        <v>8326</v>
      </c>
      <c r="E1807" t="s">
        <v>25</v>
      </c>
      <c r="F1807" t="s">
        <v>1273</v>
      </c>
      <c r="G1807" t="s">
        <v>2061</v>
      </c>
      <c r="H1807">
        <v>0</v>
      </c>
      <c r="I1807" t="s">
        <v>27</v>
      </c>
      <c r="J1807" s="86">
        <v>44993</v>
      </c>
      <c r="K1807">
        <v>1595.97</v>
      </c>
      <c r="L1807">
        <v>1</v>
      </c>
      <c r="M1807">
        <v>9</v>
      </c>
      <c r="N1807" t="s">
        <v>54</v>
      </c>
      <c r="O1807" t="s">
        <v>223</v>
      </c>
      <c r="P1807" t="s">
        <v>56</v>
      </c>
      <c r="Q1807" t="s">
        <v>32</v>
      </c>
    </row>
    <row r="1808" spans="1:17" x14ac:dyDescent="0.3">
      <c r="A1808" t="s">
        <v>8328</v>
      </c>
      <c r="B1808" t="s">
        <v>8329</v>
      </c>
      <c r="C1808">
        <v>66</v>
      </c>
      <c r="D1808" t="s">
        <v>8330</v>
      </c>
      <c r="E1808" t="s">
        <v>95</v>
      </c>
      <c r="F1808" t="s">
        <v>8331</v>
      </c>
      <c r="G1808" s="86">
        <v>44988</v>
      </c>
      <c r="H1808">
        <v>5</v>
      </c>
      <c r="I1808" t="s">
        <v>52</v>
      </c>
      <c r="J1808" t="s">
        <v>5706</v>
      </c>
      <c r="K1808">
        <v>139.58000000000001</v>
      </c>
      <c r="L1808">
        <v>3</v>
      </c>
      <c r="M1808">
        <v>17</v>
      </c>
      <c r="N1808" t="s">
        <v>45</v>
      </c>
      <c r="O1808" t="s">
        <v>116</v>
      </c>
      <c r="P1808" t="s">
        <v>54</v>
      </c>
      <c r="Q1808" t="s">
        <v>32</v>
      </c>
    </row>
    <row r="1809" spans="1:17" x14ac:dyDescent="0.3">
      <c r="A1809" t="s">
        <v>8332</v>
      </c>
      <c r="B1809" t="s">
        <v>8333</v>
      </c>
      <c r="C1809">
        <v>44</v>
      </c>
      <c r="D1809" t="s">
        <v>8334</v>
      </c>
      <c r="E1809" t="s">
        <v>51</v>
      </c>
      <c r="F1809" s="86">
        <v>44903</v>
      </c>
      <c r="G1809" s="86">
        <v>45933</v>
      </c>
      <c r="H1809">
        <v>5</v>
      </c>
      <c r="I1809" t="s">
        <v>27</v>
      </c>
      <c r="J1809" t="s">
        <v>2347</v>
      </c>
      <c r="K1809">
        <v>493.19</v>
      </c>
      <c r="L1809">
        <v>4</v>
      </c>
      <c r="M1809">
        <v>7</v>
      </c>
      <c r="N1809" t="s">
        <v>56</v>
      </c>
      <c r="O1809" t="s">
        <v>116</v>
      </c>
      <c r="P1809" t="s">
        <v>54</v>
      </c>
      <c r="Q1809" t="s">
        <v>32</v>
      </c>
    </row>
    <row r="1810" spans="1:17" x14ac:dyDescent="0.3">
      <c r="A1810" t="s">
        <v>8336</v>
      </c>
      <c r="B1810" t="s">
        <v>8337</v>
      </c>
      <c r="C1810">
        <v>25</v>
      </c>
      <c r="D1810" t="s">
        <v>8338</v>
      </c>
      <c r="E1810" t="s">
        <v>95</v>
      </c>
      <c r="F1810" s="86">
        <v>43991</v>
      </c>
      <c r="G1810" s="86">
        <v>44938</v>
      </c>
      <c r="H1810">
        <v>4</v>
      </c>
      <c r="I1810" t="s">
        <v>27</v>
      </c>
      <c r="J1810" s="86">
        <v>45354</v>
      </c>
      <c r="K1810">
        <v>3.87</v>
      </c>
      <c r="L1810">
        <v>9</v>
      </c>
      <c r="M1810">
        <v>3</v>
      </c>
      <c r="N1810" t="s">
        <v>68</v>
      </c>
      <c r="O1810" t="s">
        <v>142</v>
      </c>
      <c r="P1810" t="s">
        <v>68</v>
      </c>
      <c r="Q1810" t="s">
        <v>32</v>
      </c>
    </row>
    <row r="1811" spans="1:17" x14ac:dyDescent="0.3">
      <c r="A1811" t="s">
        <v>8340</v>
      </c>
      <c r="B1811" t="s">
        <v>8341</v>
      </c>
      <c r="C1811">
        <v>53</v>
      </c>
      <c r="D1811" t="s">
        <v>8342</v>
      </c>
      <c r="E1811" t="s">
        <v>40</v>
      </c>
      <c r="F1811" t="s">
        <v>2019</v>
      </c>
      <c r="G1811" t="s">
        <v>5327</v>
      </c>
      <c r="H1811">
        <v>3</v>
      </c>
      <c r="I1811" t="s">
        <v>27</v>
      </c>
      <c r="J1811" t="s">
        <v>659</v>
      </c>
      <c r="K1811">
        <v>646.02</v>
      </c>
      <c r="L1811">
        <v>3</v>
      </c>
      <c r="M1811">
        <v>46</v>
      </c>
      <c r="N1811" t="s">
        <v>54</v>
      </c>
      <c r="O1811" t="s">
        <v>157</v>
      </c>
      <c r="P1811" t="s">
        <v>68</v>
      </c>
      <c r="Q1811" t="s">
        <v>32</v>
      </c>
    </row>
    <row r="1812" spans="1:17" x14ac:dyDescent="0.3">
      <c r="A1812" t="s">
        <v>8344</v>
      </c>
      <c r="B1812" t="s">
        <v>8345</v>
      </c>
      <c r="C1812">
        <v>65</v>
      </c>
      <c r="D1812" t="s">
        <v>8346</v>
      </c>
      <c r="E1812" t="s">
        <v>51</v>
      </c>
      <c r="F1812" s="86">
        <v>44502</v>
      </c>
      <c r="G1812" t="s">
        <v>791</v>
      </c>
      <c r="H1812">
        <v>1</v>
      </c>
      <c r="I1812" t="s">
        <v>52</v>
      </c>
      <c r="J1812" t="s">
        <v>358</v>
      </c>
      <c r="K1812">
        <v>331.29</v>
      </c>
      <c r="L1812">
        <v>6</v>
      </c>
      <c r="M1812">
        <v>20</v>
      </c>
      <c r="N1812" t="s">
        <v>45</v>
      </c>
      <c r="O1812" t="s">
        <v>536</v>
      </c>
      <c r="P1812" t="s">
        <v>68</v>
      </c>
      <c r="Q1812" t="s">
        <v>32</v>
      </c>
    </row>
    <row r="1813" spans="1:17" x14ac:dyDescent="0.3">
      <c r="A1813" t="s">
        <v>8348</v>
      </c>
      <c r="B1813" t="s">
        <v>8349</v>
      </c>
      <c r="C1813">
        <v>44</v>
      </c>
      <c r="D1813" t="s">
        <v>8350</v>
      </c>
      <c r="E1813" t="s">
        <v>88</v>
      </c>
      <c r="F1813" t="s">
        <v>2795</v>
      </c>
      <c r="G1813" s="86">
        <v>45387</v>
      </c>
      <c r="H1813">
        <v>3</v>
      </c>
      <c r="I1813" t="s">
        <v>27</v>
      </c>
      <c r="J1813" t="s">
        <v>4221</v>
      </c>
      <c r="K1813">
        <v>95.93</v>
      </c>
      <c r="L1813">
        <v>5</v>
      </c>
      <c r="M1813">
        <v>17</v>
      </c>
      <c r="N1813" t="s">
        <v>56</v>
      </c>
      <c r="O1813" t="s">
        <v>211</v>
      </c>
      <c r="P1813" t="s">
        <v>68</v>
      </c>
      <c r="Q1813" t="s">
        <v>69</v>
      </c>
    </row>
    <row r="1814" spans="1:17" x14ac:dyDescent="0.3">
      <c r="A1814" t="s">
        <v>8352</v>
      </c>
      <c r="B1814" t="s">
        <v>8353</v>
      </c>
      <c r="C1814">
        <v>24</v>
      </c>
      <c r="D1814" t="s">
        <v>8354</v>
      </c>
      <c r="E1814" t="s">
        <v>25</v>
      </c>
      <c r="F1814" s="86">
        <v>44256</v>
      </c>
      <c r="G1814" s="86">
        <v>44349</v>
      </c>
      <c r="H1814">
        <v>5</v>
      </c>
      <c r="I1814" t="s">
        <v>52</v>
      </c>
      <c r="J1814" s="86">
        <v>45845</v>
      </c>
      <c r="K1814">
        <v>243.85</v>
      </c>
      <c r="L1814">
        <v>7</v>
      </c>
      <c r="M1814">
        <v>5</v>
      </c>
      <c r="N1814" t="s">
        <v>54</v>
      </c>
      <c r="O1814" t="s">
        <v>251</v>
      </c>
      <c r="P1814" t="s">
        <v>30</v>
      </c>
      <c r="Q1814" t="s">
        <v>32</v>
      </c>
    </row>
    <row r="1815" spans="1:17" x14ac:dyDescent="0.3">
      <c r="A1815" t="s">
        <v>8356</v>
      </c>
      <c r="B1815" t="s">
        <v>8357</v>
      </c>
      <c r="C1815">
        <v>69</v>
      </c>
      <c r="D1815" t="s">
        <v>8358</v>
      </c>
      <c r="E1815" t="s">
        <v>95</v>
      </c>
      <c r="F1815" s="86">
        <v>44533</v>
      </c>
      <c r="G1815" s="86">
        <v>44963</v>
      </c>
      <c r="H1815">
        <v>0</v>
      </c>
      <c r="I1815" t="s">
        <v>27</v>
      </c>
      <c r="J1815" s="86">
        <v>45785</v>
      </c>
      <c r="K1815">
        <v>57.06</v>
      </c>
      <c r="L1815">
        <v>9</v>
      </c>
      <c r="M1815">
        <v>36</v>
      </c>
      <c r="N1815" t="s">
        <v>68</v>
      </c>
      <c r="O1815" t="s">
        <v>354</v>
      </c>
      <c r="P1815" t="s">
        <v>45</v>
      </c>
      <c r="Q1815" t="s">
        <v>322</v>
      </c>
    </row>
    <row r="1816" spans="1:17" x14ac:dyDescent="0.3">
      <c r="A1816" t="s">
        <v>8359</v>
      </c>
      <c r="B1816" t="s">
        <v>8360</v>
      </c>
      <c r="C1816">
        <v>56</v>
      </c>
      <c r="D1816" t="s">
        <v>8361</v>
      </c>
      <c r="E1816" t="s">
        <v>61</v>
      </c>
      <c r="F1816" s="86">
        <v>44380</v>
      </c>
      <c r="G1816" t="s">
        <v>166</v>
      </c>
      <c r="H1816">
        <v>3</v>
      </c>
      <c r="I1816" t="s">
        <v>27</v>
      </c>
      <c r="J1816" t="s">
        <v>6757</v>
      </c>
      <c r="K1816">
        <v>248.2</v>
      </c>
      <c r="L1816">
        <v>5</v>
      </c>
      <c r="M1816">
        <v>49</v>
      </c>
      <c r="N1816" t="s">
        <v>68</v>
      </c>
      <c r="O1816" t="s">
        <v>231</v>
      </c>
      <c r="P1816" t="s">
        <v>30</v>
      </c>
      <c r="Q1816" t="s">
        <v>32</v>
      </c>
    </row>
    <row r="1817" spans="1:17" x14ac:dyDescent="0.3">
      <c r="A1817" t="s">
        <v>8363</v>
      </c>
      <c r="B1817" t="s">
        <v>8364</v>
      </c>
      <c r="C1817">
        <v>54</v>
      </c>
      <c r="D1817" t="s">
        <v>8365</v>
      </c>
      <c r="E1817" t="s">
        <v>61</v>
      </c>
      <c r="F1817" s="86">
        <v>44509</v>
      </c>
      <c r="G1817" t="s">
        <v>1685</v>
      </c>
      <c r="H1817">
        <v>2</v>
      </c>
      <c r="I1817" t="s">
        <v>27</v>
      </c>
      <c r="J1817" t="s">
        <v>96</v>
      </c>
      <c r="K1817">
        <v>40.29</v>
      </c>
      <c r="L1817">
        <v>8</v>
      </c>
      <c r="M1817">
        <v>27</v>
      </c>
      <c r="N1817" t="s">
        <v>30</v>
      </c>
      <c r="O1817" t="s">
        <v>231</v>
      </c>
      <c r="P1817" t="s">
        <v>30</v>
      </c>
      <c r="Q1817" t="s">
        <v>32</v>
      </c>
    </row>
    <row r="1818" spans="1:17" x14ac:dyDescent="0.3">
      <c r="A1818" t="s">
        <v>8367</v>
      </c>
      <c r="B1818" t="s">
        <v>8368</v>
      </c>
      <c r="C1818">
        <v>37</v>
      </c>
      <c r="D1818" t="s">
        <v>8369</v>
      </c>
      <c r="E1818" t="s">
        <v>25</v>
      </c>
      <c r="F1818" s="86">
        <v>44264</v>
      </c>
      <c r="G1818" t="s">
        <v>4466</v>
      </c>
      <c r="H1818">
        <v>2</v>
      </c>
      <c r="I1818" t="s">
        <v>27</v>
      </c>
      <c r="J1818" s="86">
        <v>44867</v>
      </c>
      <c r="K1818">
        <v>294.37</v>
      </c>
      <c r="L1818">
        <v>5</v>
      </c>
      <c r="M1818">
        <v>30</v>
      </c>
      <c r="N1818" t="s">
        <v>68</v>
      </c>
      <c r="O1818" t="s">
        <v>354</v>
      </c>
      <c r="P1818" t="s">
        <v>45</v>
      </c>
      <c r="Q1818" t="s">
        <v>69</v>
      </c>
    </row>
    <row r="1819" spans="1:17" x14ac:dyDescent="0.3">
      <c r="A1819" t="s">
        <v>8371</v>
      </c>
      <c r="B1819" t="s">
        <v>8372</v>
      </c>
      <c r="C1819">
        <v>58</v>
      </c>
      <c r="D1819" t="s">
        <v>8373</v>
      </c>
      <c r="E1819" t="s">
        <v>95</v>
      </c>
      <c r="F1819" t="s">
        <v>1955</v>
      </c>
      <c r="G1819" t="s">
        <v>2066</v>
      </c>
      <c r="H1819">
        <v>0</v>
      </c>
      <c r="I1819" t="s">
        <v>27</v>
      </c>
      <c r="J1819" t="s">
        <v>2010</v>
      </c>
      <c r="K1819">
        <v>103.64</v>
      </c>
      <c r="L1819">
        <v>9</v>
      </c>
      <c r="M1819">
        <v>1</v>
      </c>
      <c r="N1819" t="s">
        <v>30</v>
      </c>
      <c r="O1819" t="s">
        <v>418</v>
      </c>
      <c r="P1819" t="s">
        <v>56</v>
      </c>
      <c r="Q1819" t="s">
        <v>69</v>
      </c>
    </row>
    <row r="1820" spans="1:17" x14ac:dyDescent="0.3">
      <c r="A1820" t="s">
        <v>8374</v>
      </c>
      <c r="B1820" t="s">
        <v>8375</v>
      </c>
      <c r="C1820">
        <v>28</v>
      </c>
      <c r="D1820" t="s">
        <v>8376</v>
      </c>
      <c r="E1820" t="s">
        <v>88</v>
      </c>
      <c r="F1820" t="s">
        <v>4533</v>
      </c>
      <c r="G1820" s="86">
        <v>44564</v>
      </c>
      <c r="H1820">
        <v>2</v>
      </c>
      <c r="I1820" t="s">
        <v>27</v>
      </c>
      <c r="J1820" t="s">
        <v>513</v>
      </c>
      <c r="K1820">
        <v>452</v>
      </c>
      <c r="L1820">
        <v>4</v>
      </c>
      <c r="M1820">
        <v>20</v>
      </c>
      <c r="N1820" t="s">
        <v>54</v>
      </c>
      <c r="O1820" t="s">
        <v>354</v>
      </c>
      <c r="P1820" t="s">
        <v>45</v>
      </c>
      <c r="Q1820" t="s">
        <v>69</v>
      </c>
    </row>
    <row r="1821" spans="1:17" x14ac:dyDescent="0.3">
      <c r="A1821" t="s">
        <v>8378</v>
      </c>
      <c r="B1821" t="s">
        <v>8379</v>
      </c>
      <c r="C1821">
        <v>18</v>
      </c>
      <c r="D1821" t="s">
        <v>8380</v>
      </c>
      <c r="E1821" t="s">
        <v>95</v>
      </c>
      <c r="F1821" t="s">
        <v>3626</v>
      </c>
      <c r="G1821" t="s">
        <v>791</v>
      </c>
      <c r="H1821">
        <v>5</v>
      </c>
      <c r="I1821" t="s">
        <v>27</v>
      </c>
      <c r="J1821" t="s">
        <v>1375</v>
      </c>
      <c r="K1821">
        <v>899.63</v>
      </c>
      <c r="L1821">
        <v>1</v>
      </c>
      <c r="M1821">
        <v>10</v>
      </c>
      <c r="N1821" t="s">
        <v>54</v>
      </c>
      <c r="O1821" t="s">
        <v>44</v>
      </c>
      <c r="P1821" t="s">
        <v>45</v>
      </c>
      <c r="Q1821" t="s">
        <v>32</v>
      </c>
    </row>
    <row r="1822" spans="1:17" x14ac:dyDescent="0.3">
      <c r="A1822" t="s">
        <v>8382</v>
      </c>
      <c r="B1822" t="s">
        <v>8383</v>
      </c>
      <c r="C1822">
        <v>26</v>
      </c>
      <c r="D1822" t="s">
        <v>8384</v>
      </c>
      <c r="E1822" t="s">
        <v>40</v>
      </c>
      <c r="F1822" s="86">
        <v>44473</v>
      </c>
      <c r="G1822" t="s">
        <v>4812</v>
      </c>
      <c r="H1822">
        <v>2</v>
      </c>
      <c r="I1822" t="s">
        <v>27</v>
      </c>
      <c r="J1822" s="86">
        <v>45356</v>
      </c>
      <c r="K1822">
        <v>219.62</v>
      </c>
      <c r="L1822">
        <v>9</v>
      </c>
      <c r="M1822">
        <v>21</v>
      </c>
      <c r="N1822" t="s">
        <v>45</v>
      </c>
      <c r="O1822" t="s">
        <v>116</v>
      </c>
      <c r="P1822" t="s">
        <v>54</v>
      </c>
      <c r="Q1822" t="s">
        <v>32</v>
      </c>
    </row>
    <row r="1823" spans="1:17" x14ac:dyDescent="0.3">
      <c r="A1823" t="s">
        <v>8386</v>
      </c>
      <c r="B1823" t="s">
        <v>8387</v>
      </c>
      <c r="C1823">
        <v>21</v>
      </c>
      <c r="D1823" t="s">
        <v>8388</v>
      </c>
      <c r="E1823" t="s">
        <v>40</v>
      </c>
      <c r="F1823" t="s">
        <v>6989</v>
      </c>
      <c r="G1823" t="s">
        <v>772</v>
      </c>
      <c r="H1823">
        <v>2</v>
      </c>
      <c r="I1823" t="s">
        <v>27</v>
      </c>
      <c r="J1823" t="s">
        <v>4243</v>
      </c>
      <c r="K1823">
        <v>183.35</v>
      </c>
      <c r="L1823">
        <v>9</v>
      </c>
      <c r="M1823">
        <v>13</v>
      </c>
      <c r="N1823" t="s">
        <v>68</v>
      </c>
      <c r="O1823" t="s">
        <v>67</v>
      </c>
      <c r="P1823" t="s">
        <v>68</v>
      </c>
      <c r="Q1823" t="s">
        <v>69</v>
      </c>
    </row>
    <row r="1824" spans="1:17" x14ac:dyDescent="0.3">
      <c r="A1824" t="s">
        <v>8390</v>
      </c>
      <c r="B1824" t="s">
        <v>8391</v>
      </c>
      <c r="C1824">
        <v>28</v>
      </c>
      <c r="D1824" t="s">
        <v>8392</v>
      </c>
      <c r="E1824" t="s">
        <v>40</v>
      </c>
      <c r="F1824" s="86">
        <v>44906</v>
      </c>
      <c r="G1824" t="s">
        <v>2072</v>
      </c>
      <c r="H1824">
        <v>5</v>
      </c>
      <c r="I1824" t="s">
        <v>27</v>
      </c>
      <c r="J1824" t="s">
        <v>2690</v>
      </c>
      <c r="K1824">
        <v>634.36</v>
      </c>
      <c r="L1824">
        <v>3</v>
      </c>
      <c r="M1824">
        <v>21</v>
      </c>
      <c r="N1824" t="s">
        <v>30</v>
      </c>
      <c r="O1824" t="s">
        <v>855</v>
      </c>
      <c r="P1824" t="s">
        <v>45</v>
      </c>
      <c r="Q1824" t="s">
        <v>32</v>
      </c>
    </row>
    <row r="1825" spans="1:17" x14ac:dyDescent="0.3">
      <c r="A1825" t="s">
        <v>8394</v>
      </c>
      <c r="B1825" t="s">
        <v>8395</v>
      </c>
      <c r="C1825">
        <v>20</v>
      </c>
      <c r="D1825" t="s">
        <v>8396</v>
      </c>
      <c r="E1825" t="s">
        <v>51</v>
      </c>
      <c r="F1825" t="s">
        <v>146</v>
      </c>
      <c r="G1825" t="s">
        <v>3200</v>
      </c>
      <c r="H1825">
        <v>0</v>
      </c>
      <c r="I1825" t="s">
        <v>27</v>
      </c>
      <c r="J1825" t="s">
        <v>1011</v>
      </c>
      <c r="K1825">
        <v>90.04</v>
      </c>
      <c r="L1825">
        <v>8</v>
      </c>
      <c r="M1825">
        <v>47</v>
      </c>
      <c r="N1825" t="s">
        <v>56</v>
      </c>
      <c r="O1825" t="s">
        <v>77</v>
      </c>
      <c r="P1825" t="s">
        <v>54</v>
      </c>
      <c r="Q1825" t="s">
        <v>32</v>
      </c>
    </row>
    <row r="1826" spans="1:17" x14ac:dyDescent="0.3">
      <c r="A1826" t="s">
        <v>8398</v>
      </c>
      <c r="B1826" t="s">
        <v>8399</v>
      </c>
      <c r="C1826">
        <v>53</v>
      </c>
      <c r="D1826" t="s">
        <v>8400</v>
      </c>
      <c r="E1826" t="s">
        <v>51</v>
      </c>
      <c r="F1826" t="s">
        <v>2044</v>
      </c>
      <c r="G1826" s="86">
        <v>44936</v>
      </c>
      <c r="H1826">
        <v>0</v>
      </c>
      <c r="I1826" t="s">
        <v>27</v>
      </c>
      <c r="J1826" t="s">
        <v>2625</v>
      </c>
      <c r="K1826">
        <v>132.41999999999999</v>
      </c>
      <c r="L1826">
        <v>3</v>
      </c>
      <c r="M1826">
        <v>1</v>
      </c>
      <c r="N1826" t="s">
        <v>68</v>
      </c>
      <c r="O1826" t="s">
        <v>122</v>
      </c>
      <c r="P1826" t="s">
        <v>30</v>
      </c>
      <c r="Q1826" t="s">
        <v>322</v>
      </c>
    </row>
    <row r="1827" spans="1:17" x14ac:dyDescent="0.3">
      <c r="A1827" t="s">
        <v>8401</v>
      </c>
      <c r="B1827" t="s">
        <v>8402</v>
      </c>
      <c r="C1827">
        <v>39</v>
      </c>
      <c r="D1827" t="s">
        <v>8403</v>
      </c>
      <c r="E1827" t="s">
        <v>40</v>
      </c>
      <c r="F1827" t="s">
        <v>2281</v>
      </c>
      <c r="G1827" s="86">
        <v>45755</v>
      </c>
      <c r="H1827">
        <v>1</v>
      </c>
      <c r="I1827" t="s">
        <v>64</v>
      </c>
      <c r="J1827" t="s">
        <v>1889</v>
      </c>
      <c r="K1827">
        <v>369.9</v>
      </c>
      <c r="L1827">
        <v>2</v>
      </c>
      <c r="M1827">
        <v>48</v>
      </c>
      <c r="N1827" t="s">
        <v>54</v>
      </c>
      <c r="O1827" t="s">
        <v>821</v>
      </c>
      <c r="P1827" t="s">
        <v>68</v>
      </c>
      <c r="Q1827" t="s">
        <v>69</v>
      </c>
    </row>
    <row r="1828" spans="1:17" x14ac:dyDescent="0.3">
      <c r="A1828" t="s">
        <v>8405</v>
      </c>
      <c r="B1828" t="s">
        <v>8406</v>
      </c>
      <c r="C1828">
        <v>45</v>
      </c>
      <c r="D1828" t="s">
        <v>8407</v>
      </c>
      <c r="E1828" t="s">
        <v>51</v>
      </c>
      <c r="F1828" t="s">
        <v>1780</v>
      </c>
      <c r="G1828" s="86">
        <v>44562</v>
      </c>
      <c r="H1828">
        <v>2</v>
      </c>
      <c r="I1828" t="s">
        <v>52</v>
      </c>
      <c r="J1828" s="86">
        <v>44475</v>
      </c>
      <c r="K1828">
        <v>193.98</v>
      </c>
      <c r="L1828">
        <v>6</v>
      </c>
      <c r="M1828">
        <v>43</v>
      </c>
      <c r="N1828" t="s">
        <v>45</v>
      </c>
      <c r="O1828" t="s">
        <v>31</v>
      </c>
      <c r="P1828" t="s">
        <v>30</v>
      </c>
      <c r="Q1828" t="s">
        <v>69</v>
      </c>
    </row>
    <row r="1829" spans="1:17" x14ac:dyDescent="0.3">
      <c r="A1829" t="s">
        <v>8409</v>
      </c>
      <c r="B1829" t="s">
        <v>8410</v>
      </c>
      <c r="C1829">
        <v>61</v>
      </c>
      <c r="D1829" t="s">
        <v>8411</v>
      </c>
      <c r="E1829" t="s">
        <v>88</v>
      </c>
      <c r="F1829" t="s">
        <v>1148</v>
      </c>
      <c r="G1829" s="86">
        <v>45809</v>
      </c>
      <c r="H1829">
        <v>4</v>
      </c>
      <c r="I1829" t="s">
        <v>27</v>
      </c>
      <c r="J1829" t="s">
        <v>5753</v>
      </c>
      <c r="K1829">
        <v>213.98</v>
      </c>
      <c r="L1829">
        <v>3</v>
      </c>
      <c r="M1829">
        <v>27</v>
      </c>
      <c r="N1829" t="s">
        <v>45</v>
      </c>
      <c r="O1829" t="s">
        <v>175</v>
      </c>
      <c r="P1829" t="s">
        <v>56</v>
      </c>
      <c r="Q1829" t="s">
        <v>32</v>
      </c>
    </row>
    <row r="1830" spans="1:17" x14ac:dyDescent="0.3">
      <c r="A1830" t="s">
        <v>8413</v>
      </c>
      <c r="B1830" t="s">
        <v>8414</v>
      </c>
      <c r="C1830">
        <v>51</v>
      </c>
      <c r="D1830" t="s">
        <v>8415</v>
      </c>
      <c r="E1830" t="s">
        <v>25</v>
      </c>
      <c r="F1830" t="s">
        <v>242</v>
      </c>
      <c r="G1830" t="s">
        <v>2810</v>
      </c>
      <c r="H1830">
        <v>5</v>
      </c>
      <c r="I1830" t="s">
        <v>52</v>
      </c>
      <c r="J1830" t="s">
        <v>2679</v>
      </c>
      <c r="K1830">
        <v>139.19999999999999</v>
      </c>
      <c r="L1830">
        <v>9</v>
      </c>
      <c r="M1830">
        <v>48</v>
      </c>
      <c r="N1830" t="s">
        <v>45</v>
      </c>
      <c r="O1830" t="s">
        <v>99</v>
      </c>
      <c r="P1830" t="s">
        <v>56</v>
      </c>
      <c r="Q1830" t="s">
        <v>32</v>
      </c>
    </row>
    <row r="1831" spans="1:17" x14ac:dyDescent="0.3">
      <c r="A1831" t="s">
        <v>8417</v>
      </c>
      <c r="B1831" t="s">
        <v>8418</v>
      </c>
      <c r="C1831">
        <v>39</v>
      </c>
      <c r="D1831" t="s">
        <v>8419</v>
      </c>
      <c r="E1831" t="s">
        <v>95</v>
      </c>
      <c r="F1831" t="s">
        <v>1216</v>
      </c>
      <c r="G1831" t="s">
        <v>3233</v>
      </c>
      <c r="H1831">
        <v>5</v>
      </c>
      <c r="I1831" t="s">
        <v>52</v>
      </c>
      <c r="J1831" s="86">
        <v>44936</v>
      </c>
      <c r="K1831">
        <v>429.99</v>
      </c>
      <c r="L1831">
        <v>1</v>
      </c>
      <c r="M1831">
        <v>29</v>
      </c>
      <c r="N1831" t="s">
        <v>45</v>
      </c>
      <c r="O1831" t="s">
        <v>77</v>
      </c>
      <c r="P1831" t="s">
        <v>54</v>
      </c>
      <c r="Q1831" t="s">
        <v>32</v>
      </c>
    </row>
    <row r="1832" spans="1:17" x14ac:dyDescent="0.3">
      <c r="A1832" t="s">
        <v>8421</v>
      </c>
      <c r="B1832" t="s">
        <v>8422</v>
      </c>
      <c r="C1832">
        <v>66</v>
      </c>
      <c r="D1832" t="s">
        <v>8423</v>
      </c>
      <c r="E1832" t="s">
        <v>88</v>
      </c>
      <c r="F1832" s="86">
        <v>45203</v>
      </c>
      <c r="G1832" t="s">
        <v>614</v>
      </c>
      <c r="H1832">
        <v>5</v>
      </c>
      <c r="I1832" t="s">
        <v>52</v>
      </c>
      <c r="J1832" t="s">
        <v>2208</v>
      </c>
      <c r="K1832">
        <v>204.48</v>
      </c>
      <c r="L1832">
        <v>6</v>
      </c>
      <c r="M1832">
        <v>10</v>
      </c>
      <c r="N1832" t="s">
        <v>54</v>
      </c>
      <c r="O1832" t="s">
        <v>116</v>
      </c>
      <c r="P1832" t="s">
        <v>54</v>
      </c>
      <c r="Q1832" t="s">
        <v>69</v>
      </c>
    </row>
    <row r="1833" spans="1:17" x14ac:dyDescent="0.3">
      <c r="A1833" t="s">
        <v>8425</v>
      </c>
      <c r="B1833" t="s">
        <v>8426</v>
      </c>
      <c r="C1833">
        <v>62</v>
      </c>
      <c r="D1833" t="s">
        <v>8427</v>
      </c>
      <c r="E1833" t="s">
        <v>88</v>
      </c>
      <c r="F1833" s="86">
        <v>44682</v>
      </c>
      <c r="G1833" s="86">
        <v>45783</v>
      </c>
      <c r="H1833">
        <v>0</v>
      </c>
      <c r="I1833" t="s">
        <v>52</v>
      </c>
      <c r="J1833" t="s">
        <v>4402</v>
      </c>
      <c r="K1833">
        <v>26.95</v>
      </c>
      <c r="L1833">
        <v>5</v>
      </c>
      <c r="M1833">
        <v>33</v>
      </c>
      <c r="N1833" t="s">
        <v>56</v>
      </c>
      <c r="O1833" t="s">
        <v>109</v>
      </c>
      <c r="P1833" t="s">
        <v>68</v>
      </c>
      <c r="Q1833" t="s">
        <v>32</v>
      </c>
    </row>
    <row r="1834" spans="1:17" x14ac:dyDescent="0.3">
      <c r="A1834" t="s">
        <v>8429</v>
      </c>
      <c r="B1834" t="s">
        <v>8430</v>
      </c>
      <c r="C1834">
        <v>53</v>
      </c>
      <c r="D1834" t="s">
        <v>8431</v>
      </c>
      <c r="E1834" t="s">
        <v>25</v>
      </c>
      <c r="F1834" t="s">
        <v>3035</v>
      </c>
      <c r="G1834" t="s">
        <v>883</v>
      </c>
      <c r="H1834">
        <v>1</v>
      </c>
      <c r="I1834" t="s">
        <v>27</v>
      </c>
      <c r="J1834" s="86">
        <v>45815</v>
      </c>
      <c r="K1834">
        <v>22.66</v>
      </c>
      <c r="L1834">
        <v>6</v>
      </c>
      <c r="M1834">
        <v>32</v>
      </c>
      <c r="N1834" t="s">
        <v>30</v>
      </c>
      <c r="O1834" t="s">
        <v>77</v>
      </c>
      <c r="P1834" t="s">
        <v>54</v>
      </c>
      <c r="Q1834" t="s">
        <v>32</v>
      </c>
    </row>
    <row r="1835" spans="1:17" x14ac:dyDescent="0.3">
      <c r="A1835" t="s">
        <v>8433</v>
      </c>
      <c r="B1835" t="s">
        <v>8434</v>
      </c>
      <c r="C1835">
        <v>32</v>
      </c>
      <c r="D1835" t="s">
        <v>8435</v>
      </c>
      <c r="E1835" t="s">
        <v>51</v>
      </c>
      <c r="F1835" s="86">
        <v>45203</v>
      </c>
      <c r="G1835" t="s">
        <v>1105</v>
      </c>
      <c r="H1835">
        <v>2</v>
      </c>
      <c r="I1835" t="s">
        <v>27</v>
      </c>
      <c r="J1835" s="86">
        <v>45724</v>
      </c>
      <c r="K1835">
        <v>150.86000000000001</v>
      </c>
      <c r="L1835">
        <v>9</v>
      </c>
      <c r="M1835">
        <v>48</v>
      </c>
      <c r="N1835" t="s">
        <v>54</v>
      </c>
      <c r="O1835" t="s">
        <v>821</v>
      </c>
      <c r="P1835" t="s">
        <v>68</v>
      </c>
      <c r="Q1835" t="s">
        <v>69</v>
      </c>
    </row>
    <row r="1836" spans="1:17" x14ac:dyDescent="0.3">
      <c r="A1836" t="s">
        <v>8437</v>
      </c>
      <c r="B1836" t="s">
        <v>8438</v>
      </c>
      <c r="C1836">
        <v>38</v>
      </c>
      <c r="D1836" t="s">
        <v>8439</v>
      </c>
      <c r="E1836" t="s">
        <v>61</v>
      </c>
      <c r="F1836" t="s">
        <v>3515</v>
      </c>
      <c r="G1836" s="86">
        <v>45023</v>
      </c>
      <c r="H1836">
        <v>0</v>
      </c>
      <c r="I1836" t="s">
        <v>64</v>
      </c>
      <c r="J1836" s="86">
        <v>45082</v>
      </c>
      <c r="K1836">
        <v>347.74</v>
      </c>
      <c r="L1836">
        <v>3</v>
      </c>
      <c r="M1836">
        <v>29</v>
      </c>
      <c r="N1836" t="s">
        <v>68</v>
      </c>
      <c r="O1836" t="s">
        <v>128</v>
      </c>
      <c r="P1836" t="s">
        <v>54</v>
      </c>
      <c r="Q1836" t="s">
        <v>69</v>
      </c>
    </row>
    <row r="1837" spans="1:17" x14ac:dyDescent="0.3">
      <c r="A1837" t="s">
        <v>8441</v>
      </c>
      <c r="B1837" t="s">
        <v>8442</v>
      </c>
      <c r="C1837">
        <v>38</v>
      </c>
      <c r="D1837" t="s">
        <v>8443</v>
      </c>
      <c r="E1837" t="s">
        <v>51</v>
      </c>
      <c r="F1837" s="86">
        <v>44686</v>
      </c>
      <c r="G1837" t="s">
        <v>1159</v>
      </c>
      <c r="H1837">
        <v>4</v>
      </c>
      <c r="I1837" t="s">
        <v>52</v>
      </c>
      <c r="J1837" s="86">
        <v>45871</v>
      </c>
      <c r="K1837">
        <v>11.42</v>
      </c>
      <c r="L1837">
        <v>9</v>
      </c>
      <c r="M1837">
        <v>34</v>
      </c>
      <c r="N1837" t="s">
        <v>68</v>
      </c>
      <c r="O1837" t="s">
        <v>149</v>
      </c>
      <c r="P1837" t="s">
        <v>30</v>
      </c>
      <c r="Q1837" t="s">
        <v>32</v>
      </c>
    </row>
    <row r="1838" spans="1:17" x14ac:dyDescent="0.3">
      <c r="A1838" t="s">
        <v>8445</v>
      </c>
      <c r="B1838" t="s">
        <v>8446</v>
      </c>
      <c r="C1838">
        <v>64</v>
      </c>
      <c r="D1838" t="s">
        <v>8447</v>
      </c>
      <c r="E1838" t="s">
        <v>88</v>
      </c>
      <c r="F1838" t="s">
        <v>8448</v>
      </c>
      <c r="G1838" t="s">
        <v>1695</v>
      </c>
      <c r="H1838">
        <v>1</v>
      </c>
      <c r="I1838" t="s">
        <v>27</v>
      </c>
      <c r="J1838" t="s">
        <v>4817</v>
      </c>
      <c r="K1838">
        <v>531.15</v>
      </c>
      <c r="L1838">
        <v>3</v>
      </c>
      <c r="M1838">
        <v>26</v>
      </c>
      <c r="N1838" t="s">
        <v>54</v>
      </c>
      <c r="O1838" t="s">
        <v>99</v>
      </c>
      <c r="P1838" t="s">
        <v>56</v>
      </c>
      <c r="Q1838" t="s">
        <v>69</v>
      </c>
    </row>
    <row r="1839" spans="1:17" x14ac:dyDescent="0.3">
      <c r="A1839" t="s">
        <v>8450</v>
      </c>
      <c r="B1839" t="s">
        <v>8451</v>
      </c>
      <c r="C1839">
        <v>33</v>
      </c>
      <c r="D1839" t="s">
        <v>8452</v>
      </c>
      <c r="E1839" t="s">
        <v>61</v>
      </c>
      <c r="F1839" s="86">
        <v>44902</v>
      </c>
      <c r="G1839" s="86">
        <v>44814</v>
      </c>
      <c r="H1839">
        <v>3</v>
      </c>
      <c r="I1839" t="s">
        <v>64</v>
      </c>
      <c r="J1839" t="s">
        <v>3935</v>
      </c>
      <c r="K1839">
        <v>1339</v>
      </c>
      <c r="L1839">
        <v>1</v>
      </c>
      <c r="M1839">
        <v>48</v>
      </c>
      <c r="N1839" t="s">
        <v>56</v>
      </c>
      <c r="O1839" t="s">
        <v>67</v>
      </c>
      <c r="P1839" t="s">
        <v>68</v>
      </c>
      <c r="Q1839" t="s">
        <v>32</v>
      </c>
    </row>
    <row r="1840" spans="1:17" x14ac:dyDescent="0.3">
      <c r="A1840" t="s">
        <v>8454</v>
      </c>
      <c r="B1840" t="s">
        <v>8455</v>
      </c>
      <c r="C1840">
        <v>23</v>
      </c>
      <c r="D1840" t="s">
        <v>8456</v>
      </c>
      <c r="E1840" t="s">
        <v>61</v>
      </c>
      <c r="F1840" s="86">
        <v>44504</v>
      </c>
      <c r="G1840" s="86">
        <v>44597</v>
      </c>
      <c r="H1840">
        <v>0</v>
      </c>
      <c r="I1840" t="s">
        <v>27</v>
      </c>
      <c r="J1840" t="s">
        <v>1075</v>
      </c>
      <c r="K1840">
        <v>809.03</v>
      </c>
      <c r="L1840">
        <v>1</v>
      </c>
      <c r="M1840">
        <v>42</v>
      </c>
      <c r="N1840" t="s">
        <v>45</v>
      </c>
      <c r="O1840" t="s">
        <v>373</v>
      </c>
      <c r="P1840" t="s">
        <v>54</v>
      </c>
      <c r="Q1840" t="s">
        <v>69</v>
      </c>
    </row>
    <row r="1841" spans="1:17" x14ac:dyDescent="0.3">
      <c r="A1841" t="s">
        <v>8458</v>
      </c>
      <c r="B1841" t="s">
        <v>8459</v>
      </c>
      <c r="C1841">
        <v>45</v>
      </c>
      <c r="D1841" t="s">
        <v>8460</v>
      </c>
      <c r="E1841" t="s">
        <v>40</v>
      </c>
      <c r="F1841" s="86">
        <v>45017</v>
      </c>
      <c r="G1841" t="s">
        <v>382</v>
      </c>
      <c r="H1841">
        <v>1</v>
      </c>
      <c r="I1841" t="s">
        <v>52</v>
      </c>
      <c r="J1841" t="s">
        <v>2441</v>
      </c>
      <c r="K1841">
        <v>423.72</v>
      </c>
      <c r="L1841">
        <v>3</v>
      </c>
      <c r="M1841">
        <v>43</v>
      </c>
      <c r="N1841" t="s">
        <v>54</v>
      </c>
      <c r="O1841" t="s">
        <v>55</v>
      </c>
      <c r="P1841" t="s">
        <v>56</v>
      </c>
      <c r="Q1841" t="s">
        <v>69</v>
      </c>
    </row>
    <row r="1842" spans="1:17" x14ac:dyDescent="0.3">
      <c r="A1842" t="s">
        <v>8462</v>
      </c>
      <c r="B1842" t="s">
        <v>8463</v>
      </c>
      <c r="C1842">
        <v>31</v>
      </c>
      <c r="D1842" t="s">
        <v>8464</v>
      </c>
      <c r="E1842" t="s">
        <v>40</v>
      </c>
      <c r="F1842" t="s">
        <v>3749</v>
      </c>
      <c r="G1842" t="s">
        <v>1775</v>
      </c>
      <c r="H1842">
        <v>3</v>
      </c>
      <c r="I1842" t="s">
        <v>52</v>
      </c>
      <c r="J1842" s="86">
        <v>44968</v>
      </c>
      <c r="K1842">
        <v>72.44</v>
      </c>
      <c r="L1842">
        <v>7</v>
      </c>
      <c r="M1842">
        <v>33</v>
      </c>
      <c r="N1842" t="s">
        <v>68</v>
      </c>
      <c r="O1842" t="s">
        <v>366</v>
      </c>
      <c r="P1842" t="s">
        <v>54</v>
      </c>
      <c r="Q1842" t="s">
        <v>69</v>
      </c>
    </row>
    <row r="1843" spans="1:17" x14ac:dyDescent="0.3">
      <c r="A1843" t="s">
        <v>8466</v>
      </c>
      <c r="B1843" t="s">
        <v>8467</v>
      </c>
      <c r="C1843">
        <v>58</v>
      </c>
      <c r="D1843" t="s">
        <v>8468</v>
      </c>
      <c r="E1843" t="s">
        <v>40</v>
      </c>
      <c r="F1843" s="86">
        <v>44744</v>
      </c>
      <c r="G1843" s="86">
        <v>44897</v>
      </c>
      <c r="H1843">
        <v>2</v>
      </c>
      <c r="I1843" t="s">
        <v>64</v>
      </c>
      <c r="J1843" t="s">
        <v>4456</v>
      </c>
      <c r="K1843">
        <v>156.44</v>
      </c>
      <c r="L1843">
        <v>4</v>
      </c>
      <c r="M1843">
        <v>36</v>
      </c>
      <c r="N1843" t="s">
        <v>56</v>
      </c>
      <c r="O1843" t="s">
        <v>366</v>
      </c>
      <c r="P1843" t="s">
        <v>54</v>
      </c>
      <c r="Q1843" t="s">
        <v>32</v>
      </c>
    </row>
    <row r="1844" spans="1:17" x14ac:dyDescent="0.3">
      <c r="A1844" t="s">
        <v>8470</v>
      </c>
      <c r="B1844" t="s">
        <v>8471</v>
      </c>
      <c r="C1844">
        <v>34</v>
      </c>
      <c r="D1844" t="s">
        <v>8472</v>
      </c>
      <c r="E1844" t="s">
        <v>25</v>
      </c>
      <c r="F1844" s="86">
        <v>44203</v>
      </c>
      <c r="G1844" t="s">
        <v>2066</v>
      </c>
      <c r="H1844">
        <v>3</v>
      </c>
      <c r="I1844" t="s">
        <v>27</v>
      </c>
      <c r="J1844" t="s">
        <v>1988</v>
      </c>
      <c r="K1844">
        <v>158.08000000000001</v>
      </c>
      <c r="L1844">
        <v>6</v>
      </c>
      <c r="M1844">
        <v>7</v>
      </c>
      <c r="N1844" t="s">
        <v>68</v>
      </c>
      <c r="O1844" t="s">
        <v>418</v>
      </c>
      <c r="P1844" t="s">
        <v>56</v>
      </c>
      <c r="Q1844" t="s">
        <v>69</v>
      </c>
    </row>
    <row r="1845" spans="1:17" x14ac:dyDescent="0.3">
      <c r="A1845" t="s">
        <v>8474</v>
      </c>
      <c r="B1845" t="s">
        <v>8475</v>
      </c>
      <c r="C1845">
        <v>26</v>
      </c>
      <c r="D1845" t="s">
        <v>8476</v>
      </c>
      <c r="E1845" t="s">
        <v>51</v>
      </c>
      <c r="F1845" t="s">
        <v>215</v>
      </c>
      <c r="G1845" t="s">
        <v>4726</v>
      </c>
      <c r="H1845">
        <v>2</v>
      </c>
      <c r="I1845" t="s">
        <v>27</v>
      </c>
      <c r="J1845" s="86">
        <v>45272</v>
      </c>
      <c r="K1845">
        <v>644.69000000000005</v>
      </c>
      <c r="L1845">
        <v>1</v>
      </c>
      <c r="M1845">
        <v>46</v>
      </c>
      <c r="N1845" t="s">
        <v>68</v>
      </c>
      <c r="O1845" t="s">
        <v>109</v>
      </c>
      <c r="P1845" t="s">
        <v>68</v>
      </c>
      <c r="Q1845" t="s">
        <v>69</v>
      </c>
    </row>
    <row r="1846" spans="1:17" x14ac:dyDescent="0.3">
      <c r="A1846" t="s">
        <v>8478</v>
      </c>
      <c r="B1846" t="s">
        <v>8479</v>
      </c>
      <c r="C1846">
        <v>43</v>
      </c>
      <c r="D1846" t="s">
        <v>8480</v>
      </c>
      <c r="E1846" t="s">
        <v>61</v>
      </c>
      <c r="F1846" t="s">
        <v>6361</v>
      </c>
      <c r="G1846" t="s">
        <v>2241</v>
      </c>
      <c r="H1846">
        <v>4</v>
      </c>
      <c r="I1846" t="s">
        <v>27</v>
      </c>
      <c r="J1846" t="s">
        <v>2685</v>
      </c>
      <c r="K1846">
        <v>570.25</v>
      </c>
      <c r="L1846">
        <v>3</v>
      </c>
      <c r="M1846">
        <v>33</v>
      </c>
      <c r="N1846" t="s">
        <v>56</v>
      </c>
      <c r="O1846" t="s">
        <v>223</v>
      </c>
      <c r="P1846" t="s">
        <v>56</v>
      </c>
      <c r="Q1846" t="s">
        <v>69</v>
      </c>
    </row>
    <row r="1847" spans="1:17" x14ac:dyDescent="0.3">
      <c r="A1847" t="s">
        <v>8482</v>
      </c>
      <c r="B1847" t="s">
        <v>8483</v>
      </c>
      <c r="C1847">
        <v>61</v>
      </c>
      <c r="D1847" t="s">
        <v>8484</v>
      </c>
      <c r="E1847" t="s">
        <v>88</v>
      </c>
      <c r="F1847" s="86">
        <v>44236</v>
      </c>
      <c r="G1847" t="s">
        <v>1420</v>
      </c>
      <c r="H1847">
        <v>1</v>
      </c>
      <c r="I1847" t="s">
        <v>27</v>
      </c>
      <c r="J1847" t="s">
        <v>2517</v>
      </c>
      <c r="K1847">
        <v>267</v>
      </c>
      <c r="L1847">
        <v>7</v>
      </c>
      <c r="M1847">
        <v>14</v>
      </c>
      <c r="N1847" t="s">
        <v>30</v>
      </c>
      <c r="O1847" t="s">
        <v>169</v>
      </c>
      <c r="P1847" t="s">
        <v>30</v>
      </c>
      <c r="Q1847" t="s">
        <v>69</v>
      </c>
    </row>
    <row r="1848" spans="1:17" x14ac:dyDescent="0.3">
      <c r="A1848" t="s">
        <v>8486</v>
      </c>
      <c r="B1848" t="s">
        <v>8487</v>
      </c>
      <c r="C1848">
        <v>19</v>
      </c>
      <c r="D1848" t="s">
        <v>8488</v>
      </c>
      <c r="E1848" t="s">
        <v>40</v>
      </c>
      <c r="F1848" s="86">
        <v>44652</v>
      </c>
      <c r="G1848" s="86">
        <v>45360</v>
      </c>
      <c r="H1848">
        <v>3</v>
      </c>
      <c r="I1848" t="s">
        <v>27</v>
      </c>
      <c r="J1848" s="86">
        <v>44876</v>
      </c>
      <c r="K1848">
        <v>138.41999999999999</v>
      </c>
      <c r="L1848">
        <v>4</v>
      </c>
      <c r="M1848">
        <v>14</v>
      </c>
      <c r="N1848" t="s">
        <v>54</v>
      </c>
      <c r="O1848" t="s">
        <v>157</v>
      </c>
      <c r="P1848" t="s">
        <v>68</v>
      </c>
      <c r="Q1848" t="s">
        <v>69</v>
      </c>
    </row>
    <row r="1849" spans="1:17" x14ac:dyDescent="0.3">
      <c r="A1849" t="s">
        <v>8490</v>
      </c>
      <c r="B1849" t="s">
        <v>8491</v>
      </c>
      <c r="C1849">
        <v>47</v>
      </c>
      <c r="D1849" t="s">
        <v>8492</v>
      </c>
      <c r="E1849" t="s">
        <v>51</v>
      </c>
      <c r="F1849" s="86">
        <v>44053</v>
      </c>
      <c r="G1849" t="s">
        <v>1606</v>
      </c>
      <c r="H1849">
        <v>4</v>
      </c>
      <c r="I1849" t="s">
        <v>27</v>
      </c>
      <c r="J1849" t="s">
        <v>712</v>
      </c>
      <c r="K1849">
        <v>71.790000000000006</v>
      </c>
      <c r="L1849">
        <v>7</v>
      </c>
      <c r="M1849">
        <v>33</v>
      </c>
      <c r="N1849" t="s">
        <v>45</v>
      </c>
      <c r="O1849" t="s">
        <v>67</v>
      </c>
      <c r="P1849" t="s">
        <v>68</v>
      </c>
      <c r="Q1849" t="s">
        <v>32</v>
      </c>
    </row>
    <row r="1850" spans="1:17" x14ac:dyDescent="0.3">
      <c r="A1850" t="s">
        <v>8494</v>
      </c>
      <c r="B1850" t="s">
        <v>8495</v>
      </c>
      <c r="C1850">
        <v>30</v>
      </c>
      <c r="D1850" t="s">
        <v>8496</v>
      </c>
      <c r="E1850" t="s">
        <v>40</v>
      </c>
      <c r="F1850" t="s">
        <v>2369</v>
      </c>
      <c r="G1850" t="s">
        <v>872</v>
      </c>
      <c r="H1850">
        <v>3</v>
      </c>
      <c r="I1850" t="s">
        <v>27</v>
      </c>
      <c r="J1850" s="86">
        <v>45506</v>
      </c>
      <c r="K1850">
        <v>477.46</v>
      </c>
      <c r="L1850">
        <v>4</v>
      </c>
      <c r="M1850">
        <v>28</v>
      </c>
      <c r="N1850" t="s">
        <v>54</v>
      </c>
      <c r="O1850" t="s">
        <v>251</v>
      </c>
      <c r="P1850" t="s">
        <v>30</v>
      </c>
      <c r="Q1850" t="s">
        <v>69</v>
      </c>
    </row>
    <row r="1851" spans="1:17" x14ac:dyDescent="0.3">
      <c r="A1851" t="s">
        <v>8498</v>
      </c>
      <c r="B1851" t="s">
        <v>8499</v>
      </c>
      <c r="C1851">
        <v>43</v>
      </c>
      <c r="D1851" t="s">
        <v>8500</v>
      </c>
      <c r="E1851" t="s">
        <v>61</v>
      </c>
      <c r="F1851" t="s">
        <v>1189</v>
      </c>
      <c r="G1851" s="86">
        <v>44813</v>
      </c>
      <c r="H1851">
        <v>3</v>
      </c>
      <c r="I1851" t="s">
        <v>27</v>
      </c>
      <c r="J1851" s="86">
        <v>45265</v>
      </c>
      <c r="K1851">
        <v>601.04</v>
      </c>
      <c r="L1851">
        <v>1</v>
      </c>
      <c r="M1851">
        <v>5</v>
      </c>
      <c r="N1851" t="s">
        <v>56</v>
      </c>
      <c r="O1851" t="s">
        <v>536</v>
      </c>
      <c r="P1851" t="s">
        <v>68</v>
      </c>
      <c r="Q1851" t="s">
        <v>69</v>
      </c>
    </row>
    <row r="1852" spans="1:17" x14ac:dyDescent="0.3">
      <c r="A1852" t="s">
        <v>8502</v>
      </c>
      <c r="B1852" t="s">
        <v>8503</v>
      </c>
      <c r="C1852">
        <v>28</v>
      </c>
      <c r="D1852" t="s">
        <v>8504</v>
      </c>
      <c r="E1852" t="s">
        <v>95</v>
      </c>
      <c r="F1852" s="86">
        <v>44290</v>
      </c>
      <c r="G1852" t="s">
        <v>83</v>
      </c>
      <c r="H1852">
        <v>4</v>
      </c>
      <c r="I1852" t="s">
        <v>52</v>
      </c>
      <c r="J1852" s="86">
        <v>45903</v>
      </c>
      <c r="K1852">
        <v>467.71</v>
      </c>
      <c r="L1852">
        <v>3</v>
      </c>
      <c r="M1852">
        <v>30</v>
      </c>
      <c r="N1852" t="s">
        <v>54</v>
      </c>
      <c r="O1852" t="s">
        <v>597</v>
      </c>
      <c r="P1852" t="s">
        <v>45</v>
      </c>
      <c r="Q1852" t="s">
        <v>32</v>
      </c>
    </row>
    <row r="1853" spans="1:17" x14ac:dyDescent="0.3">
      <c r="A1853" t="s">
        <v>8506</v>
      </c>
      <c r="B1853" t="s">
        <v>8507</v>
      </c>
      <c r="C1853">
        <v>47</v>
      </c>
      <c r="D1853" t="s">
        <v>8508</v>
      </c>
      <c r="E1853" t="s">
        <v>88</v>
      </c>
      <c r="F1853" s="86">
        <v>44174</v>
      </c>
      <c r="G1853" t="s">
        <v>4712</v>
      </c>
      <c r="H1853">
        <v>1</v>
      </c>
      <c r="I1853" t="s">
        <v>27</v>
      </c>
      <c r="J1853" t="s">
        <v>1031</v>
      </c>
      <c r="K1853">
        <v>147.13999999999999</v>
      </c>
      <c r="L1853">
        <v>7</v>
      </c>
      <c r="M1853">
        <v>36</v>
      </c>
      <c r="N1853" t="s">
        <v>56</v>
      </c>
      <c r="O1853" t="s">
        <v>597</v>
      </c>
      <c r="P1853" t="s">
        <v>45</v>
      </c>
      <c r="Q1853" t="s">
        <v>69</v>
      </c>
    </row>
    <row r="1854" spans="1:17" x14ac:dyDescent="0.3">
      <c r="A1854" t="s">
        <v>8510</v>
      </c>
      <c r="B1854" t="s">
        <v>8511</v>
      </c>
      <c r="C1854">
        <v>60</v>
      </c>
      <c r="D1854" t="s">
        <v>8512</v>
      </c>
      <c r="E1854" t="s">
        <v>40</v>
      </c>
      <c r="F1854" t="s">
        <v>2201</v>
      </c>
      <c r="G1854" t="s">
        <v>3899</v>
      </c>
      <c r="H1854">
        <v>3</v>
      </c>
      <c r="I1854" t="s">
        <v>52</v>
      </c>
      <c r="J1854" t="s">
        <v>2441</v>
      </c>
      <c r="K1854">
        <v>283.39</v>
      </c>
      <c r="L1854">
        <v>2</v>
      </c>
      <c r="M1854">
        <v>17</v>
      </c>
      <c r="N1854" t="s">
        <v>54</v>
      </c>
      <c r="O1854" t="s">
        <v>536</v>
      </c>
      <c r="P1854" t="s">
        <v>68</v>
      </c>
      <c r="Q1854" t="s">
        <v>69</v>
      </c>
    </row>
    <row r="1855" spans="1:17" x14ac:dyDescent="0.3">
      <c r="A1855" t="s">
        <v>8514</v>
      </c>
      <c r="B1855" t="s">
        <v>8515</v>
      </c>
      <c r="C1855">
        <v>21</v>
      </c>
      <c r="D1855" t="s">
        <v>8516</v>
      </c>
      <c r="E1855" t="s">
        <v>88</v>
      </c>
      <c r="F1855" t="s">
        <v>584</v>
      </c>
      <c r="G1855" t="s">
        <v>519</v>
      </c>
      <c r="H1855">
        <v>1</v>
      </c>
      <c r="I1855" t="s">
        <v>52</v>
      </c>
      <c r="J1855" t="s">
        <v>4713</v>
      </c>
      <c r="K1855">
        <v>743.56</v>
      </c>
      <c r="L1855">
        <v>2</v>
      </c>
      <c r="M1855">
        <v>28</v>
      </c>
      <c r="N1855" t="s">
        <v>54</v>
      </c>
      <c r="O1855" t="s">
        <v>293</v>
      </c>
      <c r="P1855" t="s">
        <v>45</v>
      </c>
      <c r="Q1855" t="s">
        <v>32</v>
      </c>
    </row>
    <row r="1856" spans="1:17" x14ac:dyDescent="0.3">
      <c r="A1856" t="s">
        <v>8518</v>
      </c>
      <c r="B1856" t="s">
        <v>8519</v>
      </c>
      <c r="C1856">
        <v>61</v>
      </c>
      <c r="D1856" t="s">
        <v>8520</v>
      </c>
      <c r="E1856" t="s">
        <v>40</v>
      </c>
      <c r="F1856" s="86">
        <v>44204</v>
      </c>
      <c r="G1856" t="s">
        <v>4967</v>
      </c>
      <c r="H1856">
        <v>1</v>
      </c>
      <c r="I1856" t="s">
        <v>27</v>
      </c>
      <c r="J1856" s="86">
        <v>45998</v>
      </c>
      <c r="K1856">
        <v>63.1</v>
      </c>
      <c r="L1856">
        <v>8</v>
      </c>
      <c r="M1856">
        <v>29</v>
      </c>
      <c r="N1856" t="s">
        <v>68</v>
      </c>
      <c r="O1856" t="s">
        <v>31</v>
      </c>
      <c r="P1856" t="s">
        <v>30</v>
      </c>
      <c r="Q1856" t="s">
        <v>69</v>
      </c>
    </row>
    <row r="1857" spans="1:17" x14ac:dyDescent="0.3">
      <c r="A1857" t="s">
        <v>8522</v>
      </c>
      <c r="B1857" t="s">
        <v>8523</v>
      </c>
      <c r="C1857">
        <v>28</v>
      </c>
      <c r="D1857" t="s">
        <v>8524</v>
      </c>
      <c r="E1857" t="s">
        <v>95</v>
      </c>
      <c r="F1857" t="s">
        <v>4949</v>
      </c>
      <c r="G1857" t="s">
        <v>2800</v>
      </c>
      <c r="H1857">
        <v>3</v>
      </c>
      <c r="I1857" t="s">
        <v>64</v>
      </c>
      <c r="J1857" t="s">
        <v>1716</v>
      </c>
      <c r="K1857">
        <v>189.33</v>
      </c>
      <c r="L1857">
        <v>7</v>
      </c>
      <c r="M1857">
        <v>4</v>
      </c>
      <c r="N1857" t="s">
        <v>68</v>
      </c>
      <c r="O1857" t="s">
        <v>67</v>
      </c>
      <c r="P1857" t="s">
        <v>68</v>
      </c>
      <c r="Q1857" t="s">
        <v>69</v>
      </c>
    </row>
    <row r="1858" spans="1:17" x14ac:dyDescent="0.3">
      <c r="A1858" t="s">
        <v>8526</v>
      </c>
      <c r="B1858" t="s">
        <v>8527</v>
      </c>
      <c r="C1858">
        <v>65</v>
      </c>
      <c r="D1858" t="s">
        <v>8528</v>
      </c>
      <c r="E1858" t="s">
        <v>88</v>
      </c>
      <c r="F1858" t="s">
        <v>1143</v>
      </c>
      <c r="G1858" s="86">
        <v>45300</v>
      </c>
      <c r="H1858">
        <v>0</v>
      </c>
      <c r="I1858" t="s">
        <v>27</v>
      </c>
      <c r="J1858" s="86">
        <v>45049</v>
      </c>
      <c r="K1858">
        <v>365.3</v>
      </c>
      <c r="L1858">
        <v>4</v>
      </c>
      <c r="M1858">
        <v>18</v>
      </c>
      <c r="N1858" t="s">
        <v>30</v>
      </c>
      <c r="O1858" t="s">
        <v>238</v>
      </c>
      <c r="P1858" t="s">
        <v>45</v>
      </c>
      <c r="Q1858" t="s">
        <v>322</v>
      </c>
    </row>
    <row r="1859" spans="1:17" x14ac:dyDescent="0.3">
      <c r="A1859" t="s">
        <v>8530</v>
      </c>
      <c r="B1859" t="s">
        <v>8531</v>
      </c>
      <c r="C1859">
        <v>61</v>
      </c>
      <c r="D1859" t="s">
        <v>8532</v>
      </c>
      <c r="E1859" t="s">
        <v>25</v>
      </c>
      <c r="F1859" t="s">
        <v>1514</v>
      </c>
      <c r="G1859" s="86">
        <v>45209</v>
      </c>
      <c r="H1859">
        <v>1</v>
      </c>
      <c r="I1859" t="s">
        <v>27</v>
      </c>
      <c r="J1859" s="86">
        <v>45454</v>
      </c>
      <c r="K1859">
        <v>44.94</v>
      </c>
      <c r="L1859">
        <v>9</v>
      </c>
      <c r="M1859">
        <v>7</v>
      </c>
      <c r="N1859" t="s">
        <v>56</v>
      </c>
      <c r="O1859" t="s">
        <v>175</v>
      </c>
      <c r="P1859" t="s">
        <v>56</v>
      </c>
      <c r="Q1859" t="s">
        <v>32</v>
      </c>
    </row>
    <row r="1860" spans="1:17" x14ac:dyDescent="0.3">
      <c r="A1860" t="s">
        <v>8534</v>
      </c>
      <c r="B1860" t="s">
        <v>8535</v>
      </c>
      <c r="C1860">
        <v>46</v>
      </c>
      <c r="D1860" t="s">
        <v>8536</v>
      </c>
      <c r="E1860" t="s">
        <v>40</v>
      </c>
      <c r="F1860" t="s">
        <v>4088</v>
      </c>
      <c r="G1860" t="s">
        <v>2569</v>
      </c>
      <c r="H1860">
        <v>1</v>
      </c>
      <c r="I1860" t="s">
        <v>27</v>
      </c>
      <c r="J1860" s="86">
        <v>44929</v>
      </c>
      <c r="K1860">
        <v>556.41999999999996</v>
      </c>
      <c r="L1860">
        <v>2</v>
      </c>
      <c r="M1860">
        <v>6</v>
      </c>
      <c r="N1860" t="s">
        <v>68</v>
      </c>
      <c r="O1860" t="s">
        <v>135</v>
      </c>
      <c r="P1860" t="s">
        <v>45</v>
      </c>
      <c r="Q1860" t="s">
        <v>69</v>
      </c>
    </row>
    <row r="1861" spans="1:17" x14ac:dyDescent="0.3">
      <c r="A1861" t="s">
        <v>8538</v>
      </c>
      <c r="B1861" t="s">
        <v>8539</v>
      </c>
      <c r="C1861">
        <v>63</v>
      </c>
      <c r="D1861" t="s">
        <v>8540</v>
      </c>
      <c r="E1861" t="s">
        <v>40</v>
      </c>
      <c r="F1861" t="s">
        <v>1408</v>
      </c>
      <c r="G1861" t="s">
        <v>486</v>
      </c>
      <c r="H1861">
        <v>2</v>
      </c>
      <c r="I1861" t="s">
        <v>52</v>
      </c>
      <c r="J1861" s="86">
        <v>45084</v>
      </c>
      <c r="K1861">
        <v>103.42</v>
      </c>
      <c r="L1861">
        <v>6</v>
      </c>
      <c r="M1861">
        <v>40</v>
      </c>
      <c r="N1861" t="s">
        <v>45</v>
      </c>
      <c r="O1861" t="s">
        <v>211</v>
      </c>
      <c r="P1861" t="s">
        <v>68</v>
      </c>
      <c r="Q1861" t="s">
        <v>69</v>
      </c>
    </row>
    <row r="1862" spans="1:17" x14ac:dyDescent="0.3">
      <c r="A1862" t="s">
        <v>8542</v>
      </c>
      <c r="B1862" t="s">
        <v>8543</v>
      </c>
      <c r="C1862">
        <v>35</v>
      </c>
      <c r="D1862" t="s">
        <v>8544</v>
      </c>
      <c r="E1862" t="s">
        <v>51</v>
      </c>
      <c r="F1862" t="s">
        <v>6221</v>
      </c>
      <c r="G1862" t="s">
        <v>4466</v>
      </c>
      <c r="H1862">
        <v>0</v>
      </c>
      <c r="I1862" t="s">
        <v>27</v>
      </c>
      <c r="J1862" s="86">
        <v>45635</v>
      </c>
      <c r="K1862">
        <v>300.08</v>
      </c>
      <c r="L1862">
        <v>4</v>
      </c>
      <c r="M1862">
        <v>25</v>
      </c>
      <c r="N1862" t="s">
        <v>54</v>
      </c>
      <c r="O1862" t="s">
        <v>67</v>
      </c>
      <c r="P1862" t="s">
        <v>68</v>
      </c>
      <c r="Q1862" t="s">
        <v>322</v>
      </c>
    </row>
    <row r="1863" spans="1:17" x14ac:dyDescent="0.3">
      <c r="A1863" t="s">
        <v>8546</v>
      </c>
      <c r="B1863" t="s">
        <v>8547</v>
      </c>
      <c r="C1863">
        <v>39</v>
      </c>
      <c r="D1863" t="s">
        <v>8548</v>
      </c>
      <c r="E1863" t="s">
        <v>40</v>
      </c>
      <c r="F1863" s="86">
        <v>44412</v>
      </c>
      <c r="G1863" t="s">
        <v>371</v>
      </c>
      <c r="H1863">
        <v>5</v>
      </c>
      <c r="I1863" t="s">
        <v>27</v>
      </c>
      <c r="J1863" s="86">
        <v>45637</v>
      </c>
      <c r="K1863">
        <v>117.58</v>
      </c>
      <c r="L1863">
        <v>2</v>
      </c>
      <c r="M1863">
        <v>4</v>
      </c>
      <c r="N1863" t="s">
        <v>56</v>
      </c>
      <c r="O1863" t="s">
        <v>175</v>
      </c>
      <c r="P1863" t="s">
        <v>56</v>
      </c>
      <c r="Q1863" t="s">
        <v>32</v>
      </c>
    </row>
    <row r="1864" spans="1:17" x14ac:dyDescent="0.3">
      <c r="A1864" t="s">
        <v>8550</v>
      </c>
      <c r="B1864" t="s">
        <v>8551</v>
      </c>
      <c r="C1864">
        <v>43</v>
      </c>
      <c r="D1864" t="s">
        <v>8552</v>
      </c>
      <c r="E1864" t="s">
        <v>95</v>
      </c>
      <c r="F1864" t="s">
        <v>5602</v>
      </c>
      <c r="G1864" t="s">
        <v>6548</v>
      </c>
      <c r="H1864">
        <v>4</v>
      </c>
      <c r="I1864" t="s">
        <v>27</v>
      </c>
      <c r="J1864" t="s">
        <v>1006</v>
      </c>
      <c r="K1864">
        <v>1685.5</v>
      </c>
      <c r="L1864">
        <v>1</v>
      </c>
      <c r="M1864">
        <v>8</v>
      </c>
      <c r="N1864" t="s">
        <v>68</v>
      </c>
      <c r="O1864" t="s">
        <v>99</v>
      </c>
      <c r="P1864" t="s">
        <v>56</v>
      </c>
      <c r="Q1864" t="s">
        <v>69</v>
      </c>
    </row>
    <row r="1865" spans="1:17" x14ac:dyDescent="0.3">
      <c r="A1865" t="s">
        <v>8554</v>
      </c>
      <c r="B1865" t="s">
        <v>8555</v>
      </c>
      <c r="C1865">
        <v>58</v>
      </c>
      <c r="D1865" t="s">
        <v>8556</v>
      </c>
      <c r="E1865" t="s">
        <v>88</v>
      </c>
      <c r="F1865" t="s">
        <v>446</v>
      </c>
      <c r="G1865" s="86">
        <v>44936</v>
      </c>
      <c r="H1865">
        <v>4</v>
      </c>
      <c r="I1865" t="s">
        <v>27</v>
      </c>
      <c r="J1865" t="s">
        <v>762</v>
      </c>
      <c r="K1865">
        <v>331.38</v>
      </c>
      <c r="L1865">
        <v>5</v>
      </c>
      <c r="M1865">
        <v>6</v>
      </c>
      <c r="N1865" t="s">
        <v>56</v>
      </c>
      <c r="O1865" t="s">
        <v>373</v>
      </c>
      <c r="P1865" t="s">
        <v>54</v>
      </c>
      <c r="Q1865" t="s">
        <v>69</v>
      </c>
    </row>
    <row r="1866" spans="1:17" x14ac:dyDescent="0.3">
      <c r="A1866" t="s">
        <v>8558</v>
      </c>
      <c r="B1866" t="s">
        <v>8559</v>
      </c>
      <c r="C1866">
        <v>21</v>
      </c>
      <c r="D1866" t="s">
        <v>8560</v>
      </c>
      <c r="E1866" t="s">
        <v>40</v>
      </c>
      <c r="F1866" t="s">
        <v>8561</v>
      </c>
      <c r="G1866" s="86">
        <v>45027</v>
      </c>
      <c r="H1866">
        <v>0</v>
      </c>
      <c r="I1866" t="s">
        <v>64</v>
      </c>
      <c r="J1866" t="s">
        <v>3912</v>
      </c>
      <c r="K1866">
        <v>529.98</v>
      </c>
      <c r="L1866">
        <v>1</v>
      </c>
      <c r="M1866">
        <v>41</v>
      </c>
      <c r="N1866" t="s">
        <v>30</v>
      </c>
      <c r="O1866" t="s">
        <v>169</v>
      </c>
      <c r="P1866" t="s">
        <v>30</v>
      </c>
      <c r="Q1866" t="s">
        <v>32</v>
      </c>
    </row>
    <row r="1867" spans="1:17" x14ac:dyDescent="0.3">
      <c r="A1867" t="s">
        <v>8563</v>
      </c>
      <c r="B1867" t="s">
        <v>8564</v>
      </c>
      <c r="C1867">
        <v>46</v>
      </c>
      <c r="D1867" t="s">
        <v>8565</v>
      </c>
      <c r="E1867" t="s">
        <v>51</v>
      </c>
      <c r="F1867" t="s">
        <v>1742</v>
      </c>
      <c r="G1867" t="s">
        <v>2174</v>
      </c>
      <c r="H1867">
        <v>5</v>
      </c>
      <c r="I1867" t="s">
        <v>52</v>
      </c>
      <c r="J1867" t="s">
        <v>2446</v>
      </c>
      <c r="K1867">
        <v>642.41</v>
      </c>
      <c r="L1867">
        <v>3</v>
      </c>
      <c r="M1867">
        <v>26</v>
      </c>
      <c r="N1867" t="s">
        <v>56</v>
      </c>
      <c r="O1867" t="s">
        <v>199</v>
      </c>
      <c r="P1867" t="s">
        <v>54</v>
      </c>
      <c r="Q1867" t="s">
        <v>69</v>
      </c>
    </row>
    <row r="1868" spans="1:17" x14ac:dyDescent="0.3">
      <c r="A1868" t="s">
        <v>8567</v>
      </c>
      <c r="B1868" t="s">
        <v>8568</v>
      </c>
      <c r="C1868">
        <v>67</v>
      </c>
      <c r="D1868" t="s">
        <v>8569</v>
      </c>
      <c r="E1868" t="s">
        <v>25</v>
      </c>
      <c r="F1868" t="s">
        <v>4698</v>
      </c>
      <c r="G1868" t="s">
        <v>2421</v>
      </c>
      <c r="H1868">
        <v>3</v>
      </c>
      <c r="I1868" t="s">
        <v>27</v>
      </c>
      <c r="J1868" t="s">
        <v>7277</v>
      </c>
      <c r="K1868">
        <v>118.68</v>
      </c>
      <c r="L1868">
        <v>9</v>
      </c>
      <c r="M1868">
        <v>38</v>
      </c>
      <c r="N1868" t="s">
        <v>54</v>
      </c>
      <c r="O1868" t="s">
        <v>821</v>
      </c>
      <c r="P1868" t="s">
        <v>68</v>
      </c>
      <c r="Q1868" t="s">
        <v>32</v>
      </c>
    </row>
    <row r="1869" spans="1:17" x14ac:dyDescent="0.3">
      <c r="A1869" t="s">
        <v>8571</v>
      </c>
      <c r="B1869" t="s">
        <v>8572</v>
      </c>
      <c r="C1869">
        <v>24</v>
      </c>
      <c r="D1869" t="s">
        <v>8573</v>
      </c>
      <c r="E1869" t="s">
        <v>25</v>
      </c>
      <c r="F1869" t="s">
        <v>4603</v>
      </c>
      <c r="G1869" t="s">
        <v>6413</v>
      </c>
      <c r="H1869">
        <v>2</v>
      </c>
      <c r="I1869" t="s">
        <v>52</v>
      </c>
      <c r="J1869" s="86">
        <v>45086</v>
      </c>
      <c r="K1869">
        <v>570.80999999999995</v>
      </c>
      <c r="L1869">
        <v>1</v>
      </c>
      <c r="M1869">
        <v>40</v>
      </c>
      <c r="N1869" t="s">
        <v>56</v>
      </c>
      <c r="O1869" t="s">
        <v>157</v>
      </c>
      <c r="P1869" t="s">
        <v>68</v>
      </c>
      <c r="Q1869" t="s">
        <v>32</v>
      </c>
    </row>
    <row r="1870" spans="1:17" x14ac:dyDescent="0.3">
      <c r="A1870" t="s">
        <v>8575</v>
      </c>
      <c r="B1870" t="s">
        <v>8576</v>
      </c>
      <c r="C1870">
        <v>28</v>
      </c>
      <c r="D1870" t="s">
        <v>8577</v>
      </c>
      <c r="E1870" t="s">
        <v>25</v>
      </c>
      <c r="F1870" s="86">
        <v>44085</v>
      </c>
      <c r="G1870" t="s">
        <v>4088</v>
      </c>
      <c r="H1870">
        <v>0</v>
      </c>
      <c r="I1870" t="s">
        <v>27</v>
      </c>
      <c r="J1870" t="s">
        <v>1924</v>
      </c>
      <c r="K1870">
        <v>410.67</v>
      </c>
      <c r="L1870">
        <v>3</v>
      </c>
      <c r="M1870">
        <v>42</v>
      </c>
      <c r="N1870" t="s">
        <v>54</v>
      </c>
      <c r="O1870" t="s">
        <v>99</v>
      </c>
      <c r="P1870" t="s">
        <v>56</v>
      </c>
      <c r="Q1870" t="s">
        <v>32</v>
      </c>
    </row>
    <row r="1871" spans="1:17" x14ac:dyDescent="0.3">
      <c r="A1871" t="s">
        <v>8579</v>
      </c>
      <c r="B1871" t="s">
        <v>8580</v>
      </c>
      <c r="C1871">
        <v>68</v>
      </c>
      <c r="D1871" t="s">
        <v>8581</v>
      </c>
      <c r="E1871" t="s">
        <v>95</v>
      </c>
      <c r="F1871" s="86">
        <v>44508</v>
      </c>
      <c r="G1871" t="s">
        <v>220</v>
      </c>
      <c r="H1871">
        <v>1</v>
      </c>
      <c r="I1871" t="s">
        <v>27</v>
      </c>
      <c r="J1871" t="s">
        <v>6841</v>
      </c>
      <c r="K1871">
        <v>21.9</v>
      </c>
      <c r="L1871">
        <v>8</v>
      </c>
      <c r="M1871">
        <v>14</v>
      </c>
      <c r="N1871" t="s">
        <v>30</v>
      </c>
      <c r="O1871" t="s">
        <v>116</v>
      </c>
      <c r="P1871" t="s">
        <v>54</v>
      </c>
      <c r="Q1871" t="s">
        <v>69</v>
      </c>
    </row>
    <row r="1872" spans="1:17" x14ac:dyDescent="0.3">
      <c r="A1872" t="s">
        <v>8583</v>
      </c>
      <c r="B1872" t="s">
        <v>8584</v>
      </c>
      <c r="C1872">
        <v>26</v>
      </c>
      <c r="D1872" t="s">
        <v>8585</v>
      </c>
      <c r="E1872" t="s">
        <v>95</v>
      </c>
      <c r="F1872" t="s">
        <v>8586</v>
      </c>
      <c r="G1872" s="86">
        <v>45810</v>
      </c>
      <c r="H1872">
        <v>2</v>
      </c>
      <c r="I1872" t="s">
        <v>52</v>
      </c>
      <c r="J1872" s="86">
        <v>45454</v>
      </c>
      <c r="K1872">
        <v>239.88</v>
      </c>
      <c r="L1872">
        <v>8</v>
      </c>
      <c r="M1872">
        <v>44</v>
      </c>
      <c r="N1872" t="s">
        <v>45</v>
      </c>
      <c r="O1872" t="s">
        <v>128</v>
      </c>
      <c r="P1872" t="s">
        <v>54</v>
      </c>
      <c r="Q1872" t="s">
        <v>32</v>
      </c>
    </row>
    <row r="1873" spans="1:17" x14ac:dyDescent="0.3">
      <c r="A1873" t="s">
        <v>8588</v>
      </c>
      <c r="B1873" t="s">
        <v>8589</v>
      </c>
      <c r="C1873">
        <v>27</v>
      </c>
      <c r="D1873" t="s">
        <v>8590</v>
      </c>
      <c r="E1873" t="s">
        <v>51</v>
      </c>
      <c r="F1873" s="86">
        <v>45174</v>
      </c>
      <c r="G1873" s="86">
        <v>45876</v>
      </c>
      <c r="H1873">
        <v>1</v>
      </c>
      <c r="I1873" t="s">
        <v>52</v>
      </c>
      <c r="J1873" t="s">
        <v>2486</v>
      </c>
      <c r="K1873">
        <v>1761.57</v>
      </c>
      <c r="L1873">
        <v>1</v>
      </c>
      <c r="M1873">
        <v>16</v>
      </c>
      <c r="N1873" t="s">
        <v>54</v>
      </c>
      <c r="O1873" t="s">
        <v>122</v>
      </c>
      <c r="P1873" t="s">
        <v>30</v>
      </c>
      <c r="Q1873" t="s">
        <v>69</v>
      </c>
    </row>
    <row r="1874" spans="1:17" x14ac:dyDescent="0.3">
      <c r="A1874" t="s">
        <v>8592</v>
      </c>
      <c r="B1874" t="s">
        <v>8593</v>
      </c>
      <c r="C1874">
        <v>48</v>
      </c>
      <c r="D1874" t="s">
        <v>8594</v>
      </c>
      <c r="E1874" t="s">
        <v>40</v>
      </c>
      <c r="F1874" s="86">
        <v>44206</v>
      </c>
      <c r="G1874" t="s">
        <v>4760</v>
      </c>
      <c r="H1874">
        <v>5</v>
      </c>
      <c r="I1874" t="s">
        <v>27</v>
      </c>
      <c r="J1874" t="s">
        <v>83</v>
      </c>
      <c r="K1874">
        <v>1081.8</v>
      </c>
      <c r="L1874">
        <v>1</v>
      </c>
      <c r="M1874">
        <v>40</v>
      </c>
      <c r="N1874" t="s">
        <v>56</v>
      </c>
      <c r="O1874" t="s">
        <v>624</v>
      </c>
      <c r="P1874" t="s">
        <v>30</v>
      </c>
      <c r="Q1874" t="s">
        <v>69</v>
      </c>
    </row>
    <row r="1875" spans="1:17" x14ac:dyDescent="0.3">
      <c r="A1875" t="s">
        <v>8596</v>
      </c>
      <c r="B1875" t="s">
        <v>8597</v>
      </c>
      <c r="C1875">
        <v>37</v>
      </c>
      <c r="D1875" t="s">
        <v>8598</v>
      </c>
      <c r="E1875" t="s">
        <v>88</v>
      </c>
      <c r="F1875" s="86">
        <v>44627</v>
      </c>
      <c r="G1875" s="86">
        <v>45089</v>
      </c>
      <c r="H1875">
        <v>3</v>
      </c>
      <c r="I1875" t="s">
        <v>27</v>
      </c>
      <c r="J1875" t="s">
        <v>1572</v>
      </c>
      <c r="K1875">
        <v>152.49</v>
      </c>
      <c r="L1875">
        <v>5</v>
      </c>
      <c r="M1875">
        <v>42</v>
      </c>
      <c r="N1875" t="s">
        <v>30</v>
      </c>
      <c r="O1875" t="s">
        <v>169</v>
      </c>
      <c r="P1875" t="s">
        <v>30</v>
      </c>
      <c r="Q1875" t="s">
        <v>69</v>
      </c>
    </row>
    <row r="1876" spans="1:17" x14ac:dyDescent="0.3">
      <c r="A1876" t="s">
        <v>8600</v>
      </c>
      <c r="B1876" t="s">
        <v>8601</v>
      </c>
      <c r="C1876">
        <v>50</v>
      </c>
      <c r="D1876" t="s">
        <v>8602</v>
      </c>
      <c r="E1876" t="s">
        <v>61</v>
      </c>
      <c r="F1876" t="s">
        <v>8603</v>
      </c>
      <c r="G1876" t="s">
        <v>545</v>
      </c>
      <c r="H1876">
        <v>0</v>
      </c>
      <c r="I1876" t="s">
        <v>52</v>
      </c>
      <c r="J1876" s="86">
        <v>45784</v>
      </c>
      <c r="K1876">
        <v>1955.81</v>
      </c>
      <c r="L1876">
        <v>1</v>
      </c>
      <c r="M1876">
        <v>30</v>
      </c>
      <c r="N1876" t="s">
        <v>54</v>
      </c>
      <c r="O1876" t="s">
        <v>837</v>
      </c>
      <c r="P1876" t="s">
        <v>56</v>
      </c>
      <c r="Q1876" t="s">
        <v>69</v>
      </c>
    </row>
    <row r="1877" spans="1:17" x14ac:dyDescent="0.3">
      <c r="A1877" t="s">
        <v>8605</v>
      </c>
      <c r="B1877" t="s">
        <v>8606</v>
      </c>
      <c r="C1877">
        <v>44</v>
      </c>
      <c r="D1877" t="s">
        <v>8607</v>
      </c>
      <c r="E1877" t="s">
        <v>25</v>
      </c>
      <c r="F1877" t="s">
        <v>4164</v>
      </c>
      <c r="G1877" s="86">
        <v>44085</v>
      </c>
      <c r="H1877">
        <v>2</v>
      </c>
      <c r="I1877" t="s">
        <v>27</v>
      </c>
      <c r="J1877" s="86">
        <v>45181</v>
      </c>
      <c r="K1877">
        <v>92.5</v>
      </c>
      <c r="L1877">
        <v>7</v>
      </c>
      <c r="M1877">
        <v>11</v>
      </c>
      <c r="N1877" t="s">
        <v>45</v>
      </c>
      <c r="O1877" t="s">
        <v>366</v>
      </c>
      <c r="P1877" t="s">
        <v>54</v>
      </c>
      <c r="Q1877" t="s">
        <v>69</v>
      </c>
    </row>
    <row r="1878" spans="1:17" x14ac:dyDescent="0.3">
      <c r="A1878" t="s">
        <v>8609</v>
      </c>
      <c r="B1878" t="s">
        <v>8610</v>
      </c>
      <c r="C1878">
        <v>41</v>
      </c>
      <c r="D1878" t="s">
        <v>8611</v>
      </c>
      <c r="E1878" t="s">
        <v>25</v>
      </c>
      <c r="F1878" t="s">
        <v>1982</v>
      </c>
      <c r="G1878" t="s">
        <v>3238</v>
      </c>
      <c r="H1878">
        <v>1</v>
      </c>
      <c r="I1878" t="s">
        <v>64</v>
      </c>
      <c r="J1878" s="86">
        <v>44988</v>
      </c>
      <c r="K1878">
        <v>207.01</v>
      </c>
      <c r="L1878">
        <v>3</v>
      </c>
      <c r="M1878">
        <v>17</v>
      </c>
      <c r="N1878" t="s">
        <v>54</v>
      </c>
      <c r="O1878" t="s">
        <v>604</v>
      </c>
      <c r="P1878" t="s">
        <v>45</v>
      </c>
      <c r="Q1878" t="s">
        <v>32</v>
      </c>
    </row>
    <row r="1879" spans="1:17" x14ac:dyDescent="0.3">
      <c r="A1879" t="s">
        <v>8613</v>
      </c>
      <c r="B1879" t="s">
        <v>8614</v>
      </c>
      <c r="C1879">
        <v>66</v>
      </c>
      <c r="D1879" t="s">
        <v>8615</v>
      </c>
      <c r="E1879" t="s">
        <v>88</v>
      </c>
      <c r="F1879" t="s">
        <v>5670</v>
      </c>
      <c r="G1879" t="s">
        <v>790</v>
      </c>
      <c r="H1879">
        <v>2</v>
      </c>
      <c r="I1879" t="s">
        <v>64</v>
      </c>
      <c r="J1879" t="s">
        <v>2758</v>
      </c>
      <c r="K1879">
        <v>51.21</v>
      </c>
      <c r="L1879">
        <v>8</v>
      </c>
      <c r="M1879">
        <v>48</v>
      </c>
      <c r="N1879" t="s">
        <v>56</v>
      </c>
      <c r="O1879" t="s">
        <v>142</v>
      </c>
      <c r="P1879" t="s">
        <v>68</v>
      </c>
      <c r="Q1879" t="s">
        <v>322</v>
      </c>
    </row>
    <row r="1880" spans="1:17" x14ac:dyDescent="0.3">
      <c r="A1880" t="s">
        <v>8617</v>
      </c>
      <c r="B1880" t="s">
        <v>8618</v>
      </c>
      <c r="C1880">
        <v>30</v>
      </c>
      <c r="D1880" t="s">
        <v>8619</v>
      </c>
      <c r="E1880" t="s">
        <v>95</v>
      </c>
      <c r="F1880" t="s">
        <v>8620</v>
      </c>
      <c r="G1880" t="s">
        <v>659</v>
      </c>
      <c r="H1880">
        <v>5</v>
      </c>
      <c r="I1880" t="s">
        <v>27</v>
      </c>
      <c r="J1880" t="s">
        <v>1190</v>
      </c>
      <c r="K1880">
        <v>1358.08</v>
      </c>
      <c r="L1880">
        <v>1</v>
      </c>
      <c r="M1880">
        <v>46</v>
      </c>
      <c r="N1880" t="s">
        <v>54</v>
      </c>
      <c r="O1880" t="s">
        <v>366</v>
      </c>
      <c r="P1880" t="s">
        <v>54</v>
      </c>
      <c r="Q1880" t="s">
        <v>69</v>
      </c>
    </row>
    <row r="1881" spans="1:17" x14ac:dyDescent="0.3">
      <c r="A1881" t="s">
        <v>8622</v>
      </c>
      <c r="B1881" t="s">
        <v>8623</v>
      </c>
      <c r="C1881">
        <v>46</v>
      </c>
      <c r="D1881" t="s">
        <v>8624</v>
      </c>
      <c r="E1881" t="s">
        <v>51</v>
      </c>
      <c r="F1881" t="s">
        <v>1774</v>
      </c>
      <c r="G1881" t="s">
        <v>3690</v>
      </c>
      <c r="H1881">
        <v>1</v>
      </c>
      <c r="I1881" t="s">
        <v>27</v>
      </c>
      <c r="J1881" t="s">
        <v>3495</v>
      </c>
      <c r="K1881">
        <v>420.35</v>
      </c>
      <c r="L1881">
        <v>2</v>
      </c>
      <c r="M1881">
        <v>21</v>
      </c>
      <c r="N1881" t="s">
        <v>45</v>
      </c>
      <c r="O1881" t="s">
        <v>211</v>
      </c>
      <c r="P1881" t="s">
        <v>68</v>
      </c>
      <c r="Q1881" t="s">
        <v>32</v>
      </c>
    </row>
    <row r="1882" spans="1:17" x14ac:dyDescent="0.3">
      <c r="A1882" t="s">
        <v>8626</v>
      </c>
      <c r="B1882" t="s">
        <v>8627</v>
      </c>
      <c r="C1882">
        <v>51</v>
      </c>
      <c r="D1882" t="s">
        <v>8628</v>
      </c>
      <c r="E1882" t="s">
        <v>61</v>
      </c>
      <c r="F1882" t="s">
        <v>4221</v>
      </c>
      <c r="G1882" s="86">
        <v>45602</v>
      </c>
      <c r="H1882">
        <v>1</v>
      </c>
      <c r="I1882" t="s">
        <v>52</v>
      </c>
      <c r="J1882" s="86">
        <v>44603</v>
      </c>
      <c r="K1882">
        <v>418.53</v>
      </c>
      <c r="L1882">
        <v>3</v>
      </c>
      <c r="M1882">
        <v>43</v>
      </c>
      <c r="N1882" t="s">
        <v>68</v>
      </c>
      <c r="O1882" t="s">
        <v>624</v>
      </c>
      <c r="P1882" t="s">
        <v>30</v>
      </c>
      <c r="Q1882" t="s">
        <v>69</v>
      </c>
    </row>
    <row r="1883" spans="1:17" x14ac:dyDescent="0.3">
      <c r="A1883" t="s">
        <v>8630</v>
      </c>
      <c r="B1883" t="s">
        <v>8631</v>
      </c>
      <c r="C1883">
        <v>53</v>
      </c>
      <c r="D1883" t="s">
        <v>8632</v>
      </c>
      <c r="E1883" t="s">
        <v>95</v>
      </c>
      <c r="F1883" s="86">
        <v>44501</v>
      </c>
      <c r="G1883" s="86">
        <v>45147</v>
      </c>
      <c r="H1883">
        <v>3</v>
      </c>
      <c r="I1883" t="s">
        <v>27</v>
      </c>
      <c r="J1883" s="86">
        <v>44231</v>
      </c>
      <c r="K1883">
        <v>192.16</v>
      </c>
      <c r="L1883">
        <v>6</v>
      </c>
      <c r="M1883">
        <v>22</v>
      </c>
      <c r="N1883" t="s">
        <v>56</v>
      </c>
      <c r="O1883" t="s">
        <v>293</v>
      </c>
      <c r="P1883" t="s">
        <v>45</v>
      </c>
      <c r="Q1883" t="s">
        <v>69</v>
      </c>
    </row>
    <row r="1884" spans="1:17" x14ac:dyDescent="0.3">
      <c r="A1884" t="s">
        <v>8634</v>
      </c>
      <c r="B1884" t="s">
        <v>8635</v>
      </c>
      <c r="C1884">
        <v>54</v>
      </c>
      <c r="D1884" t="s">
        <v>8636</v>
      </c>
      <c r="E1884" t="s">
        <v>40</v>
      </c>
      <c r="F1884" s="86">
        <v>44448</v>
      </c>
      <c r="G1884" t="s">
        <v>1924</v>
      </c>
      <c r="H1884">
        <v>4</v>
      </c>
      <c r="I1884" t="s">
        <v>52</v>
      </c>
      <c r="J1884" t="s">
        <v>1862</v>
      </c>
      <c r="K1884">
        <v>410.43</v>
      </c>
      <c r="L1884">
        <v>3</v>
      </c>
      <c r="M1884">
        <v>42</v>
      </c>
      <c r="N1884" t="s">
        <v>54</v>
      </c>
      <c r="O1884" t="s">
        <v>99</v>
      </c>
      <c r="P1884" t="s">
        <v>56</v>
      </c>
      <c r="Q1884" t="s">
        <v>32</v>
      </c>
    </row>
    <row r="1885" spans="1:17" x14ac:dyDescent="0.3">
      <c r="A1885" t="s">
        <v>8638</v>
      </c>
      <c r="B1885" t="s">
        <v>8639</v>
      </c>
      <c r="C1885">
        <v>58</v>
      </c>
      <c r="D1885" t="s">
        <v>8640</v>
      </c>
      <c r="E1885" t="s">
        <v>25</v>
      </c>
      <c r="F1885" t="s">
        <v>267</v>
      </c>
      <c r="G1885" t="s">
        <v>1442</v>
      </c>
      <c r="H1885">
        <v>2</v>
      </c>
      <c r="I1885" t="s">
        <v>27</v>
      </c>
      <c r="J1885" t="s">
        <v>1221</v>
      </c>
      <c r="K1885">
        <v>170.66</v>
      </c>
      <c r="L1885">
        <v>6</v>
      </c>
      <c r="M1885">
        <v>46</v>
      </c>
      <c r="N1885" t="s">
        <v>45</v>
      </c>
      <c r="O1885" t="s">
        <v>44</v>
      </c>
      <c r="P1885" t="s">
        <v>45</v>
      </c>
      <c r="Q1885" t="s">
        <v>69</v>
      </c>
    </row>
    <row r="1886" spans="1:17" x14ac:dyDescent="0.3">
      <c r="A1886" t="s">
        <v>8642</v>
      </c>
      <c r="B1886" t="s">
        <v>8643</v>
      </c>
      <c r="C1886">
        <v>48</v>
      </c>
      <c r="D1886" t="s">
        <v>8644</v>
      </c>
      <c r="E1886" t="s">
        <v>40</v>
      </c>
      <c r="F1886" t="s">
        <v>3948</v>
      </c>
      <c r="G1886" t="s">
        <v>1100</v>
      </c>
      <c r="H1886">
        <v>0</v>
      </c>
      <c r="I1886" t="s">
        <v>64</v>
      </c>
      <c r="J1886" t="s">
        <v>1732</v>
      </c>
      <c r="K1886">
        <v>32.67</v>
      </c>
      <c r="L1886">
        <v>8</v>
      </c>
      <c r="M1886">
        <v>9</v>
      </c>
      <c r="N1886" t="s">
        <v>30</v>
      </c>
      <c r="O1886" t="s">
        <v>149</v>
      </c>
      <c r="P1886" t="s">
        <v>30</v>
      </c>
      <c r="Q1886" t="s">
        <v>69</v>
      </c>
    </row>
    <row r="1887" spans="1:17" x14ac:dyDescent="0.3">
      <c r="A1887" t="s">
        <v>8646</v>
      </c>
      <c r="B1887" t="s">
        <v>8647</v>
      </c>
      <c r="C1887">
        <v>59</v>
      </c>
      <c r="D1887" t="s">
        <v>8648</v>
      </c>
      <c r="E1887" t="s">
        <v>88</v>
      </c>
      <c r="F1887" t="s">
        <v>3749</v>
      </c>
      <c r="G1887" t="s">
        <v>5078</v>
      </c>
      <c r="H1887">
        <v>0</v>
      </c>
      <c r="I1887" t="s">
        <v>27</v>
      </c>
      <c r="J1887" t="s">
        <v>2763</v>
      </c>
      <c r="K1887">
        <v>1453.08</v>
      </c>
      <c r="L1887">
        <v>1</v>
      </c>
      <c r="M1887">
        <v>34</v>
      </c>
      <c r="N1887" t="s">
        <v>54</v>
      </c>
      <c r="O1887" t="s">
        <v>135</v>
      </c>
      <c r="P1887" t="s">
        <v>45</v>
      </c>
      <c r="Q1887" t="s">
        <v>32</v>
      </c>
    </row>
    <row r="1888" spans="1:17" x14ac:dyDescent="0.3">
      <c r="A1888" t="s">
        <v>8650</v>
      </c>
      <c r="B1888" t="s">
        <v>8651</v>
      </c>
      <c r="C1888">
        <v>69</v>
      </c>
      <c r="D1888" t="s">
        <v>8652</v>
      </c>
      <c r="E1888" t="s">
        <v>88</v>
      </c>
      <c r="F1888" t="s">
        <v>8620</v>
      </c>
      <c r="G1888" s="86">
        <v>45603</v>
      </c>
      <c r="H1888">
        <v>0</v>
      </c>
      <c r="I1888" t="s">
        <v>27</v>
      </c>
      <c r="J1888" s="86">
        <v>44810</v>
      </c>
      <c r="K1888">
        <v>104.39</v>
      </c>
      <c r="L1888">
        <v>9</v>
      </c>
      <c r="M1888">
        <v>19</v>
      </c>
      <c r="N1888" t="s">
        <v>68</v>
      </c>
      <c r="O1888" t="s">
        <v>142</v>
      </c>
      <c r="P1888" t="s">
        <v>68</v>
      </c>
      <c r="Q1888" t="s">
        <v>32</v>
      </c>
    </row>
    <row r="1889" spans="1:17" x14ac:dyDescent="0.3">
      <c r="A1889" t="s">
        <v>8654</v>
      </c>
      <c r="B1889" t="s">
        <v>8655</v>
      </c>
      <c r="C1889">
        <v>25</v>
      </c>
      <c r="D1889" t="s">
        <v>8656</v>
      </c>
      <c r="E1889" t="s">
        <v>61</v>
      </c>
      <c r="F1889" t="s">
        <v>2871</v>
      </c>
      <c r="G1889" t="s">
        <v>2973</v>
      </c>
      <c r="H1889">
        <v>0</v>
      </c>
      <c r="I1889" t="s">
        <v>52</v>
      </c>
      <c r="J1889" s="86">
        <v>45689</v>
      </c>
      <c r="K1889">
        <v>935.95</v>
      </c>
      <c r="L1889">
        <v>1</v>
      </c>
      <c r="M1889">
        <v>11</v>
      </c>
      <c r="N1889" t="s">
        <v>54</v>
      </c>
      <c r="O1889" t="s">
        <v>251</v>
      </c>
      <c r="P1889" t="s">
        <v>30</v>
      </c>
      <c r="Q1889" t="s">
        <v>32</v>
      </c>
    </row>
    <row r="1890" spans="1:17" x14ac:dyDescent="0.3">
      <c r="A1890" t="s">
        <v>8658</v>
      </c>
      <c r="B1890" t="s">
        <v>8659</v>
      </c>
      <c r="C1890">
        <v>28</v>
      </c>
      <c r="D1890" t="s">
        <v>8660</v>
      </c>
      <c r="E1890" t="s">
        <v>61</v>
      </c>
      <c r="F1890" t="s">
        <v>422</v>
      </c>
      <c r="G1890" t="s">
        <v>1184</v>
      </c>
      <c r="H1890">
        <v>4</v>
      </c>
      <c r="I1890" t="s">
        <v>52</v>
      </c>
      <c r="J1890" s="86">
        <v>45423</v>
      </c>
      <c r="K1890">
        <v>6.43</v>
      </c>
      <c r="L1890">
        <v>6</v>
      </c>
      <c r="M1890">
        <v>43</v>
      </c>
      <c r="N1890" t="s">
        <v>68</v>
      </c>
      <c r="O1890" t="s">
        <v>597</v>
      </c>
      <c r="P1890" t="s">
        <v>45</v>
      </c>
      <c r="Q1890" t="s">
        <v>69</v>
      </c>
    </row>
    <row r="1891" spans="1:17" x14ac:dyDescent="0.3">
      <c r="A1891" t="s">
        <v>8662</v>
      </c>
      <c r="B1891" t="s">
        <v>8663</v>
      </c>
      <c r="C1891">
        <v>31</v>
      </c>
      <c r="D1891" t="s">
        <v>8664</v>
      </c>
      <c r="E1891" t="s">
        <v>61</v>
      </c>
      <c r="F1891" t="s">
        <v>1582</v>
      </c>
      <c r="G1891" s="86">
        <v>45272</v>
      </c>
      <c r="H1891">
        <v>4</v>
      </c>
      <c r="I1891" t="s">
        <v>64</v>
      </c>
      <c r="J1891" s="86">
        <v>44937</v>
      </c>
      <c r="K1891">
        <v>334.5</v>
      </c>
      <c r="L1891">
        <v>2</v>
      </c>
      <c r="M1891">
        <v>15</v>
      </c>
      <c r="N1891" t="s">
        <v>54</v>
      </c>
      <c r="O1891" t="s">
        <v>169</v>
      </c>
      <c r="P1891" t="s">
        <v>30</v>
      </c>
      <c r="Q1891" t="s">
        <v>69</v>
      </c>
    </row>
    <row r="1892" spans="1:17" x14ac:dyDescent="0.3">
      <c r="A1892" t="s">
        <v>8666</v>
      </c>
      <c r="B1892" t="s">
        <v>8667</v>
      </c>
      <c r="C1892">
        <v>51</v>
      </c>
      <c r="D1892" t="s">
        <v>8668</v>
      </c>
      <c r="E1892" t="s">
        <v>95</v>
      </c>
      <c r="F1892" t="s">
        <v>8669</v>
      </c>
      <c r="G1892" s="86">
        <v>44294</v>
      </c>
      <c r="H1892">
        <v>2</v>
      </c>
      <c r="I1892" t="s">
        <v>27</v>
      </c>
      <c r="J1892" s="86">
        <v>44293</v>
      </c>
      <c r="K1892">
        <v>72.16</v>
      </c>
      <c r="L1892">
        <v>7</v>
      </c>
      <c r="M1892">
        <v>4</v>
      </c>
      <c r="N1892" t="s">
        <v>54</v>
      </c>
      <c r="O1892" t="s">
        <v>31</v>
      </c>
      <c r="P1892" t="s">
        <v>30</v>
      </c>
      <c r="Q1892" t="s">
        <v>32</v>
      </c>
    </row>
    <row r="1893" spans="1:17" x14ac:dyDescent="0.3">
      <c r="A1893" t="s">
        <v>8671</v>
      </c>
      <c r="B1893" t="s">
        <v>8672</v>
      </c>
      <c r="C1893">
        <v>22</v>
      </c>
      <c r="D1893" t="s">
        <v>8673</v>
      </c>
      <c r="E1893" t="s">
        <v>61</v>
      </c>
      <c r="F1893" t="s">
        <v>1454</v>
      </c>
      <c r="G1893" t="s">
        <v>285</v>
      </c>
      <c r="H1893">
        <v>1</v>
      </c>
      <c r="I1893" t="s">
        <v>52</v>
      </c>
      <c r="J1893" t="s">
        <v>4713</v>
      </c>
      <c r="K1893">
        <v>198.07</v>
      </c>
      <c r="L1893">
        <v>5</v>
      </c>
      <c r="M1893">
        <v>36</v>
      </c>
      <c r="N1893" t="s">
        <v>56</v>
      </c>
      <c r="O1893" t="s">
        <v>245</v>
      </c>
      <c r="P1893" t="s">
        <v>54</v>
      </c>
      <c r="Q1893" t="s">
        <v>32</v>
      </c>
    </row>
    <row r="1894" spans="1:17" x14ac:dyDescent="0.3">
      <c r="A1894" t="s">
        <v>8675</v>
      </c>
      <c r="B1894" t="s">
        <v>8676</v>
      </c>
      <c r="C1894">
        <v>34</v>
      </c>
      <c r="D1894" t="s">
        <v>8677</v>
      </c>
      <c r="E1894" t="s">
        <v>40</v>
      </c>
      <c r="F1894" t="s">
        <v>1052</v>
      </c>
      <c r="G1894" s="86">
        <v>45234</v>
      </c>
      <c r="H1894">
        <v>1</v>
      </c>
      <c r="I1894" t="s">
        <v>27</v>
      </c>
      <c r="J1894" t="s">
        <v>1867</v>
      </c>
      <c r="K1894">
        <v>1180.5899999999999</v>
      </c>
      <c r="L1894">
        <v>1</v>
      </c>
      <c r="M1894">
        <v>22</v>
      </c>
      <c r="N1894" t="s">
        <v>68</v>
      </c>
      <c r="O1894" t="s">
        <v>837</v>
      </c>
      <c r="P1894" t="s">
        <v>56</v>
      </c>
      <c r="Q1894" t="s">
        <v>69</v>
      </c>
    </row>
    <row r="1895" spans="1:17" x14ac:dyDescent="0.3">
      <c r="A1895" t="s">
        <v>8679</v>
      </c>
      <c r="B1895" t="s">
        <v>8680</v>
      </c>
      <c r="C1895">
        <v>24</v>
      </c>
      <c r="D1895" t="s">
        <v>8681</v>
      </c>
      <c r="E1895" t="s">
        <v>61</v>
      </c>
      <c r="F1895" s="86">
        <v>44323</v>
      </c>
      <c r="G1895" t="s">
        <v>4079</v>
      </c>
      <c r="H1895">
        <v>3</v>
      </c>
      <c r="I1895" t="s">
        <v>27</v>
      </c>
      <c r="J1895" s="86">
        <v>45058</v>
      </c>
      <c r="K1895">
        <v>83.69</v>
      </c>
      <c r="L1895">
        <v>5</v>
      </c>
      <c r="M1895">
        <v>7</v>
      </c>
      <c r="N1895" t="s">
        <v>68</v>
      </c>
      <c r="O1895" t="s">
        <v>855</v>
      </c>
      <c r="P1895" t="s">
        <v>45</v>
      </c>
      <c r="Q1895" t="s">
        <v>32</v>
      </c>
    </row>
    <row r="1896" spans="1:17" x14ac:dyDescent="0.3">
      <c r="A1896" t="s">
        <v>8683</v>
      </c>
      <c r="B1896" t="s">
        <v>8684</v>
      </c>
      <c r="C1896">
        <v>24</v>
      </c>
      <c r="D1896" t="s">
        <v>8685</v>
      </c>
      <c r="E1896" t="s">
        <v>40</v>
      </c>
      <c r="F1896" s="86">
        <v>44934</v>
      </c>
      <c r="G1896" t="s">
        <v>1918</v>
      </c>
      <c r="H1896">
        <v>5</v>
      </c>
      <c r="I1896" t="s">
        <v>27</v>
      </c>
      <c r="J1896" s="86">
        <v>45784</v>
      </c>
      <c r="K1896">
        <v>228.12</v>
      </c>
      <c r="L1896">
        <v>7</v>
      </c>
      <c r="M1896">
        <v>25</v>
      </c>
      <c r="N1896" t="s">
        <v>68</v>
      </c>
      <c r="O1896" t="s">
        <v>175</v>
      </c>
      <c r="P1896" t="s">
        <v>56</v>
      </c>
      <c r="Q1896" t="s">
        <v>69</v>
      </c>
    </row>
    <row r="1897" spans="1:17" x14ac:dyDescent="0.3">
      <c r="A1897" t="s">
        <v>8687</v>
      </c>
      <c r="B1897" t="s">
        <v>8688</v>
      </c>
      <c r="C1897">
        <v>53</v>
      </c>
      <c r="D1897" t="s">
        <v>8689</v>
      </c>
      <c r="E1897" t="s">
        <v>88</v>
      </c>
      <c r="F1897" t="s">
        <v>4533</v>
      </c>
      <c r="G1897" s="86">
        <v>44867</v>
      </c>
      <c r="H1897">
        <v>4</v>
      </c>
      <c r="I1897" t="s">
        <v>27</v>
      </c>
      <c r="J1897" s="86">
        <v>43994</v>
      </c>
      <c r="K1897">
        <v>284.69</v>
      </c>
      <c r="L1897">
        <v>5</v>
      </c>
      <c r="M1897">
        <v>13</v>
      </c>
      <c r="N1897" t="s">
        <v>68</v>
      </c>
      <c r="O1897" t="s">
        <v>855</v>
      </c>
      <c r="P1897" t="s">
        <v>45</v>
      </c>
      <c r="Q1897" t="s">
        <v>32</v>
      </c>
    </row>
    <row r="1898" spans="1:17" x14ac:dyDescent="0.3">
      <c r="A1898" t="s">
        <v>8691</v>
      </c>
      <c r="B1898" t="s">
        <v>8692</v>
      </c>
      <c r="C1898">
        <v>67</v>
      </c>
      <c r="D1898" t="s">
        <v>8693</v>
      </c>
      <c r="E1898" t="s">
        <v>61</v>
      </c>
      <c r="F1898" s="86">
        <v>44324</v>
      </c>
      <c r="G1898" s="86">
        <v>45482</v>
      </c>
      <c r="H1898">
        <v>1</v>
      </c>
      <c r="I1898" t="s">
        <v>64</v>
      </c>
      <c r="J1898" s="86">
        <v>44562</v>
      </c>
      <c r="K1898">
        <v>10.34</v>
      </c>
      <c r="L1898">
        <v>5</v>
      </c>
      <c r="M1898">
        <v>10</v>
      </c>
      <c r="N1898" t="s">
        <v>45</v>
      </c>
      <c r="O1898" t="s">
        <v>269</v>
      </c>
      <c r="P1898" t="s">
        <v>56</v>
      </c>
      <c r="Q1898" t="s">
        <v>69</v>
      </c>
    </row>
    <row r="1899" spans="1:17" x14ac:dyDescent="0.3">
      <c r="A1899" t="s">
        <v>8695</v>
      </c>
      <c r="B1899" t="s">
        <v>8696</v>
      </c>
      <c r="C1899">
        <v>57</v>
      </c>
      <c r="D1899" t="s">
        <v>8697</v>
      </c>
      <c r="E1899" t="s">
        <v>25</v>
      </c>
      <c r="F1899" s="86">
        <v>44653</v>
      </c>
      <c r="G1899" s="86">
        <v>45210</v>
      </c>
      <c r="H1899">
        <v>5</v>
      </c>
      <c r="I1899" t="s">
        <v>27</v>
      </c>
      <c r="J1899" t="s">
        <v>646</v>
      </c>
      <c r="K1899">
        <v>218.72</v>
      </c>
      <c r="L1899">
        <v>6</v>
      </c>
      <c r="M1899">
        <v>37</v>
      </c>
      <c r="N1899" t="s">
        <v>45</v>
      </c>
      <c r="O1899" t="s">
        <v>366</v>
      </c>
      <c r="P1899" t="s">
        <v>54</v>
      </c>
      <c r="Q1899" t="s">
        <v>32</v>
      </c>
    </row>
    <row r="1900" spans="1:17" x14ac:dyDescent="0.3">
      <c r="A1900" t="s">
        <v>8698</v>
      </c>
      <c r="B1900" t="s">
        <v>8699</v>
      </c>
      <c r="C1900">
        <v>32</v>
      </c>
      <c r="D1900" t="s">
        <v>8700</v>
      </c>
      <c r="E1900" t="s">
        <v>51</v>
      </c>
      <c r="F1900" s="86">
        <v>43963</v>
      </c>
      <c r="G1900" t="s">
        <v>326</v>
      </c>
      <c r="H1900">
        <v>5</v>
      </c>
      <c r="I1900" t="s">
        <v>52</v>
      </c>
      <c r="J1900" s="86">
        <v>45086</v>
      </c>
      <c r="K1900">
        <v>211.68</v>
      </c>
      <c r="L1900">
        <v>6</v>
      </c>
      <c r="M1900">
        <v>25</v>
      </c>
      <c r="N1900" t="s">
        <v>45</v>
      </c>
      <c r="O1900" t="s">
        <v>610</v>
      </c>
      <c r="P1900" t="s">
        <v>68</v>
      </c>
      <c r="Q1900" t="s">
        <v>32</v>
      </c>
    </row>
    <row r="1901" spans="1:17" x14ac:dyDescent="0.3">
      <c r="A1901" t="s">
        <v>8702</v>
      </c>
      <c r="B1901" t="s">
        <v>8703</v>
      </c>
      <c r="C1901">
        <v>45</v>
      </c>
      <c r="D1901" t="s">
        <v>8704</v>
      </c>
      <c r="E1901" t="s">
        <v>51</v>
      </c>
      <c r="F1901" t="s">
        <v>4062</v>
      </c>
      <c r="G1901" s="86">
        <v>45295</v>
      </c>
      <c r="H1901">
        <v>1</v>
      </c>
      <c r="I1901" t="s">
        <v>27</v>
      </c>
      <c r="J1901" t="s">
        <v>1288</v>
      </c>
      <c r="K1901">
        <v>102.92</v>
      </c>
      <c r="L1901">
        <v>7</v>
      </c>
      <c r="M1901">
        <v>2</v>
      </c>
      <c r="N1901" t="s">
        <v>68</v>
      </c>
      <c r="O1901" t="s">
        <v>135</v>
      </c>
      <c r="P1901" t="s">
        <v>45</v>
      </c>
      <c r="Q1901" t="s">
        <v>69</v>
      </c>
    </row>
    <row r="1902" spans="1:17" x14ac:dyDescent="0.3">
      <c r="A1902" t="s">
        <v>8706</v>
      </c>
      <c r="B1902" t="s">
        <v>8707</v>
      </c>
      <c r="C1902">
        <v>52</v>
      </c>
      <c r="D1902" t="s">
        <v>8708</v>
      </c>
      <c r="E1902" t="s">
        <v>51</v>
      </c>
      <c r="F1902" t="s">
        <v>3040</v>
      </c>
      <c r="G1902" s="86">
        <v>45083</v>
      </c>
      <c r="H1902">
        <v>5</v>
      </c>
      <c r="I1902" t="s">
        <v>27</v>
      </c>
      <c r="J1902" s="86">
        <v>45355</v>
      </c>
      <c r="K1902">
        <v>277.83</v>
      </c>
      <c r="L1902">
        <v>6</v>
      </c>
      <c r="M1902">
        <v>41</v>
      </c>
      <c r="N1902" t="s">
        <v>56</v>
      </c>
      <c r="O1902" t="s">
        <v>223</v>
      </c>
      <c r="P1902" t="s">
        <v>56</v>
      </c>
      <c r="Q1902" t="s">
        <v>32</v>
      </c>
    </row>
    <row r="1903" spans="1:17" x14ac:dyDescent="0.3">
      <c r="A1903" t="s">
        <v>8710</v>
      </c>
      <c r="B1903" t="s">
        <v>8711</v>
      </c>
      <c r="C1903">
        <v>51</v>
      </c>
      <c r="D1903" t="s">
        <v>8712</v>
      </c>
      <c r="E1903" t="s">
        <v>25</v>
      </c>
      <c r="F1903" t="s">
        <v>273</v>
      </c>
      <c r="G1903" t="s">
        <v>2066</v>
      </c>
      <c r="H1903">
        <v>2</v>
      </c>
      <c r="I1903" t="s">
        <v>27</v>
      </c>
      <c r="J1903" s="86">
        <v>45809</v>
      </c>
      <c r="K1903">
        <v>224.46</v>
      </c>
      <c r="L1903">
        <v>6</v>
      </c>
      <c r="M1903">
        <v>30</v>
      </c>
      <c r="N1903" t="s">
        <v>68</v>
      </c>
      <c r="O1903" t="s">
        <v>99</v>
      </c>
      <c r="P1903" t="s">
        <v>56</v>
      </c>
      <c r="Q1903" t="s">
        <v>69</v>
      </c>
    </row>
    <row r="1904" spans="1:17" x14ac:dyDescent="0.3">
      <c r="A1904" t="s">
        <v>8714</v>
      </c>
      <c r="B1904" t="s">
        <v>8715</v>
      </c>
      <c r="C1904">
        <v>21</v>
      </c>
      <c r="D1904" t="s">
        <v>8716</v>
      </c>
      <c r="E1904" t="s">
        <v>95</v>
      </c>
      <c r="F1904" t="s">
        <v>8717</v>
      </c>
      <c r="G1904" t="s">
        <v>1189</v>
      </c>
      <c r="H1904">
        <v>4</v>
      </c>
      <c r="I1904" t="s">
        <v>27</v>
      </c>
      <c r="J1904" s="86">
        <v>45109</v>
      </c>
      <c r="K1904">
        <v>277.63</v>
      </c>
      <c r="L1904">
        <v>3</v>
      </c>
      <c r="M1904">
        <v>16</v>
      </c>
      <c r="N1904" t="s">
        <v>68</v>
      </c>
      <c r="O1904" t="s">
        <v>149</v>
      </c>
      <c r="P1904" t="s">
        <v>30</v>
      </c>
      <c r="Q1904" t="s">
        <v>69</v>
      </c>
    </row>
    <row r="1905" spans="1:17" x14ac:dyDescent="0.3">
      <c r="A1905" t="s">
        <v>8719</v>
      </c>
      <c r="B1905" t="s">
        <v>8720</v>
      </c>
      <c r="C1905">
        <v>28</v>
      </c>
      <c r="D1905" t="s">
        <v>8721</v>
      </c>
      <c r="E1905" t="s">
        <v>95</v>
      </c>
      <c r="F1905" t="s">
        <v>645</v>
      </c>
      <c r="G1905" t="s">
        <v>1142</v>
      </c>
      <c r="H1905">
        <v>4</v>
      </c>
      <c r="I1905" t="s">
        <v>27</v>
      </c>
      <c r="J1905" t="s">
        <v>344</v>
      </c>
      <c r="K1905">
        <v>350.36</v>
      </c>
      <c r="L1905">
        <v>4</v>
      </c>
      <c r="M1905">
        <v>22</v>
      </c>
      <c r="N1905" t="s">
        <v>45</v>
      </c>
      <c r="O1905" t="s">
        <v>67</v>
      </c>
      <c r="P1905" t="s">
        <v>68</v>
      </c>
      <c r="Q1905" t="s">
        <v>32</v>
      </c>
    </row>
    <row r="1906" spans="1:17" x14ac:dyDescent="0.3">
      <c r="A1906" t="s">
        <v>8723</v>
      </c>
      <c r="B1906" t="s">
        <v>8724</v>
      </c>
      <c r="C1906">
        <v>26</v>
      </c>
      <c r="D1906" t="s">
        <v>8725</v>
      </c>
      <c r="E1906" t="s">
        <v>95</v>
      </c>
      <c r="F1906" t="s">
        <v>2098</v>
      </c>
      <c r="G1906" s="86">
        <v>45541</v>
      </c>
      <c r="H1906">
        <v>2</v>
      </c>
      <c r="I1906" t="s">
        <v>64</v>
      </c>
      <c r="J1906" t="s">
        <v>3766</v>
      </c>
      <c r="K1906">
        <v>213.68</v>
      </c>
      <c r="L1906">
        <v>5</v>
      </c>
      <c r="M1906">
        <v>35</v>
      </c>
      <c r="N1906" t="s">
        <v>30</v>
      </c>
      <c r="O1906" t="s">
        <v>610</v>
      </c>
      <c r="P1906" t="s">
        <v>68</v>
      </c>
      <c r="Q1906" t="s">
        <v>32</v>
      </c>
    </row>
    <row r="1907" spans="1:17" x14ac:dyDescent="0.3">
      <c r="A1907" t="s">
        <v>8727</v>
      </c>
      <c r="B1907" t="s">
        <v>8728</v>
      </c>
      <c r="C1907">
        <v>59</v>
      </c>
      <c r="D1907" t="s">
        <v>8729</v>
      </c>
      <c r="E1907" t="s">
        <v>51</v>
      </c>
      <c r="F1907" t="s">
        <v>994</v>
      </c>
      <c r="G1907" t="s">
        <v>1397</v>
      </c>
      <c r="H1907">
        <v>4</v>
      </c>
      <c r="I1907" t="s">
        <v>27</v>
      </c>
      <c r="J1907" t="s">
        <v>2388</v>
      </c>
      <c r="K1907">
        <v>36.090000000000003</v>
      </c>
      <c r="L1907">
        <v>8</v>
      </c>
      <c r="M1907">
        <v>27</v>
      </c>
      <c r="N1907" t="s">
        <v>45</v>
      </c>
      <c r="O1907" t="s">
        <v>231</v>
      </c>
      <c r="P1907" t="s">
        <v>30</v>
      </c>
      <c r="Q1907" t="s">
        <v>32</v>
      </c>
    </row>
    <row r="1908" spans="1:17" x14ac:dyDescent="0.3">
      <c r="A1908" t="s">
        <v>8731</v>
      </c>
      <c r="B1908" t="s">
        <v>8732</v>
      </c>
      <c r="C1908">
        <v>18</v>
      </c>
      <c r="D1908" t="s">
        <v>8733</v>
      </c>
      <c r="E1908" t="s">
        <v>61</v>
      </c>
      <c r="F1908" s="86">
        <v>44868</v>
      </c>
      <c r="G1908" s="86">
        <v>44812</v>
      </c>
      <c r="H1908">
        <v>3</v>
      </c>
      <c r="I1908" t="s">
        <v>52</v>
      </c>
      <c r="J1908" s="86">
        <v>45692</v>
      </c>
      <c r="K1908">
        <v>267.89</v>
      </c>
      <c r="L1908">
        <v>6</v>
      </c>
      <c r="M1908">
        <v>2</v>
      </c>
      <c r="N1908" t="s">
        <v>54</v>
      </c>
      <c r="O1908" t="s">
        <v>31</v>
      </c>
      <c r="P1908" t="s">
        <v>30</v>
      </c>
      <c r="Q1908" t="s">
        <v>69</v>
      </c>
    </row>
    <row r="1909" spans="1:17" x14ac:dyDescent="0.3">
      <c r="A1909" t="s">
        <v>8735</v>
      </c>
      <c r="B1909" t="s">
        <v>8736</v>
      </c>
      <c r="C1909">
        <v>40</v>
      </c>
      <c r="D1909" t="s">
        <v>8737</v>
      </c>
      <c r="E1909" t="s">
        <v>88</v>
      </c>
      <c r="F1909" t="s">
        <v>1288</v>
      </c>
      <c r="G1909" t="s">
        <v>4572</v>
      </c>
      <c r="H1909">
        <v>5</v>
      </c>
      <c r="I1909" t="s">
        <v>27</v>
      </c>
      <c r="J1909" s="86">
        <v>45293</v>
      </c>
      <c r="K1909">
        <v>755.64</v>
      </c>
      <c r="L1909">
        <v>2</v>
      </c>
      <c r="M1909">
        <v>38</v>
      </c>
      <c r="N1909" t="s">
        <v>45</v>
      </c>
      <c r="O1909" t="s">
        <v>366</v>
      </c>
      <c r="P1909" t="s">
        <v>54</v>
      </c>
      <c r="Q1909" t="s">
        <v>69</v>
      </c>
    </row>
    <row r="1910" spans="1:17" x14ac:dyDescent="0.3">
      <c r="A1910" t="s">
        <v>8739</v>
      </c>
      <c r="B1910" t="s">
        <v>8740</v>
      </c>
      <c r="C1910">
        <v>25</v>
      </c>
      <c r="D1910" t="s">
        <v>8741</v>
      </c>
      <c r="E1910" t="s">
        <v>61</v>
      </c>
      <c r="F1910" s="86">
        <v>44175</v>
      </c>
      <c r="G1910" t="s">
        <v>1588</v>
      </c>
      <c r="H1910">
        <v>5</v>
      </c>
      <c r="I1910" t="s">
        <v>52</v>
      </c>
      <c r="J1910" s="86">
        <v>44744</v>
      </c>
      <c r="K1910">
        <v>1725.32</v>
      </c>
      <c r="L1910">
        <v>1</v>
      </c>
      <c r="M1910">
        <v>5</v>
      </c>
      <c r="N1910" t="s">
        <v>56</v>
      </c>
      <c r="O1910" t="s">
        <v>149</v>
      </c>
      <c r="P1910" t="s">
        <v>30</v>
      </c>
      <c r="Q1910" t="s">
        <v>69</v>
      </c>
    </row>
    <row r="1911" spans="1:17" x14ac:dyDescent="0.3">
      <c r="A1911" t="s">
        <v>8743</v>
      </c>
      <c r="B1911" t="s">
        <v>8744</v>
      </c>
      <c r="C1911">
        <v>29</v>
      </c>
      <c r="D1911" t="s">
        <v>8745</v>
      </c>
      <c r="E1911" t="s">
        <v>40</v>
      </c>
      <c r="F1911" t="s">
        <v>3398</v>
      </c>
      <c r="G1911" s="86">
        <v>45575</v>
      </c>
      <c r="H1911">
        <v>5</v>
      </c>
      <c r="I1911" t="s">
        <v>27</v>
      </c>
      <c r="J1911" s="86">
        <v>45785</v>
      </c>
      <c r="K1911">
        <v>87.1</v>
      </c>
      <c r="L1911">
        <v>7</v>
      </c>
      <c r="M1911">
        <v>45</v>
      </c>
      <c r="N1911" t="s">
        <v>30</v>
      </c>
      <c r="O1911" t="s">
        <v>122</v>
      </c>
      <c r="P1911" t="s">
        <v>30</v>
      </c>
      <c r="Q1911" t="s">
        <v>69</v>
      </c>
    </row>
    <row r="1912" spans="1:17" x14ac:dyDescent="0.3">
      <c r="A1912" t="s">
        <v>8747</v>
      </c>
      <c r="B1912" t="s">
        <v>8748</v>
      </c>
      <c r="C1912">
        <v>63</v>
      </c>
      <c r="D1912" t="s">
        <v>8749</v>
      </c>
      <c r="E1912" t="s">
        <v>40</v>
      </c>
      <c r="F1912" t="s">
        <v>2055</v>
      </c>
      <c r="G1912" t="s">
        <v>2455</v>
      </c>
      <c r="H1912">
        <v>1</v>
      </c>
      <c r="I1912" t="s">
        <v>27</v>
      </c>
      <c r="J1912" t="s">
        <v>3097</v>
      </c>
      <c r="K1912">
        <v>104.59</v>
      </c>
      <c r="L1912">
        <v>6</v>
      </c>
      <c r="M1912">
        <v>22</v>
      </c>
      <c r="N1912" t="s">
        <v>68</v>
      </c>
      <c r="O1912" t="s">
        <v>223</v>
      </c>
      <c r="P1912" t="s">
        <v>56</v>
      </c>
      <c r="Q1912" t="s">
        <v>69</v>
      </c>
    </row>
    <row r="1913" spans="1:17" x14ac:dyDescent="0.3">
      <c r="A1913" t="s">
        <v>8751</v>
      </c>
      <c r="B1913" t="s">
        <v>8752</v>
      </c>
      <c r="C1913">
        <v>44</v>
      </c>
      <c r="D1913" t="s">
        <v>8753</v>
      </c>
      <c r="E1913" t="s">
        <v>95</v>
      </c>
      <c r="F1913" s="86">
        <v>44444</v>
      </c>
      <c r="G1913" t="s">
        <v>3899</v>
      </c>
      <c r="H1913">
        <v>1</v>
      </c>
      <c r="I1913" t="s">
        <v>52</v>
      </c>
      <c r="J1913" t="s">
        <v>652</v>
      </c>
      <c r="K1913">
        <v>79.28</v>
      </c>
      <c r="L1913">
        <v>2</v>
      </c>
      <c r="M1913">
        <v>9</v>
      </c>
      <c r="N1913" t="s">
        <v>54</v>
      </c>
      <c r="O1913" t="s">
        <v>238</v>
      </c>
      <c r="P1913" t="s">
        <v>45</v>
      </c>
      <c r="Q1913" t="s">
        <v>32</v>
      </c>
    </row>
    <row r="1914" spans="1:17" x14ac:dyDescent="0.3">
      <c r="A1914" t="s">
        <v>8755</v>
      </c>
      <c r="B1914" t="s">
        <v>8756</v>
      </c>
      <c r="C1914">
        <v>48</v>
      </c>
      <c r="D1914" t="s">
        <v>8757</v>
      </c>
      <c r="E1914" t="s">
        <v>51</v>
      </c>
      <c r="F1914" s="86">
        <v>45231</v>
      </c>
      <c r="G1914" t="s">
        <v>2337</v>
      </c>
      <c r="H1914">
        <v>0</v>
      </c>
      <c r="I1914" t="s">
        <v>27</v>
      </c>
      <c r="J1914" t="s">
        <v>8758</v>
      </c>
      <c r="K1914">
        <v>197.22</v>
      </c>
      <c r="L1914">
        <v>6</v>
      </c>
      <c r="M1914">
        <v>9</v>
      </c>
      <c r="N1914" t="s">
        <v>54</v>
      </c>
      <c r="O1914" t="s">
        <v>149</v>
      </c>
      <c r="P1914" t="s">
        <v>30</v>
      </c>
      <c r="Q1914" t="s">
        <v>69</v>
      </c>
    </row>
    <row r="1915" spans="1:17" x14ac:dyDescent="0.3">
      <c r="A1915" t="s">
        <v>8760</v>
      </c>
      <c r="B1915" t="s">
        <v>8761</v>
      </c>
      <c r="C1915">
        <v>45</v>
      </c>
      <c r="D1915" t="s">
        <v>8762</v>
      </c>
      <c r="E1915" t="s">
        <v>51</v>
      </c>
      <c r="F1915" s="86">
        <v>44288</v>
      </c>
      <c r="G1915" s="86">
        <v>44718</v>
      </c>
      <c r="H1915">
        <v>4</v>
      </c>
      <c r="I1915" t="s">
        <v>64</v>
      </c>
      <c r="J1915" t="s">
        <v>8763</v>
      </c>
      <c r="K1915">
        <v>343.73</v>
      </c>
      <c r="L1915">
        <v>1</v>
      </c>
      <c r="M1915">
        <v>23</v>
      </c>
      <c r="N1915" t="s">
        <v>68</v>
      </c>
      <c r="O1915" t="s">
        <v>157</v>
      </c>
      <c r="P1915" t="s">
        <v>68</v>
      </c>
      <c r="Q1915" t="s">
        <v>69</v>
      </c>
    </row>
    <row r="1916" spans="1:17" x14ac:dyDescent="0.3">
      <c r="A1916" t="s">
        <v>8765</v>
      </c>
      <c r="B1916" t="s">
        <v>8766</v>
      </c>
      <c r="C1916">
        <v>67</v>
      </c>
      <c r="D1916" t="s">
        <v>8767</v>
      </c>
      <c r="E1916" t="s">
        <v>61</v>
      </c>
      <c r="F1916" t="s">
        <v>2649</v>
      </c>
      <c r="G1916" t="s">
        <v>4608</v>
      </c>
      <c r="H1916">
        <v>3</v>
      </c>
      <c r="I1916" t="s">
        <v>27</v>
      </c>
      <c r="J1916" t="s">
        <v>2403</v>
      </c>
      <c r="K1916">
        <v>183.62</v>
      </c>
      <c r="L1916">
        <v>6</v>
      </c>
      <c r="M1916">
        <v>37</v>
      </c>
      <c r="N1916" t="s">
        <v>45</v>
      </c>
      <c r="O1916" t="s">
        <v>223</v>
      </c>
      <c r="P1916" t="s">
        <v>56</v>
      </c>
      <c r="Q1916" t="s">
        <v>32</v>
      </c>
    </row>
    <row r="1917" spans="1:17" x14ac:dyDescent="0.3">
      <c r="A1917" t="s">
        <v>8769</v>
      </c>
      <c r="B1917" t="s">
        <v>8770</v>
      </c>
      <c r="C1917">
        <v>25</v>
      </c>
      <c r="D1917" t="s">
        <v>8771</v>
      </c>
      <c r="E1917" t="s">
        <v>25</v>
      </c>
      <c r="F1917" t="s">
        <v>445</v>
      </c>
      <c r="G1917" s="86">
        <v>45901</v>
      </c>
      <c r="H1917">
        <v>5</v>
      </c>
      <c r="I1917" t="s">
        <v>27</v>
      </c>
      <c r="J1917" t="s">
        <v>3841</v>
      </c>
      <c r="K1917">
        <v>266.26</v>
      </c>
      <c r="L1917">
        <v>7</v>
      </c>
      <c r="M1917">
        <v>15</v>
      </c>
      <c r="N1917" t="s">
        <v>56</v>
      </c>
      <c r="O1917" t="s">
        <v>157</v>
      </c>
      <c r="P1917" t="s">
        <v>68</v>
      </c>
      <c r="Q1917" t="s">
        <v>322</v>
      </c>
    </row>
    <row r="1918" spans="1:17" x14ac:dyDescent="0.3">
      <c r="A1918" t="s">
        <v>8773</v>
      </c>
      <c r="B1918" t="s">
        <v>8774</v>
      </c>
      <c r="C1918">
        <v>39</v>
      </c>
      <c r="D1918" t="s">
        <v>8775</v>
      </c>
      <c r="E1918" t="s">
        <v>88</v>
      </c>
      <c r="F1918" s="86">
        <v>43930</v>
      </c>
      <c r="G1918" t="s">
        <v>561</v>
      </c>
      <c r="H1918">
        <v>3</v>
      </c>
      <c r="I1918" t="s">
        <v>27</v>
      </c>
      <c r="J1918" t="s">
        <v>1989</v>
      </c>
      <c r="K1918">
        <v>231.08</v>
      </c>
      <c r="L1918">
        <v>6</v>
      </c>
      <c r="M1918">
        <v>4</v>
      </c>
      <c r="N1918" t="s">
        <v>68</v>
      </c>
      <c r="O1918" t="s">
        <v>223</v>
      </c>
      <c r="P1918" t="s">
        <v>56</v>
      </c>
      <c r="Q1918" t="s">
        <v>69</v>
      </c>
    </row>
    <row r="1919" spans="1:17" x14ac:dyDescent="0.3">
      <c r="A1919" t="s">
        <v>8777</v>
      </c>
      <c r="B1919" t="s">
        <v>8778</v>
      </c>
      <c r="C1919">
        <v>42</v>
      </c>
      <c r="D1919" t="s">
        <v>8779</v>
      </c>
      <c r="E1919" t="s">
        <v>51</v>
      </c>
      <c r="F1919" s="86">
        <v>44538</v>
      </c>
      <c r="G1919" t="s">
        <v>1190</v>
      </c>
      <c r="H1919">
        <v>2</v>
      </c>
      <c r="I1919" t="s">
        <v>27</v>
      </c>
      <c r="J1919" s="86">
        <v>44743</v>
      </c>
      <c r="K1919">
        <v>261.02999999999997</v>
      </c>
      <c r="L1919">
        <v>7</v>
      </c>
      <c r="M1919">
        <v>15</v>
      </c>
      <c r="N1919" t="s">
        <v>56</v>
      </c>
      <c r="O1919" t="s">
        <v>194</v>
      </c>
      <c r="P1919" t="s">
        <v>56</v>
      </c>
      <c r="Q1919" t="s">
        <v>69</v>
      </c>
    </row>
    <row r="1920" spans="1:17" x14ac:dyDescent="0.3">
      <c r="A1920" t="s">
        <v>8781</v>
      </c>
      <c r="B1920" t="s">
        <v>8782</v>
      </c>
      <c r="C1920">
        <v>49</v>
      </c>
      <c r="D1920" t="s">
        <v>8783</v>
      </c>
      <c r="E1920" t="s">
        <v>61</v>
      </c>
      <c r="F1920" t="s">
        <v>8784</v>
      </c>
      <c r="G1920" t="s">
        <v>2431</v>
      </c>
      <c r="H1920">
        <v>2</v>
      </c>
      <c r="I1920" t="s">
        <v>27</v>
      </c>
      <c r="J1920" s="86">
        <v>45142</v>
      </c>
      <c r="K1920">
        <v>220.35</v>
      </c>
      <c r="L1920">
        <v>4</v>
      </c>
      <c r="M1920">
        <v>25</v>
      </c>
      <c r="N1920" t="s">
        <v>30</v>
      </c>
      <c r="O1920" t="s">
        <v>855</v>
      </c>
      <c r="P1920" t="s">
        <v>45</v>
      </c>
      <c r="Q1920" t="s">
        <v>69</v>
      </c>
    </row>
    <row r="1921" spans="1:17" x14ac:dyDescent="0.3">
      <c r="A1921" t="s">
        <v>8786</v>
      </c>
      <c r="B1921" t="s">
        <v>8787</v>
      </c>
      <c r="C1921">
        <v>22</v>
      </c>
      <c r="D1921" t="s">
        <v>8788</v>
      </c>
      <c r="E1921" t="s">
        <v>25</v>
      </c>
      <c r="F1921" s="86">
        <v>44351</v>
      </c>
      <c r="G1921" t="s">
        <v>1215</v>
      </c>
      <c r="H1921">
        <v>2</v>
      </c>
      <c r="I1921" t="s">
        <v>64</v>
      </c>
      <c r="J1921" s="86">
        <v>45569</v>
      </c>
      <c r="K1921">
        <v>88.49</v>
      </c>
      <c r="L1921">
        <v>7</v>
      </c>
      <c r="M1921">
        <v>34</v>
      </c>
      <c r="N1921" t="s">
        <v>56</v>
      </c>
      <c r="O1921" t="s">
        <v>122</v>
      </c>
      <c r="P1921" t="s">
        <v>30</v>
      </c>
      <c r="Q1921" t="s">
        <v>32</v>
      </c>
    </row>
    <row r="1922" spans="1:17" x14ac:dyDescent="0.3">
      <c r="A1922" t="s">
        <v>8790</v>
      </c>
      <c r="B1922" t="s">
        <v>8791</v>
      </c>
      <c r="C1922">
        <v>64</v>
      </c>
      <c r="D1922" t="s">
        <v>8792</v>
      </c>
      <c r="E1922" t="s">
        <v>51</v>
      </c>
      <c r="F1922" t="s">
        <v>1764</v>
      </c>
      <c r="G1922" t="s">
        <v>8793</v>
      </c>
      <c r="H1922">
        <v>4</v>
      </c>
      <c r="I1922" t="s">
        <v>52</v>
      </c>
      <c r="J1922" s="86">
        <v>45568</v>
      </c>
      <c r="K1922">
        <v>229.56</v>
      </c>
      <c r="L1922">
        <v>7</v>
      </c>
      <c r="M1922">
        <v>9</v>
      </c>
      <c r="N1922" t="s">
        <v>30</v>
      </c>
      <c r="O1922" t="s">
        <v>238</v>
      </c>
      <c r="P1922" t="s">
        <v>45</v>
      </c>
      <c r="Q1922" t="s">
        <v>32</v>
      </c>
    </row>
    <row r="1923" spans="1:17" x14ac:dyDescent="0.3">
      <c r="A1923" t="s">
        <v>8795</v>
      </c>
      <c r="B1923" t="s">
        <v>8796</v>
      </c>
      <c r="C1923">
        <v>64</v>
      </c>
      <c r="D1923" t="s">
        <v>8797</v>
      </c>
      <c r="E1923" t="s">
        <v>51</v>
      </c>
      <c r="F1923" t="s">
        <v>7323</v>
      </c>
      <c r="G1923" s="86">
        <v>45995</v>
      </c>
      <c r="H1923">
        <v>3</v>
      </c>
      <c r="I1923" t="s">
        <v>27</v>
      </c>
      <c r="J1923" s="86">
        <v>45753</v>
      </c>
      <c r="K1923">
        <v>38.42</v>
      </c>
      <c r="L1923">
        <v>6</v>
      </c>
      <c r="M1923">
        <v>34</v>
      </c>
      <c r="N1923" t="s">
        <v>54</v>
      </c>
      <c r="O1923" t="s">
        <v>116</v>
      </c>
      <c r="P1923" t="s">
        <v>54</v>
      </c>
      <c r="Q1923" t="s">
        <v>32</v>
      </c>
    </row>
    <row r="1924" spans="1:17" x14ac:dyDescent="0.3">
      <c r="A1924" t="s">
        <v>8799</v>
      </c>
      <c r="B1924" t="s">
        <v>8800</v>
      </c>
      <c r="C1924">
        <v>51</v>
      </c>
      <c r="D1924" t="s">
        <v>8801</v>
      </c>
      <c r="E1924" t="s">
        <v>51</v>
      </c>
      <c r="F1924" t="s">
        <v>4113</v>
      </c>
      <c r="G1924" s="86">
        <v>45902</v>
      </c>
      <c r="H1924">
        <v>1</v>
      </c>
      <c r="I1924" t="s">
        <v>52</v>
      </c>
      <c r="J1924" t="s">
        <v>256</v>
      </c>
      <c r="K1924">
        <v>35.18</v>
      </c>
      <c r="L1924">
        <v>6</v>
      </c>
      <c r="M1924">
        <v>26</v>
      </c>
      <c r="N1924" t="s">
        <v>68</v>
      </c>
      <c r="O1924" t="s">
        <v>855</v>
      </c>
      <c r="P1924" t="s">
        <v>45</v>
      </c>
      <c r="Q1924" t="s">
        <v>69</v>
      </c>
    </row>
    <row r="1925" spans="1:17" x14ac:dyDescent="0.3">
      <c r="A1925" t="s">
        <v>8803</v>
      </c>
      <c r="B1925" t="s">
        <v>8804</v>
      </c>
      <c r="C1925">
        <v>44</v>
      </c>
      <c r="D1925" t="s">
        <v>8805</v>
      </c>
      <c r="E1925" t="s">
        <v>88</v>
      </c>
      <c r="F1925" t="s">
        <v>3001</v>
      </c>
      <c r="G1925" t="s">
        <v>4786</v>
      </c>
      <c r="H1925">
        <v>0</v>
      </c>
      <c r="I1925" t="s">
        <v>27</v>
      </c>
      <c r="J1925" s="86">
        <v>45753</v>
      </c>
      <c r="K1925">
        <v>96.43</v>
      </c>
      <c r="L1925">
        <v>1</v>
      </c>
      <c r="M1925">
        <v>8</v>
      </c>
      <c r="N1925" t="s">
        <v>30</v>
      </c>
      <c r="O1925" t="s">
        <v>91</v>
      </c>
      <c r="P1925" t="s">
        <v>54</v>
      </c>
      <c r="Q1925" t="s">
        <v>32</v>
      </c>
    </row>
    <row r="1926" spans="1:17" x14ac:dyDescent="0.3">
      <c r="A1926" t="s">
        <v>8807</v>
      </c>
      <c r="B1926" t="s">
        <v>8808</v>
      </c>
      <c r="C1926">
        <v>53</v>
      </c>
      <c r="D1926" t="s">
        <v>8809</v>
      </c>
      <c r="E1926" t="s">
        <v>40</v>
      </c>
      <c r="F1926" s="86">
        <v>44266</v>
      </c>
      <c r="G1926" t="s">
        <v>691</v>
      </c>
      <c r="H1926">
        <v>0</v>
      </c>
      <c r="I1926" t="s">
        <v>27</v>
      </c>
      <c r="J1926" t="s">
        <v>8810</v>
      </c>
      <c r="K1926">
        <v>198.52</v>
      </c>
      <c r="L1926">
        <v>9</v>
      </c>
      <c r="M1926">
        <v>44</v>
      </c>
      <c r="N1926" t="s">
        <v>45</v>
      </c>
      <c r="O1926" t="s">
        <v>251</v>
      </c>
      <c r="P1926" t="s">
        <v>30</v>
      </c>
      <c r="Q1926" t="s">
        <v>69</v>
      </c>
    </row>
    <row r="1927" spans="1:17" x14ac:dyDescent="0.3">
      <c r="A1927" t="s">
        <v>8812</v>
      </c>
      <c r="B1927" t="s">
        <v>8813</v>
      </c>
      <c r="C1927">
        <v>33</v>
      </c>
      <c r="D1927" t="s">
        <v>8814</v>
      </c>
      <c r="E1927" t="s">
        <v>51</v>
      </c>
      <c r="F1927" t="s">
        <v>939</v>
      </c>
      <c r="G1927" t="s">
        <v>1988</v>
      </c>
      <c r="H1927">
        <v>4</v>
      </c>
      <c r="I1927" t="s">
        <v>64</v>
      </c>
      <c r="J1927" s="86">
        <v>45690</v>
      </c>
      <c r="K1927">
        <v>423.9</v>
      </c>
      <c r="L1927">
        <v>3</v>
      </c>
      <c r="M1927">
        <v>47</v>
      </c>
      <c r="N1927" t="s">
        <v>30</v>
      </c>
      <c r="O1927" t="s">
        <v>44</v>
      </c>
      <c r="P1927" t="s">
        <v>45</v>
      </c>
      <c r="Q1927" t="s">
        <v>32</v>
      </c>
    </row>
    <row r="1928" spans="1:17" x14ac:dyDescent="0.3">
      <c r="A1928" t="s">
        <v>8816</v>
      </c>
      <c r="B1928" t="s">
        <v>8817</v>
      </c>
      <c r="C1928">
        <v>27</v>
      </c>
      <c r="D1928" t="s">
        <v>8818</v>
      </c>
      <c r="E1928" t="s">
        <v>25</v>
      </c>
      <c r="F1928" s="86">
        <v>45080</v>
      </c>
      <c r="G1928" t="s">
        <v>5101</v>
      </c>
      <c r="H1928">
        <v>2</v>
      </c>
      <c r="I1928" t="s">
        <v>27</v>
      </c>
      <c r="J1928" t="s">
        <v>508</v>
      </c>
      <c r="K1928">
        <v>182.16</v>
      </c>
      <c r="L1928">
        <v>4</v>
      </c>
      <c r="M1928">
        <v>48</v>
      </c>
      <c r="N1928" t="s">
        <v>56</v>
      </c>
      <c r="O1928" t="s">
        <v>223</v>
      </c>
      <c r="P1928" t="s">
        <v>56</v>
      </c>
      <c r="Q1928" t="s">
        <v>32</v>
      </c>
    </row>
    <row r="1929" spans="1:17" x14ac:dyDescent="0.3">
      <c r="A1929" t="s">
        <v>8820</v>
      </c>
      <c r="B1929" t="s">
        <v>8821</v>
      </c>
      <c r="C1929">
        <v>30</v>
      </c>
      <c r="D1929" t="s">
        <v>8822</v>
      </c>
      <c r="E1929" t="s">
        <v>40</v>
      </c>
      <c r="F1929" s="86">
        <v>44900</v>
      </c>
      <c r="G1929" t="s">
        <v>5692</v>
      </c>
      <c r="H1929">
        <v>2</v>
      </c>
      <c r="I1929" t="s">
        <v>52</v>
      </c>
      <c r="J1929" t="s">
        <v>1551</v>
      </c>
      <c r="K1929">
        <v>978.85</v>
      </c>
      <c r="L1929">
        <v>1</v>
      </c>
      <c r="M1929">
        <v>44</v>
      </c>
      <c r="N1929" t="s">
        <v>30</v>
      </c>
      <c r="O1929" t="s">
        <v>373</v>
      </c>
      <c r="P1929" t="s">
        <v>54</v>
      </c>
      <c r="Q1929" t="s">
        <v>32</v>
      </c>
    </row>
    <row r="1930" spans="1:17" x14ac:dyDescent="0.3">
      <c r="A1930" t="s">
        <v>8824</v>
      </c>
      <c r="B1930" t="s">
        <v>8825</v>
      </c>
      <c r="C1930">
        <v>27</v>
      </c>
      <c r="D1930" t="s">
        <v>8826</v>
      </c>
      <c r="E1930" t="s">
        <v>88</v>
      </c>
      <c r="F1930" t="s">
        <v>1189</v>
      </c>
      <c r="G1930" t="s">
        <v>2201</v>
      </c>
      <c r="H1930">
        <v>1</v>
      </c>
      <c r="I1930" t="s">
        <v>52</v>
      </c>
      <c r="J1930" t="s">
        <v>1791</v>
      </c>
      <c r="K1930">
        <v>657.06</v>
      </c>
      <c r="L1930">
        <v>2</v>
      </c>
      <c r="M1930">
        <v>31</v>
      </c>
      <c r="N1930" t="s">
        <v>45</v>
      </c>
      <c r="O1930" t="s">
        <v>855</v>
      </c>
      <c r="P1930" t="s">
        <v>45</v>
      </c>
      <c r="Q1930" t="s">
        <v>32</v>
      </c>
    </row>
    <row r="1931" spans="1:17" x14ac:dyDescent="0.3">
      <c r="A1931" t="s">
        <v>8828</v>
      </c>
      <c r="B1931" t="s">
        <v>8829</v>
      </c>
      <c r="C1931">
        <v>18</v>
      </c>
      <c r="D1931" t="s">
        <v>8830</v>
      </c>
      <c r="E1931" t="s">
        <v>40</v>
      </c>
      <c r="F1931" t="s">
        <v>337</v>
      </c>
      <c r="G1931" t="s">
        <v>1977</v>
      </c>
      <c r="H1931">
        <v>5</v>
      </c>
      <c r="I1931" t="s">
        <v>27</v>
      </c>
      <c r="J1931" t="s">
        <v>550</v>
      </c>
      <c r="K1931">
        <v>6.78</v>
      </c>
      <c r="L1931">
        <v>8</v>
      </c>
      <c r="M1931">
        <v>41</v>
      </c>
      <c r="N1931" t="s">
        <v>45</v>
      </c>
      <c r="O1931" t="s">
        <v>199</v>
      </c>
      <c r="P1931" t="s">
        <v>54</v>
      </c>
      <c r="Q1931" t="s">
        <v>32</v>
      </c>
    </row>
    <row r="1932" spans="1:17" x14ac:dyDescent="0.3">
      <c r="A1932" t="s">
        <v>8832</v>
      </c>
      <c r="B1932" t="s">
        <v>8833</v>
      </c>
      <c r="C1932">
        <v>21</v>
      </c>
      <c r="D1932" t="s">
        <v>8834</v>
      </c>
      <c r="E1932" t="s">
        <v>61</v>
      </c>
      <c r="F1932" t="s">
        <v>3367</v>
      </c>
      <c r="G1932" t="s">
        <v>339</v>
      </c>
      <c r="H1932">
        <v>0</v>
      </c>
      <c r="I1932" t="s">
        <v>52</v>
      </c>
      <c r="J1932" t="s">
        <v>1396</v>
      </c>
      <c r="K1932">
        <v>289.8</v>
      </c>
      <c r="L1932">
        <v>2</v>
      </c>
      <c r="M1932">
        <v>48</v>
      </c>
      <c r="N1932" t="s">
        <v>30</v>
      </c>
      <c r="O1932" t="s">
        <v>99</v>
      </c>
      <c r="P1932" t="s">
        <v>56</v>
      </c>
      <c r="Q1932" t="s">
        <v>69</v>
      </c>
    </row>
    <row r="1933" spans="1:17" x14ac:dyDescent="0.3">
      <c r="A1933" t="s">
        <v>8836</v>
      </c>
      <c r="B1933" t="s">
        <v>8837</v>
      </c>
      <c r="C1933">
        <v>19</v>
      </c>
      <c r="D1933" t="s">
        <v>8838</v>
      </c>
      <c r="E1933" t="s">
        <v>40</v>
      </c>
      <c r="F1933" s="86">
        <v>44598</v>
      </c>
      <c r="G1933" t="s">
        <v>1397</v>
      </c>
      <c r="H1933">
        <v>0</v>
      </c>
      <c r="I1933" t="s">
        <v>52</v>
      </c>
      <c r="J1933" t="s">
        <v>1200</v>
      </c>
      <c r="K1933">
        <v>21.72</v>
      </c>
      <c r="L1933">
        <v>8</v>
      </c>
      <c r="M1933">
        <v>12</v>
      </c>
      <c r="N1933" t="s">
        <v>56</v>
      </c>
      <c r="O1933" t="s">
        <v>142</v>
      </c>
      <c r="P1933" t="s">
        <v>68</v>
      </c>
      <c r="Q1933" t="s">
        <v>32</v>
      </c>
    </row>
    <row r="1934" spans="1:17" x14ac:dyDescent="0.3">
      <c r="A1934" t="s">
        <v>8840</v>
      </c>
      <c r="B1934" t="s">
        <v>8841</v>
      </c>
      <c r="C1934">
        <v>49</v>
      </c>
      <c r="D1934" t="s">
        <v>8842</v>
      </c>
      <c r="E1934" t="s">
        <v>95</v>
      </c>
      <c r="F1934" s="86">
        <v>44383</v>
      </c>
      <c r="G1934" t="s">
        <v>5110</v>
      </c>
      <c r="H1934">
        <v>1</v>
      </c>
      <c r="I1934" t="s">
        <v>52</v>
      </c>
      <c r="J1934" t="s">
        <v>4456</v>
      </c>
      <c r="K1934">
        <v>780.1</v>
      </c>
      <c r="L1934">
        <v>1</v>
      </c>
      <c r="M1934">
        <v>32</v>
      </c>
      <c r="N1934" t="s">
        <v>45</v>
      </c>
      <c r="O1934" t="s">
        <v>199</v>
      </c>
      <c r="P1934" t="s">
        <v>54</v>
      </c>
      <c r="Q1934" t="s">
        <v>32</v>
      </c>
    </row>
    <row r="1935" spans="1:17" x14ac:dyDescent="0.3">
      <c r="A1935" t="s">
        <v>8844</v>
      </c>
      <c r="B1935" t="s">
        <v>8845</v>
      </c>
      <c r="C1935">
        <v>46</v>
      </c>
      <c r="D1935" t="s">
        <v>8846</v>
      </c>
      <c r="E1935" t="s">
        <v>25</v>
      </c>
      <c r="F1935" t="s">
        <v>835</v>
      </c>
      <c r="G1935" s="86">
        <v>45658</v>
      </c>
      <c r="H1935">
        <v>0</v>
      </c>
      <c r="I1935" t="s">
        <v>27</v>
      </c>
      <c r="J1935" t="s">
        <v>1675</v>
      </c>
      <c r="K1935">
        <v>460.48</v>
      </c>
      <c r="L1935">
        <v>3</v>
      </c>
      <c r="M1935">
        <v>8</v>
      </c>
      <c r="N1935" t="s">
        <v>30</v>
      </c>
      <c r="O1935" t="s">
        <v>366</v>
      </c>
      <c r="P1935" t="s">
        <v>54</v>
      </c>
      <c r="Q1935" t="s">
        <v>69</v>
      </c>
    </row>
    <row r="1936" spans="1:17" x14ac:dyDescent="0.3">
      <c r="A1936" t="s">
        <v>8848</v>
      </c>
      <c r="B1936" t="s">
        <v>8849</v>
      </c>
      <c r="C1936">
        <v>58</v>
      </c>
      <c r="D1936" t="s">
        <v>8850</v>
      </c>
      <c r="E1936" t="s">
        <v>88</v>
      </c>
      <c r="F1936" t="s">
        <v>1396</v>
      </c>
      <c r="G1936" t="s">
        <v>551</v>
      </c>
      <c r="H1936">
        <v>5</v>
      </c>
      <c r="I1936" t="s">
        <v>27</v>
      </c>
      <c r="J1936" t="s">
        <v>2354</v>
      </c>
      <c r="K1936">
        <v>332.45</v>
      </c>
      <c r="L1936">
        <v>6</v>
      </c>
      <c r="M1936">
        <v>1</v>
      </c>
      <c r="N1936" t="s">
        <v>54</v>
      </c>
      <c r="O1936" t="s">
        <v>354</v>
      </c>
      <c r="P1936" t="s">
        <v>45</v>
      </c>
      <c r="Q1936" t="s">
        <v>32</v>
      </c>
    </row>
    <row r="1937" spans="1:17" x14ac:dyDescent="0.3">
      <c r="A1937" t="s">
        <v>8852</v>
      </c>
      <c r="B1937" t="s">
        <v>8853</v>
      </c>
      <c r="C1937">
        <v>26</v>
      </c>
      <c r="D1937" t="s">
        <v>8854</v>
      </c>
      <c r="E1937" t="s">
        <v>88</v>
      </c>
      <c r="F1937" t="s">
        <v>236</v>
      </c>
      <c r="G1937" s="86">
        <v>45081</v>
      </c>
      <c r="H1937">
        <v>0</v>
      </c>
      <c r="I1937" t="s">
        <v>27</v>
      </c>
      <c r="J1937" s="86">
        <v>45391</v>
      </c>
      <c r="K1937">
        <v>66.25</v>
      </c>
      <c r="L1937">
        <v>4</v>
      </c>
      <c r="M1937">
        <v>2</v>
      </c>
      <c r="N1937" t="s">
        <v>30</v>
      </c>
      <c r="O1937" t="s">
        <v>223</v>
      </c>
      <c r="P1937" t="s">
        <v>56</v>
      </c>
      <c r="Q1937" t="s">
        <v>322</v>
      </c>
    </row>
    <row r="1938" spans="1:17" x14ac:dyDescent="0.3">
      <c r="A1938" t="s">
        <v>8856</v>
      </c>
      <c r="B1938" t="s">
        <v>8857</v>
      </c>
      <c r="C1938">
        <v>49</v>
      </c>
      <c r="D1938" t="s">
        <v>8858</v>
      </c>
      <c r="E1938" t="s">
        <v>40</v>
      </c>
      <c r="F1938" s="86">
        <v>44085</v>
      </c>
      <c r="G1938" t="s">
        <v>1252</v>
      </c>
      <c r="H1938">
        <v>0</v>
      </c>
      <c r="I1938" t="s">
        <v>52</v>
      </c>
      <c r="J1938" s="86">
        <v>44448</v>
      </c>
      <c r="K1938">
        <v>132.91999999999999</v>
      </c>
      <c r="L1938">
        <v>8</v>
      </c>
      <c r="M1938">
        <v>14</v>
      </c>
      <c r="N1938" t="s">
        <v>45</v>
      </c>
      <c r="O1938" t="s">
        <v>157</v>
      </c>
      <c r="P1938" t="s">
        <v>68</v>
      </c>
      <c r="Q1938" t="s">
        <v>69</v>
      </c>
    </row>
    <row r="1939" spans="1:17" x14ac:dyDescent="0.3">
      <c r="A1939" t="s">
        <v>8860</v>
      </c>
      <c r="B1939" t="s">
        <v>8861</v>
      </c>
      <c r="C1939">
        <v>63</v>
      </c>
      <c r="D1939" t="s">
        <v>8862</v>
      </c>
      <c r="E1939" t="s">
        <v>88</v>
      </c>
      <c r="F1939" t="s">
        <v>4713</v>
      </c>
      <c r="G1939" s="86">
        <v>45170</v>
      </c>
      <c r="H1939">
        <v>0</v>
      </c>
      <c r="I1939" t="s">
        <v>27</v>
      </c>
      <c r="J1939" s="86">
        <v>45356</v>
      </c>
      <c r="K1939">
        <v>187.24</v>
      </c>
      <c r="L1939">
        <v>9</v>
      </c>
      <c r="M1939">
        <v>5</v>
      </c>
      <c r="N1939" t="s">
        <v>30</v>
      </c>
      <c r="O1939" t="s">
        <v>373</v>
      </c>
      <c r="P1939" t="s">
        <v>54</v>
      </c>
      <c r="Q1939" t="s">
        <v>32</v>
      </c>
    </row>
    <row r="1940" spans="1:17" x14ac:dyDescent="0.3">
      <c r="A1940" t="s">
        <v>8864</v>
      </c>
      <c r="B1940" t="s">
        <v>8865</v>
      </c>
      <c r="C1940">
        <v>41</v>
      </c>
      <c r="D1940" t="s">
        <v>8866</v>
      </c>
      <c r="E1940" t="s">
        <v>95</v>
      </c>
      <c r="F1940" s="86">
        <v>44564</v>
      </c>
      <c r="G1940" s="86">
        <v>45536</v>
      </c>
      <c r="H1940">
        <v>2</v>
      </c>
      <c r="I1940" t="s">
        <v>64</v>
      </c>
      <c r="J1940" t="s">
        <v>711</v>
      </c>
      <c r="K1940">
        <v>1575.87</v>
      </c>
      <c r="L1940">
        <v>1</v>
      </c>
      <c r="M1940">
        <v>48</v>
      </c>
      <c r="N1940" t="s">
        <v>45</v>
      </c>
      <c r="O1940" t="s">
        <v>44</v>
      </c>
      <c r="P1940" t="s">
        <v>45</v>
      </c>
      <c r="Q1940" t="s">
        <v>32</v>
      </c>
    </row>
    <row r="1941" spans="1:17" x14ac:dyDescent="0.3">
      <c r="A1941" t="s">
        <v>8868</v>
      </c>
      <c r="B1941" t="s">
        <v>8869</v>
      </c>
      <c r="C1941">
        <v>50</v>
      </c>
      <c r="D1941" t="s">
        <v>8870</v>
      </c>
      <c r="E1941" t="s">
        <v>61</v>
      </c>
      <c r="F1941" t="s">
        <v>513</v>
      </c>
      <c r="G1941" s="86">
        <v>45628</v>
      </c>
      <c r="H1941">
        <v>0</v>
      </c>
      <c r="I1941" t="s">
        <v>27</v>
      </c>
      <c r="J1941" s="86">
        <v>45176</v>
      </c>
      <c r="K1941">
        <v>141.13</v>
      </c>
      <c r="L1941">
        <v>5</v>
      </c>
      <c r="M1941">
        <v>11</v>
      </c>
      <c r="N1941" t="s">
        <v>54</v>
      </c>
      <c r="O1941" t="s">
        <v>199</v>
      </c>
      <c r="P1941" t="s">
        <v>54</v>
      </c>
      <c r="Q1941" t="s">
        <v>69</v>
      </c>
    </row>
    <row r="1942" spans="1:17" x14ac:dyDescent="0.3">
      <c r="A1942" t="s">
        <v>8872</v>
      </c>
      <c r="B1942" t="s">
        <v>8873</v>
      </c>
      <c r="C1942">
        <v>46</v>
      </c>
      <c r="D1942" t="s">
        <v>8874</v>
      </c>
      <c r="E1942" t="s">
        <v>51</v>
      </c>
      <c r="F1942" s="86">
        <v>44417</v>
      </c>
      <c r="G1942" t="s">
        <v>1402</v>
      </c>
      <c r="H1942">
        <v>5</v>
      </c>
      <c r="I1942" t="s">
        <v>27</v>
      </c>
      <c r="J1942" s="86">
        <v>45423</v>
      </c>
      <c r="K1942">
        <v>584.37</v>
      </c>
      <c r="L1942">
        <v>3</v>
      </c>
      <c r="M1942">
        <v>11</v>
      </c>
      <c r="N1942" t="s">
        <v>30</v>
      </c>
      <c r="O1942" t="s">
        <v>194</v>
      </c>
      <c r="P1942" t="s">
        <v>56</v>
      </c>
      <c r="Q1942" t="s">
        <v>69</v>
      </c>
    </row>
    <row r="1943" spans="1:17" x14ac:dyDescent="0.3">
      <c r="A1943" t="s">
        <v>8876</v>
      </c>
      <c r="B1943" t="s">
        <v>8877</v>
      </c>
      <c r="C1943">
        <v>59</v>
      </c>
      <c r="D1943" t="s">
        <v>8878</v>
      </c>
      <c r="E1943" t="s">
        <v>40</v>
      </c>
      <c r="F1943" s="86">
        <v>44599</v>
      </c>
      <c r="G1943" t="s">
        <v>2431</v>
      </c>
      <c r="H1943">
        <v>4</v>
      </c>
      <c r="I1943" t="s">
        <v>27</v>
      </c>
      <c r="J1943" s="86">
        <v>45022</v>
      </c>
      <c r="K1943">
        <v>389.05</v>
      </c>
      <c r="L1943">
        <v>5</v>
      </c>
      <c r="M1943">
        <v>17</v>
      </c>
      <c r="N1943" t="s">
        <v>54</v>
      </c>
      <c r="O1943" t="s">
        <v>135</v>
      </c>
      <c r="P1943" t="s">
        <v>45</v>
      </c>
      <c r="Q1943" t="s">
        <v>32</v>
      </c>
    </row>
    <row r="1944" spans="1:17" x14ac:dyDescent="0.3">
      <c r="A1944" t="s">
        <v>8880</v>
      </c>
      <c r="B1944" t="s">
        <v>8881</v>
      </c>
      <c r="C1944">
        <v>61</v>
      </c>
      <c r="D1944" t="s">
        <v>8882</v>
      </c>
      <c r="E1944" t="s">
        <v>88</v>
      </c>
      <c r="F1944" t="s">
        <v>1195</v>
      </c>
      <c r="G1944" s="86">
        <v>45455</v>
      </c>
      <c r="H1944">
        <v>2</v>
      </c>
      <c r="I1944" t="s">
        <v>27</v>
      </c>
      <c r="J1944" t="s">
        <v>561</v>
      </c>
      <c r="K1944">
        <v>495.74</v>
      </c>
      <c r="L1944">
        <v>3</v>
      </c>
      <c r="M1944">
        <v>41</v>
      </c>
      <c r="N1944" t="s">
        <v>45</v>
      </c>
      <c r="O1944" t="s">
        <v>536</v>
      </c>
      <c r="P1944" t="s">
        <v>68</v>
      </c>
      <c r="Q1944" t="s">
        <v>32</v>
      </c>
    </row>
    <row r="1945" spans="1:17" x14ac:dyDescent="0.3">
      <c r="A1945" t="s">
        <v>8884</v>
      </c>
      <c r="B1945" t="s">
        <v>8885</v>
      </c>
      <c r="C1945">
        <v>60</v>
      </c>
      <c r="D1945" t="s">
        <v>8886</v>
      </c>
      <c r="E1945" t="s">
        <v>88</v>
      </c>
      <c r="F1945" t="s">
        <v>1189</v>
      </c>
      <c r="G1945" s="86">
        <v>45874</v>
      </c>
      <c r="H1945">
        <v>5</v>
      </c>
      <c r="I1945" t="s">
        <v>27</v>
      </c>
      <c r="J1945" s="86">
        <v>44603</v>
      </c>
      <c r="K1945">
        <v>19.39</v>
      </c>
      <c r="L1945">
        <v>9</v>
      </c>
      <c r="M1945">
        <v>32</v>
      </c>
      <c r="N1945" t="s">
        <v>30</v>
      </c>
      <c r="O1945" t="s">
        <v>354</v>
      </c>
      <c r="P1945" t="s">
        <v>45</v>
      </c>
      <c r="Q1945" t="s">
        <v>69</v>
      </c>
    </row>
    <row r="1946" spans="1:17" x14ac:dyDescent="0.3">
      <c r="A1946" t="s">
        <v>8888</v>
      </c>
      <c r="B1946" t="s">
        <v>8889</v>
      </c>
      <c r="C1946">
        <v>35</v>
      </c>
      <c r="D1946" t="s">
        <v>8890</v>
      </c>
      <c r="E1946" t="s">
        <v>95</v>
      </c>
      <c r="F1946" t="s">
        <v>1143</v>
      </c>
      <c r="G1946" t="s">
        <v>298</v>
      </c>
      <c r="H1946">
        <v>2</v>
      </c>
      <c r="I1946" t="s">
        <v>52</v>
      </c>
      <c r="J1946" t="s">
        <v>2352</v>
      </c>
      <c r="K1946">
        <v>444.92</v>
      </c>
      <c r="L1946">
        <v>3</v>
      </c>
      <c r="M1946">
        <v>28</v>
      </c>
      <c r="N1946" t="s">
        <v>54</v>
      </c>
      <c r="O1946" t="s">
        <v>31</v>
      </c>
      <c r="P1946" t="s">
        <v>30</v>
      </c>
      <c r="Q1946" t="s">
        <v>69</v>
      </c>
    </row>
    <row r="1947" spans="1:17" x14ac:dyDescent="0.3">
      <c r="A1947" t="s">
        <v>8892</v>
      </c>
      <c r="B1947" t="s">
        <v>8893</v>
      </c>
      <c r="C1947">
        <v>36</v>
      </c>
      <c r="D1947" t="s">
        <v>8894</v>
      </c>
      <c r="E1947" t="s">
        <v>25</v>
      </c>
      <c r="F1947" t="s">
        <v>621</v>
      </c>
      <c r="G1947" t="s">
        <v>8895</v>
      </c>
      <c r="H1947">
        <v>2</v>
      </c>
      <c r="I1947" t="s">
        <v>52</v>
      </c>
      <c r="J1947" t="s">
        <v>718</v>
      </c>
      <c r="K1947">
        <v>85.87</v>
      </c>
      <c r="L1947">
        <v>6</v>
      </c>
      <c r="M1947">
        <v>28</v>
      </c>
      <c r="N1947" t="s">
        <v>45</v>
      </c>
      <c r="O1947" t="s">
        <v>55</v>
      </c>
      <c r="P1947" t="s">
        <v>56</v>
      </c>
      <c r="Q1947" t="s">
        <v>32</v>
      </c>
    </row>
    <row r="1948" spans="1:17" x14ac:dyDescent="0.3">
      <c r="A1948" t="s">
        <v>8897</v>
      </c>
      <c r="B1948" t="s">
        <v>8898</v>
      </c>
      <c r="C1948">
        <v>64</v>
      </c>
      <c r="D1948" t="s">
        <v>8899</v>
      </c>
      <c r="E1948" t="s">
        <v>95</v>
      </c>
      <c r="F1948" s="86">
        <v>44413</v>
      </c>
      <c r="G1948" t="s">
        <v>3393</v>
      </c>
      <c r="H1948">
        <v>2</v>
      </c>
      <c r="I1948" t="s">
        <v>27</v>
      </c>
      <c r="J1948" t="s">
        <v>1715</v>
      </c>
      <c r="K1948">
        <v>382.88</v>
      </c>
      <c r="L1948">
        <v>3</v>
      </c>
      <c r="M1948">
        <v>1</v>
      </c>
      <c r="N1948" t="s">
        <v>54</v>
      </c>
      <c r="O1948" t="s">
        <v>425</v>
      </c>
      <c r="P1948" t="s">
        <v>30</v>
      </c>
      <c r="Q1948" t="s">
        <v>32</v>
      </c>
    </row>
    <row r="1949" spans="1:17" x14ac:dyDescent="0.3">
      <c r="A1949" t="s">
        <v>8901</v>
      </c>
      <c r="B1949" t="s">
        <v>8902</v>
      </c>
      <c r="C1949">
        <v>34</v>
      </c>
      <c r="D1949" t="s">
        <v>8903</v>
      </c>
      <c r="E1949" t="s">
        <v>25</v>
      </c>
      <c r="F1949" t="s">
        <v>8904</v>
      </c>
      <c r="G1949" s="86">
        <v>45242</v>
      </c>
      <c r="H1949">
        <v>2</v>
      </c>
      <c r="I1949" t="s">
        <v>27</v>
      </c>
      <c r="J1949" t="s">
        <v>2455</v>
      </c>
      <c r="K1949">
        <v>177.29</v>
      </c>
      <c r="L1949">
        <v>9</v>
      </c>
      <c r="M1949">
        <v>44</v>
      </c>
      <c r="N1949" t="s">
        <v>56</v>
      </c>
      <c r="O1949" t="s">
        <v>624</v>
      </c>
      <c r="P1949" t="s">
        <v>30</v>
      </c>
      <c r="Q1949" t="s">
        <v>69</v>
      </c>
    </row>
    <row r="1950" spans="1:17" x14ac:dyDescent="0.3">
      <c r="A1950" t="s">
        <v>8906</v>
      </c>
      <c r="B1950" t="s">
        <v>8907</v>
      </c>
      <c r="C1950">
        <v>67</v>
      </c>
      <c r="D1950" t="s">
        <v>8908</v>
      </c>
      <c r="E1950" t="s">
        <v>95</v>
      </c>
      <c r="F1950" s="86">
        <v>44114</v>
      </c>
      <c r="G1950" t="s">
        <v>5946</v>
      </c>
      <c r="H1950">
        <v>2</v>
      </c>
      <c r="I1950" t="s">
        <v>27</v>
      </c>
      <c r="J1950" t="s">
        <v>1117</v>
      </c>
      <c r="K1950">
        <v>130.54</v>
      </c>
      <c r="L1950">
        <v>6</v>
      </c>
      <c r="M1950">
        <v>11</v>
      </c>
      <c r="N1950" t="s">
        <v>54</v>
      </c>
      <c r="O1950" t="s">
        <v>837</v>
      </c>
      <c r="P1950" t="s">
        <v>56</v>
      </c>
      <c r="Q1950" t="s">
        <v>69</v>
      </c>
    </row>
    <row r="1951" spans="1:17" x14ac:dyDescent="0.3">
      <c r="A1951" t="s">
        <v>8910</v>
      </c>
      <c r="B1951" t="s">
        <v>8911</v>
      </c>
      <c r="C1951">
        <v>27</v>
      </c>
      <c r="D1951" t="s">
        <v>8912</v>
      </c>
      <c r="E1951" t="s">
        <v>88</v>
      </c>
      <c r="F1951" t="s">
        <v>3143</v>
      </c>
      <c r="G1951" t="s">
        <v>8913</v>
      </c>
      <c r="H1951">
        <v>5</v>
      </c>
      <c r="I1951" t="s">
        <v>27</v>
      </c>
      <c r="J1951" s="86">
        <v>45208</v>
      </c>
      <c r="K1951">
        <v>1249.74</v>
      </c>
      <c r="L1951">
        <v>1</v>
      </c>
      <c r="M1951">
        <v>5</v>
      </c>
      <c r="N1951" t="s">
        <v>30</v>
      </c>
      <c r="O1951" t="s">
        <v>624</v>
      </c>
      <c r="P1951" t="s">
        <v>30</v>
      </c>
      <c r="Q1951" t="s">
        <v>32</v>
      </c>
    </row>
    <row r="1952" spans="1:17" x14ac:dyDescent="0.3">
      <c r="A1952" t="s">
        <v>8915</v>
      </c>
      <c r="B1952" t="s">
        <v>8916</v>
      </c>
      <c r="C1952">
        <v>19</v>
      </c>
      <c r="D1952" t="s">
        <v>8917</v>
      </c>
      <c r="E1952" t="s">
        <v>88</v>
      </c>
      <c r="F1952" s="86">
        <v>44840</v>
      </c>
      <c r="G1952" t="s">
        <v>1563</v>
      </c>
      <c r="H1952">
        <v>4</v>
      </c>
      <c r="I1952" t="s">
        <v>64</v>
      </c>
      <c r="J1952" s="86">
        <v>45150</v>
      </c>
      <c r="K1952">
        <v>290.81</v>
      </c>
      <c r="L1952">
        <v>4</v>
      </c>
      <c r="M1952">
        <v>49</v>
      </c>
      <c r="N1952" t="s">
        <v>30</v>
      </c>
      <c r="O1952" t="s">
        <v>99</v>
      </c>
      <c r="P1952" t="s">
        <v>56</v>
      </c>
      <c r="Q1952" t="s">
        <v>69</v>
      </c>
    </row>
    <row r="1953" spans="1:17" x14ac:dyDescent="0.3">
      <c r="A1953" t="s">
        <v>8919</v>
      </c>
      <c r="B1953" t="s">
        <v>8920</v>
      </c>
      <c r="C1953">
        <v>21</v>
      </c>
      <c r="D1953" t="s">
        <v>8921</v>
      </c>
      <c r="E1953" t="s">
        <v>61</v>
      </c>
      <c r="F1953" s="86">
        <v>44381</v>
      </c>
      <c r="G1953" s="86">
        <v>45542</v>
      </c>
      <c r="H1953">
        <v>0</v>
      </c>
      <c r="I1953" t="s">
        <v>27</v>
      </c>
      <c r="J1953" t="s">
        <v>3398</v>
      </c>
      <c r="K1953">
        <v>366.09</v>
      </c>
      <c r="L1953">
        <v>5</v>
      </c>
      <c r="M1953">
        <v>5</v>
      </c>
      <c r="N1953" t="s">
        <v>68</v>
      </c>
      <c r="O1953" t="s">
        <v>231</v>
      </c>
      <c r="P1953" t="s">
        <v>30</v>
      </c>
      <c r="Q1953" t="s">
        <v>69</v>
      </c>
    </row>
    <row r="1954" spans="1:17" x14ac:dyDescent="0.3">
      <c r="A1954" t="s">
        <v>8923</v>
      </c>
      <c r="B1954" t="s">
        <v>8924</v>
      </c>
      <c r="C1954">
        <v>61</v>
      </c>
      <c r="D1954" t="s">
        <v>8925</v>
      </c>
      <c r="E1954" t="s">
        <v>51</v>
      </c>
      <c r="F1954" s="86">
        <v>44632</v>
      </c>
      <c r="G1954" s="86">
        <v>45782</v>
      </c>
      <c r="H1954">
        <v>2</v>
      </c>
      <c r="I1954" t="s">
        <v>27</v>
      </c>
      <c r="J1954" t="s">
        <v>2758</v>
      </c>
      <c r="K1954">
        <v>34.53</v>
      </c>
      <c r="L1954">
        <v>3</v>
      </c>
      <c r="M1954">
        <v>36</v>
      </c>
      <c r="N1954" t="s">
        <v>30</v>
      </c>
      <c r="O1954" t="s">
        <v>269</v>
      </c>
      <c r="P1954" t="s">
        <v>56</v>
      </c>
      <c r="Q1954" t="s">
        <v>32</v>
      </c>
    </row>
    <row r="1955" spans="1:17" x14ac:dyDescent="0.3">
      <c r="A1955" t="s">
        <v>8927</v>
      </c>
      <c r="B1955" t="s">
        <v>8928</v>
      </c>
      <c r="C1955">
        <v>60</v>
      </c>
      <c r="D1955" t="s">
        <v>8929</v>
      </c>
      <c r="E1955" t="s">
        <v>95</v>
      </c>
      <c r="F1955" t="s">
        <v>8930</v>
      </c>
      <c r="G1955" t="s">
        <v>6841</v>
      </c>
      <c r="H1955">
        <v>0</v>
      </c>
      <c r="I1955" t="s">
        <v>27</v>
      </c>
      <c r="J1955" t="s">
        <v>3430</v>
      </c>
      <c r="K1955">
        <v>112.73</v>
      </c>
      <c r="L1955">
        <v>8</v>
      </c>
      <c r="M1955">
        <v>34</v>
      </c>
      <c r="N1955" t="s">
        <v>30</v>
      </c>
      <c r="O1955" t="s">
        <v>142</v>
      </c>
      <c r="P1955" t="s">
        <v>68</v>
      </c>
      <c r="Q1955" t="s">
        <v>32</v>
      </c>
    </row>
    <row r="1956" spans="1:17" x14ac:dyDescent="0.3">
      <c r="A1956" t="s">
        <v>8932</v>
      </c>
      <c r="B1956" t="s">
        <v>8933</v>
      </c>
      <c r="C1956">
        <v>62</v>
      </c>
      <c r="D1956" t="s">
        <v>8934</v>
      </c>
      <c r="E1956" t="s">
        <v>25</v>
      </c>
      <c r="F1956" t="s">
        <v>318</v>
      </c>
      <c r="G1956" t="s">
        <v>3899</v>
      </c>
      <c r="H1956">
        <v>2</v>
      </c>
      <c r="I1956" t="s">
        <v>52</v>
      </c>
      <c r="J1956" t="s">
        <v>2763</v>
      </c>
      <c r="K1956">
        <v>1019.71</v>
      </c>
      <c r="L1956">
        <v>1</v>
      </c>
      <c r="M1956">
        <v>8</v>
      </c>
      <c r="N1956" t="s">
        <v>68</v>
      </c>
      <c r="O1956" t="s">
        <v>610</v>
      </c>
      <c r="P1956" t="s">
        <v>68</v>
      </c>
      <c r="Q1956" t="s">
        <v>69</v>
      </c>
    </row>
    <row r="1957" spans="1:17" x14ac:dyDescent="0.3">
      <c r="A1957" t="s">
        <v>8936</v>
      </c>
      <c r="B1957" t="s">
        <v>8937</v>
      </c>
      <c r="C1957">
        <v>51</v>
      </c>
      <c r="D1957" t="s">
        <v>8938</v>
      </c>
      <c r="E1957" t="s">
        <v>61</v>
      </c>
      <c r="F1957" s="86">
        <v>45232</v>
      </c>
      <c r="G1957" s="86">
        <v>45844</v>
      </c>
      <c r="H1957">
        <v>4</v>
      </c>
      <c r="I1957" t="s">
        <v>27</v>
      </c>
      <c r="J1957" s="86">
        <v>45573</v>
      </c>
      <c r="K1957">
        <v>74.989999999999995</v>
      </c>
      <c r="L1957">
        <v>6</v>
      </c>
      <c r="M1957">
        <v>4</v>
      </c>
      <c r="N1957" t="s">
        <v>56</v>
      </c>
      <c r="O1957" t="s">
        <v>245</v>
      </c>
      <c r="P1957" t="s">
        <v>54</v>
      </c>
      <c r="Q1957" t="s">
        <v>69</v>
      </c>
    </row>
    <row r="1958" spans="1:17" x14ac:dyDescent="0.3">
      <c r="A1958" t="s">
        <v>8940</v>
      </c>
      <c r="B1958" t="s">
        <v>8941</v>
      </c>
      <c r="C1958">
        <v>69</v>
      </c>
      <c r="D1958" t="s">
        <v>8942</v>
      </c>
      <c r="E1958" t="s">
        <v>51</v>
      </c>
      <c r="F1958" s="86">
        <v>45202</v>
      </c>
      <c r="G1958" t="s">
        <v>1356</v>
      </c>
      <c r="H1958">
        <v>4</v>
      </c>
      <c r="I1958" t="s">
        <v>27</v>
      </c>
      <c r="J1958" t="s">
        <v>681</v>
      </c>
      <c r="K1958">
        <v>434.02</v>
      </c>
      <c r="L1958">
        <v>4</v>
      </c>
      <c r="M1958">
        <v>44</v>
      </c>
      <c r="N1958" t="s">
        <v>56</v>
      </c>
      <c r="O1958" t="s">
        <v>109</v>
      </c>
      <c r="P1958" t="s">
        <v>68</v>
      </c>
      <c r="Q1958" t="s">
        <v>32</v>
      </c>
    </row>
    <row r="1959" spans="1:17" x14ac:dyDescent="0.3">
      <c r="A1959" t="s">
        <v>8944</v>
      </c>
      <c r="B1959" t="s">
        <v>8945</v>
      </c>
      <c r="C1959">
        <v>42</v>
      </c>
      <c r="D1959" t="s">
        <v>8946</v>
      </c>
      <c r="E1959" t="s">
        <v>95</v>
      </c>
      <c r="F1959" s="86">
        <v>44146</v>
      </c>
      <c r="G1959" t="s">
        <v>4068</v>
      </c>
      <c r="H1959">
        <v>4</v>
      </c>
      <c r="I1959" t="s">
        <v>27</v>
      </c>
      <c r="J1959" t="s">
        <v>6356</v>
      </c>
      <c r="K1959">
        <v>358.32</v>
      </c>
      <c r="L1959">
        <v>4</v>
      </c>
      <c r="M1959">
        <v>32</v>
      </c>
      <c r="N1959" t="s">
        <v>54</v>
      </c>
      <c r="O1959" t="s">
        <v>109</v>
      </c>
      <c r="P1959" t="s">
        <v>68</v>
      </c>
      <c r="Q1959" t="s">
        <v>32</v>
      </c>
    </row>
    <row r="1960" spans="1:17" x14ac:dyDescent="0.3">
      <c r="A1960" t="s">
        <v>8948</v>
      </c>
      <c r="B1960" t="s">
        <v>8949</v>
      </c>
      <c r="C1960">
        <v>54</v>
      </c>
      <c r="D1960" t="s">
        <v>8950</v>
      </c>
      <c r="E1960" t="s">
        <v>88</v>
      </c>
      <c r="F1960" s="86">
        <v>44386</v>
      </c>
      <c r="G1960" s="86">
        <v>45057</v>
      </c>
      <c r="H1960">
        <v>4</v>
      </c>
      <c r="I1960" t="s">
        <v>27</v>
      </c>
      <c r="J1960" t="s">
        <v>1402</v>
      </c>
      <c r="K1960">
        <v>189.52</v>
      </c>
      <c r="L1960">
        <v>9</v>
      </c>
      <c r="M1960">
        <v>48</v>
      </c>
      <c r="N1960" t="s">
        <v>45</v>
      </c>
      <c r="O1960" t="s">
        <v>418</v>
      </c>
      <c r="P1960" t="s">
        <v>56</v>
      </c>
      <c r="Q1960" t="s">
        <v>69</v>
      </c>
    </row>
    <row r="1961" spans="1:17" x14ac:dyDescent="0.3">
      <c r="A1961" t="s">
        <v>8952</v>
      </c>
      <c r="B1961" t="s">
        <v>8953</v>
      </c>
      <c r="C1961">
        <v>55</v>
      </c>
      <c r="D1961" t="s">
        <v>8954</v>
      </c>
      <c r="E1961" t="s">
        <v>61</v>
      </c>
      <c r="F1961" s="86">
        <v>44623</v>
      </c>
      <c r="G1961" t="s">
        <v>884</v>
      </c>
      <c r="H1961">
        <v>0</v>
      </c>
      <c r="I1961" t="s">
        <v>64</v>
      </c>
      <c r="J1961" t="s">
        <v>3493</v>
      </c>
      <c r="K1961">
        <v>239.76</v>
      </c>
      <c r="L1961">
        <v>3</v>
      </c>
      <c r="M1961">
        <v>19</v>
      </c>
      <c r="N1961" t="s">
        <v>45</v>
      </c>
      <c r="O1961" t="s">
        <v>67</v>
      </c>
      <c r="P1961" t="s">
        <v>68</v>
      </c>
      <c r="Q1961" t="s">
        <v>69</v>
      </c>
    </row>
    <row r="1962" spans="1:17" x14ac:dyDescent="0.3">
      <c r="A1962" t="s">
        <v>8956</v>
      </c>
      <c r="B1962" t="s">
        <v>8957</v>
      </c>
      <c r="C1962">
        <v>67</v>
      </c>
      <c r="D1962" t="s">
        <v>8958</v>
      </c>
      <c r="E1962" t="s">
        <v>95</v>
      </c>
      <c r="F1962" t="s">
        <v>6798</v>
      </c>
      <c r="G1962" t="s">
        <v>2781</v>
      </c>
      <c r="H1962">
        <v>4</v>
      </c>
      <c r="I1962" t="s">
        <v>52</v>
      </c>
      <c r="J1962" s="86">
        <v>45296</v>
      </c>
      <c r="K1962">
        <v>43.42</v>
      </c>
      <c r="L1962">
        <v>9</v>
      </c>
      <c r="M1962">
        <v>5</v>
      </c>
      <c r="N1962" t="s">
        <v>54</v>
      </c>
      <c r="O1962" t="s">
        <v>238</v>
      </c>
      <c r="P1962" t="s">
        <v>45</v>
      </c>
      <c r="Q1962" t="s">
        <v>69</v>
      </c>
    </row>
    <row r="1963" spans="1:17" x14ac:dyDescent="0.3">
      <c r="A1963" t="s">
        <v>8960</v>
      </c>
      <c r="B1963" t="s">
        <v>8961</v>
      </c>
      <c r="C1963">
        <v>37</v>
      </c>
      <c r="D1963" t="s">
        <v>8962</v>
      </c>
      <c r="E1963" t="s">
        <v>25</v>
      </c>
      <c r="F1963" s="86">
        <v>44959</v>
      </c>
      <c r="G1963" t="s">
        <v>1041</v>
      </c>
      <c r="H1963">
        <v>4</v>
      </c>
      <c r="I1963" t="s">
        <v>27</v>
      </c>
      <c r="J1963" t="s">
        <v>2061</v>
      </c>
      <c r="K1963">
        <v>153.87</v>
      </c>
      <c r="L1963">
        <v>2</v>
      </c>
      <c r="M1963">
        <v>2</v>
      </c>
      <c r="N1963" t="s">
        <v>45</v>
      </c>
      <c r="O1963" t="s">
        <v>135</v>
      </c>
      <c r="P1963" t="s">
        <v>45</v>
      </c>
      <c r="Q1963" t="s">
        <v>69</v>
      </c>
    </row>
    <row r="1964" spans="1:17" x14ac:dyDescent="0.3">
      <c r="A1964" t="s">
        <v>8964</v>
      </c>
      <c r="B1964" t="s">
        <v>8965</v>
      </c>
      <c r="C1964">
        <v>21</v>
      </c>
      <c r="D1964" t="s">
        <v>8966</v>
      </c>
      <c r="E1964" t="s">
        <v>95</v>
      </c>
      <c r="F1964" t="s">
        <v>1994</v>
      </c>
      <c r="G1964" t="s">
        <v>319</v>
      </c>
      <c r="H1964">
        <v>4</v>
      </c>
      <c r="I1964" t="s">
        <v>64</v>
      </c>
      <c r="J1964" s="86">
        <v>44743</v>
      </c>
      <c r="K1964">
        <v>8.1</v>
      </c>
      <c r="L1964">
        <v>4</v>
      </c>
      <c r="M1964">
        <v>15</v>
      </c>
      <c r="N1964" t="s">
        <v>54</v>
      </c>
      <c r="O1964" t="s">
        <v>157</v>
      </c>
      <c r="P1964" t="s">
        <v>68</v>
      </c>
      <c r="Q1964" t="s">
        <v>69</v>
      </c>
    </row>
    <row r="1965" spans="1:17" x14ac:dyDescent="0.3">
      <c r="A1965" t="s">
        <v>8968</v>
      </c>
      <c r="B1965" t="s">
        <v>8969</v>
      </c>
      <c r="C1965">
        <v>43</v>
      </c>
      <c r="D1965" t="s">
        <v>8970</v>
      </c>
      <c r="E1965" t="s">
        <v>25</v>
      </c>
      <c r="F1965" t="s">
        <v>835</v>
      </c>
      <c r="G1965" t="s">
        <v>2332</v>
      </c>
      <c r="H1965">
        <v>4</v>
      </c>
      <c r="I1965" t="s">
        <v>64</v>
      </c>
      <c r="J1965" t="s">
        <v>1650</v>
      </c>
      <c r="K1965">
        <v>325.52999999999997</v>
      </c>
      <c r="L1965">
        <v>4</v>
      </c>
      <c r="M1965">
        <v>16</v>
      </c>
      <c r="N1965" t="s">
        <v>30</v>
      </c>
      <c r="O1965" t="s">
        <v>55</v>
      </c>
      <c r="P1965" t="s">
        <v>56</v>
      </c>
      <c r="Q1965" t="s">
        <v>69</v>
      </c>
    </row>
    <row r="1966" spans="1:17" x14ac:dyDescent="0.3">
      <c r="A1966" t="s">
        <v>8972</v>
      </c>
      <c r="B1966" t="s">
        <v>8973</v>
      </c>
      <c r="C1966">
        <v>58</v>
      </c>
      <c r="D1966" t="s">
        <v>8974</v>
      </c>
      <c r="E1966" t="s">
        <v>61</v>
      </c>
      <c r="F1966" t="s">
        <v>2885</v>
      </c>
      <c r="G1966" s="86">
        <v>44990</v>
      </c>
      <c r="H1966">
        <v>3</v>
      </c>
      <c r="I1966" t="s">
        <v>64</v>
      </c>
      <c r="J1966" t="s">
        <v>911</v>
      </c>
      <c r="K1966">
        <v>211.46</v>
      </c>
      <c r="L1966">
        <v>8</v>
      </c>
      <c r="M1966">
        <v>6</v>
      </c>
      <c r="N1966" t="s">
        <v>68</v>
      </c>
      <c r="O1966" t="s">
        <v>149</v>
      </c>
      <c r="P1966" t="s">
        <v>30</v>
      </c>
      <c r="Q1966" t="s">
        <v>69</v>
      </c>
    </row>
    <row r="1967" spans="1:17" x14ac:dyDescent="0.3">
      <c r="A1967" t="s">
        <v>8976</v>
      </c>
      <c r="B1967" t="s">
        <v>8977</v>
      </c>
      <c r="C1967">
        <v>31</v>
      </c>
      <c r="D1967" t="s">
        <v>8978</v>
      </c>
      <c r="E1967" t="s">
        <v>40</v>
      </c>
      <c r="F1967" s="86">
        <v>44720</v>
      </c>
      <c r="G1967" s="86">
        <v>45026</v>
      </c>
      <c r="H1967">
        <v>0</v>
      </c>
      <c r="I1967" t="s">
        <v>27</v>
      </c>
      <c r="J1967" t="s">
        <v>4664</v>
      </c>
      <c r="K1967">
        <v>293.7</v>
      </c>
      <c r="L1967">
        <v>2</v>
      </c>
      <c r="M1967">
        <v>1</v>
      </c>
      <c r="N1967" t="s">
        <v>56</v>
      </c>
      <c r="O1967" t="s">
        <v>269</v>
      </c>
      <c r="P1967" t="s">
        <v>56</v>
      </c>
      <c r="Q1967" t="s">
        <v>32</v>
      </c>
    </row>
    <row r="1968" spans="1:17" x14ac:dyDescent="0.3">
      <c r="A1968" t="s">
        <v>8980</v>
      </c>
      <c r="B1968" t="s">
        <v>8981</v>
      </c>
      <c r="C1968">
        <v>31</v>
      </c>
      <c r="D1968" t="s">
        <v>8982</v>
      </c>
      <c r="E1968" t="s">
        <v>51</v>
      </c>
      <c r="F1968" t="s">
        <v>1753</v>
      </c>
      <c r="G1968" t="s">
        <v>4731</v>
      </c>
      <c r="H1968">
        <v>4</v>
      </c>
      <c r="I1968" t="s">
        <v>27</v>
      </c>
      <c r="J1968" t="s">
        <v>5101</v>
      </c>
      <c r="K1968">
        <v>157.86000000000001</v>
      </c>
      <c r="L1968">
        <v>8</v>
      </c>
      <c r="M1968">
        <v>41</v>
      </c>
      <c r="N1968" t="s">
        <v>30</v>
      </c>
      <c r="O1968" t="s">
        <v>604</v>
      </c>
      <c r="P1968" t="s">
        <v>45</v>
      </c>
      <c r="Q1968" t="s">
        <v>32</v>
      </c>
    </row>
    <row r="1969" spans="1:17" x14ac:dyDescent="0.3">
      <c r="A1969" t="s">
        <v>8984</v>
      </c>
      <c r="B1969" t="s">
        <v>8985</v>
      </c>
      <c r="C1969">
        <v>42</v>
      </c>
      <c r="D1969" t="s">
        <v>8986</v>
      </c>
      <c r="E1969" t="s">
        <v>95</v>
      </c>
      <c r="F1969" t="s">
        <v>377</v>
      </c>
      <c r="G1969" s="86">
        <v>45720</v>
      </c>
      <c r="H1969">
        <v>1</v>
      </c>
      <c r="I1969" t="s">
        <v>52</v>
      </c>
      <c r="J1969" t="s">
        <v>1884</v>
      </c>
      <c r="K1969">
        <v>927.22</v>
      </c>
      <c r="L1969">
        <v>2</v>
      </c>
      <c r="M1969">
        <v>16</v>
      </c>
      <c r="N1969" t="s">
        <v>54</v>
      </c>
      <c r="O1969" t="s">
        <v>149</v>
      </c>
      <c r="P1969" t="s">
        <v>30</v>
      </c>
      <c r="Q1969" t="s">
        <v>32</v>
      </c>
    </row>
    <row r="1970" spans="1:17" x14ac:dyDescent="0.3">
      <c r="A1970" t="s">
        <v>8988</v>
      </c>
      <c r="B1970" t="s">
        <v>8989</v>
      </c>
      <c r="C1970">
        <v>57</v>
      </c>
      <c r="D1970" t="s">
        <v>8990</v>
      </c>
      <c r="E1970" t="s">
        <v>40</v>
      </c>
      <c r="F1970" t="s">
        <v>808</v>
      </c>
      <c r="G1970" t="s">
        <v>6635</v>
      </c>
      <c r="H1970">
        <v>5</v>
      </c>
      <c r="I1970" t="s">
        <v>64</v>
      </c>
      <c r="J1970" t="s">
        <v>2933</v>
      </c>
      <c r="K1970">
        <v>33.590000000000003</v>
      </c>
      <c r="L1970">
        <v>5</v>
      </c>
      <c r="M1970">
        <v>8</v>
      </c>
      <c r="N1970" t="s">
        <v>45</v>
      </c>
      <c r="O1970" t="s">
        <v>142</v>
      </c>
      <c r="P1970" t="s">
        <v>68</v>
      </c>
      <c r="Q1970" t="s">
        <v>69</v>
      </c>
    </row>
    <row r="1971" spans="1:17" x14ac:dyDescent="0.3">
      <c r="A1971" t="s">
        <v>8992</v>
      </c>
      <c r="B1971" t="s">
        <v>8993</v>
      </c>
      <c r="C1971">
        <v>56</v>
      </c>
      <c r="D1971" t="s">
        <v>8994</v>
      </c>
      <c r="E1971" t="s">
        <v>40</v>
      </c>
      <c r="F1971" t="s">
        <v>6022</v>
      </c>
      <c r="G1971" t="s">
        <v>3744</v>
      </c>
      <c r="H1971">
        <v>4</v>
      </c>
      <c r="I1971" t="s">
        <v>27</v>
      </c>
      <c r="J1971" s="86">
        <v>44899</v>
      </c>
      <c r="K1971">
        <v>295.43</v>
      </c>
      <c r="L1971">
        <v>4</v>
      </c>
      <c r="M1971">
        <v>21</v>
      </c>
      <c r="N1971" t="s">
        <v>30</v>
      </c>
      <c r="O1971" t="s">
        <v>418</v>
      </c>
      <c r="P1971" t="s">
        <v>56</v>
      </c>
      <c r="Q1971" t="s">
        <v>32</v>
      </c>
    </row>
    <row r="1972" spans="1:17" x14ac:dyDescent="0.3">
      <c r="A1972" t="s">
        <v>8996</v>
      </c>
      <c r="B1972" t="s">
        <v>8997</v>
      </c>
      <c r="C1972">
        <v>33</v>
      </c>
      <c r="D1972" t="s">
        <v>8998</v>
      </c>
      <c r="E1972" t="s">
        <v>61</v>
      </c>
      <c r="F1972" s="86">
        <v>44842</v>
      </c>
      <c r="G1972" s="86">
        <v>45359</v>
      </c>
      <c r="H1972">
        <v>1</v>
      </c>
      <c r="I1972" t="s">
        <v>52</v>
      </c>
      <c r="J1972" s="86">
        <v>45722</v>
      </c>
      <c r="K1972">
        <v>91.9</v>
      </c>
      <c r="L1972">
        <v>9</v>
      </c>
      <c r="M1972">
        <v>23</v>
      </c>
      <c r="N1972" t="s">
        <v>45</v>
      </c>
      <c r="O1972" t="s">
        <v>142</v>
      </c>
      <c r="P1972" t="s">
        <v>68</v>
      </c>
      <c r="Q1972" t="s">
        <v>69</v>
      </c>
    </row>
    <row r="1973" spans="1:17" x14ac:dyDescent="0.3">
      <c r="A1973" t="s">
        <v>9000</v>
      </c>
      <c r="B1973" t="s">
        <v>9001</v>
      </c>
      <c r="C1973">
        <v>43</v>
      </c>
      <c r="D1973" t="s">
        <v>9002</v>
      </c>
      <c r="E1973" t="s">
        <v>61</v>
      </c>
      <c r="F1973" t="s">
        <v>1425</v>
      </c>
      <c r="G1973" t="s">
        <v>756</v>
      </c>
      <c r="H1973">
        <v>5</v>
      </c>
      <c r="I1973" t="s">
        <v>27</v>
      </c>
      <c r="J1973" s="86">
        <v>45173</v>
      </c>
      <c r="K1973">
        <v>531.37</v>
      </c>
      <c r="L1973">
        <v>2</v>
      </c>
      <c r="M1973">
        <v>18</v>
      </c>
      <c r="N1973" t="s">
        <v>56</v>
      </c>
      <c r="O1973" t="s">
        <v>77</v>
      </c>
      <c r="P1973" t="s">
        <v>54</v>
      </c>
      <c r="Q1973" t="s">
        <v>69</v>
      </c>
    </row>
    <row r="1974" spans="1:17" x14ac:dyDescent="0.3">
      <c r="A1974" t="s">
        <v>9004</v>
      </c>
      <c r="B1974" t="s">
        <v>9005</v>
      </c>
      <c r="C1974">
        <v>41</v>
      </c>
      <c r="D1974" t="s">
        <v>9006</v>
      </c>
      <c r="E1974" t="s">
        <v>61</v>
      </c>
      <c r="F1974" s="86">
        <v>44236</v>
      </c>
      <c r="G1974" s="86">
        <v>45333</v>
      </c>
      <c r="H1974">
        <v>4</v>
      </c>
      <c r="I1974" t="s">
        <v>27</v>
      </c>
      <c r="J1974" s="86">
        <v>45141</v>
      </c>
      <c r="K1974">
        <v>143.44</v>
      </c>
      <c r="L1974">
        <v>4</v>
      </c>
      <c r="M1974">
        <v>38</v>
      </c>
      <c r="N1974" t="s">
        <v>30</v>
      </c>
      <c r="O1974" t="s">
        <v>366</v>
      </c>
      <c r="P1974" t="s">
        <v>54</v>
      </c>
      <c r="Q1974" t="s">
        <v>69</v>
      </c>
    </row>
    <row r="1975" spans="1:17" x14ac:dyDescent="0.3">
      <c r="A1975" t="s">
        <v>9008</v>
      </c>
      <c r="B1975" t="s">
        <v>9009</v>
      </c>
      <c r="C1975">
        <v>46</v>
      </c>
      <c r="D1975" t="s">
        <v>9010</v>
      </c>
      <c r="E1975" t="s">
        <v>95</v>
      </c>
      <c r="F1975" s="86">
        <v>45206</v>
      </c>
      <c r="G1975" s="86">
        <v>45997</v>
      </c>
      <c r="H1975">
        <v>1</v>
      </c>
      <c r="I1975" t="s">
        <v>27</v>
      </c>
      <c r="J1975" t="s">
        <v>2077</v>
      </c>
      <c r="K1975">
        <v>432.84</v>
      </c>
      <c r="L1975">
        <v>4</v>
      </c>
      <c r="M1975">
        <v>46</v>
      </c>
      <c r="N1975" t="s">
        <v>56</v>
      </c>
      <c r="O1975" t="s">
        <v>149</v>
      </c>
      <c r="P1975" t="s">
        <v>30</v>
      </c>
      <c r="Q1975" t="s">
        <v>69</v>
      </c>
    </row>
    <row r="1976" spans="1:17" x14ac:dyDescent="0.3">
      <c r="A1976" t="s">
        <v>9012</v>
      </c>
      <c r="B1976" t="s">
        <v>9013</v>
      </c>
      <c r="C1976">
        <v>56</v>
      </c>
      <c r="D1976" t="s">
        <v>9014</v>
      </c>
      <c r="E1976" t="s">
        <v>51</v>
      </c>
      <c r="F1976" t="s">
        <v>1949</v>
      </c>
      <c r="G1976" s="86">
        <v>44932</v>
      </c>
      <c r="H1976">
        <v>1</v>
      </c>
      <c r="I1976" t="s">
        <v>27</v>
      </c>
      <c r="J1976" s="86">
        <v>45876</v>
      </c>
      <c r="K1976">
        <v>61.63</v>
      </c>
      <c r="L1976">
        <v>4</v>
      </c>
      <c r="M1976">
        <v>13</v>
      </c>
      <c r="N1976" t="s">
        <v>56</v>
      </c>
      <c r="O1976" t="s">
        <v>199</v>
      </c>
      <c r="P1976" t="s">
        <v>54</v>
      </c>
      <c r="Q1976" t="s">
        <v>69</v>
      </c>
    </row>
    <row r="1977" spans="1:17" x14ac:dyDescent="0.3">
      <c r="A1977" t="s">
        <v>9016</v>
      </c>
      <c r="B1977" t="s">
        <v>9017</v>
      </c>
      <c r="C1977">
        <v>24</v>
      </c>
      <c r="D1977" t="s">
        <v>9018</v>
      </c>
      <c r="E1977" t="s">
        <v>88</v>
      </c>
      <c r="F1977" t="s">
        <v>808</v>
      </c>
      <c r="G1977" s="86">
        <v>44813</v>
      </c>
      <c r="H1977">
        <v>3</v>
      </c>
      <c r="I1977" t="s">
        <v>27</v>
      </c>
      <c r="J1977" t="s">
        <v>502</v>
      </c>
      <c r="K1977">
        <v>146.29</v>
      </c>
      <c r="L1977">
        <v>7</v>
      </c>
      <c r="M1977">
        <v>28</v>
      </c>
      <c r="N1977" t="s">
        <v>30</v>
      </c>
      <c r="O1977" t="s">
        <v>77</v>
      </c>
      <c r="P1977" t="s">
        <v>54</v>
      </c>
      <c r="Q1977" t="s">
        <v>69</v>
      </c>
    </row>
    <row r="1978" spans="1:17" x14ac:dyDescent="0.3">
      <c r="A1978" t="s">
        <v>9020</v>
      </c>
      <c r="B1978" t="s">
        <v>9021</v>
      </c>
      <c r="C1978">
        <v>28</v>
      </c>
      <c r="D1978" t="s">
        <v>9022</v>
      </c>
      <c r="E1978" t="s">
        <v>95</v>
      </c>
      <c r="F1978" t="s">
        <v>1836</v>
      </c>
      <c r="G1978" t="s">
        <v>1020</v>
      </c>
      <c r="H1978">
        <v>0</v>
      </c>
      <c r="I1978" t="s">
        <v>27</v>
      </c>
      <c r="J1978" t="s">
        <v>712</v>
      </c>
      <c r="K1978">
        <v>142.63</v>
      </c>
      <c r="L1978">
        <v>2</v>
      </c>
      <c r="M1978">
        <v>35</v>
      </c>
      <c r="N1978" t="s">
        <v>54</v>
      </c>
      <c r="O1978" t="s">
        <v>238</v>
      </c>
      <c r="P1978" t="s">
        <v>45</v>
      </c>
      <c r="Q1978" t="s">
        <v>32</v>
      </c>
    </row>
    <row r="1979" spans="1:17" x14ac:dyDescent="0.3">
      <c r="A1979" t="s">
        <v>9024</v>
      </c>
      <c r="B1979" t="s">
        <v>9025</v>
      </c>
      <c r="C1979">
        <v>61</v>
      </c>
      <c r="D1979" t="s">
        <v>9026</v>
      </c>
      <c r="E1979" t="s">
        <v>61</v>
      </c>
      <c r="F1979" s="86">
        <v>44961</v>
      </c>
      <c r="G1979" t="s">
        <v>82</v>
      </c>
      <c r="H1979">
        <v>3</v>
      </c>
      <c r="I1979" t="s">
        <v>27</v>
      </c>
      <c r="J1979" t="s">
        <v>1726</v>
      </c>
      <c r="K1979">
        <v>281.51</v>
      </c>
      <c r="L1979">
        <v>5</v>
      </c>
      <c r="M1979">
        <v>12</v>
      </c>
      <c r="N1979" t="s">
        <v>56</v>
      </c>
      <c r="O1979" t="s">
        <v>425</v>
      </c>
      <c r="P1979" t="s">
        <v>30</v>
      </c>
      <c r="Q1979" t="s">
        <v>32</v>
      </c>
    </row>
    <row r="1980" spans="1:17" x14ac:dyDescent="0.3">
      <c r="A1980" t="s">
        <v>9028</v>
      </c>
      <c r="B1980" t="s">
        <v>9029</v>
      </c>
      <c r="C1980">
        <v>61</v>
      </c>
      <c r="D1980" t="s">
        <v>9030</v>
      </c>
      <c r="E1980" t="s">
        <v>95</v>
      </c>
      <c r="F1980" t="s">
        <v>9031</v>
      </c>
      <c r="G1980" s="86">
        <v>45536</v>
      </c>
      <c r="H1980">
        <v>0</v>
      </c>
      <c r="I1980" t="s">
        <v>27</v>
      </c>
      <c r="J1980" t="s">
        <v>9032</v>
      </c>
      <c r="K1980">
        <v>314.29000000000002</v>
      </c>
      <c r="L1980">
        <v>4</v>
      </c>
      <c r="M1980">
        <v>46</v>
      </c>
      <c r="N1980" t="s">
        <v>45</v>
      </c>
      <c r="O1980" t="s">
        <v>837</v>
      </c>
      <c r="P1980" t="s">
        <v>56</v>
      </c>
      <c r="Q1980" t="s">
        <v>69</v>
      </c>
    </row>
    <row r="1981" spans="1:17" x14ac:dyDescent="0.3">
      <c r="A1981" t="s">
        <v>9034</v>
      </c>
      <c r="B1981" t="s">
        <v>9035</v>
      </c>
      <c r="C1981">
        <v>25</v>
      </c>
      <c r="D1981" t="s">
        <v>9036</v>
      </c>
      <c r="E1981" t="s">
        <v>51</v>
      </c>
      <c r="F1981" t="s">
        <v>370</v>
      </c>
      <c r="G1981" s="86">
        <v>44023</v>
      </c>
      <c r="H1981">
        <v>4</v>
      </c>
      <c r="I1981" t="s">
        <v>52</v>
      </c>
      <c r="J1981" t="s">
        <v>2982</v>
      </c>
      <c r="K1981">
        <v>628.04</v>
      </c>
      <c r="L1981">
        <v>3</v>
      </c>
      <c r="M1981">
        <v>14</v>
      </c>
      <c r="N1981" t="s">
        <v>54</v>
      </c>
      <c r="O1981" t="s">
        <v>99</v>
      </c>
      <c r="P1981" t="s">
        <v>56</v>
      </c>
      <c r="Q1981" t="s">
        <v>69</v>
      </c>
    </row>
    <row r="1982" spans="1:17" x14ac:dyDescent="0.3">
      <c r="A1982" t="s">
        <v>9038</v>
      </c>
      <c r="B1982" t="s">
        <v>9039</v>
      </c>
      <c r="C1982">
        <v>40</v>
      </c>
      <c r="D1982" t="s">
        <v>9040</v>
      </c>
      <c r="E1982" t="s">
        <v>95</v>
      </c>
      <c r="F1982" t="s">
        <v>3690</v>
      </c>
      <c r="G1982" t="s">
        <v>2966</v>
      </c>
      <c r="H1982">
        <v>3</v>
      </c>
      <c r="I1982" t="s">
        <v>64</v>
      </c>
      <c r="J1982" s="86">
        <v>45078</v>
      </c>
      <c r="K1982">
        <v>145.30000000000001</v>
      </c>
      <c r="L1982">
        <v>3</v>
      </c>
      <c r="M1982">
        <v>28</v>
      </c>
      <c r="N1982" t="s">
        <v>30</v>
      </c>
      <c r="O1982" t="s">
        <v>223</v>
      </c>
      <c r="P1982" t="s">
        <v>56</v>
      </c>
      <c r="Q1982" t="s">
        <v>69</v>
      </c>
    </row>
    <row r="1983" spans="1:17" x14ac:dyDescent="0.3">
      <c r="A1983" t="s">
        <v>9042</v>
      </c>
      <c r="B1983" t="s">
        <v>9043</v>
      </c>
      <c r="C1983">
        <v>56</v>
      </c>
      <c r="D1983" t="s">
        <v>9044</v>
      </c>
      <c r="E1983" t="s">
        <v>61</v>
      </c>
      <c r="F1983" t="s">
        <v>6086</v>
      </c>
      <c r="G1983" s="86">
        <v>45303</v>
      </c>
      <c r="H1983">
        <v>1</v>
      </c>
      <c r="I1983" t="s">
        <v>52</v>
      </c>
      <c r="J1983" t="s">
        <v>1074</v>
      </c>
      <c r="K1983">
        <v>81.86</v>
      </c>
      <c r="L1983">
        <v>3</v>
      </c>
      <c r="M1983">
        <v>10</v>
      </c>
      <c r="N1983" t="s">
        <v>54</v>
      </c>
      <c r="O1983" t="s">
        <v>251</v>
      </c>
      <c r="P1983" t="s">
        <v>30</v>
      </c>
      <c r="Q1983" t="s">
        <v>69</v>
      </c>
    </row>
    <row r="1984" spans="1:17" x14ac:dyDescent="0.3">
      <c r="A1984" t="s">
        <v>9046</v>
      </c>
      <c r="B1984" t="s">
        <v>9047</v>
      </c>
      <c r="C1984">
        <v>26</v>
      </c>
      <c r="D1984" t="s">
        <v>9048</v>
      </c>
      <c r="E1984" t="s">
        <v>51</v>
      </c>
      <c r="F1984" s="86">
        <v>44777</v>
      </c>
      <c r="G1984" t="s">
        <v>2690</v>
      </c>
      <c r="H1984">
        <v>0</v>
      </c>
      <c r="I1984" t="s">
        <v>27</v>
      </c>
      <c r="J1984" t="s">
        <v>221</v>
      </c>
      <c r="K1984">
        <v>478.29</v>
      </c>
      <c r="L1984">
        <v>4</v>
      </c>
      <c r="M1984">
        <v>3</v>
      </c>
      <c r="N1984" t="s">
        <v>45</v>
      </c>
      <c r="O1984" t="s">
        <v>821</v>
      </c>
      <c r="P1984" t="s">
        <v>68</v>
      </c>
      <c r="Q1984" t="s">
        <v>32</v>
      </c>
    </row>
    <row r="1985" spans="1:17" x14ac:dyDescent="0.3">
      <c r="A1985" t="s">
        <v>9050</v>
      </c>
      <c r="B1985" t="s">
        <v>9051</v>
      </c>
      <c r="C1985">
        <v>53</v>
      </c>
      <c r="D1985" t="s">
        <v>9052</v>
      </c>
      <c r="E1985" t="s">
        <v>40</v>
      </c>
      <c r="F1985" t="s">
        <v>1742</v>
      </c>
      <c r="G1985" t="s">
        <v>312</v>
      </c>
      <c r="H1985">
        <v>4</v>
      </c>
      <c r="I1985" t="s">
        <v>64</v>
      </c>
      <c r="J1985" t="s">
        <v>4101</v>
      </c>
      <c r="K1985">
        <v>386.17</v>
      </c>
      <c r="L1985">
        <v>2</v>
      </c>
      <c r="M1985">
        <v>9</v>
      </c>
      <c r="N1985" t="s">
        <v>54</v>
      </c>
      <c r="O1985" t="s">
        <v>44</v>
      </c>
      <c r="P1985" t="s">
        <v>45</v>
      </c>
      <c r="Q1985" t="s">
        <v>32</v>
      </c>
    </row>
    <row r="1986" spans="1:17" x14ac:dyDescent="0.3">
      <c r="A1986" t="s">
        <v>9054</v>
      </c>
      <c r="B1986" t="s">
        <v>9055</v>
      </c>
      <c r="C1986">
        <v>23</v>
      </c>
      <c r="D1986" t="s">
        <v>9056</v>
      </c>
      <c r="E1986" t="s">
        <v>61</v>
      </c>
      <c r="F1986" s="86">
        <v>44898</v>
      </c>
      <c r="G1986" s="86">
        <v>45355</v>
      </c>
      <c r="H1986">
        <v>2</v>
      </c>
      <c r="I1986" t="s">
        <v>27</v>
      </c>
      <c r="J1986" t="s">
        <v>9057</v>
      </c>
      <c r="K1986">
        <v>1902.06</v>
      </c>
      <c r="L1986">
        <v>1</v>
      </c>
      <c r="M1986">
        <v>28</v>
      </c>
      <c r="N1986" t="s">
        <v>30</v>
      </c>
      <c r="O1986" t="s">
        <v>536</v>
      </c>
      <c r="P1986" t="s">
        <v>68</v>
      </c>
      <c r="Q1986" t="s">
        <v>32</v>
      </c>
    </row>
    <row r="1987" spans="1:17" x14ac:dyDescent="0.3">
      <c r="A1987" t="s">
        <v>9059</v>
      </c>
      <c r="B1987" t="s">
        <v>9060</v>
      </c>
      <c r="C1987">
        <v>52</v>
      </c>
      <c r="D1987" t="s">
        <v>9061</v>
      </c>
      <c r="E1987" t="s">
        <v>95</v>
      </c>
      <c r="F1987" t="s">
        <v>3684</v>
      </c>
      <c r="G1987" t="s">
        <v>712</v>
      </c>
      <c r="H1987">
        <v>3</v>
      </c>
      <c r="I1987" t="s">
        <v>52</v>
      </c>
      <c r="J1987" s="86">
        <v>45810</v>
      </c>
      <c r="K1987">
        <v>11.23</v>
      </c>
      <c r="L1987">
        <v>8</v>
      </c>
      <c r="M1987">
        <v>6</v>
      </c>
      <c r="N1987" t="s">
        <v>30</v>
      </c>
      <c r="O1987" t="s">
        <v>366</v>
      </c>
      <c r="P1987" t="s">
        <v>54</v>
      </c>
      <c r="Q1987" t="s">
        <v>32</v>
      </c>
    </row>
    <row r="1988" spans="1:17" x14ac:dyDescent="0.3">
      <c r="A1988" t="s">
        <v>9063</v>
      </c>
      <c r="B1988" t="s">
        <v>9064</v>
      </c>
      <c r="C1988">
        <v>21</v>
      </c>
      <c r="D1988" t="s">
        <v>9065</v>
      </c>
      <c r="E1988" t="s">
        <v>40</v>
      </c>
      <c r="F1988" t="s">
        <v>4416</v>
      </c>
      <c r="G1988" s="86">
        <v>45359</v>
      </c>
      <c r="H1988">
        <v>1</v>
      </c>
      <c r="I1988" t="s">
        <v>27</v>
      </c>
      <c r="J1988" s="86">
        <v>45356</v>
      </c>
      <c r="K1988">
        <v>522.95000000000005</v>
      </c>
      <c r="L1988">
        <v>2</v>
      </c>
      <c r="M1988">
        <v>2</v>
      </c>
      <c r="N1988" t="s">
        <v>56</v>
      </c>
      <c r="O1988" t="s">
        <v>116</v>
      </c>
      <c r="P1988" t="s">
        <v>54</v>
      </c>
      <c r="Q1988" t="s">
        <v>32</v>
      </c>
    </row>
    <row r="1989" spans="1:17" x14ac:dyDescent="0.3">
      <c r="A1989" t="s">
        <v>9067</v>
      </c>
      <c r="B1989" t="s">
        <v>9068</v>
      </c>
      <c r="C1989">
        <v>65</v>
      </c>
      <c r="D1989" t="s">
        <v>9069</v>
      </c>
      <c r="E1989" t="s">
        <v>25</v>
      </c>
      <c r="F1989" s="86">
        <v>43963</v>
      </c>
      <c r="G1989" t="s">
        <v>1106</v>
      </c>
      <c r="H1989">
        <v>3</v>
      </c>
      <c r="I1989" t="s">
        <v>27</v>
      </c>
      <c r="J1989" t="s">
        <v>4416</v>
      </c>
      <c r="K1989">
        <v>354.59</v>
      </c>
      <c r="L1989">
        <v>4</v>
      </c>
      <c r="M1989">
        <v>47</v>
      </c>
      <c r="N1989" t="s">
        <v>54</v>
      </c>
      <c r="O1989" t="s">
        <v>142</v>
      </c>
      <c r="P1989" t="s">
        <v>68</v>
      </c>
      <c r="Q1989" t="s">
        <v>69</v>
      </c>
    </row>
    <row r="1990" spans="1:17" x14ac:dyDescent="0.3">
      <c r="A1990" t="s">
        <v>9071</v>
      </c>
      <c r="B1990" t="s">
        <v>9072</v>
      </c>
      <c r="C1990">
        <v>50</v>
      </c>
      <c r="D1990" t="s">
        <v>9073</v>
      </c>
      <c r="E1990" t="s">
        <v>25</v>
      </c>
      <c r="F1990" t="s">
        <v>8620</v>
      </c>
      <c r="G1990" s="86">
        <v>45572</v>
      </c>
      <c r="H1990">
        <v>0</v>
      </c>
      <c r="I1990" t="s">
        <v>27</v>
      </c>
      <c r="J1990" s="86">
        <v>44992</v>
      </c>
      <c r="K1990">
        <v>35.700000000000003</v>
      </c>
      <c r="L1990">
        <v>8</v>
      </c>
      <c r="M1990">
        <v>38</v>
      </c>
      <c r="N1990" t="s">
        <v>56</v>
      </c>
      <c r="O1990" t="s">
        <v>77</v>
      </c>
      <c r="P1990" t="s">
        <v>54</v>
      </c>
      <c r="Q1990" t="s">
        <v>69</v>
      </c>
    </row>
    <row r="1991" spans="1:17" x14ac:dyDescent="0.3">
      <c r="A1991" t="s">
        <v>9075</v>
      </c>
      <c r="B1991" t="s">
        <v>9076</v>
      </c>
      <c r="C1991">
        <v>36</v>
      </c>
      <c r="D1991" t="s">
        <v>9077</v>
      </c>
      <c r="E1991" t="s">
        <v>88</v>
      </c>
      <c r="F1991" t="s">
        <v>9078</v>
      </c>
      <c r="G1991" s="86">
        <v>45783</v>
      </c>
      <c r="H1991">
        <v>2</v>
      </c>
      <c r="I1991" t="s">
        <v>52</v>
      </c>
      <c r="J1991" t="s">
        <v>5351</v>
      </c>
      <c r="K1991">
        <v>394.6</v>
      </c>
      <c r="L1991">
        <v>5</v>
      </c>
      <c r="M1991">
        <v>43</v>
      </c>
      <c r="N1991" t="s">
        <v>68</v>
      </c>
      <c r="O1991" t="s">
        <v>211</v>
      </c>
      <c r="P1991" t="s">
        <v>68</v>
      </c>
      <c r="Q1991" t="s">
        <v>32</v>
      </c>
    </row>
    <row r="1992" spans="1:17" x14ac:dyDescent="0.3">
      <c r="A1992" t="s">
        <v>9080</v>
      </c>
      <c r="B1992" t="s">
        <v>9081</v>
      </c>
      <c r="C1992">
        <v>69</v>
      </c>
      <c r="D1992" t="s">
        <v>9082</v>
      </c>
      <c r="E1992" t="s">
        <v>25</v>
      </c>
      <c r="F1992" t="s">
        <v>1243</v>
      </c>
      <c r="G1992" t="s">
        <v>508</v>
      </c>
      <c r="H1992">
        <v>4</v>
      </c>
      <c r="I1992" t="s">
        <v>64</v>
      </c>
      <c r="J1992" t="s">
        <v>712</v>
      </c>
      <c r="K1992">
        <v>71.62</v>
      </c>
      <c r="L1992">
        <v>5</v>
      </c>
      <c r="M1992">
        <v>17</v>
      </c>
      <c r="N1992" t="s">
        <v>56</v>
      </c>
      <c r="O1992" t="s">
        <v>31</v>
      </c>
      <c r="P1992" t="s">
        <v>30</v>
      </c>
      <c r="Q1992" t="s">
        <v>32</v>
      </c>
    </row>
    <row r="1993" spans="1:17" x14ac:dyDescent="0.3">
      <c r="A1993" t="s">
        <v>9084</v>
      </c>
      <c r="B1993" t="s">
        <v>9085</v>
      </c>
      <c r="C1993">
        <v>55</v>
      </c>
      <c r="D1993" t="s">
        <v>9086</v>
      </c>
      <c r="E1993" t="s">
        <v>61</v>
      </c>
      <c r="F1993" t="s">
        <v>973</v>
      </c>
      <c r="G1993" t="s">
        <v>3069</v>
      </c>
      <c r="H1993">
        <v>4</v>
      </c>
      <c r="I1993" t="s">
        <v>27</v>
      </c>
      <c r="J1993" t="s">
        <v>3685</v>
      </c>
      <c r="K1993">
        <v>260.37</v>
      </c>
      <c r="L1993">
        <v>3</v>
      </c>
      <c r="M1993">
        <v>36</v>
      </c>
      <c r="N1993" t="s">
        <v>56</v>
      </c>
      <c r="O1993" t="s">
        <v>135</v>
      </c>
      <c r="P1993" t="s">
        <v>45</v>
      </c>
      <c r="Q1993" t="s">
        <v>69</v>
      </c>
    </row>
    <row r="1994" spans="1:17" x14ac:dyDescent="0.3">
      <c r="A1994" t="s">
        <v>9088</v>
      </c>
      <c r="B1994" t="s">
        <v>9089</v>
      </c>
      <c r="C1994">
        <v>35</v>
      </c>
      <c r="D1994" t="s">
        <v>9090</v>
      </c>
      <c r="E1994" t="s">
        <v>88</v>
      </c>
      <c r="F1994" s="86">
        <v>44319</v>
      </c>
      <c r="G1994" t="s">
        <v>809</v>
      </c>
      <c r="H1994">
        <v>5</v>
      </c>
      <c r="I1994" t="s">
        <v>27</v>
      </c>
      <c r="J1994" s="86">
        <v>45690</v>
      </c>
      <c r="K1994">
        <v>281.42</v>
      </c>
      <c r="L1994">
        <v>3</v>
      </c>
      <c r="M1994">
        <v>46</v>
      </c>
      <c r="N1994" t="s">
        <v>54</v>
      </c>
      <c r="O1994" t="s">
        <v>91</v>
      </c>
      <c r="P1994" t="s">
        <v>54</v>
      </c>
      <c r="Q1994" t="s">
        <v>69</v>
      </c>
    </row>
    <row r="1995" spans="1:17" x14ac:dyDescent="0.3">
      <c r="A1995" t="s">
        <v>9092</v>
      </c>
      <c r="B1995" t="s">
        <v>9093</v>
      </c>
      <c r="C1995">
        <v>23</v>
      </c>
      <c r="D1995" t="s">
        <v>9094</v>
      </c>
      <c r="E1995" t="s">
        <v>51</v>
      </c>
      <c r="F1995" t="s">
        <v>658</v>
      </c>
      <c r="G1995" s="86">
        <v>44447</v>
      </c>
      <c r="H1995">
        <v>3</v>
      </c>
      <c r="I1995" t="s">
        <v>27</v>
      </c>
      <c r="J1995" t="s">
        <v>6333</v>
      </c>
      <c r="K1995">
        <v>54.05</v>
      </c>
      <c r="L1995">
        <v>9</v>
      </c>
      <c r="M1995">
        <v>29</v>
      </c>
      <c r="N1995" t="s">
        <v>56</v>
      </c>
      <c r="O1995" t="s">
        <v>604</v>
      </c>
      <c r="P1995" t="s">
        <v>45</v>
      </c>
      <c r="Q1995" t="s">
        <v>32</v>
      </c>
    </row>
    <row r="1996" spans="1:17" x14ac:dyDescent="0.3">
      <c r="A1996" t="s">
        <v>9096</v>
      </c>
      <c r="B1996" t="s">
        <v>9097</v>
      </c>
      <c r="C1996">
        <v>40</v>
      </c>
      <c r="D1996" t="s">
        <v>9098</v>
      </c>
      <c r="E1996" t="s">
        <v>61</v>
      </c>
      <c r="F1996" s="86">
        <v>44379</v>
      </c>
      <c r="G1996" t="s">
        <v>4943</v>
      </c>
      <c r="H1996">
        <v>4</v>
      </c>
      <c r="I1996" t="s">
        <v>27</v>
      </c>
      <c r="J1996" t="s">
        <v>718</v>
      </c>
      <c r="K1996">
        <v>77.92</v>
      </c>
      <c r="L1996">
        <v>4</v>
      </c>
      <c r="M1996">
        <v>5</v>
      </c>
      <c r="N1996" t="s">
        <v>45</v>
      </c>
      <c r="O1996" t="s">
        <v>194</v>
      </c>
      <c r="P1996" t="s">
        <v>56</v>
      </c>
      <c r="Q1996" t="s">
        <v>69</v>
      </c>
    </row>
    <row r="1997" spans="1:17" x14ac:dyDescent="0.3">
      <c r="A1997" t="s">
        <v>9100</v>
      </c>
      <c r="B1997" t="s">
        <v>9101</v>
      </c>
      <c r="C1997">
        <v>27</v>
      </c>
      <c r="D1997" t="s">
        <v>9102</v>
      </c>
      <c r="E1997" t="s">
        <v>95</v>
      </c>
      <c r="F1997" s="86">
        <v>44507</v>
      </c>
      <c r="G1997" t="s">
        <v>256</v>
      </c>
      <c r="H1997">
        <v>0</v>
      </c>
      <c r="I1997" t="s">
        <v>27</v>
      </c>
      <c r="J1997" t="s">
        <v>1841</v>
      </c>
      <c r="K1997">
        <v>30.34</v>
      </c>
      <c r="L1997">
        <v>7</v>
      </c>
      <c r="M1997">
        <v>25</v>
      </c>
      <c r="N1997" t="s">
        <v>68</v>
      </c>
      <c r="O1997" t="s">
        <v>175</v>
      </c>
      <c r="P1997" t="s">
        <v>56</v>
      </c>
      <c r="Q1997" t="s">
        <v>32</v>
      </c>
    </row>
    <row r="1998" spans="1:17" x14ac:dyDescent="0.3">
      <c r="A1998" t="s">
        <v>9104</v>
      </c>
      <c r="B1998" t="s">
        <v>9105</v>
      </c>
      <c r="C1998">
        <v>59</v>
      </c>
      <c r="D1998" t="s">
        <v>9106</v>
      </c>
      <c r="E1998" t="s">
        <v>25</v>
      </c>
      <c r="F1998" t="s">
        <v>2522</v>
      </c>
      <c r="G1998" t="s">
        <v>1790</v>
      </c>
      <c r="H1998">
        <v>4</v>
      </c>
      <c r="I1998" t="s">
        <v>64</v>
      </c>
      <c r="J1998" s="86">
        <v>45415</v>
      </c>
      <c r="K1998">
        <v>381.38</v>
      </c>
      <c r="L1998">
        <v>3</v>
      </c>
      <c r="M1998">
        <v>12</v>
      </c>
      <c r="N1998" t="s">
        <v>54</v>
      </c>
      <c r="O1998" t="s">
        <v>597</v>
      </c>
      <c r="P1998" t="s">
        <v>45</v>
      </c>
      <c r="Q1998" t="s">
        <v>69</v>
      </c>
    </row>
    <row r="1999" spans="1:17" x14ac:dyDescent="0.3">
      <c r="A1999" t="s">
        <v>9108</v>
      </c>
      <c r="B1999" t="s">
        <v>9109</v>
      </c>
      <c r="C1999">
        <v>41</v>
      </c>
      <c r="D1999" t="s">
        <v>9110</v>
      </c>
      <c r="E1999" t="s">
        <v>61</v>
      </c>
      <c r="F1999" t="s">
        <v>4169</v>
      </c>
      <c r="G1999" t="s">
        <v>457</v>
      </c>
      <c r="H1999">
        <v>1</v>
      </c>
      <c r="I1999" t="s">
        <v>27</v>
      </c>
      <c r="J1999" t="s">
        <v>1754</v>
      </c>
      <c r="K1999">
        <v>305.05</v>
      </c>
      <c r="L1999">
        <v>6</v>
      </c>
      <c r="M1999">
        <v>38</v>
      </c>
      <c r="N1999" t="s">
        <v>68</v>
      </c>
      <c r="O1999" t="s">
        <v>211</v>
      </c>
      <c r="P1999" t="s">
        <v>68</v>
      </c>
      <c r="Q1999" t="s">
        <v>69</v>
      </c>
    </row>
    <row r="2000" spans="1:17" x14ac:dyDescent="0.3">
      <c r="A2000" t="s">
        <v>9112</v>
      </c>
      <c r="B2000" t="s">
        <v>9113</v>
      </c>
      <c r="C2000">
        <v>20</v>
      </c>
      <c r="D2000" t="s">
        <v>9114</v>
      </c>
      <c r="E2000" t="s">
        <v>40</v>
      </c>
      <c r="F2000" t="s">
        <v>940</v>
      </c>
      <c r="G2000" t="s">
        <v>1726</v>
      </c>
      <c r="H2000">
        <v>0</v>
      </c>
      <c r="I2000" t="s">
        <v>27</v>
      </c>
      <c r="J2000" t="s">
        <v>297</v>
      </c>
      <c r="K2000">
        <v>229.14</v>
      </c>
      <c r="L2000">
        <v>1</v>
      </c>
      <c r="M2000">
        <v>49</v>
      </c>
      <c r="N2000" t="s">
        <v>68</v>
      </c>
      <c r="O2000" t="s">
        <v>157</v>
      </c>
      <c r="P2000" t="s">
        <v>68</v>
      </c>
      <c r="Q2000" t="s">
        <v>69</v>
      </c>
    </row>
    <row r="2001" spans="1:17" x14ac:dyDescent="0.3">
      <c r="A2001" t="s">
        <v>9116</v>
      </c>
      <c r="B2001" t="s">
        <v>9117</v>
      </c>
      <c r="C2001">
        <v>54</v>
      </c>
      <c r="D2001" t="s">
        <v>9118</v>
      </c>
      <c r="E2001" t="s">
        <v>61</v>
      </c>
      <c r="F2001" t="s">
        <v>2593</v>
      </c>
      <c r="G2001" t="s">
        <v>4817</v>
      </c>
      <c r="H2001">
        <v>5</v>
      </c>
      <c r="I2001" t="s">
        <v>52</v>
      </c>
      <c r="J2001" t="s">
        <v>1312</v>
      </c>
      <c r="K2001">
        <v>4.41</v>
      </c>
      <c r="L2001">
        <v>7</v>
      </c>
      <c r="M2001">
        <v>24</v>
      </c>
      <c r="N2001" t="s">
        <v>68</v>
      </c>
      <c r="O2001" t="s">
        <v>55</v>
      </c>
      <c r="P2001" t="s">
        <v>56</v>
      </c>
      <c r="Q2001"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CCF4-3771-4643-98AD-4AB7EE833761}">
  <dimension ref="A1:V2003"/>
  <sheetViews>
    <sheetView workbookViewId="0">
      <selection activeCell="J8" sqref="J8"/>
    </sheetView>
  </sheetViews>
  <sheetFormatPr defaultRowHeight="14.4" x14ac:dyDescent="0.3"/>
  <cols>
    <col min="1" max="1" width="12.33203125" bestFit="1" customWidth="1"/>
    <col min="2" max="2" width="15.77734375" bestFit="1" customWidth="1"/>
    <col min="3" max="3" width="8.33203125" bestFit="1" customWidth="1"/>
    <col min="4" max="4" width="14.44140625" bestFit="1" customWidth="1"/>
    <col min="5" max="5" width="11.6640625" bestFit="1" customWidth="1"/>
    <col min="6" max="6" width="15.44140625" bestFit="1" customWidth="1"/>
    <col min="7" max="7" width="21.77734375" bestFit="1" customWidth="1"/>
    <col min="8" max="8" width="22.33203125" bestFit="1" customWidth="1"/>
    <col min="9" max="9" width="22" bestFit="1" customWidth="1"/>
    <col min="10" max="11" width="14.44140625" bestFit="1" customWidth="1"/>
    <col min="12" max="12" width="12.33203125" bestFit="1" customWidth="1"/>
    <col min="13" max="13" width="22.33203125" bestFit="1" customWidth="1"/>
    <col min="14" max="14" width="21.21875" bestFit="1" customWidth="1"/>
    <col min="15" max="15" width="17.5546875" bestFit="1" customWidth="1"/>
    <col min="16" max="16" width="12.5546875" bestFit="1" customWidth="1"/>
    <col min="17" max="17" width="13.33203125" customWidth="1"/>
    <col min="18" max="18" width="17.109375" bestFit="1" customWidth="1"/>
    <col min="19" max="19" width="23.77734375" bestFit="1" customWidth="1"/>
    <col min="20" max="20" width="13.77734375" bestFit="1" customWidth="1"/>
    <col min="21" max="21" width="31" bestFit="1" customWidth="1"/>
    <col min="22" max="22" width="17.77734375" bestFit="1" customWidth="1"/>
    <col min="23" max="23" width="8.88671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s="1" t="s">
        <v>22</v>
      </c>
      <c r="B2" s="1" t="s">
        <v>23</v>
      </c>
      <c r="C2" s="1">
        <v>39</v>
      </c>
      <c r="D2" s="1" t="s">
        <v>24</v>
      </c>
      <c r="E2" s="1" t="s">
        <v>25</v>
      </c>
      <c r="F2" s="2">
        <v>44378</v>
      </c>
      <c r="G2" s="1" t="s">
        <v>26</v>
      </c>
      <c r="H2" s="1">
        <v>0</v>
      </c>
      <c r="I2" s="1" t="s">
        <v>27</v>
      </c>
      <c r="J2" s="1" t="s">
        <v>28</v>
      </c>
      <c r="K2" s="1" t="s">
        <v>29</v>
      </c>
      <c r="L2" s="1">
        <v>5</v>
      </c>
      <c r="M2" s="1">
        <v>37</v>
      </c>
      <c r="N2" s="1" t="s">
        <v>30</v>
      </c>
      <c r="O2" s="1" t="s">
        <v>31</v>
      </c>
      <c r="P2" s="1" t="s">
        <v>30</v>
      </c>
      <c r="Q2" s="1" t="s">
        <v>32</v>
      </c>
      <c r="R2" s="1">
        <v>391.05</v>
      </c>
      <c r="S2" s="1" t="s">
        <v>33</v>
      </c>
      <c r="T2" s="1" t="s">
        <v>34</v>
      </c>
      <c r="U2" s="1" t="s">
        <v>35</v>
      </c>
      <c r="V2" s="1" t="s">
        <v>36</v>
      </c>
    </row>
    <row r="3" spans="1:22" x14ac:dyDescent="0.3">
      <c r="A3" s="1" t="s">
        <v>37</v>
      </c>
      <c r="B3" s="1" t="s">
        <v>38</v>
      </c>
      <c r="C3" s="1">
        <v>61</v>
      </c>
      <c r="D3" s="1" t="s">
        <v>39</v>
      </c>
      <c r="E3" s="1" t="s">
        <v>40</v>
      </c>
      <c r="F3" s="1" t="s">
        <v>41</v>
      </c>
      <c r="G3" s="2">
        <v>44420</v>
      </c>
      <c r="H3" s="1">
        <v>0</v>
      </c>
      <c r="I3" s="1" t="s">
        <v>27</v>
      </c>
      <c r="J3" s="1" t="s">
        <v>42</v>
      </c>
      <c r="K3" s="1" t="s">
        <v>43</v>
      </c>
      <c r="L3" s="1">
        <v>8</v>
      </c>
      <c r="M3" s="1">
        <v>35</v>
      </c>
      <c r="N3" s="1" t="s">
        <v>30</v>
      </c>
      <c r="O3" s="1" t="s">
        <v>44</v>
      </c>
      <c r="P3" s="1" t="s">
        <v>45</v>
      </c>
      <c r="Q3" s="1" t="s">
        <v>32</v>
      </c>
      <c r="R3" s="1">
        <v>512.16</v>
      </c>
      <c r="S3" s="1" t="s">
        <v>46</v>
      </c>
      <c r="T3" s="1" t="s">
        <v>47</v>
      </c>
      <c r="U3" s="1" t="s">
        <v>35</v>
      </c>
      <c r="V3" s="1" t="s">
        <v>36</v>
      </c>
    </row>
    <row r="4" spans="1:22" x14ac:dyDescent="0.3">
      <c r="A4" s="1" t="s">
        <v>48</v>
      </c>
      <c r="B4" s="1" t="s">
        <v>49</v>
      </c>
      <c r="C4" s="1">
        <v>26</v>
      </c>
      <c r="D4" s="1" t="s">
        <v>50</v>
      </c>
      <c r="E4" s="1" t="s">
        <v>51</v>
      </c>
      <c r="F4" s="2">
        <v>45205</v>
      </c>
      <c r="G4" s="2">
        <v>45025</v>
      </c>
      <c r="H4" s="1">
        <v>3</v>
      </c>
      <c r="I4" s="1" t="s">
        <v>52</v>
      </c>
      <c r="J4" s="2">
        <v>45994</v>
      </c>
      <c r="K4" s="1" t="s">
        <v>53</v>
      </c>
      <c r="L4" s="1">
        <v>2</v>
      </c>
      <c r="M4" s="1">
        <v>44</v>
      </c>
      <c r="N4" s="1" t="s">
        <v>54</v>
      </c>
      <c r="O4" s="1" t="s">
        <v>55</v>
      </c>
      <c r="P4" s="1" t="s">
        <v>56</v>
      </c>
      <c r="Q4" s="1" t="s">
        <v>32</v>
      </c>
      <c r="R4" s="1">
        <v>1208.28</v>
      </c>
      <c r="S4" s="1" t="s">
        <v>46</v>
      </c>
      <c r="T4" s="1" t="s">
        <v>57</v>
      </c>
      <c r="U4" s="1" t="s">
        <v>35</v>
      </c>
      <c r="V4" s="1" t="s">
        <v>36</v>
      </c>
    </row>
    <row r="5" spans="1:22" x14ac:dyDescent="0.3">
      <c r="A5" s="1" t="s">
        <v>58</v>
      </c>
      <c r="B5" s="1" t="s">
        <v>59</v>
      </c>
      <c r="C5" s="1">
        <v>54</v>
      </c>
      <c r="D5" s="1" t="s">
        <v>60</v>
      </c>
      <c r="E5" s="1" t="s">
        <v>61</v>
      </c>
      <c r="F5" s="1" t="s">
        <v>62</v>
      </c>
      <c r="G5" s="1" t="s">
        <v>63</v>
      </c>
      <c r="H5" s="1">
        <v>4</v>
      </c>
      <c r="I5" s="1" t="s">
        <v>64</v>
      </c>
      <c r="J5" s="1" t="s">
        <v>65</v>
      </c>
      <c r="K5" s="1" t="s">
        <v>66</v>
      </c>
      <c r="L5" s="1">
        <v>4</v>
      </c>
      <c r="M5" s="1">
        <v>1</v>
      </c>
      <c r="N5" s="1" t="s">
        <v>30</v>
      </c>
      <c r="O5" s="1" t="s">
        <v>67</v>
      </c>
      <c r="P5" s="1" t="s">
        <v>68</v>
      </c>
      <c r="Q5" s="1" t="s">
        <v>69</v>
      </c>
      <c r="R5" s="1">
        <v>338.64</v>
      </c>
      <c r="S5" s="1" t="s">
        <v>46</v>
      </c>
      <c r="T5" s="1" t="s">
        <v>47</v>
      </c>
      <c r="U5" s="1" t="s">
        <v>70</v>
      </c>
      <c r="V5" s="1" t="s">
        <v>71</v>
      </c>
    </row>
    <row r="6" spans="1:22" x14ac:dyDescent="0.3">
      <c r="A6" s="1" t="s">
        <v>72</v>
      </c>
      <c r="B6" s="1" t="s">
        <v>73</v>
      </c>
      <c r="C6" s="1">
        <v>50</v>
      </c>
      <c r="D6" s="1" t="s">
        <v>74</v>
      </c>
      <c r="E6" s="1" t="s">
        <v>61</v>
      </c>
      <c r="F6" s="2">
        <v>44086</v>
      </c>
      <c r="G6" s="1" t="s">
        <v>75</v>
      </c>
      <c r="H6" s="1">
        <v>0</v>
      </c>
      <c r="I6" s="1" t="s">
        <v>27</v>
      </c>
      <c r="J6" s="2">
        <v>45512</v>
      </c>
      <c r="K6" s="1" t="s">
        <v>76</v>
      </c>
      <c r="L6" s="1">
        <v>7</v>
      </c>
      <c r="M6" s="1">
        <v>35</v>
      </c>
      <c r="N6" s="1" t="s">
        <v>30</v>
      </c>
      <c r="O6" s="1" t="s">
        <v>77</v>
      </c>
      <c r="P6" s="1" t="s">
        <v>54</v>
      </c>
      <c r="Q6" s="1" t="s">
        <v>69</v>
      </c>
      <c r="R6" s="1">
        <v>438.62</v>
      </c>
      <c r="S6" s="1" t="s">
        <v>46</v>
      </c>
      <c r="T6" s="1" t="s">
        <v>47</v>
      </c>
      <c r="U6" s="1" t="s">
        <v>35</v>
      </c>
      <c r="V6" s="1" t="s">
        <v>36</v>
      </c>
    </row>
    <row r="7" spans="1:22" x14ac:dyDescent="0.3">
      <c r="A7" s="1" t="s">
        <v>78</v>
      </c>
      <c r="B7" s="1" t="s">
        <v>79</v>
      </c>
      <c r="C7" s="1">
        <v>46</v>
      </c>
      <c r="D7" s="1" t="s">
        <v>80</v>
      </c>
      <c r="E7" s="1" t="s">
        <v>51</v>
      </c>
      <c r="F7" s="1" t="s">
        <v>81</v>
      </c>
      <c r="G7" s="1" t="s">
        <v>82</v>
      </c>
      <c r="H7" s="1">
        <v>2</v>
      </c>
      <c r="I7" s="1" t="s">
        <v>27</v>
      </c>
      <c r="J7" s="1" t="s">
        <v>83</v>
      </c>
      <c r="K7" s="1" t="s">
        <v>84</v>
      </c>
      <c r="L7" s="1">
        <v>8</v>
      </c>
      <c r="M7" s="1">
        <v>16</v>
      </c>
      <c r="N7" s="1" t="s">
        <v>54</v>
      </c>
      <c r="O7" s="1" t="s">
        <v>55</v>
      </c>
      <c r="P7" s="1" t="s">
        <v>56</v>
      </c>
      <c r="Q7" s="1" t="s">
        <v>69</v>
      </c>
      <c r="R7" s="1">
        <v>1772.88</v>
      </c>
      <c r="S7" s="1" t="s">
        <v>46</v>
      </c>
      <c r="T7" s="1" t="s">
        <v>34</v>
      </c>
      <c r="U7" s="1" t="s">
        <v>35</v>
      </c>
      <c r="V7" s="1" t="s">
        <v>36</v>
      </c>
    </row>
    <row r="8" spans="1:22" x14ac:dyDescent="0.3">
      <c r="A8" s="1" t="s">
        <v>85</v>
      </c>
      <c r="B8" s="1" t="s">
        <v>86</v>
      </c>
      <c r="C8" s="1">
        <v>29</v>
      </c>
      <c r="D8" s="1" t="s">
        <v>87</v>
      </c>
      <c r="E8" s="1" t="s">
        <v>88</v>
      </c>
      <c r="F8" s="2">
        <v>45203</v>
      </c>
      <c r="G8" s="1" t="s">
        <v>89</v>
      </c>
      <c r="H8" s="1">
        <v>1</v>
      </c>
      <c r="I8" s="1" t="s">
        <v>27</v>
      </c>
      <c r="J8" s="2">
        <v>45415</v>
      </c>
      <c r="K8" s="1" t="s">
        <v>90</v>
      </c>
      <c r="L8" s="1">
        <v>4</v>
      </c>
      <c r="M8" s="1">
        <v>7</v>
      </c>
      <c r="N8" s="1" t="s">
        <v>56</v>
      </c>
      <c r="O8" s="1" t="s">
        <v>91</v>
      </c>
      <c r="P8" s="1" t="s">
        <v>54</v>
      </c>
      <c r="Q8" s="1" t="s">
        <v>32</v>
      </c>
      <c r="R8" s="1">
        <v>702.96</v>
      </c>
      <c r="S8" s="1" t="s">
        <v>46</v>
      </c>
      <c r="T8" s="1" t="s">
        <v>57</v>
      </c>
      <c r="U8" s="1" t="s">
        <v>35</v>
      </c>
      <c r="V8" s="1" t="s">
        <v>36</v>
      </c>
    </row>
    <row r="9" spans="1:22" x14ac:dyDescent="0.3">
      <c r="A9" s="1" t="s">
        <v>92</v>
      </c>
      <c r="B9" s="1" t="s">
        <v>93</v>
      </c>
      <c r="C9" s="1">
        <v>24</v>
      </c>
      <c r="D9" s="1" t="s">
        <v>94</v>
      </c>
      <c r="E9" s="1" t="s">
        <v>95</v>
      </c>
      <c r="F9" s="2">
        <v>44872</v>
      </c>
      <c r="G9" s="1" t="s">
        <v>96</v>
      </c>
      <c r="H9" s="1">
        <v>2</v>
      </c>
      <c r="I9" s="1" t="s">
        <v>27</v>
      </c>
      <c r="J9" s="1" t="s">
        <v>97</v>
      </c>
      <c r="K9" s="1" t="s">
        <v>98</v>
      </c>
      <c r="L9" s="1">
        <v>5</v>
      </c>
      <c r="M9" s="1">
        <v>34</v>
      </c>
      <c r="N9" s="1" t="s">
        <v>56</v>
      </c>
      <c r="O9" s="1" t="s">
        <v>99</v>
      </c>
      <c r="P9" s="1" t="s">
        <v>56</v>
      </c>
      <c r="Q9" s="1" t="s">
        <v>32</v>
      </c>
      <c r="R9" s="1">
        <v>47.8</v>
      </c>
      <c r="S9" s="1" t="s">
        <v>33</v>
      </c>
      <c r="T9" s="1" t="s">
        <v>100</v>
      </c>
      <c r="U9" s="1" t="s">
        <v>101</v>
      </c>
      <c r="V9" s="1" t="s">
        <v>9120</v>
      </c>
    </row>
    <row r="10" spans="1:22" x14ac:dyDescent="0.3">
      <c r="A10" s="1" t="s">
        <v>102</v>
      </c>
      <c r="B10" s="1" t="s">
        <v>103</v>
      </c>
      <c r="C10" s="1">
        <v>53</v>
      </c>
      <c r="D10" s="1" t="s">
        <v>104</v>
      </c>
      <c r="E10" s="1" t="s">
        <v>51</v>
      </c>
      <c r="F10" s="1" t="s">
        <v>105</v>
      </c>
      <c r="G10" s="1" t="s">
        <v>106</v>
      </c>
      <c r="H10" s="1">
        <v>4</v>
      </c>
      <c r="I10" s="1" t="s">
        <v>64</v>
      </c>
      <c r="J10" s="1" t="s">
        <v>107</v>
      </c>
      <c r="K10" s="1" t="s">
        <v>108</v>
      </c>
      <c r="L10" s="1">
        <v>1</v>
      </c>
      <c r="M10" s="1">
        <v>32</v>
      </c>
      <c r="N10" s="1" t="s">
        <v>54</v>
      </c>
      <c r="O10" s="1" t="s">
        <v>109</v>
      </c>
      <c r="P10" s="1" t="s">
        <v>68</v>
      </c>
      <c r="Q10" s="1" t="s">
        <v>32</v>
      </c>
      <c r="R10" s="1">
        <v>1525.8</v>
      </c>
      <c r="S10" s="1" t="s">
        <v>46</v>
      </c>
      <c r="T10" s="1" t="s">
        <v>47</v>
      </c>
      <c r="U10" s="1" t="s">
        <v>35</v>
      </c>
      <c r="V10" s="1" t="s">
        <v>71</v>
      </c>
    </row>
    <row r="11" spans="1:22" x14ac:dyDescent="0.3">
      <c r="A11" s="1" t="s">
        <v>110</v>
      </c>
      <c r="B11" s="1" t="s">
        <v>111</v>
      </c>
      <c r="C11" s="1">
        <v>38</v>
      </c>
      <c r="D11" s="1" t="s">
        <v>112</v>
      </c>
      <c r="E11" s="1" t="s">
        <v>88</v>
      </c>
      <c r="F11" s="2">
        <v>44451</v>
      </c>
      <c r="G11" s="1" t="s">
        <v>113</v>
      </c>
      <c r="H11" s="1">
        <v>2</v>
      </c>
      <c r="I11" s="1" t="s">
        <v>27</v>
      </c>
      <c r="J11" s="1" t="s">
        <v>114</v>
      </c>
      <c r="K11" s="1" t="s">
        <v>115</v>
      </c>
      <c r="L11" s="1">
        <v>4</v>
      </c>
      <c r="M11" s="1">
        <v>6</v>
      </c>
      <c r="N11" s="1" t="s">
        <v>56</v>
      </c>
      <c r="O11" s="1" t="s">
        <v>116</v>
      </c>
      <c r="P11" s="1" t="s">
        <v>54</v>
      </c>
      <c r="Q11" s="1" t="s">
        <v>69</v>
      </c>
      <c r="R11" s="1">
        <v>1348.96</v>
      </c>
      <c r="S11" s="1" t="s">
        <v>46</v>
      </c>
      <c r="T11" s="1" t="s">
        <v>34</v>
      </c>
      <c r="U11" s="1" t="s">
        <v>35</v>
      </c>
      <c r="V11" s="1" t="s">
        <v>36</v>
      </c>
    </row>
    <row r="12" spans="1:22" x14ac:dyDescent="0.3">
      <c r="A12" s="1" t="s">
        <v>117</v>
      </c>
      <c r="B12" s="1" t="s">
        <v>118</v>
      </c>
      <c r="C12" s="1">
        <v>41</v>
      </c>
      <c r="D12" s="1" t="s">
        <v>119</v>
      </c>
      <c r="E12" s="1" t="s">
        <v>95</v>
      </c>
      <c r="F12" s="2">
        <v>43931</v>
      </c>
      <c r="G12" s="2">
        <v>44600</v>
      </c>
      <c r="H12" s="1">
        <v>2</v>
      </c>
      <c r="I12" s="1" t="s">
        <v>27</v>
      </c>
      <c r="J12" s="1" t="s">
        <v>120</v>
      </c>
      <c r="K12" s="1" t="s">
        <v>121</v>
      </c>
      <c r="L12" s="1">
        <v>6</v>
      </c>
      <c r="M12" s="1">
        <v>38</v>
      </c>
      <c r="N12" s="1" t="s">
        <v>45</v>
      </c>
      <c r="O12" s="1" t="s">
        <v>122</v>
      </c>
      <c r="P12" s="1" t="s">
        <v>30</v>
      </c>
      <c r="Q12" s="1" t="s">
        <v>32</v>
      </c>
      <c r="R12" s="1">
        <v>1218.3</v>
      </c>
      <c r="S12" s="1" t="s">
        <v>46</v>
      </c>
      <c r="T12" s="1" t="s">
        <v>34</v>
      </c>
      <c r="U12" s="1" t="s">
        <v>35</v>
      </c>
      <c r="V12" s="1" t="s">
        <v>36</v>
      </c>
    </row>
    <row r="13" spans="1:22" x14ac:dyDescent="0.3">
      <c r="A13" s="1" t="s">
        <v>123</v>
      </c>
      <c r="B13" s="1" t="s">
        <v>124</v>
      </c>
      <c r="C13" s="1">
        <v>24</v>
      </c>
      <c r="D13" s="1" t="s">
        <v>125</v>
      </c>
      <c r="E13" s="1" t="s">
        <v>25</v>
      </c>
      <c r="F13" s="2">
        <v>44897</v>
      </c>
      <c r="G13" s="2">
        <v>45994</v>
      </c>
      <c r="H13" s="1">
        <v>1</v>
      </c>
      <c r="I13" s="1" t="s">
        <v>27</v>
      </c>
      <c r="J13" s="1" t="s">
        <v>126</v>
      </c>
      <c r="K13" s="1" t="s">
        <v>127</v>
      </c>
      <c r="L13" s="1">
        <v>1</v>
      </c>
      <c r="M13" s="1">
        <v>24</v>
      </c>
      <c r="N13" s="1" t="s">
        <v>68</v>
      </c>
      <c r="O13" s="1" t="s">
        <v>128</v>
      </c>
      <c r="P13" s="1" t="s">
        <v>54</v>
      </c>
      <c r="Q13" s="1" t="s">
        <v>32</v>
      </c>
      <c r="R13" s="1">
        <v>940.17</v>
      </c>
      <c r="S13" s="1" t="s">
        <v>46</v>
      </c>
      <c r="T13" s="1" t="s">
        <v>100</v>
      </c>
      <c r="U13" s="1" t="s">
        <v>35</v>
      </c>
      <c r="V13" s="1" t="s">
        <v>36</v>
      </c>
    </row>
    <row r="14" spans="1:22" x14ac:dyDescent="0.3">
      <c r="A14" s="1" t="s">
        <v>129</v>
      </c>
      <c r="B14" s="1" t="s">
        <v>130</v>
      </c>
      <c r="C14" s="1">
        <v>39</v>
      </c>
      <c r="D14" s="1" t="s">
        <v>131</v>
      </c>
      <c r="E14" s="1" t="s">
        <v>25</v>
      </c>
      <c r="F14" s="1" t="s">
        <v>132</v>
      </c>
      <c r="G14" s="1" t="s">
        <v>133</v>
      </c>
      <c r="H14" s="1">
        <v>2</v>
      </c>
      <c r="I14" s="1" t="s">
        <v>27</v>
      </c>
      <c r="J14" s="2">
        <v>44385</v>
      </c>
      <c r="K14" s="1" t="s">
        <v>134</v>
      </c>
      <c r="L14" s="1">
        <v>9</v>
      </c>
      <c r="M14" s="1">
        <v>36</v>
      </c>
      <c r="N14" s="1" t="s">
        <v>68</v>
      </c>
      <c r="O14" s="1" t="s">
        <v>135</v>
      </c>
      <c r="P14" s="1" t="s">
        <v>45</v>
      </c>
      <c r="Q14" s="1" t="s">
        <v>32</v>
      </c>
      <c r="R14" s="1">
        <v>1519.11</v>
      </c>
      <c r="S14" s="1" t="s">
        <v>46</v>
      </c>
      <c r="T14" s="1" t="s">
        <v>34</v>
      </c>
      <c r="U14" s="1" t="s">
        <v>35</v>
      </c>
      <c r="V14" s="1" t="s">
        <v>36</v>
      </c>
    </row>
    <row r="15" spans="1:22" x14ac:dyDescent="0.3">
      <c r="A15" s="1" t="s">
        <v>136</v>
      </c>
      <c r="B15" s="1" t="s">
        <v>137</v>
      </c>
      <c r="C15" s="1">
        <v>61</v>
      </c>
      <c r="D15" s="1" t="s">
        <v>138</v>
      </c>
      <c r="E15" s="1" t="s">
        <v>40</v>
      </c>
      <c r="F15" s="1" t="s">
        <v>139</v>
      </c>
      <c r="G15" s="2">
        <v>45547</v>
      </c>
      <c r="H15" s="1">
        <v>3</v>
      </c>
      <c r="I15" s="1" t="s">
        <v>27</v>
      </c>
      <c r="J15" s="1" t="s">
        <v>140</v>
      </c>
      <c r="K15" s="1" t="s">
        <v>141</v>
      </c>
      <c r="L15" s="1">
        <v>8</v>
      </c>
      <c r="M15" s="1">
        <v>5</v>
      </c>
      <c r="N15" s="1" t="s">
        <v>30</v>
      </c>
      <c r="O15" s="1" t="s">
        <v>142</v>
      </c>
      <c r="P15" s="1" t="s">
        <v>68</v>
      </c>
      <c r="Q15" s="1" t="s">
        <v>32</v>
      </c>
      <c r="R15" s="1">
        <v>1894.16</v>
      </c>
      <c r="S15" s="1" t="s">
        <v>46</v>
      </c>
      <c r="T15" s="1" t="s">
        <v>47</v>
      </c>
      <c r="U15" s="1" t="s">
        <v>35</v>
      </c>
      <c r="V15" s="1" t="s">
        <v>36</v>
      </c>
    </row>
    <row r="16" spans="1:22" x14ac:dyDescent="0.3">
      <c r="A16" s="1" t="s">
        <v>143</v>
      </c>
      <c r="B16" s="1" t="s">
        <v>144</v>
      </c>
      <c r="C16" s="1">
        <v>64</v>
      </c>
      <c r="D16" s="1" t="s">
        <v>145</v>
      </c>
      <c r="E16" s="1" t="s">
        <v>95</v>
      </c>
      <c r="F16" s="1" t="s">
        <v>146</v>
      </c>
      <c r="G16" s="1" t="s">
        <v>147</v>
      </c>
      <c r="H16" s="1">
        <v>1</v>
      </c>
      <c r="I16" s="1" t="s">
        <v>27</v>
      </c>
      <c r="J16" s="2">
        <v>45089</v>
      </c>
      <c r="K16" s="1" t="s">
        <v>148</v>
      </c>
      <c r="L16" s="1">
        <v>6</v>
      </c>
      <c r="M16" s="1">
        <v>20</v>
      </c>
      <c r="N16" s="1" t="s">
        <v>56</v>
      </c>
      <c r="O16" s="1" t="s">
        <v>149</v>
      </c>
      <c r="P16" s="1" t="s">
        <v>30</v>
      </c>
      <c r="Q16" s="1" t="s">
        <v>32</v>
      </c>
      <c r="R16" s="1">
        <v>781.92</v>
      </c>
      <c r="S16" s="1" t="s">
        <v>46</v>
      </c>
      <c r="T16" s="1" t="s">
        <v>47</v>
      </c>
      <c r="U16" s="1" t="s">
        <v>35</v>
      </c>
      <c r="V16" s="1" t="s">
        <v>36</v>
      </c>
    </row>
    <row r="17" spans="1:22" x14ac:dyDescent="0.3">
      <c r="A17" s="1" t="s">
        <v>150</v>
      </c>
      <c r="B17" s="1" t="s">
        <v>151</v>
      </c>
      <c r="C17" s="1">
        <v>28</v>
      </c>
      <c r="D17" s="1" t="s">
        <v>152</v>
      </c>
      <c r="E17" s="1" t="s">
        <v>95</v>
      </c>
      <c r="F17" s="1" t="s">
        <v>153</v>
      </c>
      <c r="G17" s="1" t="s">
        <v>154</v>
      </c>
      <c r="H17" s="1">
        <v>5</v>
      </c>
      <c r="I17" s="1" t="s">
        <v>52</v>
      </c>
      <c r="J17" s="1" t="s">
        <v>155</v>
      </c>
      <c r="K17" s="1" t="s">
        <v>156</v>
      </c>
      <c r="L17" s="1">
        <v>3</v>
      </c>
      <c r="M17" s="1">
        <v>27</v>
      </c>
      <c r="N17" s="1" t="s">
        <v>45</v>
      </c>
      <c r="O17" s="1" t="s">
        <v>157</v>
      </c>
      <c r="P17" s="1" t="s">
        <v>68</v>
      </c>
      <c r="Q17" s="1" t="s">
        <v>32</v>
      </c>
      <c r="R17" s="1">
        <v>1001.97</v>
      </c>
      <c r="S17" s="1" t="s">
        <v>46</v>
      </c>
      <c r="T17" s="1" t="s">
        <v>57</v>
      </c>
      <c r="U17" s="1" t="s">
        <v>35</v>
      </c>
      <c r="V17" s="1" t="s">
        <v>36</v>
      </c>
    </row>
    <row r="18" spans="1:22" x14ac:dyDescent="0.3">
      <c r="A18" s="1" t="s">
        <v>158</v>
      </c>
      <c r="B18" s="1" t="s">
        <v>159</v>
      </c>
      <c r="C18" s="1">
        <v>34</v>
      </c>
      <c r="D18" s="1" t="s">
        <v>160</v>
      </c>
      <c r="E18" s="1" t="s">
        <v>40</v>
      </c>
      <c r="F18" s="2">
        <v>44354</v>
      </c>
      <c r="G18" s="2">
        <v>45696</v>
      </c>
      <c r="H18" s="1">
        <v>1</v>
      </c>
      <c r="I18" s="1" t="s">
        <v>27</v>
      </c>
      <c r="J18" s="1" t="s">
        <v>161</v>
      </c>
      <c r="K18" s="1" t="s">
        <v>162</v>
      </c>
      <c r="L18" s="1">
        <v>1</v>
      </c>
      <c r="M18" s="1">
        <v>31</v>
      </c>
      <c r="N18" s="1" t="s">
        <v>30</v>
      </c>
      <c r="O18" s="1" t="s">
        <v>31</v>
      </c>
      <c r="P18" s="1" t="s">
        <v>30</v>
      </c>
      <c r="Q18" s="1" t="s">
        <v>32</v>
      </c>
      <c r="R18" s="1">
        <v>1875.08</v>
      </c>
      <c r="S18" s="1" t="s">
        <v>33</v>
      </c>
      <c r="T18" s="1" t="s">
        <v>57</v>
      </c>
      <c r="U18" s="1" t="s">
        <v>35</v>
      </c>
      <c r="V18" s="1" t="s">
        <v>36</v>
      </c>
    </row>
    <row r="19" spans="1:22" x14ac:dyDescent="0.3">
      <c r="A19" s="1" t="s">
        <v>163</v>
      </c>
      <c r="B19" s="1" t="s">
        <v>164</v>
      </c>
      <c r="C19" s="1">
        <v>22</v>
      </c>
      <c r="D19" s="1" t="s">
        <v>165</v>
      </c>
      <c r="E19" s="1" t="s">
        <v>51</v>
      </c>
      <c r="F19" s="1" t="s">
        <v>166</v>
      </c>
      <c r="G19" s="2">
        <v>45390</v>
      </c>
      <c r="H19" s="1">
        <v>0</v>
      </c>
      <c r="I19" s="1" t="s">
        <v>52</v>
      </c>
      <c r="J19" s="1" t="s">
        <v>167</v>
      </c>
      <c r="K19" s="1" t="s">
        <v>168</v>
      </c>
      <c r="L19" s="1">
        <v>6</v>
      </c>
      <c r="M19" s="1">
        <v>18</v>
      </c>
      <c r="N19" s="1" t="s">
        <v>54</v>
      </c>
      <c r="O19" s="1" t="s">
        <v>169</v>
      </c>
      <c r="P19" s="1" t="s">
        <v>30</v>
      </c>
      <c r="Q19" s="1" t="s">
        <v>69</v>
      </c>
      <c r="R19" s="1">
        <v>1267.44</v>
      </c>
      <c r="S19" s="1" t="s">
        <v>46</v>
      </c>
      <c r="T19" s="1" t="s">
        <v>100</v>
      </c>
      <c r="U19" s="1" t="s">
        <v>35</v>
      </c>
      <c r="V19" s="1" t="s">
        <v>36</v>
      </c>
    </row>
    <row r="20" spans="1:22" x14ac:dyDescent="0.3">
      <c r="A20" s="1" t="s">
        <v>170</v>
      </c>
      <c r="B20" s="1" t="s">
        <v>171</v>
      </c>
      <c r="C20" s="1">
        <v>42</v>
      </c>
      <c r="D20" s="1" t="s">
        <v>172</v>
      </c>
      <c r="E20" s="1" t="s">
        <v>40</v>
      </c>
      <c r="F20" s="1" t="s">
        <v>173</v>
      </c>
      <c r="G20" s="2">
        <v>45901</v>
      </c>
      <c r="H20" s="1">
        <v>5</v>
      </c>
      <c r="I20" s="1" t="s">
        <v>64</v>
      </c>
      <c r="J20" s="1" t="s">
        <v>82</v>
      </c>
      <c r="K20" s="1" t="s">
        <v>174</v>
      </c>
      <c r="L20" s="1">
        <v>1</v>
      </c>
      <c r="M20" s="1">
        <v>14</v>
      </c>
      <c r="N20" s="1" t="s">
        <v>56</v>
      </c>
      <c r="O20" s="1" t="s">
        <v>175</v>
      </c>
      <c r="P20" s="1" t="s">
        <v>56</v>
      </c>
      <c r="Q20" s="1" t="s">
        <v>69</v>
      </c>
      <c r="R20" s="1">
        <v>1702.39</v>
      </c>
      <c r="S20" s="1" t="s">
        <v>33</v>
      </c>
      <c r="T20" s="1" t="s">
        <v>34</v>
      </c>
      <c r="U20" s="1" t="s">
        <v>35</v>
      </c>
      <c r="V20" s="1" t="s">
        <v>71</v>
      </c>
    </row>
    <row r="21" spans="1:22" x14ac:dyDescent="0.3">
      <c r="A21" s="1" t="s">
        <v>176</v>
      </c>
      <c r="B21" s="1" t="s">
        <v>177</v>
      </c>
      <c r="C21" s="1">
        <v>51</v>
      </c>
      <c r="D21" s="1" t="s">
        <v>178</v>
      </c>
      <c r="E21" s="1" t="s">
        <v>61</v>
      </c>
      <c r="F21" s="1" t="s">
        <v>179</v>
      </c>
      <c r="G21" s="1" t="s">
        <v>82</v>
      </c>
      <c r="H21" s="1">
        <v>0</v>
      </c>
      <c r="I21" s="1" t="s">
        <v>64</v>
      </c>
      <c r="J21" s="1" t="s">
        <v>180</v>
      </c>
      <c r="K21" s="1" t="s">
        <v>181</v>
      </c>
      <c r="L21" s="1">
        <v>8</v>
      </c>
      <c r="M21" s="1">
        <v>41</v>
      </c>
      <c r="N21" s="1" t="s">
        <v>56</v>
      </c>
      <c r="O21" s="1" t="s">
        <v>44</v>
      </c>
      <c r="P21" s="1" t="s">
        <v>45</v>
      </c>
      <c r="Q21" s="1" t="s">
        <v>32</v>
      </c>
      <c r="R21" s="1">
        <v>1596.64</v>
      </c>
      <c r="S21" s="1" t="s">
        <v>46</v>
      </c>
      <c r="T21" s="1" t="s">
        <v>47</v>
      </c>
      <c r="U21" s="1" t="s">
        <v>35</v>
      </c>
      <c r="V21" s="1" t="s">
        <v>71</v>
      </c>
    </row>
    <row r="22" spans="1:22" x14ac:dyDescent="0.3">
      <c r="A22" s="1" t="s">
        <v>182</v>
      </c>
      <c r="B22" s="1" t="s">
        <v>183</v>
      </c>
      <c r="C22" s="1">
        <v>64</v>
      </c>
      <c r="D22" s="1" t="s">
        <v>184</v>
      </c>
      <c r="E22" s="1" t="s">
        <v>25</v>
      </c>
      <c r="F22" s="1" t="s">
        <v>185</v>
      </c>
      <c r="G22" s="1" t="s">
        <v>186</v>
      </c>
      <c r="H22" s="1">
        <v>4</v>
      </c>
      <c r="I22" s="1" t="s">
        <v>27</v>
      </c>
      <c r="J22" s="2">
        <v>44717</v>
      </c>
      <c r="K22" s="1" t="s">
        <v>187</v>
      </c>
      <c r="L22" s="1">
        <v>6</v>
      </c>
      <c r="M22" s="1">
        <v>2</v>
      </c>
      <c r="N22" s="1" t="s">
        <v>54</v>
      </c>
      <c r="O22" s="1" t="s">
        <v>169</v>
      </c>
      <c r="P22" s="1" t="s">
        <v>30</v>
      </c>
      <c r="Q22" s="1" t="s">
        <v>32</v>
      </c>
      <c r="R22" s="1">
        <v>1452.18</v>
      </c>
      <c r="S22" s="1" t="s">
        <v>46</v>
      </c>
      <c r="T22" s="1" t="s">
        <v>47</v>
      </c>
      <c r="U22" s="1" t="s">
        <v>35</v>
      </c>
      <c r="V22" s="1" t="s">
        <v>188</v>
      </c>
    </row>
    <row r="23" spans="1:22" x14ac:dyDescent="0.3">
      <c r="A23" s="1" t="s">
        <v>189</v>
      </c>
      <c r="B23" s="1" t="s">
        <v>190</v>
      </c>
      <c r="C23" s="1">
        <v>52</v>
      </c>
      <c r="D23" s="1" t="s">
        <v>191</v>
      </c>
      <c r="E23" s="1" t="s">
        <v>88</v>
      </c>
      <c r="F23" s="2">
        <v>44229</v>
      </c>
      <c r="G23" s="1" t="s">
        <v>192</v>
      </c>
      <c r="H23" s="1">
        <v>1</v>
      </c>
      <c r="I23" s="1" t="s">
        <v>64</v>
      </c>
      <c r="J23" s="1" t="s">
        <v>28</v>
      </c>
      <c r="K23" s="1" t="s">
        <v>193</v>
      </c>
      <c r="L23" s="1">
        <v>7</v>
      </c>
      <c r="M23" s="1">
        <v>9</v>
      </c>
      <c r="N23" s="1" t="s">
        <v>45</v>
      </c>
      <c r="O23" s="1" t="s">
        <v>194</v>
      </c>
      <c r="P23" s="1" t="s">
        <v>56</v>
      </c>
      <c r="Q23" s="1" t="s">
        <v>69</v>
      </c>
      <c r="R23" s="1">
        <v>355.46</v>
      </c>
      <c r="S23" s="1" t="s">
        <v>46</v>
      </c>
      <c r="T23" s="1" t="s">
        <v>47</v>
      </c>
      <c r="U23" s="1" t="s">
        <v>35</v>
      </c>
      <c r="V23" s="1" t="s">
        <v>71</v>
      </c>
    </row>
    <row r="24" spans="1:22" x14ac:dyDescent="0.3">
      <c r="A24" s="1" t="s">
        <v>195</v>
      </c>
      <c r="B24" s="1" t="s">
        <v>196</v>
      </c>
      <c r="C24" s="1">
        <v>28</v>
      </c>
      <c r="D24" s="1" t="s">
        <v>197</v>
      </c>
      <c r="E24" s="1" t="s">
        <v>88</v>
      </c>
      <c r="F24" s="2">
        <v>44810</v>
      </c>
      <c r="G24" s="2">
        <v>44689</v>
      </c>
      <c r="H24" s="1">
        <v>2</v>
      </c>
      <c r="I24" s="1" t="s">
        <v>27</v>
      </c>
      <c r="J24" s="2">
        <v>45445</v>
      </c>
      <c r="K24" s="1" t="s">
        <v>198</v>
      </c>
      <c r="L24" s="1">
        <v>6</v>
      </c>
      <c r="M24" s="1">
        <v>39</v>
      </c>
      <c r="N24" s="1" t="s">
        <v>45</v>
      </c>
      <c r="O24" s="1" t="s">
        <v>199</v>
      </c>
      <c r="P24" s="1" t="s">
        <v>54</v>
      </c>
      <c r="Q24" s="1" t="s">
        <v>32</v>
      </c>
      <c r="R24" s="1">
        <v>539.22</v>
      </c>
      <c r="S24" s="1" t="s">
        <v>46</v>
      </c>
      <c r="T24" s="1" t="s">
        <v>57</v>
      </c>
      <c r="U24" s="1" t="s">
        <v>35</v>
      </c>
      <c r="V24" s="1" t="s">
        <v>36</v>
      </c>
    </row>
    <row r="25" spans="1:22" x14ac:dyDescent="0.3">
      <c r="A25" s="1" t="s">
        <v>200</v>
      </c>
      <c r="B25" s="1" t="s">
        <v>201</v>
      </c>
      <c r="C25" s="1">
        <v>25</v>
      </c>
      <c r="D25" s="1" t="s">
        <v>202</v>
      </c>
      <c r="E25" s="1" t="s">
        <v>88</v>
      </c>
      <c r="F25" s="2">
        <v>44291</v>
      </c>
      <c r="G25" s="2">
        <v>45967</v>
      </c>
      <c r="H25" s="1">
        <v>5</v>
      </c>
      <c r="I25" s="1" t="s">
        <v>27</v>
      </c>
      <c r="J25" s="2">
        <v>45968</v>
      </c>
      <c r="K25" s="1" t="s">
        <v>203</v>
      </c>
      <c r="L25" s="1">
        <v>8</v>
      </c>
      <c r="M25" s="1">
        <v>16</v>
      </c>
      <c r="N25" s="1" t="s">
        <v>54</v>
      </c>
      <c r="O25" s="1" t="s">
        <v>116</v>
      </c>
      <c r="P25" s="1" t="s">
        <v>54</v>
      </c>
      <c r="Q25" s="1" t="s">
        <v>69</v>
      </c>
      <c r="R25" s="1">
        <v>418.72</v>
      </c>
      <c r="S25" s="1" t="s">
        <v>33</v>
      </c>
      <c r="T25" s="1" t="s">
        <v>57</v>
      </c>
      <c r="U25" s="1" t="s">
        <v>35</v>
      </c>
      <c r="V25" s="1" t="s">
        <v>188</v>
      </c>
    </row>
    <row r="26" spans="1:22" x14ac:dyDescent="0.3">
      <c r="A26" s="1" t="s">
        <v>204</v>
      </c>
      <c r="B26" s="1" t="s">
        <v>205</v>
      </c>
      <c r="C26" s="1">
        <v>45</v>
      </c>
      <c r="D26" s="1" t="s">
        <v>206</v>
      </c>
      <c r="E26" s="1" t="s">
        <v>88</v>
      </c>
      <c r="F26" s="1" t="s">
        <v>207</v>
      </c>
      <c r="G26" s="1" t="s">
        <v>208</v>
      </c>
      <c r="H26" s="1">
        <v>2</v>
      </c>
      <c r="I26" s="1" t="s">
        <v>27</v>
      </c>
      <c r="J26" s="1" t="s">
        <v>209</v>
      </c>
      <c r="K26" s="1" t="s">
        <v>210</v>
      </c>
      <c r="L26" s="1">
        <v>3</v>
      </c>
      <c r="M26" s="1">
        <v>20</v>
      </c>
      <c r="N26" s="1" t="s">
        <v>56</v>
      </c>
      <c r="O26" s="1" t="s">
        <v>211</v>
      </c>
      <c r="P26" s="1" t="s">
        <v>68</v>
      </c>
      <c r="Q26" s="1" t="s">
        <v>69</v>
      </c>
      <c r="R26" s="1">
        <v>698.01</v>
      </c>
      <c r="S26" s="1" t="s">
        <v>46</v>
      </c>
      <c r="T26" s="1" t="s">
        <v>34</v>
      </c>
      <c r="U26" s="1" t="s">
        <v>35</v>
      </c>
      <c r="V26" s="1" t="s">
        <v>36</v>
      </c>
    </row>
    <row r="27" spans="1:22" x14ac:dyDescent="0.3">
      <c r="A27" s="1" t="s">
        <v>212</v>
      </c>
      <c r="B27" s="1" t="s">
        <v>213</v>
      </c>
      <c r="C27" s="1">
        <v>49</v>
      </c>
      <c r="D27" s="1" t="s">
        <v>214</v>
      </c>
      <c r="E27" s="1" t="s">
        <v>61</v>
      </c>
      <c r="F27" s="2">
        <v>44388</v>
      </c>
      <c r="G27" s="2">
        <v>44810</v>
      </c>
      <c r="H27" s="1">
        <v>3</v>
      </c>
      <c r="I27" s="1" t="s">
        <v>52</v>
      </c>
      <c r="J27" s="1" t="s">
        <v>215</v>
      </c>
      <c r="K27" s="1" t="s">
        <v>216</v>
      </c>
      <c r="L27" s="1">
        <v>5</v>
      </c>
      <c r="M27" s="1">
        <v>40</v>
      </c>
      <c r="N27" s="1" t="s">
        <v>56</v>
      </c>
      <c r="O27" s="1" t="s">
        <v>175</v>
      </c>
      <c r="P27" s="1" t="s">
        <v>56</v>
      </c>
      <c r="Q27" s="1" t="s">
        <v>69</v>
      </c>
      <c r="R27" s="1">
        <v>714.45</v>
      </c>
      <c r="S27" s="1" t="s">
        <v>33</v>
      </c>
      <c r="T27" s="1" t="s">
        <v>34</v>
      </c>
      <c r="U27" s="1" t="s">
        <v>35</v>
      </c>
      <c r="V27" s="1" t="s">
        <v>36</v>
      </c>
    </row>
    <row r="28" spans="1:22" x14ac:dyDescent="0.3">
      <c r="A28" s="1" t="s">
        <v>217</v>
      </c>
      <c r="B28" s="1" t="s">
        <v>218</v>
      </c>
      <c r="C28" s="1">
        <v>27</v>
      </c>
      <c r="D28" s="1" t="s">
        <v>219</v>
      </c>
      <c r="E28" s="1" t="s">
        <v>88</v>
      </c>
      <c r="F28" s="1" t="s">
        <v>220</v>
      </c>
      <c r="G28" s="2">
        <v>45782</v>
      </c>
      <c r="H28" s="1">
        <v>0</v>
      </c>
      <c r="I28" s="1" t="s">
        <v>64</v>
      </c>
      <c r="J28" s="1" t="s">
        <v>221</v>
      </c>
      <c r="K28" s="1" t="s">
        <v>222</v>
      </c>
      <c r="L28" s="1">
        <v>7</v>
      </c>
      <c r="M28" s="1">
        <v>28</v>
      </c>
      <c r="N28" s="1" t="s">
        <v>68</v>
      </c>
      <c r="O28" s="1" t="s">
        <v>223</v>
      </c>
      <c r="P28" s="1" t="s">
        <v>56</v>
      </c>
      <c r="Q28" s="1" t="s">
        <v>69</v>
      </c>
      <c r="R28" s="1">
        <v>312.83</v>
      </c>
      <c r="S28" s="1" t="s">
        <v>46</v>
      </c>
      <c r="T28" s="1" t="s">
        <v>57</v>
      </c>
      <c r="U28" s="1" t="s">
        <v>35</v>
      </c>
      <c r="V28" s="1" t="s">
        <v>71</v>
      </c>
    </row>
    <row r="29" spans="1:22" x14ac:dyDescent="0.3">
      <c r="A29" s="1" t="s">
        <v>224</v>
      </c>
      <c r="B29" s="1" t="s">
        <v>225</v>
      </c>
      <c r="C29" s="1">
        <v>69</v>
      </c>
      <c r="D29" s="1" t="s">
        <v>226</v>
      </c>
      <c r="E29" s="1" t="s">
        <v>51</v>
      </c>
      <c r="F29" s="1" t="s">
        <v>227</v>
      </c>
      <c r="G29" s="1" t="s">
        <v>228</v>
      </c>
      <c r="H29" s="1">
        <v>4</v>
      </c>
      <c r="I29" s="1" t="s">
        <v>52</v>
      </c>
      <c r="J29" s="1" t="s">
        <v>229</v>
      </c>
      <c r="K29" s="1" t="s">
        <v>230</v>
      </c>
      <c r="L29" s="1">
        <v>7</v>
      </c>
      <c r="M29" s="1">
        <v>42</v>
      </c>
      <c r="N29" s="1" t="s">
        <v>56</v>
      </c>
      <c r="O29" s="1" t="s">
        <v>231</v>
      </c>
      <c r="P29" s="1" t="s">
        <v>30</v>
      </c>
      <c r="Q29" s="1" t="s">
        <v>69</v>
      </c>
      <c r="R29" s="1">
        <v>975.1</v>
      </c>
      <c r="S29" s="1" t="s">
        <v>46</v>
      </c>
      <c r="T29" s="1" t="s">
        <v>232</v>
      </c>
      <c r="U29" s="1" t="s">
        <v>35</v>
      </c>
      <c r="V29" s="1" t="s">
        <v>36</v>
      </c>
    </row>
    <row r="30" spans="1:22" x14ac:dyDescent="0.3">
      <c r="A30" s="1" t="s">
        <v>233</v>
      </c>
      <c r="B30" s="1" t="s">
        <v>234</v>
      </c>
      <c r="C30" s="1">
        <v>66</v>
      </c>
      <c r="D30" s="1" t="s">
        <v>235</v>
      </c>
      <c r="E30" s="1" t="s">
        <v>61</v>
      </c>
      <c r="F30" s="2">
        <v>44233</v>
      </c>
      <c r="G30" s="2">
        <v>45720</v>
      </c>
      <c r="H30" s="1">
        <v>1</v>
      </c>
      <c r="I30" s="1" t="s">
        <v>27</v>
      </c>
      <c r="J30" s="1" t="s">
        <v>236</v>
      </c>
      <c r="K30" s="1" t="s">
        <v>237</v>
      </c>
      <c r="L30" s="1">
        <v>8</v>
      </c>
      <c r="M30" s="1">
        <v>45</v>
      </c>
      <c r="N30" s="1" t="s">
        <v>54</v>
      </c>
      <c r="O30" s="1" t="s">
        <v>238</v>
      </c>
      <c r="P30" s="1" t="s">
        <v>45</v>
      </c>
      <c r="Q30" s="1" t="s">
        <v>69</v>
      </c>
      <c r="R30" s="1">
        <v>1197.2</v>
      </c>
      <c r="S30" s="1" t="s">
        <v>46</v>
      </c>
      <c r="T30" s="1" t="s">
        <v>232</v>
      </c>
      <c r="U30" s="1" t="s">
        <v>35</v>
      </c>
      <c r="V30" s="1" t="s">
        <v>36</v>
      </c>
    </row>
    <row r="31" spans="1:22" x14ac:dyDescent="0.3">
      <c r="A31" s="1" t="s">
        <v>239</v>
      </c>
      <c r="B31" s="1" t="s">
        <v>240</v>
      </c>
      <c r="C31" s="1">
        <v>43</v>
      </c>
      <c r="D31" s="1" t="s">
        <v>241</v>
      </c>
      <c r="E31" s="1" t="s">
        <v>25</v>
      </c>
      <c r="F31" s="1" t="s">
        <v>242</v>
      </c>
      <c r="G31" s="1" t="s">
        <v>243</v>
      </c>
      <c r="H31" s="1">
        <v>3</v>
      </c>
      <c r="I31" s="1" t="s">
        <v>52</v>
      </c>
      <c r="J31" s="2">
        <v>44355</v>
      </c>
      <c r="K31" s="1" t="s">
        <v>244</v>
      </c>
      <c r="L31" s="1">
        <v>6</v>
      </c>
      <c r="M31" s="1">
        <v>14</v>
      </c>
      <c r="N31" s="1" t="s">
        <v>54</v>
      </c>
      <c r="O31" s="1" t="s">
        <v>245</v>
      </c>
      <c r="P31" s="1" t="s">
        <v>54</v>
      </c>
      <c r="Q31" s="1" t="s">
        <v>32</v>
      </c>
      <c r="R31" s="1">
        <v>942.6</v>
      </c>
      <c r="S31" s="1" t="s">
        <v>33</v>
      </c>
      <c r="T31" s="1" t="s">
        <v>34</v>
      </c>
      <c r="U31" s="1" t="s">
        <v>35</v>
      </c>
      <c r="V31" s="1" t="s">
        <v>36</v>
      </c>
    </row>
    <row r="32" spans="1:22" x14ac:dyDescent="0.3">
      <c r="A32" s="1" t="s">
        <v>246</v>
      </c>
      <c r="B32" s="1" t="s">
        <v>247</v>
      </c>
      <c r="C32" s="1">
        <v>18</v>
      </c>
      <c r="D32" s="1" t="s">
        <v>248</v>
      </c>
      <c r="E32" s="1" t="s">
        <v>88</v>
      </c>
      <c r="F32" s="1" t="s">
        <v>249</v>
      </c>
      <c r="G32" s="2">
        <v>44202</v>
      </c>
      <c r="H32" s="1">
        <v>5</v>
      </c>
      <c r="I32" s="1" t="s">
        <v>27</v>
      </c>
      <c r="J32" s="2">
        <v>45019</v>
      </c>
      <c r="K32" s="1" t="s">
        <v>250</v>
      </c>
      <c r="L32" s="1">
        <v>9</v>
      </c>
      <c r="M32" s="1">
        <v>24</v>
      </c>
      <c r="N32" s="1" t="s">
        <v>56</v>
      </c>
      <c r="O32" s="1" t="s">
        <v>251</v>
      </c>
      <c r="P32" s="1" t="s">
        <v>30</v>
      </c>
      <c r="Q32" s="1" t="s">
        <v>69</v>
      </c>
      <c r="R32" s="1">
        <v>1642.77</v>
      </c>
      <c r="S32" s="1" t="s">
        <v>46</v>
      </c>
      <c r="T32" s="1" t="s">
        <v>100</v>
      </c>
      <c r="U32" s="1" t="s">
        <v>35</v>
      </c>
      <c r="V32" s="1" t="s">
        <v>188</v>
      </c>
    </row>
    <row r="33" spans="1:22" x14ac:dyDescent="0.3">
      <c r="A33" s="1" t="s">
        <v>252</v>
      </c>
      <c r="B33" s="1" t="s">
        <v>253</v>
      </c>
      <c r="C33" s="1">
        <v>37</v>
      </c>
      <c r="D33" s="1" t="s">
        <v>254</v>
      </c>
      <c r="E33" s="1" t="s">
        <v>25</v>
      </c>
      <c r="F33" s="1" t="s">
        <v>255</v>
      </c>
      <c r="G33" s="1" t="s">
        <v>256</v>
      </c>
      <c r="H33" s="1">
        <v>4</v>
      </c>
      <c r="I33" s="1" t="s">
        <v>64</v>
      </c>
      <c r="J33" s="2">
        <v>45482</v>
      </c>
      <c r="K33" s="1" t="s">
        <v>257</v>
      </c>
      <c r="L33" s="1">
        <v>1</v>
      </c>
      <c r="M33" s="1">
        <v>9</v>
      </c>
      <c r="N33" s="1" t="s">
        <v>45</v>
      </c>
      <c r="O33" s="1" t="s">
        <v>194</v>
      </c>
      <c r="P33" s="1" t="s">
        <v>56</v>
      </c>
      <c r="Q33" s="1" t="s">
        <v>69</v>
      </c>
      <c r="R33" s="1">
        <v>31.95</v>
      </c>
      <c r="S33" s="1" t="s">
        <v>46</v>
      </c>
      <c r="T33" s="1" t="s">
        <v>34</v>
      </c>
      <c r="U33" s="1" t="s">
        <v>70</v>
      </c>
      <c r="V33" s="1" t="s">
        <v>71</v>
      </c>
    </row>
    <row r="34" spans="1:22" x14ac:dyDescent="0.3">
      <c r="A34" s="1" t="s">
        <v>258</v>
      </c>
      <c r="B34" s="1" t="s">
        <v>259</v>
      </c>
      <c r="C34" s="1">
        <v>52</v>
      </c>
      <c r="D34" s="1" t="s">
        <v>260</v>
      </c>
      <c r="E34" s="1" t="s">
        <v>88</v>
      </c>
      <c r="F34" s="2">
        <v>44441</v>
      </c>
      <c r="G34" s="1" t="s">
        <v>261</v>
      </c>
      <c r="H34" s="1">
        <v>0</v>
      </c>
      <c r="I34" s="1" t="s">
        <v>52</v>
      </c>
      <c r="J34" s="2">
        <v>45210</v>
      </c>
      <c r="K34" s="1" t="s">
        <v>262</v>
      </c>
      <c r="L34" s="1">
        <v>2</v>
      </c>
      <c r="M34" s="1">
        <v>26</v>
      </c>
      <c r="N34" s="1" t="s">
        <v>68</v>
      </c>
      <c r="O34" s="1" t="s">
        <v>149</v>
      </c>
      <c r="P34" s="1" t="s">
        <v>30</v>
      </c>
      <c r="Q34" s="1" t="s">
        <v>32</v>
      </c>
      <c r="R34" s="1">
        <v>1609.54</v>
      </c>
      <c r="S34" s="1" t="s">
        <v>46</v>
      </c>
      <c r="T34" s="1" t="s">
        <v>47</v>
      </c>
      <c r="U34" s="1" t="s">
        <v>35</v>
      </c>
      <c r="V34" s="1" t="s">
        <v>36</v>
      </c>
    </row>
    <row r="35" spans="1:22" x14ac:dyDescent="0.3">
      <c r="A35" s="1" t="s">
        <v>263</v>
      </c>
      <c r="B35" s="1" t="s">
        <v>264</v>
      </c>
      <c r="C35" s="1">
        <v>50</v>
      </c>
      <c r="D35" s="1" t="s">
        <v>265</v>
      </c>
      <c r="E35" s="1" t="s">
        <v>25</v>
      </c>
      <c r="F35" s="1" t="s">
        <v>266</v>
      </c>
      <c r="G35" s="1" t="s">
        <v>267</v>
      </c>
      <c r="H35" s="1">
        <v>5</v>
      </c>
      <c r="I35" s="1" t="s">
        <v>27</v>
      </c>
      <c r="J35" s="2">
        <v>44690</v>
      </c>
      <c r="K35" s="1" t="s">
        <v>268</v>
      </c>
      <c r="L35" s="1">
        <v>5</v>
      </c>
      <c r="M35" s="1">
        <v>29</v>
      </c>
      <c r="N35" s="1" t="s">
        <v>45</v>
      </c>
      <c r="O35" s="1" t="s">
        <v>269</v>
      </c>
      <c r="P35" s="1" t="s">
        <v>56</v>
      </c>
      <c r="Q35" s="1" t="s">
        <v>69</v>
      </c>
      <c r="R35" s="1">
        <v>1661.9</v>
      </c>
      <c r="S35" s="1" t="s">
        <v>46</v>
      </c>
      <c r="T35" s="1" t="s">
        <v>47</v>
      </c>
      <c r="U35" s="1" t="s">
        <v>35</v>
      </c>
      <c r="V35" s="1" t="s">
        <v>188</v>
      </c>
    </row>
    <row r="36" spans="1:22" x14ac:dyDescent="0.3">
      <c r="A36" s="1" t="s">
        <v>270</v>
      </c>
      <c r="B36" s="1" t="s">
        <v>271</v>
      </c>
      <c r="C36" s="1">
        <v>49</v>
      </c>
      <c r="D36" s="1" t="s">
        <v>272</v>
      </c>
      <c r="E36" s="1" t="s">
        <v>95</v>
      </c>
      <c r="F36" s="1" t="s">
        <v>273</v>
      </c>
      <c r="G36" s="1" t="s">
        <v>274</v>
      </c>
      <c r="H36" s="1">
        <v>5</v>
      </c>
      <c r="I36" s="1" t="s">
        <v>27</v>
      </c>
      <c r="J36" s="1" t="s">
        <v>275</v>
      </c>
      <c r="K36" s="1" t="s">
        <v>276</v>
      </c>
      <c r="L36" s="1">
        <v>1</v>
      </c>
      <c r="M36" s="1">
        <v>12</v>
      </c>
      <c r="N36" s="1" t="s">
        <v>54</v>
      </c>
      <c r="O36" s="1" t="s">
        <v>169</v>
      </c>
      <c r="P36" s="1" t="s">
        <v>30</v>
      </c>
      <c r="Q36" s="1" t="s">
        <v>32</v>
      </c>
      <c r="R36" s="1">
        <v>1292.6500000000001</v>
      </c>
      <c r="S36" s="1" t="s">
        <v>46</v>
      </c>
      <c r="T36" s="1" t="s">
        <v>34</v>
      </c>
      <c r="U36" s="1" t="s">
        <v>35</v>
      </c>
      <c r="V36" s="1" t="s">
        <v>188</v>
      </c>
    </row>
    <row r="37" spans="1:22" x14ac:dyDescent="0.3">
      <c r="A37" s="1" t="s">
        <v>277</v>
      </c>
      <c r="B37" s="1" t="s">
        <v>278</v>
      </c>
      <c r="C37" s="1">
        <v>48</v>
      </c>
      <c r="D37" s="1" t="s">
        <v>279</v>
      </c>
      <c r="E37" s="1" t="s">
        <v>61</v>
      </c>
      <c r="F37" s="2">
        <v>44507</v>
      </c>
      <c r="G37" s="1" t="s">
        <v>120</v>
      </c>
      <c r="H37" s="1">
        <v>3</v>
      </c>
      <c r="I37" s="1" t="s">
        <v>27</v>
      </c>
      <c r="J37" s="2">
        <v>45357</v>
      </c>
      <c r="K37" s="1" t="s">
        <v>280</v>
      </c>
      <c r="L37" s="1">
        <v>7</v>
      </c>
      <c r="M37" s="1">
        <v>24</v>
      </c>
      <c r="N37" s="1" t="s">
        <v>54</v>
      </c>
      <c r="O37" s="1" t="s">
        <v>91</v>
      </c>
      <c r="P37" s="1" t="s">
        <v>54</v>
      </c>
      <c r="Q37" s="1" t="s">
        <v>32</v>
      </c>
      <c r="R37" s="1">
        <v>254.73</v>
      </c>
      <c r="S37" s="1" t="s">
        <v>33</v>
      </c>
      <c r="T37" s="1" t="s">
        <v>34</v>
      </c>
      <c r="U37" s="1" t="s">
        <v>35</v>
      </c>
      <c r="V37" s="1" t="s">
        <v>36</v>
      </c>
    </row>
    <row r="38" spans="1:22" x14ac:dyDescent="0.3">
      <c r="A38" s="1" t="s">
        <v>281</v>
      </c>
      <c r="B38" s="1" t="s">
        <v>282</v>
      </c>
      <c r="C38" s="1">
        <v>42</v>
      </c>
      <c r="D38" s="1" t="s">
        <v>283</v>
      </c>
      <c r="E38" s="1" t="s">
        <v>95</v>
      </c>
      <c r="F38" s="2">
        <v>44993</v>
      </c>
      <c r="G38" s="1" t="s">
        <v>284</v>
      </c>
      <c r="H38" s="1">
        <v>0</v>
      </c>
      <c r="I38" s="1" t="s">
        <v>64</v>
      </c>
      <c r="J38" s="1" t="s">
        <v>285</v>
      </c>
      <c r="K38" s="1" t="s">
        <v>286</v>
      </c>
      <c r="L38" s="1">
        <v>7</v>
      </c>
      <c r="M38" s="1">
        <v>13</v>
      </c>
      <c r="N38" s="1" t="s">
        <v>45</v>
      </c>
      <c r="O38" s="1" t="s">
        <v>116</v>
      </c>
      <c r="P38" s="1" t="s">
        <v>54</v>
      </c>
      <c r="Q38" s="1" t="s">
        <v>69</v>
      </c>
      <c r="R38" s="1">
        <v>554.33000000000004</v>
      </c>
      <c r="S38" s="1" t="s">
        <v>46</v>
      </c>
      <c r="T38" s="1" t="s">
        <v>34</v>
      </c>
      <c r="U38" s="1" t="s">
        <v>35</v>
      </c>
      <c r="V38" s="1" t="s">
        <v>71</v>
      </c>
    </row>
    <row r="39" spans="1:22" x14ac:dyDescent="0.3">
      <c r="A39" s="1" t="s">
        <v>287</v>
      </c>
      <c r="B39" s="1" t="s">
        <v>288</v>
      </c>
      <c r="C39" s="1">
        <v>66</v>
      </c>
      <c r="D39" s="1" t="s">
        <v>289</v>
      </c>
      <c r="E39" s="1" t="s">
        <v>61</v>
      </c>
      <c r="F39" s="1" t="s">
        <v>290</v>
      </c>
      <c r="G39" s="1" t="s">
        <v>81</v>
      </c>
      <c r="H39" s="1">
        <v>3</v>
      </c>
      <c r="I39" s="1" t="s">
        <v>27</v>
      </c>
      <c r="J39" s="1" t="s">
        <v>291</v>
      </c>
      <c r="K39" s="1" t="s">
        <v>292</v>
      </c>
      <c r="L39" s="1">
        <v>4</v>
      </c>
      <c r="M39" s="1">
        <v>48</v>
      </c>
      <c r="N39" s="1" t="s">
        <v>30</v>
      </c>
      <c r="O39" s="1" t="s">
        <v>293</v>
      </c>
      <c r="P39" s="1" t="s">
        <v>45</v>
      </c>
      <c r="Q39" s="1" t="s">
        <v>69</v>
      </c>
      <c r="R39" s="1">
        <v>376.24</v>
      </c>
      <c r="S39" s="1" t="s">
        <v>46</v>
      </c>
      <c r="T39" s="1" t="s">
        <v>232</v>
      </c>
      <c r="U39" s="1" t="s">
        <v>35</v>
      </c>
      <c r="V39" s="1" t="s">
        <v>36</v>
      </c>
    </row>
    <row r="40" spans="1:22" x14ac:dyDescent="0.3">
      <c r="A40" s="1" t="s">
        <v>294</v>
      </c>
      <c r="B40" s="1" t="s">
        <v>295</v>
      </c>
      <c r="C40" s="1">
        <v>25</v>
      </c>
      <c r="D40" s="1" t="s">
        <v>296</v>
      </c>
      <c r="E40" s="1" t="s">
        <v>51</v>
      </c>
      <c r="F40" s="1" t="s">
        <v>297</v>
      </c>
      <c r="G40" s="1" t="s">
        <v>298</v>
      </c>
      <c r="H40" s="1">
        <v>3</v>
      </c>
      <c r="I40" s="1" t="s">
        <v>64</v>
      </c>
      <c r="J40" s="1" t="s">
        <v>185</v>
      </c>
      <c r="K40" s="1" t="s">
        <v>299</v>
      </c>
      <c r="L40" s="1">
        <v>2</v>
      </c>
      <c r="M40" s="1">
        <v>11</v>
      </c>
      <c r="N40" s="1" t="s">
        <v>30</v>
      </c>
      <c r="O40" s="1" t="s">
        <v>251</v>
      </c>
      <c r="P40" s="1" t="s">
        <v>30</v>
      </c>
      <c r="Q40" s="1" t="s">
        <v>32</v>
      </c>
      <c r="R40" s="1">
        <v>1572.96</v>
      </c>
      <c r="S40" s="1" t="s">
        <v>33</v>
      </c>
      <c r="T40" s="1" t="s">
        <v>57</v>
      </c>
      <c r="U40" s="1" t="s">
        <v>35</v>
      </c>
      <c r="V40" s="1" t="s">
        <v>71</v>
      </c>
    </row>
    <row r="41" spans="1:22" x14ac:dyDescent="0.3">
      <c r="A41" s="1" t="s">
        <v>300</v>
      </c>
      <c r="B41" s="1" t="s">
        <v>301</v>
      </c>
      <c r="C41" s="1">
        <v>40</v>
      </c>
      <c r="D41" s="1" t="s">
        <v>302</v>
      </c>
      <c r="E41" s="1" t="s">
        <v>61</v>
      </c>
      <c r="F41" s="2">
        <v>44663</v>
      </c>
      <c r="G41" s="1" t="s">
        <v>303</v>
      </c>
      <c r="H41" s="1">
        <v>5</v>
      </c>
      <c r="I41" s="1" t="s">
        <v>27</v>
      </c>
      <c r="J41" s="2">
        <v>45783</v>
      </c>
      <c r="K41" s="1" t="s">
        <v>304</v>
      </c>
      <c r="L41" s="1">
        <v>6</v>
      </c>
      <c r="M41" s="1">
        <v>47</v>
      </c>
      <c r="N41" s="1" t="s">
        <v>68</v>
      </c>
      <c r="O41" s="1" t="s">
        <v>175</v>
      </c>
      <c r="P41" s="1" t="s">
        <v>56</v>
      </c>
      <c r="Q41" s="1" t="s">
        <v>32</v>
      </c>
      <c r="R41" s="1">
        <v>123.3</v>
      </c>
      <c r="S41" s="1" t="s">
        <v>46</v>
      </c>
      <c r="T41" s="1" t="s">
        <v>34</v>
      </c>
      <c r="U41" s="1" t="s">
        <v>35</v>
      </c>
      <c r="V41" s="1" t="s">
        <v>188</v>
      </c>
    </row>
    <row r="42" spans="1:22" x14ac:dyDescent="0.3">
      <c r="A42" s="1" t="s">
        <v>305</v>
      </c>
      <c r="B42" s="1" t="s">
        <v>306</v>
      </c>
      <c r="C42" s="1">
        <v>31</v>
      </c>
      <c r="D42" s="1" t="s">
        <v>307</v>
      </c>
      <c r="E42" s="1" t="s">
        <v>40</v>
      </c>
      <c r="F42" s="2">
        <v>45143</v>
      </c>
      <c r="G42" s="2">
        <v>45816</v>
      </c>
      <c r="H42" s="1">
        <v>3</v>
      </c>
      <c r="I42" s="1" t="s">
        <v>27</v>
      </c>
      <c r="J42" s="2">
        <v>45179</v>
      </c>
      <c r="K42" s="1" t="s">
        <v>308</v>
      </c>
      <c r="L42" s="1">
        <v>5</v>
      </c>
      <c r="M42" s="1">
        <v>45</v>
      </c>
      <c r="N42" s="1" t="s">
        <v>68</v>
      </c>
      <c r="O42" s="1" t="s">
        <v>175</v>
      </c>
      <c r="P42" s="1" t="s">
        <v>56</v>
      </c>
      <c r="Q42" s="1" t="s">
        <v>69</v>
      </c>
      <c r="R42" s="1">
        <v>1016.15</v>
      </c>
      <c r="S42" s="1" t="s">
        <v>46</v>
      </c>
      <c r="T42" s="1" t="s">
        <v>57</v>
      </c>
      <c r="U42" s="1" t="s">
        <v>35</v>
      </c>
      <c r="V42" s="1" t="s">
        <v>36</v>
      </c>
    </row>
    <row r="43" spans="1:22" x14ac:dyDescent="0.3">
      <c r="A43" s="1" t="s">
        <v>309</v>
      </c>
      <c r="B43" s="1" t="s">
        <v>310</v>
      </c>
      <c r="C43" s="1">
        <v>55</v>
      </c>
      <c r="D43" s="1" t="s">
        <v>311</v>
      </c>
      <c r="E43" s="1" t="s">
        <v>51</v>
      </c>
      <c r="F43" s="1" t="s">
        <v>312</v>
      </c>
      <c r="G43" s="1" t="s">
        <v>313</v>
      </c>
      <c r="H43" s="1">
        <v>5</v>
      </c>
      <c r="I43" s="1" t="s">
        <v>27</v>
      </c>
      <c r="J43" s="2">
        <v>45334</v>
      </c>
      <c r="K43" s="1" t="s">
        <v>314</v>
      </c>
      <c r="L43" s="1">
        <v>7</v>
      </c>
      <c r="M43" s="1">
        <v>5</v>
      </c>
      <c r="N43" s="1" t="s">
        <v>30</v>
      </c>
      <c r="O43" s="1" t="s">
        <v>122</v>
      </c>
      <c r="P43" s="1" t="s">
        <v>30</v>
      </c>
      <c r="Q43" s="1" t="s">
        <v>32</v>
      </c>
      <c r="R43" s="1">
        <v>455.49</v>
      </c>
      <c r="S43" s="1" t="s">
        <v>33</v>
      </c>
      <c r="T43" s="1" t="s">
        <v>47</v>
      </c>
      <c r="U43" s="1" t="s">
        <v>101</v>
      </c>
      <c r="V43" s="1" t="s">
        <v>188</v>
      </c>
    </row>
    <row r="44" spans="1:22" x14ac:dyDescent="0.3">
      <c r="A44" s="1" t="s">
        <v>315</v>
      </c>
      <c r="B44" s="1" t="s">
        <v>316</v>
      </c>
      <c r="C44" s="1">
        <v>57</v>
      </c>
      <c r="D44" s="1" t="s">
        <v>317</v>
      </c>
      <c r="E44" s="1" t="s">
        <v>88</v>
      </c>
      <c r="F44" s="1" t="s">
        <v>318</v>
      </c>
      <c r="G44" s="1" t="s">
        <v>319</v>
      </c>
      <c r="H44" s="1">
        <v>4</v>
      </c>
      <c r="I44" s="1" t="s">
        <v>64</v>
      </c>
      <c r="J44" s="1" t="s">
        <v>320</v>
      </c>
      <c r="K44" s="1" t="s">
        <v>321</v>
      </c>
      <c r="L44" s="1">
        <v>1</v>
      </c>
      <c r="M44" s="1">
        <v>36</v>
      </c>
      <c r="N44" s="1" t="s">
        <v>45</v>
      </c>
      <c r="O44" s="1" t="s">
        <v>169</v>
      </c>
      <c r="P44" s="1" t="s">
        <v>30</v>
      </c>
      <c r="Q44" s="1" t="s">
        <v>322</v>
      </c>
      <c r="R44" s="1">
        <v>1954.64</v>
      </c>
      <c r="S44" s="1" t="s">
        <v>46</v>
      </c>
      <c r="T44" s="1" t="s">
        <v>47</v>
      </c>
      <c r="U44" s="1" t="s">
        <v>35</v>
      </c>
      <c r="V44" s="1" t="s">
        <v>71</v>
      </c>
    </row>
    <row r="45" spans="1:22" x14ac:dyDescent="0.3">
      <c r="A45" s="1" t="s">
        <v>323</v>
      </c>
      <c r="B45" s="1" t="s">
        <v>324</v>
      </c>
      <c r="C45" s="1">
        <v>55</v>
      </c>
      <c r="D45" s="1" t="s">
        <v>325</v>
      </c>
      <c r="E45" s="1" t="s">
        <v>95</v>
      </c>
      <c r="F45" s="1" t="s">
        <v>326</v>
      </c>
      <c r="G45" s="1" t="s">
        <v>327</v>
      </c>
      <c r="H45" s="1">
        <v>4</v>
      </c>
      <c r="I45" s="1" t="s">
        <v>27</v>
      </c>
      <c r="J45" s="1" t="s">
        <v>328</v>
      </c>
      <c r="K45" s="1" t="s">
        <v>329</v>
      </c>
      <c r="L45" s="1">
        <v>7</v>
      </c>
      <c r="M45" s="1">
        <v>45</v>
      </c>
      <c r="N45" s="1" t="s">
        <v>30</v>
      </c>
      <c r="O45" s="1" t="s">
        <v>199</v>
      </c>
      <c r="P45" s="1" t="s">
        <v>54</v>
      </c>
      <c r="Q45" s="1" t="s">
        <v>32</v>
      </c>
      <c r="R45" s="1">
        <v>132.86000000000001</v>
      </c>
      <c r="S45" s="1" t="s">
        <v>46</v>
      </c>
      <c r="T45" s="1" t="s">
        <v>47</v>
      </c>
      <c r="U45" s="1" t="s">
        <v>35</v>
      </c>
      <c r="V45" s="1" t="s">
        <v>188</v>
      </c>
    </row>
    <row r="46" spans="1:22" x14ac:dyDescent="0.3">
      <c r="A46" s="1" t="s">
        <v>330</v>
      </c>
      <c r="B46" s="1" t="s">
        <v>331</v>
      </c>
      <c r="C46" s="1">
        <v>47</v>
      </c>
      <c r="D46" s="1" t="s">
        <v>332</v>
      </c>
      <c r="E46" s="1" t="s">
        <v>88</v>
      </c>
      <c r="F46" s="2">
        <v>44868</v>
      </c>
      <c r="G46" s="2">
        <v>45242</v>
      </c>
      <c r="H46" s="1">
        <v>5</v>
      </c>
      <c r="I46" s="1" t="s">
        <v>52</v>
      </c>
      <c r="J46" s="2">
        <v>45907</v>
      </c>
      <c r="K46" s="1" t="s">
        <v>333</v>
      </c>
      <c r="L46" s="1">
        <v>3</v>
      </c>
      <c r="M46" s="1">
        <v>48</v>
      </c>
      <c r="N46" s="1" t="s">
        <v>68</v>
      </c>
      <c r="O46" s="1" t="s">
        <v>31</v>
      </c>
      <c r="P46" s="1" t="s">
        <v>30</v>
      </c>
      <c r="Q46" s="1" t="s">
        <v>69</v>
      </c>
      <c r="R46" s="1">
        <v>1963.68</v>
      </c>
      <c r="S46" s="1" t="s">
        <v>46</v>
      </c>
      <c r="T46" s="1" t="s">
        <v>34</v>
      </c>
      <c r="U46" s="1" t="s">
        <v>35</v>
      </c>
      <c r="V46" s="1" t="s">
        <v>36</v>
      </c>
    </row>
    <row r="47" spans="1:22" x14ac:dyDescent="0.3">
      <c r="A47" s="1" t="s">
        <v>334</v>
      </c>
      <c r="B47" s="1" t="s">
        <v>335</v>
      </c>
      <c r="C47" s="1">
        <v>29</v>
      </c>
      <c r="D47" s="1" t="s">
        <v>336</v>
      </c>
      <c r="E47" s="1" t="s">
        <v>51</v>
      </c>
      <c r="F47" s="1" t="s">
        <v>337</v>
      </c>
      <c r="G47" s="1" t="s">
        <v>338</v>
      </c>
      <c r="H47" s="1">
        <v>0</v>
      </c>
      <c r="I47" s="1" t="s">
        <v>27</v>
      </c>
      <c r="J47" s="1" t="s">
        <v>339</v>
      </c>
      <c r="K47" s="1" t="s">
        <v>340</v>
      </c>
      <c r="L47" s="1">
        <v>5</v>
      </c>
      <c r="M47" s="1">
        <v>6</v>
      </c>
      <c r="N47" s="1" t="s">
        <v>45</v>
      </c>
      <c r="O47" s="1" t="s">
        <v>128</v>
      </c>
      <c r="P47" s="1" t="s">
        <v>54</v>
      </c>
      <c r="Q47" s="1" t="s">
        <v>69</v>
      </c>
      <c r="R47" s="1">
        <v>1670.85</v>
      </c>
      <c r="S47" s="1" t="s">
        <v>46</v>
      </c>
      <c r="T47" s="1" t="s">
        <v>57</v>
      </c>
      <c r="U47" s="1" t="s">
        <v>35</v>
      </c>
      <c r="V47" s="1" t="s">
        <v>36</v>
      </c>
    </row>
    <row r="48" spans="1:22" x14ac:dyDescent="0.3">
      <c r="A48" s="1" t="s">
        <v>341</v>
      </c>
      <c r="B48" s="1" t="s">
        <v>342</v>
      </c>
      <c r="C48" s="1">
        <v>19</v>
      </c>
      <c r="D48" s="1" t="s">
        <v>343</v>
      </c>
      <c r="E48" s="1" t="s">
        <v>51</v>
      </c>
      <c r="F48" s="1" t="s">
        <v>344</v>
      </c>
      <c r="G48" s="1" t="s">
        <v>345</v>
      </c>
      <c r="H48" s="1">
        <v>0</v>
      </c>
      <c r="I48" s="1" t="s">
        <v>27</v>
      </c>
      <c r="J48" s="1" t="s">
        <v>346</v>
      </c>
      <c r="K48" s="1" t="s">
        <v>347</v>
      </c>
      <c r="L48" s="1">
        <v>5</v>
      </c>
      <c r="M48" s="1">
        <v>37</v>
      </c>
      <c r="N48" s="1" t="s">
        <v>68</v>
      </c>
      <c r="O48" s="1" t="s">
        <v>99</v>
      </c>
      <c r="P48" s="1" t="s">
        <v>56</v>
      </c>
      <c r="Q48" s="1" t="s">
        <v>32</v>
      </c>
      <c r="R48" s="1">
        <v>1098.75</v>
      </c>
      <c r="S48" s="1" t="s">
        <v>46</v>
      </c>
      <c r="T48" s="1" t="s">
        <v>100</v>
      </c>
      <c r="U48" s="1" t="s">
        <v>35</v>
      </c>
      <c r="V48" s="1" t="s">
        <v>36</v>
      </c>
    </row>
    <row r="49" spans="1:22" x14ac:dyDescent="0.3">
      <c r="A49" s="1" t="s">
        <v>348</v>
      </c>
      <c r="B49" s="1" t="s">
        <v>349</v>
      </c>
      <c r="C49" s="1">
        <v>38</v>
      </c>
      <c r="D49" s="1" t="s">
        <v>350</v>
      </c>
      <c r="E49" s="1" t="s">
        <v>25</v>
      </c>
      <c r="F49" s="1" t="s">
        <v>351</v>
      </c>
      <c r="G49" s="2">
        <v>44811</v>
      </c>
      <c r="H49" s="1">
        <v>1</v>
      </c>
      <c r="I49" s="1" t="s">
        <v>27</v>
      </c>
      <c r="J49" s="1" t="s">
        <v>352</v>
      </c>
      <c r="K49" s="1" t="s">
        <v>353</v>
      </c>
      <c r="L49" s="1">
        <v>7</v>
      </c>
      <c r="M49" s="1">
        <v>23</v>
      </c>
      <c r="N49" s="1" t="s">
        <v>45</v>
      </c>
      <c r="O49" s="1" t="s">
        <v>354</v>
      </c>
      <c r="P49" s="1" t="s">
        <v>45</v>
      </c>
      <c r="Q49" s="1" t="s">
        <v>69</v>
      </c>
      <c r="R49" s="1">
        <v>1561.35</v>
      </c>
      <c r="S49" s="1" t="s">
        <v>33</v>
      </c>
      <c r="T49" s="1" t="s">
        <v>34</v>
      </c>
      <c r="U49" s="1" t="s">
        <v>35</v>
      </c>
      <c r="V49" s="1" t="s">
        <v>36</v>
      </c>
    </row>
    <row r="50" spans="1:22" x14ac:dyDescent="0.3">
      <c r="A50" s="1" t="s">
        <v>355</v>
      </c>
      <c r="B50" s="1" t="s">
        <v>356</v>
      </c>
      <c r="C50" s="1">
        <v>48</v>
      </c>
      <c r="D50" s="1" t="s">
        <v>357</v>
      </c>
      <c r="E50" s="1" t="s">
        <v>51</v>
      </c>
      <c r="F50" s="2">
        <v>45203</v>
      </c>
      <c r="G50" s="1" t="s">
        <v>358</v>
      </c>
      <c r="H50" s="1">
        <v>5</v>
      </c>
      <c r="I50" s="1" t="s">
        <v>64</v>
      </c>
      <c r="J50" s="2">
        <v>45906</v>
      </c>
      <c r="K50" s="1" t="s">
        <v>359</v>
      </c>
      <c r="L50" s="1">
        <v>4</v>
      </c>
      <c r="M50" s="1">
        <v>35</v>
      </c>
      <c r="N50" s="1" t="s">
        <v>30</v>
      </c>
      <c r="O50" s="1" t="s">
        <v>128</v>
      </c>
      <c r="P50" s="1" t="s">
        <v>54</v>
      </c>
      <c r="Q50" s="1" t="s">
        <v>69</v>
      </c>
      <c r="R50" s="1">
        <v>599.52</v>
      </c>
      <c r="S50" s="1" t="s">
        <v>46</v>
      </c>
      <c r="T50" s="1" t="s">
        <v>34</v>
      </c>
      <c r="U50" s="1" t="s">
        <v>35</v>
      </c>
      <c r="V50" s="1" t="s">
        <v>71</v>
      </c>
    </row>
    <row r="51" spans="1:22" x14ac:dyDescent="0.3">
      <c r="A51" s="1" t="s">
        <v>360</v>
      </c>
      <c r="B51" s="1" t="s">
        <v>361</v>
      </c>
      <c r="C51" s="1">
        <v>58</v>
      </c>
      <c r="D51" s="1" t="s">
        <v>362</v>
      </c>
      <c r="E51" s="1" t="s">
        <v>88</v>
      </c>
      <c r="F51" s="1" t="s">
        <v>363</v>
      </c>
      <c r="G51" s="2">
        <v>45748</v>
      </c>
      <c r="H51" s="1">
        <v>4</v>
      </c>
      <c r="I51" s="1" t="s">
        <v>27</v>
      </c>
      <c r="J51" s="1" t="s">
        <v>364</v>
      </c>
      <c r="K51" s="1" t="s">
        <v>365</v>
      </c>
      <c r="L51" s="1">
        <v>9</v>
      </c>
      <c r="M51" s="1">
        <v>30</v>
      </c>
      <c r="N51" s="1" t="s">
        <v>30</v>
      </c>
      <c r="O51" s="1" t="s">
        <v>366</v>
      </c>
      <c r="P51" s="1" t="s">
        <v>54</v>
      </c>
      <c r="Q51" s="1" t="s">
        <v>69</v>
      </c>
      <c r="R51" s="1">
        <v>1487.43</v>
      </c>
      <c r="S51" s="1" t="s">
        <v>46</v>
      </c>
      <c r="T51" s="1" t="s">
        <v>47</v>
      </c>
      <c r="U51" s="1" t="s">
        <v>35</v>
      </c>
      <c r="V51" s="1" t="s">
        <v>188</v>
      </c>
    </row>
    <row r="52" spans="1:22" x14ac:dyDescent="0.3">
      <c r="A52" s="1" t="s">
        <v>367</v>
      </c>
      <c r="B52" s="1" t="s">
        <v>368</v>
      </c>
      <c r="C52" s="1">
        <v>27</v>
      </c>
      <c r="D52" s="1" t="s">
        <v>369</v>
      </c>
      <c r="E52" s="1" t="s">
        <v>51</v>
      </c>
      <c r="F52" s="1" t="s">
        <v>370</v>
      </c>
      <c r="G52" s="1" t="s">
        <v>371</v>
      </c>
      <c r="H52" s="1">
        <v>0</v>
      </c>
      <c r="I52" s="1" t="s">
        <v>64</v>
      </c>
      <c r="J52" s="2">
        <v>45171</v>
      </c>
      <c r="K52" s="1" t="s">
        <v>372</v>
      </c>
      <c r="L52" s="1">
        <v>8</v>
      </c>
      <c r="M52" s="1">
        <v>37</v>
      </c>
      <c r="N52" s="1" t="s">
        <v>68</v>
      </c>
      <c r="O52" s="1" t="s">
        <v>373</v>
      </c>
      <c r="P52" s="1" t="s">
        <v>54</v>
      </c>
      <c r="Q52" s="1" t="s">
        <v>32</v>
      </c>
      <c r="R52" s="1">
        <v>1780.96</v>
      </c>
      <c r="S52" s="1" t="s">
        <v>46</v>
      </c>
      <c r="T52" s="1" t="s">
        <v>57</v>
      </c>
      <c r="U52" s="1" t="s">
        <v>35</v>
      </c>
      <c r="V52" s="1" t="s">
        <v>71</v>
      </c>
    </row>
    <row r="53" spans="1:22" x14ac:dyDescent="0.3">
      <c r="A53" s="1" t="s">
        <v>374</v>
      </c>
      <c r="B53" s="1" t="s">
        <v>375</v>
      </c>
      <c r="C53" s="1">
        <v>54</v>
      </c>
      <c r="D53" s="1" t="s">
        <v>376</v>
      </c>
      <c r="E53" s="1" t="s">
        <v>25</v>
      </c>
      <c r="F53" s="2">
        <v>44693</v>
      </c>
      <c r="G53" s="1" t="s">
        <v>377</v>
      </c>
      <c r="H53" s="1">
        <v>2</v>
      </c>
      <c r="I53" s="1" t="s">
        <v>27</v>
      </c>
      <c r="J53" s="2">
        <v>45783</v>
      </c>
      <c r="K53" s="1" t="s">
        <v>378</v>
      </c>
      <c r="L53" s="1">
        <v>2</v>
      </c>
      <c r="M53" s="1">
        <v>14</v>
      </c>
      <c r="N53" s="1" t="s">
        <v>68</v>
      </c>
      <c r="O53" s="1" t="s">
        <v>366</v>
      </c>
      <c r="P53" s="1" t="s">
        <v>54</v>
      </c>
      <c r="Q53" s="1" t="s">
        <v>69</v>
      </c>
      <c r="R53" s="1">
        <v>90.34</v>
      </c>
      <c r="S53" s="1" t="s">
        <v>46</v>
      </c>
      <c r="T53" s="1" t="s">
        <v>47</v>
      </c>
      <c r="U53" s="1" t="s">
        <v>101</v>
      </c>
      <c r="V53" s="1" t="s">
        <v>36</v>
      </c>
    </row>
    <row r="54" spans="1:22" x14ac:dyDescent="0.3">
      <c r="A54" s="1" t="s">
        <v>379</v>
      </c>
      <c r="B54" s="1" t="s">
        <v>380</v>
      </c>
      <c r="C54" s="1">
        <v>67</v>
      </c>
      <c r="D54" s="1" t="s">
        <v>381</v>
      </c>
      <c r="E54" s="1" t="s">
        <v>40</v>
      </c>
      <c r="F54" s="2">
        <v>44083</v>
      </c>
      <c r="G54" s="1" t="s">
        <v>382</v>
      </c>
      <c r="H54" s="1">
        <v>3</v>
      </c>
      <c r="I54" s="1" t="s">
        <v>27</v>
      </c>
      <c r="J54" s="1" t="s">
        <v>383</v>
      </c>
      <c r="K54" s="1" t="s">
        <v>384</v>
      </c>
      <c r="L54" s="1">
        <v>8</v>
      </c>
      <c r="M54" s="1">
        <v>4</v>
      </c>
      <c r="N54" s="1" t="s">
        <v>56</v>
      </c>
      <c r="O54" s="1" t="s">
        <v>251</v>
      </c>
      <c r="P54" s="1" t="s">
        <v>30</v>
      </c>
      <c r="Q54" s="1" t="s">
        <v>32</v>
      </c>
      <c r="R54" s="1">
        <v>1095.5999999999999</v>
      </c>
      <c r="S54" s="1" t="s">
        <v>46</v>
      </c>
      <c r="T54" s="1" t="s">
        <v>232</v>
      </c>
      <c r="U54" s="1" t="s">
        <v>35</v>
      </c>
      <c r="V54" s="1" t="s">
        <v>36</v>
      </c>
    </row>
    <row r="55" spans="1:22" x14ac:dyDescent="0.3">
      <c r="A55" s="1" t="s">
        <v>385</v>
      </c>
      <c r="B55" s="1" t="s">
        <v>386</v>
      </c>
      <c r="C55" s="1">
        <v>51</v>
      </c>
      <c r="D55" s="1" t="s">
        <v>387</v>
      </c>
      <c r="E55" s="1" t="s">
        <v>25</v>
      </c>
      <c r="F55" s="2">
        <v>43961</v>
      </c>
      <c r="G55" s="1" t="s">
        <v>388</v>
      </c>
      <c r="H55" s="1">
        <v>4</v>
      </c>
      <c r="I55" s="1" t="s">
        <v>52</v>
      </c>
      <c r="J55" s="2">
        <v>45720</v>
      </c>
      <c r="K55" s="1" t="s">
        <v>389</v>
      </c>
      <c r="L55" s="1">
        <v>3</v>
      </c>
      <c r="M55" s="1">
        <v>8</v>
      </c>
      <c r="N55" s="1" t="s">
        <v>68</v>
      </c>
      <c r="O55" s="1" t="s">
        <v>109</v>
      </c>
      <c r="P55" s="1" t="s">
        <v>68</v>
      </c>
      <c r="Q55" s="1" t="s">
        <v>32</v>
      </c>
      <c r="R55" s="1">
        <v>969.12</v>
      </c>
      <c r="S55" s="1" t="s">
        <v>33</v>
      </c>
      <c r="T55" s="1" t="s">
        <v>47</v>
      </c>
      <c r="U55" s="1" t="s">
        <v>35</v>
      </c>
      <c r="V55" s="1" t="s">
        <v>36</v>
      </c>
    </row>
    <row r="56" spans="1:22" x14ac:dyDescent="0.3">
      <c r="A56" s="1" t="s">
        <v>390</v>
      </c>
      <c r="B56" s="1" t="s">
        <v>391</v>
      </c>
      <c r="C56" s="1">
        <v>59</v>
      </c>
      <c r="D56" s="1" t="s">
        <v>392</v>
      </c>
      <c r="E56" s="1" t="s">
        <v>95</v>
      </c>
      <c r="F56" s="2">
        <v>44990</v>
      </c>
      <c r="G56" s="1" t="s">
        <v>393</v>
      </c>
      <c r="H56" s="1">
        <v>0</v>
      </c>
      <c r="I56" s="1" t="s">
        <v>52</v>
      </c>
      <c r="J56" s="1" t="s">
        <v>394</v>
      </c>
      <c r="K56" s="1" t="s">
        <v>395</v>
      </c>
      <c r="L56" s="1">
        <v>3</v>
      </c>
      <c r="M56" s="1">
        <v>1</v>
      </c>
      <c r="N56" s="1" t="s">
        <v>54</v>
      </c>
      <c r="O56" s="1" t="s">
        <v>199</v>
      </c>
      <c r="P56" s="1" t="s">
        <v>54</v>
      </c>
      <c r="Q56" s="1" t="s">
        <v>69</v>
      </c>
      <c r="R56" s="1">
        <v>312</v>
      </c>
      <c r="S56" s="1" t="s">
        <v>33</v>
      </c>
      <c r="T56" s="1" t="s">
        <v>47</v>
      </c>
      <c r="U56" s="1" t="s">
        <v>70</v>
      </c>
      <c r="V56" s="1" t="s">
        <v>36</v>
      </c>
    </row>
    <row r="57" spans="1:22" x14ac:dyDescent="0.3">
      <c r="A57" s="1" t="s">
        <v>396</v>
      </c>
      <c r="B57" s="1" t="s">
        <v>397</v>
      </c>
      <c r="C57" s="1">
        <v>42</v>
      </c>
      <c r="D57" s="1" t="s">
        <v>398</v>
      </c>
      <c r="E57" s="1" t="s">
        <v>40</v>
      </c>
      <c r="F57" s="2">
        <v>44808</v>
      </c>
      <c r="G57" s="2">
        <v>44659</v>
      </c>
      <c r="H57" s="1">
        <v>4</v>
      </c>
      <c r="I57" s="1" t="s">
        <v>52</v>
      </c>
      <c r="J57" s="2">
        <v>45203</v>
      </c>
      <c r="K57" s="1" t="s">
        <v>399</v>
      </c>
      <c r="L57" s="1">
        <v>3</v>
      </c>
      <c r="M57" s="1">
        <v>23</v>
      </c>
      <c r="N57" s="1" t="s">
        <v>68</v>
      </c>
      <c r="O57" s="1" t="s">
        <v>354</v>
      </c>
      <c r="P57" s="1" t="s">
        <v>45</v>
      </c>
      <c r="Q57" s="1" t="s">
        <v>32</v>
      </c>
      <c r="R57" s="1">
        <v>754.8</v>
      </c>
      <c r="S57" s="1" t="s">
        <v>46</v>
      </c>
      <c r="T57" s="1" t="s">
        <v>34</v>
      </c>
      <c r="U57" s="1" t="s">
        <v>35</v>
      </c>
      <c r="V57" s="1" t="s">
        <v>36</v>
      </c>
    </row>
    <row r="58" spans="1:22" x14ac:dyDescent="0.3">
      <c r="A58" s="1" t="s">
        <v>400</v>
      </c>
      <c r="B58" s="1" t="s">
        <v>401</v>
      </c>
      <c r="C58" s="1">
        <v>38</v>
      </c>
      <c r="D58" s="1" t="s">
        <v>402</v>
      </c>
      <c r="E58" s="1" t="s">
        <v>40</v>
      </c>
      <c r="F58" s="1" t="s">
        <v>403</v>
      </c>
      <c r="G58" s="1" t="s">
        <v>404</v>
      </c>
      <c r="H58" s="1">
        <v>0</v>
      </c>
      <c r="I58" s="1" t="s">
        <v>27</v>
      </c>
      <c r="J58" s="1" t="s">
        <v>358</v>
      </c>
      <c r="K58" s="1" t="s">
        <v>405</v>
      </c>
      <c r="L58" s="1">
        <v>2</v>
      </c>
      <c r="M58" s="1">
        <v>17</v>
      </c>
      <c r="N58" s="1" t="s">
        <v>54</v>
      </c>
      <c r="O58" s="1" t="s">
        <v>269</v>
      </c>
      <c r="P58" s="1" t="s">
        <v>56</v>
      </c>
      <c r="Q58" s="1" t="s">
        <v>69</v>
      </c>
      <c r="R58" s="1">
        <v>944.08</v>
      </c>
      <c r="S58" s="1" t="s">
        <v>46</v>
      </c>
      <c r="T58" s="1" t="s">
        <v>34</v>
      </c>
      <c r="U58" s="1" t="s">
        <v>35</v>
      </c>
      <c r="V58" s="1" t="s">
        <v>36</v>
      </c>
    </row>
    <row r="59" spans="1:22" x14ac:dyDescent="0.3">
      <c r="A59" s="1" t="s">
        <v>406</v>
      </c>
      <c r="B59" s="1" t="s">
        <v>407</v>
      </c>
      <c r="C59" s="1">
        <v>23</v>
      </c>
      <c r="D59" s="1" t="s">
        <v>408</v>
      </c>
      <c r="E59" s="1" t="s">
        <v>88</v>
      </c>
      <c r="F59" s="1" t="s">
        <v>409</v>
      </c>
      <c r="G59" s="2">
        <v>45963</v>
      </c>
      <c r="H59" s="1">
        <v>5</v>
      </c>
      <c r="I59" s="1" t="s">
        <v>27</v>
      </c>
      <c r="J59" s="1" t="s">
        <v>410</v>
      </c>
      <c r="K59" s="1" t="s">
        <v>411</v>
      </c>
      <c r="L59" s="1">
        <v>8</v>
      </c>
      <c r="M59" s="1">
        <v>1</v>
      </c>
      <c r="N59" s="1" t="s">
        <v>45</v>
      </c>
      <c r="O59" s="1" t="s">
        <v>231</v>
      </c>
      <c r="P59" s="1" t="s">
        <v>30</v>
      </c>
      <c r="Q59" s="1" t="s">
        <v>32</v>
      </c>
      <c r="R59" s="1">
        <v>174.8</v>
      </c>
      <c r="S59" s="1" t="s">
        <v>46</v>
      </c>
      <c r="T59" s="1" t="s">
        <v>100</v>
      </c>
      <c r="U59" s="1" t="s">
        <v>70</v>
      </c>
      <c r="V59" s="1" t="s">
        <v>188</v>
      </c>
    </row>
    <row r="60" spans="1:22" x14ac:dyDescent="0.3">
      <c r="A60" s="1" t="s">
        <v>412</v>
      </c>
      <c r="B60" s="1" t="s">
        <v>413</v>
      </c>
      <c r="C60" s="1">
        <v>18</v>
      </c>
      <c r="D60" s="1" t="s">
        <v>414</v>
      </c>
      <c r="E60" s="1" t="s">
        <v>40</v>
      </c>
      <c r="F60" s="1" t="s">
        <v>415</v>
      </c>
      <c r="G60" s="1" t="s">
        <v>416</v>
      </c>
      <c r="H60" s="1">
        <v>3</v>
      </c>
      <c r="I60" s="1" t="s">
        <v>27</v>
      </c>
      <c r="J60" s="2">
        <v>45018</v>
      </c>
      <c r="K60" s="1" t="s">
        <v>417</v>
      </c>
      <c r="L60" s="1">
        <v>5</v>
      </c>
      <c r="M60" s="1">
        <v>18</v>
      </c>
      <c r="N60" s="1" t="s">
        <v>54</v>
      </c>
      <c r="O60" s="1" t="s">
        <v>418</v>
      </c>
      <c r="P60" s="1" t="s">
        <v>56</v>
      </c>
      <c r="Q60" s="1" t="s">
        <v>69</v>
      </c>
      <c r="R60" s="1">
        <v>1476.1</v>
      </c>
      <c r="S60" s="1" t="s">
        <v>46</v>
      </c>
      <c r="T60" s="1" t="s">
        <v>100</v>
      </c>
      <c r="U60" s="1" t="s">
        <v>35</v>
      </c>
      <c r="V60" s="1" t="s">
        <v>36</v>
      </c>
    </row>
    <row r="61" spans="1:22" x14ac:dyDescent="0.3">
      <c r="A61" s="1" t="s">
        <v>419</v>
      </c>
      <c r="B61" s="1" t="s">
        <v>420</v>
      </c>
      <c r="C61" s="1">
        <v>41</v>
      </c>
      <c r="D61" s="1" t="s">
        <v>421</v>
      </c>
      <c r="E61" s="1" t="s">
        <v>25</v>
      </c>
      <c r="F61" s="1" t="s">
        <v>422</v>
      </c>
      <c r="G61" s="2">
        <v>44966</v>
      </c>
      <c r="H61" s="1">
        <v>0</v>
      </c>
      <c r="I61" s="1" t="s">
        <v>64</v>
      </c>
      <c r="J61" s="1" t="s">
        <v>423</v>
      </c>
      <c r="K61" s="1" t="s">
        <v>424</v>
      </c>
      <c r="L61" s="1">
        <v>5</v>
      </c>
      <c r="M61" s="1">
        <v>13</v>
      </c>
      <c r="N61" s="1" t="s">
        <v>68</v>
      </c>
      <c r="O61" s="1" t="s">
        <v>425</v>
      </c>
      <c r="P61" s="1" t="s">
        <v>30</v>
      </c>
      <c r="Q61" s="1" t="s">
        <v>32</v>
      </c>
      <c r="R61" s="1">
        <v>1811.3</v>
      </c>
      <c r="S61" s="1" t="s">
        <v>46</v>
      </c>
      <c r="T61" s="1" t="s">
        <v>34</v>
      </c>
      <c r="U61" s="1" t="s">
        <v>35</v>
      </c>
      <c r="V61" s="1" t="s">
        <v>71</v>
      </c>
    </row>
    <row r="62" spans="1:22" x14ac:dyDescent="0.3">
      <c r="A62" s="1" t="s">
        <v>426</v>
      </c>
      <c r="B62" s="1" t="s">
        <v>427</v>
      </c>
      <c r="C62" s="1">
        <v>35</v>
      </c>
      <c r="D62" s="1" t="s">
        <v>428</v>
      </c>
      <c r="E62" s="1" t="s">
        <v>25</v>
      </c>
      <c r="F62" s="1" t="s">
        <v>388</v>
      </c>
      <c r="G62" s="1" t="s">
        <v>429</v>
      </c>
      <c r="H62" s="1">
        <v>1</v>
      </c>
      <c r="I62" s="1" t="s">
        <v>52</v>
      </c>
      <c r="J62" s="1" t="s">
        <v>430</v>
      </c>
      <c r="K62" s="1" t="s">
        <v>431</v>
      </c>
      <c r="L62" s="1">
        <v>6</v>
      </c>
      <c r="M62" s="1">
        <v>42</v>
      </c>
      <c r="N62" s="1" t="s">
        <v>68</v>
      </c>
      <c r="O62" s="1" t="s">
        <v>149</v>
      </c>
      <c r="P62" s="1" t="s">
        <v>30</v>
      </c>
      <c r="Q62" s="1" t="s">
        <v>32</v>
      </c>
      <c r="R62" s="1">
        <v>1720.38</v>
      </c>
      <c r="S62" s="1" t="s">
        <v>46</v>
      </c>
      <c r="T62" s="1" t="s">
        <v>34</v>
      </c>
      <c r="U62" s="1" t="s">
        <v>35</v>
      </c>
      <c r="V62" s="1" t="s">
        <v>36</v>
      </c>
    </row>
    <row r="63" spans="1:22" x14ac:dyDescent="0.3">
      <c r="A63" s="1" t="s">
        <v>432</v>
      </c>
      <c r="B63" s="1" t="s">
        <v>433</v>
      </c>
      <c r="C63" s="1">
        <v>39</v>
      </c>
      <c r="D63" s="1" t="s">
        <v>434</v>
      </c>
      <c r="E63" s="1" t="s">
        <v>25</v>
      </c>
      <c r="F63" s="1" t="s">
        <v>435</v>
      </c>
      <c r="G63" s="2">
        <v>45566</v>
      </c>
      <c r="H63" s="1">
        <v>3</v>
      </c>
      <c r="I63" s="1" t="s">
        <v>27</v>
      </c>
      <c r="J63" s="2">
        <v>44685</v>
      </c>
      <c r="K63" s="1" t="s">
        <v>436</v>
      </c>
      <c r="L63" s="1">
        <v>9</v>
      </c>
      <c r="M63" s="1">
        <v>2</v>
      </c>
      <c r="N63" s="1" t="s">
        <v>45</v>
      </c>
      <c r="O63" s="1" t="s">
        <v>199</v>
      </c>
      <c r="P63" s="1" t="s">
        <v>54</v>
      </c>
      <c r="Q63" s="1" t="s">
        <v>32</v>
      </c>
      <c r="R63" s="1">
        <v>312.12</v>
      </c>
      <c r="S63" s="1" t="s">
        <v>46</v>
      </c>
      <c r="T63" s="1" t="s">
        <v>34</v>
      </c>
      <c r="U63" s="1" t="s">
        <v>70</v>
      </c>
      <c r="V63" s="1" t="s">
        <v>36</v>
      </c>
    </row>
    <row r="64" spans="1:22" x14ac:dyDescent="0.3">
      <c r="A64" s="1" t="s">
        <v>437</v>
      </c>
      <c r="B64" s="1" t="s">
        <v>438</v>
      </c>
      <c r="C64" s="1">
        <v>33</v>
      </c>
      <c r="D64" s="1" t="s">
        <v>439</v>
      </c>
      <c r="E64" s="1" t="s">
        <v>95</v>
      </c>
      <c r="F64" s="2">
        <v>44448</v>
      </c>
      <c r="G64" s="2">
        <v>45324</v>
      </c>
      <c r="H64" s="1">
        <v>4</v>
      </c>
      <c r="I64" s="1" t="s">
        <v>64</v>
      </c>
      <c r="J64" s="1" t="s">
        <v>440</v>
      </c>
      <c r="K64" s="1" t="s">
        <v>441</v>
      </c>
      <c r="L64" s="1">
        <v>4</v>
      </c>
      <c r="M64" s="1">
        <v>13</v>
      </c>
      <c r="N64" s="1" t="s">
        <v>54</v>
      </c>
      <c r="O64" s="1" t="s">
        <v>175</v>
      </c>
      <c r="P64" s="1" t="s">
        <v>56</v>
      </c>
      <c r="Q64" s="1" t="s">
        <v>32</v>
      </c>
      <c r="R64" s="1">
        <v>1483.88</v>
      </c>
      <c r="S64" s="1" t="s">
        <v>46</v>
      </c>
      <c r="T64" s="1" t="s">
        <v>57</v>
      </c>
      <c r="U64" s="1" t="s">
        <v>35</v>
      </c>
      <c r="V64" s="1" t="s">
        <v>71</v>
      </c>
    </row>
    <row r="65" spans="1:22" x14ac:dyDescent="0.3">
      <c r="A65" s="1" t="s">
        <v>442</v>
      </c>
      <c r="B65" s="1" t="s">
        <v>443</v>
      </c>
      <c r="C65" s="1">
        <v>34</v>
      </c>
      <c r="D65" s="1" t="s">
        <v>444</v>
      </c>
      <c r="E65" s="1" t="s">
        <v>25</v>
      </c>
      <c r="F65" s="1" t="s">
        <v>445</v>
      </c>
      <c r="G65" s="2">
        <v>44837</v>
      </c>
      <c r="H65" s="1">
        <v>4</v>
      </c>
      <c r="I65" s="1" t="s">
        <v>27</v>
      </c>
      <c r="J65" s="1" t="s">
        <v>446</v>
      </c>
      <c r="K65" s="1" t="s">
        <v>447</v>
      </c>
      <c r="L65" s="1">
        <v>2</v>
      </c>
      <c r="M65" s="1">
        <v>9</v>
      </c>
      <c r="N65" s="1" t="s">
        <v>30</v>
      </c>
      <c r="O65" s="1" t="s">
        <v>116</v>
      </c>
      <c r="P65" s="1" t="s">
        <v>54</v>
      </c>
      <c r="Q65" s="1" t="s">
        <v>32</v>
      </c>
      <c r="R65" s="1">
        <v>1683.9</v>
      </c>
      <c r="S65" s="1" t="s">
        <v>46</v>
      </c>
      <c r="T65" s="1" t="s">
        <v>57</v>
      </c>
      <c r="U65" s="1" t="s">
        <v>35</v>
      </c>
      <c r="V65" s="1" t="s">
        <v>188</v>
      </c>
    </row>
    <row r="66" spans="1:22" x14ac:dyDescent="0.3">
      <c r="A66" s="1" t="s">
        <v>448</v>
      </c>
      <c r="B66" s="1" t="s">
        <v>449</v>
      </c>
      <c r="C66" s="1">
        <v>22</v>
      </c>
      <c r="D66" s="1" t="s">
        <v>450</v>
      </c>
      <c r="E66" s="1" t="s">
        <v>88</v>
      </c>
      <c r="F66" s="2">
        <v>44780</v>
      </c>
      <c r="G66" s="2">
        <v>44987</v>
      </c>
      <c r="H66" s="1">
        <v>4</v>
      </c>
      <c r="I66" s="1" t="s">
        <v>52</v>
      </c>
      <c r="J66" s="1" t="s">
        <v>451</v>
      </c>
      <c r="K66" s="1" t="s">
        <v>452</v>
      </c>
      <c r="L66" s="1">
        <v>1</v>
      </c>
      <c r="M66" s="1">
        <v>16</v>
      </c>
      <c r="N66" s="1" t="s">
        <v>56</v>
      </c>
      <c r="O66" s="1" t="s">
        <v>238</v>
      </c>
      <c r="P66" s="1" t="s">
        <v>45</v>
      </c>
      <c r="Q66" s="1" t="s">
        <v>32</v>
      </c>
      <c r="R66" s="1">
        <v>1795.65</v>
      </c>
      <c r="S66" s="1" t="s">
        <v>46</v>
      </c>
      <c r="T66" s="1" t="s">
        <v>100</v>
      </c>
      <c r="U66" s="1" t="s">
        <v>35</v>
      </c>
      <c r="V66" s="1" t="s">
        <v>36</v>
      </c>
    </row>
    <row r="67" spans="1:22" x14ac:dyDescent="0.3">
      <c r="A67" s="1" t="s">
        <v>453</v>
      </c>
      <c r="B67" s="1" t="s">
        <v>454</v>
      </c>
      <c r="C67" s="1">
        <v>56</v>
      </c>
      <c r="D67" s="1" t="s">
        <v>455</v>
      </c>
      <c r="E67" s="1" t="s">
        <v>51</v>
      </c>
      <c r="F67" s="1" t="s">
        <v>456</v>
      </c>
      <c r="G67" s="2">
        <v>45997</v>
      </c>
      <c r="H67" s="1">
        <v>1</v>
      </c>
      <c r="I67" s="1" t="s">
        <v>64</v>
      </c>
      <c r="J67" s="1" t="s">
        <v>457</v>
      </c>
      <c r="K67" s="1" t="s">
        <v>458</v>
      </c>
      <c r="L67" s="1">
        <v>3</v>
      </c>
      <c r="M67" s="1">
        <v>7</v>
      </c>
      <c r="N67" s="1" t="s">
        <v>30</v>
      </c>
      <c r="O67" s="1" t="s">
        <v>77</v>
      </c>
      <c r="P67" s="1" t="s">
        <v>54</v>
      </c>
      <c r="Q67" s="1" t="s">
        <v>69</v>
      </c>
      <c r="R67" s="1">
        <v>1378.68</v>
      </c>
      <c r="S67" s="1" t="s">
        <v>46</v>
      </c>
      <c r="T67" s="1" t="s">
        <v>47</v>
      </c>
      <c r="U67" s="1" t="s">
        <v>35</v>
      </c>
      <c r="V67" s="1" t="s">
        <v>71</v>
      </c>
    </row>
    <row r="68" spans="1:22" x14ac:dyDescent="0.3">
      <c r="A68" s="1" t="s">
        <v>459</v>
      </c>
      <c r="B68" s="1" t="s">
        <v>460</v>
      </c>
      <c r="C68" s="1">
        <v>54</v>
      </c>
      <c r="D68" s="1" t="s">
        <v>461</v>
      </c>
      <c r="E68" s="1" t="s">
        <v>51</v>
      </c>
      <c r="F68" s="1" t="s">
        <v>377</v>
      </c>
      <c r="G68" s="2">
        <v>45569</v>
      </c>
      <c r="H68" s="1">
        <v>3</v>
      </c>
      <c r="I68" s="1" t="s">
        <v>52</v>
      </c>
      <c r="J68" s="2">
        <v>45512</v>
      </c>
      <c r="K68" s="1" t="s">
        <v>462</v>
      </c>
      <c r="L68" s="1">
        <v>5</v>
      </c>
      <c r="M68" s="1">
        <v>9</v>
      </c>
      <c r="N68" s="1" t="s">
        <v>45</v>
      </c>
      <c r="O68" s="1" t="s">
        <v>55</v>
      </c>
      <c r="P68" s="1" t="s">
        <v>56</v>
      </c>
      <c r="Q68" s="1" t="s">
        <v>32</v>
      </c>
      <c r="R68" s="1">
        <v>969.3</v>
      </c>
      <c r="S68" s="1" t="s">
        <v>46</v>
      </c>
      <c r="T68" s="1" t="s">
        <v>47</v>
      </c>
      <c r="U68" s="1" t="s">
        <v>35</v>
      </c>
      <c r="V68" s="1" t="s">
        <v>36</v>
      </c>
    </row>
    <row r="69" spans="1:22" x14ac:dyDescent="0.3">
      <c r="A69" s="1" t="s">
        <v>463</v>
      </c>
      <c r="B69" s="1" t="s">
        <v>464</v>
      </c>
      <c r="C69" s="1">
        <v>66</v>
      </c>
      <c r="D69" s="1" t="s">
        <v>465</v>
      </c>
      <c r="E69" s="1" t="s">
        <v>95</v>
      </c>
      <c r="F69" s="1" t="s">
        <v>466</v>
      </c>
      <c r="G69" s="1" t="s">
        <v>467</v>
      </c>
      <c r="H69" s="1">
        <v>4</v>
      </c>
      <c r="I69" s="1" t="s">
        <v>27</v>
      </c>
      <c r="J69" s="1" t="s">
        <v>468</v>
      </c>
      <c r="K69" s="1" t="s">
        <v>469</v>
      </c>
      <c r="L69" s="1">
        <v>3</v>
      </c>
      <c r="M69" s="1">
        <v>39</v>
      </c>
      <c r="N69" s="1" t="s">
        <v>56</v>
      </c>
      <c r="O69" s="1" t="s">
        <v>149</v>
      </c>
      <c r="P69" s="1" t="s">
        <v>30</v>
      </c>
      <c r="Q69" s="1" t="s">
        <v>32</v>
      </c>
      <c r="R69" s="1">
        <v>541.89</v>
      </c>
      <c r="S69" s="1" t="s">
        <v>46</v>
      </c>
      <c r="T69" s="1" t="s">
        <v>232</v>
      </c>
      <c r="U69" s="1" t="s">
        <v>35</v>
      </c>
      <c r="V69" s="1" t="s">
        <v>188</v>
      </c>
    </row>
    <row r="70" spans="1:22" x14ac:dyDescent="0.3">
      <c r="A70" s="1" t="s">
        <v>470</v>
      </c>
      <c r="B70" s="1" t="s">
        <v>471</v>
      </c>
      <c r="C70" s="1">
        <v>45</v>
      </c>
      <c r="D70" s="1" t="s">
        <v>472</v>
      </c>
      <c r="E70" s="1" t="s">
        <v>25</v>
      </c>
      <c r="F70" s="1" t="s">
        <v>473</v>
      </c>
      <c r="G70" s="2">
        <v>45605</v>
      </c>
      <c r="H70" s="1">
        <v>5</v>
      </c>
      <c r="I70" s="1" t="s">
        <v>27</v>
      </c>
      <c r="J70" s="1" t="s">
        <v>474</v>
      </c>
      <c r="K70" s="1" t="s">
        <v>475</v>
      </c>
      <c r="L70" s="1">
        <v>1</v>
      </c>
      <c r="M70" s="1">
        <v>40</v>
      </c>
      <c r="N70" s="1" t="s">
        <v>45</v>
      </c>
      <c r="O70" s="1" t="s">
        <v>211</v>
      </c>
      <c r="P70" s="1" t="s">
        <v>68</v>
      </c>
      <c r="Q70" s="1" t="s">
        <v>322</v>
      </c>
      <c r="R70" s="1">
        <v>1217.67</v>
      </c>
      <c r="S70" s="1" t="s">
        <v>46</v>
      </c>
      <c r="T70" s="1" t="s">
        <v>34</v>
      </c>
      <c r="U70" s="1" t="s">
        <v>35</v>
      </c>
      <c r="V70" s="1" t="s">
        <v>188</v>
      </c>
    </row>
    <row r="71" spans="1:22" x14ac:dyDescent="0.3">
      <c r="A71" s="1" t="s">
        <v>476</v>
      </c>
      <c r="B71" s="1" t="s">
        <v>477</v>
      </c>
      <c r="C71" s="1">
        <v>19</v>
      </c>
      <c r="D71" s="1" t="s">
        <v>478</v>
      </c>
      <c r="E71" s="1" t="s">
        <v>25</v>
      </c>
      <c r="F71" s="1" t="s">
        <v>479</v>
      </c>
      <c r="G71" s="1" t="s">
        <v>480</v>
      </c>
      <c r="H71" s="1">
        <v>4</v>
      </c>
      <c r="I71" s="1" t="s">
        <v>27</v>
      </c>
      <c r="J71" s="2">
        <v>45839</v>
      </c>
      <c r="K71" s="1" t="s">
        <v>481</v>
      </c>
      <c r="L71" s="1">
        <v>6</v>
      </c>
      <c r="M71" s="1">
        <v>33</v>
      </c>
      <c r="N71" s="1" t="s">
        <v>56</v>
      </c>
      <c r="O71" s="1" t="s">
        <v>77</v>
      </c>
      <c r="P71" s="1" t="s">
        <v>54</v>
      </c>
      <c r="Q71" s="1" t="s">
        <v>69</v>
      </c>
      <c r="R71" s="1">
        <v>1572.6</v>
      </c>
      <c r="S71" s="1" t="s">
        <v>46</v>
      </c>
      <c r="T71" s="1" t="s">
        <v>100</v>
      </c>
      <c r="U71" s="1" t="s">
        <v>35</v>
      </c>
      <c r="V71" s="1" t="s">
        <v>188</v>
      </c>
    </row>
    <row r="72" spans="1:22" x14ac:dyDescent="0.3">
      <c r="A72" s="1" t="s">
        <v>482</v>
      </c>
      <c r="B72" s="1" t="s">
        <v>483</v>
      </c>
      <c r="C72" s="1">
        <v>33</v>
      </c>
      <c r="D72" s="1" t="s">
        <v>484</v>
      </c>
      <c r="E72" s="1" t="s">
        <v>61</v>
      </c>
      <c r="F72" s="1" t="s">
        <v>485</v>
      </c>
      <c r="G72" s="1" t="s">
        <v>486</v>
      </c>
      <c r="H72" s="1">
        <v>3</v>
      </c>
      <c r="I72" s="1" t="s">
        <v>27</v>
      </c>
      <c r="J72" s="1" t="s">
        <v>487</v>
      </c>
      <c r="K72" s="1" t="s">
        <v>488</v>
      </c>
      <c r="L72" s="1">
        <v>3</v>
      </c>
      <c r="M72" s="1">
        <v>25</v>
      </c>
      <c r="N72" s="1" t="s">
        <v>45</v>
      </c>
      <c r="O72" s="1" t="s">
        <v>418</v>
      </c>
      <c r="P72" s="1" t="s">
        <v>56</v>
      </c>
      <c r="Q72" s="1" t="s">
        <v>32</v>
      </c>
      <c r="R72" s="1">
        <v>1398.39</v>
      </c>
      <c r="S72" s="1" t="s">
        <v>46</v>
      </c>
      <c r="T72" s="1" t="s">
        <v>57</v>
      </c>
      <c r="U72" s="1" t="s">
        <v>35</v>
      </c>
      <c r="V72" s="1" t="s">
        <v>36</v>
      </c>
    </row>
    <row r="73" spans="1:22" x14ac:dyDescent="0.3">
      <c r="A73" s="1" t="s">
        <v>489</v>
      </c>
      <c r="B73" s="1" t="s">
        <v>490</v>
      </c>
      <c r="C73" s="1">
        <v>62</v>
      </c>
      <c r="D73" s="1" t="s">
        <v>491</v>
      </c>
      <c r="E73" s="1" t="s">
        <v>61</v>
      </c>
      <c r="F73" s="2">
        <v>44449</v>
      </c>
      <c r="G73" s="2">
        <v>45294</v>
      </c>
      <c r="H73" s="1">
        <v>2</v>
      </c>
      <c r="I73" s="1" t="s">
        <v>27</v>
      </c>
      <c r="J73" s="1" t="s">
        <v>492</v>
      </c>
      <c r="K73" s="1" t="s">
        <v>493</v>
      </c>
      <c r="L73" s="1">
        <v>3</v>
      </c>
      <c r="M73" s="1">
        <v>13</v>
      </c>
      <c r="N73" s="1" t="s">
        <v>30</v>
      </c>
      <c r="O73" s="1" t="s">
        <v>245</v>
      </c>
      <c r="P73" s="1" t="s">
        <v>54</v>
      </c>
      <c r="Q73" s="1" t="s">
        <v>32</v>
      </c>
      <c r="R73" s="1">
        <v>1095.48</v>
      </c>
      <c r="S73" s="1" t="s">
        <v>46</v>
      </c>
      <c r="T73" s="1" t="s">
        <v>47</v>
      </c>
      <c r="U73" s="1" t="s">
        <v>35</v>
      </c>
      <c r="V73" s="1" t="s">
        <v>36</v>
      </c>
    </row>
    <row r="74" spans="1:22" x14ac:dyDescent="0.3">
      <c r="A74" s="1" t="s">
        <v>494</v>
      </c>
      <c r="B74" s="1" t="s">
        <v>495</v>
      </c>
      <c r="C74" s="1">
        <v>34</v>
      </c>
      <c r="D74" s="1" t="s">
        <v>496</v>
      </c>
      <c r="E74" s="1" t="s">
        <v>25</v>
      </c>
      <c r="F74" s="1" t="s">
        <v>497</v>
      </c>
      <c r="G74" s="2">
        <v>44200</v>
      </c>
      <c r="H74" s="1">
        <v>3</v>
      </c>
      <c r="I74" s="1" t="s">
        <v>27</v>
      </c>
      <c r="J74" s="2">
        <v>45206</v>
      </c>
      <c r="K74" s="1" t="s">
        <v>498</v>
      </c>
      <c r="L74" s="1">
        <v>5</v>
      </c>
      <c r="M74" s="1">
        <v>28</v>
      </c>
      <c r="N74" s="1" t="s">
        <v>68</v>
      </c>
      <c r="O74" s="1" t="s">
        <v>366</v>
      </c>
      <c r="P74" s="1" t="s">
        <v>54</v>
      </c>
      <c r="Q74" s="1" t="s">
        <v>69</v>
      </c>
      <c r="R74" s="1">
        <v>120.4</v>
      </c>
      <c r="S74" s="1" t="s">
        <v>46</v>
      </c>
      <c r="T74" s="1" t="s">
        <v>57</v>
      </c>
      <c r="U74" s="1" t="s">
        <v>35</v>
      </c>
      <c r="V74" s="1" t="s">
        <v>36</v>
      </c>
    </row>
    <row r="75" spans="1:22" x14ac:dyDescent="0.3">
      <c r="A75" s="1" t="s">
        <v>499</v>
      </c>
      <c r="B75" s="1" t="s">
        <v>500</v>
      </c>
      <c r="C75" s="1">
        <v>57</v>
      </c>
      <c r="D75" s="1" t="s">
        <v>501</v>
      </c>
      <c r="E75" s="1" t="s">
        <v>51</v>
      </c>
      <c r="F75" s="2">
        <v>44207</v>
      </c>
      <c r="G75" s="1" t="s">
        <v>502</v>
      </c>
      <c r="H75" s="1">
        <v>0</v>
      </c>
      <c r="I75" s="1" t="s">
        <v>52</v>
      </c>
      <c r="J75" s="1" t="s">
        <v>503</v>
      </c>
      <c r="K75" s="1" t="s">
        <v>504</v>
      </c>
      <c r="L75" s="1">
        <v>5</v>
      </c>
      <c r="M75" s="1">
        <v>13</v>
      </c>
      <c r="N75" s="1" t="s">
        <v>30</v>
      </c>
      <c r="O75" s="1" t="s">
        <v>238</v>
      </c>
      <c r="P75" s="1" t="s">
        <v>45</v>
      </c>
      <c r="Q75" s="1" t="s">
        <v>69</v>
      </c>
      <c r="R75" s="1">
        <v>837.35</v>
      </c>
      <c r="S75" s="1" t="s">
        <v>46</v>
      </c>
      <c r="T75" s="1" t="s">
        <v>47</v>
      </c>
      <c r="U75" s="1" t="s">
        <v>35</v>
      </c>
      <c r="V75" s="1" t="s">
        <v>36</v>
      </c>
    </row>
    <row r="76" spans="1:22" x14ac:dyDescent="0.3">
      <c r="A76" s="1" t="s">
        <v>505</v>
      </c>
      <c r="B76" s="1" t="s">
        <v>506</v>
      </c>
      <c r="C76" s="1">
        <v>21</v>
      </c>
      <c r="D76" s="1" t="s">
        <v>507</v>
      </c>
      <c r="E76" s="1" t="s">
        <v>61</v>
      </c>
      <c r="F76" s="1" t="s">
        <v>255</v>
      </c>
      <c r="G76" s="1" t="s">
        <v>508</v>
      </c>
      <c r="H76" s="1">
        <v>2</v>
      </c>
      <c r="I76" s="1" t="s">
        <v>27</v>
      </c>
      <c r="J76" s="2">
        <v>44874</v>
      </c>
      <c r="K76" s="1" t="s">
        <v>509</v>
      </c>
      <c r="L76" s="1">
        <v>6</v>
      </c>
      <c r="M76" s="1">
        <v>27</v>
      </c>
      <c r="N76" s="1" t="s">
        <v>30</v>
      </c>
      <c r="O76" s="1" t="s">
        <v>366</v>
      </c>
      <c r="P76" s="1" t="s">
        <v>54</v>
      </c>
      <c r="Q76" s="1" t="s">
        <v>32</v>
      </c>
      <c r="R76" s="1">
        <v>266.16000000000003</v>
      </c>
      <c r="S76" s="1" t="s">
        <v>46</v>
      </c>
      <c r="T76" s="1" t="s">
        <v>100</v>
      </c>
      <c r="U76" s="1" t="s">
        <v>35</v>
      </c>
      <c r="V76" s="1" t="s">
        <v>36</v>
      </c>
    </row>
    <row r="77" spans="1:22" x14ac:dyDescent="0.3">
      <c r="A77" s="1" t="s">
        <v>510</v>
      </c>
      <c r="B77" s="1" t="s">
        <v>511</v>
      </c>
      <c r="C77" s="1">
        <v>43</v>
      </c>
      <c r="D77" s="1" t="s">
        <v>512</v>
      </c>
      <c r="E77" s="1" t="s">
        <v>40</v>
      </c>
      <c r="F77" s="1" t="s">
        <v>513</v>
      </c>
      <c r="G77" s="1" t="s">
        <v>63</v>
      </c>
      <c r="H77" s="1">
        <v>1</v>
      </c>
      <c r="I77" s="1" t="s">
        <v>52</v>
      </c>
      <c r="J77" s="1" t="s">
        <v>514</v>
      </c>
      <c r="K77" s="1" t="s">
        <v>515</v>
      </c>
      <c r="L77" s="1">
        <v>5</v>
      </c>
      <c r="M77" s="1">
        <v>32</v>
      </c>
      <c r="N77" s="1" t="s">
        <v>45</v>
      </c>
      <c r="O77" s="1" t="s">
        <v>122</v>
      </c>
      <c r="P77" s="1" t="s">
        <v>30</v>
      </c>
      <c r="Q77" s="1" t="s">
        <v>32</v>
      </c>
      <c r="R77" s="1">
        <v>788.5</v>
      </c>
      <c r="S77" s="1" t="s">
        <v>46</v>
      </c>
      <c r="T77" s="1" t="s">
        <v>34</v>
      </c>
      <c r="U77" s="1" t="s">
        <v>35</v>
      </c>
      <c r="V77" s="1" t="s">
        <v>36</v>
      </c>
    </row>
    <row r="78" spans="1:22" x14ac:dyDescent="0.3">
      <c r="A78" s="1" t="s">
        <v>516</v>
      </c>
      <c r="B78" s="1" t="s">
        <v>517</v>
      </c>
      <c r="C78" s="1">
        <v>63</v>
      </c>
      <c r="D78" s="1" t="s">
        <v>518</v>
      </c>
      <c r="E78" s="1" t="s">
        <v>40</v>
      </c>
      <c r="F78" s="2">
        <v>44260</v>
      </c>
      <c r="G78" s="2">
        <v>44720</v>
      </c>
      <c r="H78" s="1">
        <v>5</v>
      </c>
      <c r="I78" s="1" t="s">
        <v>52</v>
      </c>
      <c r="J78" s="1" t="s">
        <v>519</v>
      </c>
      <c r="K78" s="1" t="s">
        <v>520</v>
      </c>
      <c r="L78" s="1">
        <v>6</v>
      </c>
      <c r="M78" s="1">
        <v>19</v>
      </c>
      <c r="N78" s="1" t="s">
        <v>56</v>
      </c>
      <c r="O78" s="1" t="s">
        <v>293</v>
      </c>
      <c r="P78" s="1" t="s">
        <v>45</v>
      </c>
      <c r="Q78" s="1" t="s">
        <v>69</v>
      </c>
      <c r="R78" s="1">
        <v>1467</v>
      </c>
      <c r="S78" s="1" t="s">
        <v>46</v>
      </c>
      <c r="T78" s="1" t="s">
        <v>47</v>
      </c>
      <c r="U78" s="1" t="s">
        <v>35</v>
      </c>
      <c r="V78" s="1" t="s">
        <v>36</v>
      </c>
    </row>
    <row r="79" spans="1:22" x14ac:dyDescent="0.3">
      <c r="A79" s="1" t="s">
        <v>521</v>
      </c>
      <c r="B79" s="1" t="s">
        <v>522</v>
      </c>
      <c r="C79" s="1">
        <v>35</v>
      </c>
      <c r="D79" s="1" t="s">
        <v>523</v>
      </c>
      <c r="E79" s="1" t="s">
        <v>95</v>
      </c>
      <c r="F79" s="1" t="s">
        <v>524</v>
      </c>
      <c r="G79" s="2">
        <v>45516</v>
      </c>
      <c r="H79" s="1">
        <v>2</v>
      </c>
      <c r="I79" s="1" t="s">
        <v>52</v>
      </c>
      <c r="J79" s="1" t="s">
        <v>525</v>
      </c>
      <c r="K79" s="1" t="s">
        <v>526</v>
      </c>
      <c r="L79" s="1">
        <v>1</v>
      </c>
      <c r="M79" s="1">
        <v>47</v>
      </c>
      <c r="N79" s="1" t="s">
        <v>30</v>
      </c>
      <c r="O79" s="1" t="s">
        <v>91</v>
      </c>
      <c r="P79" s="1" t="s">
        <v>54</v>
      </c>
      <c r="Q79" s="1" t="s">
        <v>32</v>
      </c>
      <c r="R79" s="1">
        <v>1519.11</v>
      </c>
      <c r="S79" s="1" t="s">
        <v>46</v>
      </c>
      <c r="T79" s="1" t="s">
        <v>34</v>
      </c>
      <c r="U79" s="1" t="s">
        <v>35</v>
      </c>
      <c r="V79" s="1" t="s">
        <v>36</v>
      </c>
    </row>
    <row r="80" spans="1:22" x14ac:dyDescent="0.3">
      <c r="A80" s="1" t="s">
        <v>527</v>
      </c>
      <c r="B80" s="1" t="s">
        <v>528</v>
      </c>
      <c r="C80" s="1">
        <v>55</v>
      </c>
      <c r="D80" s="1" t="s">
        <v>529</v>
      </c>
      <c r="E80" s="1" t="s">
        <v>95</v>
      </c>
      <c r="F80" s="2">
        <v>44504</v>
      </c>
      <c r="G80" s="1" t="s">
        <v>530</v>
      </c>
      <c r="H80" s="1">
        <v>2</v>
      </c>
      <c r="I80" s="1" t="s">
        <v>52</v>
      </c>
      <c r="J80" s="2">
        <v>45451</v>
      </c>
      <c r="K80" s="1" t="s">
        <v>531</v>
      </c>
      <c r="L80" s="1">
        <v>8</v>
      </c>
      <c r="M80" s="1">
        <v>44</v>
      </c>
      <c r="N80" s="1" t="s">
        <v>68</v>
      </c>
      <c r="O80" s="1" t="s">
        <v>157</v>
      </c>
      <c r="P80" s="1" t="s">
        <v>68</v>
      </c>
      <c r="Q80" s="1" t="s">
        <v>32</v>
      </c>
      <c r="R80" s="1">
        <v>1282.08</v>
      </c>
      <c r="S80" s="1" t="s">
        <v>33</v>
      </c>
      <c r="T80" s="1" t="s">
        <v>47</v>
      </c>
      <c r="U80" s="1" t="s">
        <v>35</v>
      </c>
      <c r="V80" s="1" t="s">
        <v>36</v>
      </c>
    </row>
    <row r="81" spans="1:22" x14ac:dyDescent="0.3">
      <c r="A81" s="1" t="s">
        <v>532</v>
      </c>
      <c r="B81" s="1" t="s">
        <v>533</v>
      </c>
      <c r="C81" s="1">
        <v>54</v>
      </c>
      <c r="D81" s="1" t="s">
        <v>534</v>
      </c>
      <c r="E81" s="1" t="s">
        <v>88</v>
      </c>
      <c r="F81" s="2">
        <v>43961</v>
      </c>
      <c r="G81" s="1" t="s">
        <v>508</v>
      </c>
      <c r="H81" s="1">
        <v>5</v>
      </c>
      <c r="I81" s="1" t="s">
        <v>27</v>
      </c>
      <c r="J81" s="2">
        <v>45447</v>
      </c>
      <c r="K81" s="1" t="s">
        <v>535</v>
      </c>
      <c r="L81" s="1">
        <v>7</v>
      </c>
      <c r="M81" s="1">
        <v>21</v>
      </c>
      <c r="N81" s="1" t="s">
        <v>30</v>
      </c>
      <c r="O81" s="1" t="s">
        <v>536</v>
      </c>
      <c r="P81" s="1" t="s">
        <v>68</v>
      </c>
      <c r="Q81" s="1" t="s">
        <v>69</v>
      </c>
      <c r="R81" s="1">
        <v>1078</v>
      </c>
      <c r="S81" s="1" t="s">
        <v>46</v>
      </c>
      <c r="T81" s="1" t="s">
        <v>47</v>
      </c>
      <c r="U81" s="1" t="s">
        <v>35</v>
      </c>
      <c r="V81" s="1" t="s">
        <v>188</v>
      </c>
    </row>
    <row r="82" spans="1:22" x14ac:dyDescent="0.3">
      <c r="A82" s="1" t="s">
        <v>537</v>
      </c>
      <c r="B82" s="1" t="s">
        <v>538</v>
      </c>
      <c r="C82" s="1">
        <v>53</v>
      </c>
      <c r="D82" s="1" t="s">
        <v>539</v>
      </c>
      <c r="E82" s="1" t="s">
        <v>88</v>
      </c>
      <c r="F82" s="2">
        <v>44238</v>
      </c>
      <c r="G82" s="2">
        <v>45209</v>
      </c>
      <c r="H82" s="1">
        <v>0</v>
      </c>
      <c r="I82" s="1" t="s">
        <v>27</v>
      </c>
      <c r="J82" s="2">
        <v>45332</v>
      </c>
      <c r="K82" s="1" t="s">
        <v>540</v>
      </c>
      <c r="L82" s="1">
        <v>7</v>
      </c>
      <c r="M82" s="1">
        <v>4</v>
      </c>
      <c r="N82" s="1" t="s">
        <v>54</v>
      </c>
      <c r="O82" s="1" t="s">
        <v>142</v>
      </c>
      <c r="P82" s="1" t="s">
        <v>68</v>
      </c>
      <c r="Q82" s="1" t="s">
        <v>69</v>
      </c>
      <c r="R82" s="1">
        <v>834.12</v>
      </c>
      <c r="S82" s="1" t="s">
        <v>46</v>
      </c>
      <c r="T82" s="1" t="s">
        <v>47</v>
      </c>
      <c r="U82" s="1" t="s">
        <v>35</v>
      </c>
      <c r="V82" s="1" t="s">
        <v>36</v>
      </c>
    </row>
    <row r="83" spans="1:22" x14ac:dyDescent="0.3">
      <c r="A83" s="1" t="s">
        <v>541</v>
      </c>
      <c r="B83" s="1" t="s">
        <v>542</v>
      </c>
      <c r="C83" s="1">
        <v>20</v>
      </c>
      <c r="D83" s="1" t="s">
        <v>543</v>
      </c>
      <c r="E83" s="1" t="s">
        <v>40</v>
      </c>
      <c r="F83" s="2">
        <v>44933</v>
      </c>
      <c r="G83" s="1" t="s">
        <v>544</v>
      </c>
      <c r="H83" s="1">
        <v>5</v>
      </c>
      <c r="I83" s="1" t="s">
        <v>27</v>
      </c>
      <c r="J83" s="1" t="s">
        <v>545</v>
      </c>
      <c r="K83" s="1" t="s">
        <v>546</v>
      </c>
      <c r="L83" s="1">
        <v>5</v>
      </c>
      <c r="M83" s="1">
        <v>8</v>
      </c>
      <c r="N83" s="1" t="s">
        <v>45</v>
      </c>
      <c r="O83" s="1" t="s">
        <v>44</v>
      </c>
      <c r="P83" s="1" t="s">
        <v>45</v>
      </c>
      <c r="Q83" s="1" t="s">
        <v>69</v>
      </c>
      <c r="R83" s="1">
        <v>341.05</v>
      </c>
      <c r="S83" s="1" t="s">
        <v>33</v>
      </c>
      <c r="T83" s="1" t="s">
        <v>100</v>
      </c>
      <c r="U83" s="1" t="s">
        <v>35</v>
      </c>
      <c r="V83" s="1" t="s">
        <v>188</v>
      </c>
    </row>
    <row r="84" spans="1:22" x14ac:dyDescent="0.3">
      <c r="A84" s="1" t="s">
        <v>547</v>
      </c>
      <c r="B84" s="1" t="s">
        <v>548</v>
      </c>
      <c r="C84" s="1">
        <v>18</v>
      </c>
      <c r="D84" s="1" t="s">
        <v>549</v>
      </c>
      <c r="E84" s="1" t="s">
        <v>95</v>
      </c>
      <c r="F84" s="1" t="s">
        <v>550</v>
      </c>
      <c r="G84" s="1" t="s">
        <v>551</v>
      </c>
      <c r="H84" s="1">
        <v>0</v>
      </c>
      <c r="I84" s="1" t="s">
        <v>27</v>
      </c>
      <c r="J84" s="2">
        <v>45844</v>
      </c>
      <c r="K84" s="1" t="s">
        <v>552</v>
      </c>
      <c r="L84" s="1">
        <v>7</v>
      </c>
      <c r="M84" s="1">
        <v>20</v>
      </c>
      <c r="N84" s="1" t="s">
        <v>54</v>
      </c>
      <c r="O84" s="1" t="s">
        <v>128</v>
      </c>
      <c r="P84" s="1" t="s">
        <v>54</v>
      </c>
      <c r="Q84" s="1" t="s">
        <v>69</v>
      </c>
      <c r="R84" s="1">
        <v>788.41</v>
      </c>
      <c r="S84" s="1" t="s">
        <v>33</v>
      </c>
      <c r="T84" s="1" t="s">
        <v>100</v>
      </c>
      <c r="U84" s="1" t="s">
        <v>35</v>
      </c>
      <c r="V84" s="1" t="s">
        <v>36</v>
      </c>
    </row>
    <row r="85" spans="1:22" x14ac:dyDescent="0.3">
      <c r="A85" s="1" t="s">
        <v>553</v>
      </c>
      <c r="B85" s="1" t="s">
        <v>554</v>
      </c>
      <c r="C85" s="1">
        <v>44</v>
      </c>
      <c r="D85" s="1" t="s">
        <v>555</v>
      </c>
      <c r="E85" s="1" t="s">
        <v>95</v>
      </c>
      <c r="F85" s="2">
        <v>44265</v>
      </c>
      <c r="G85" s="2">
        <v>45149</v>
      </c>
      <c r="H85" s="1">
        <v>0</v>
      </c>
      <c r="I85" s="1" t="s">
        <v>27</v>
      </c>
      <c r="J85" s="1" t="s">
        <v>556</v>
      </c>
      <c r="K85" s="1" t="s">
        <v>557</v>
      </c>
      <c r="L85" s="1">
        <v>6</v>
      </c>
      <c r="M85" s="1">
        <v>16</v>
      </c>
      <c r="N85" s="1" t="s">
        <v>68</v>
      </c>
      <c r="O85" s="1" t="s">
        <v>251</v>
      </c>
      <c r="P85" s="1" t="s">
        <v>30</v>
      </c>
      <c r="Q85" s="1" t="s">
        <v>32</v>
      </c>
      <c r="R85" s="1">
        <v>1616.16</v>
      </c>
      <c r="S85" s="1" t="s">
        <v>46</v>
      </c>
      <c r="T85" s="1" t="s">
        <v>34</v>
      </c>
      <c r="U85" s="1" t="s">
        <v>35</v>
      </c>
      <c r="V85" s="1" t="s">
        <v>36</v>
      </c>
    </row>
    <row r="86" spans="1:22" x14ac:dyDescent="0.3">
      <c r="A86" s="1" t="s">
        <v>558</v>
      </c>
      <c r="B86" s="1" t="s">
        <v>559</v>
      </c>
      <c r="C86" s="1">
        <v>20</v>
      </c>
      <c r="D86" s="1" t="s">
        <v>560</v>
      </c>
      <c r="E86" s="1" t="s">
        <v>51</v>
      </c>
      <c r="F86" s="2">
        <v>44239</v>
      </c>
      <c r="G86" s="1" t="s">
        <v>561</v>
      </c>
      <c r="H86" s="1">
        <v>0</v>
      </c>
      <c r="I86" s="1" t="s">
        <v>27</v>
      </c>
      <c r="J86" s="1" t="s">
        <v>107</v>
      </c>
      <c r="K86" s="1" t="s">
        <v>562</v>
      </c>
      <c r="L86" s="1">
        <v>1</v>
      </c>
      <c r="M86" s="1">
        <v>1</v>
      </c>
      <c r="N86" s="1" t="s">
        <v>30</v>
      </c>
      <c r="O86" s="1" t="s">
        <v>194</v>
      </c>
      <c r="P86" s="1" t="s">
        <v>56</v>
      </c>
      <c r="Q86" s="1" t="s">
        <v>69</v>
      </c>
      <c r="R86" s="1">
        <v>1032.49</v>
      </c>
      <c r="S86" s="1" t="s">
        <v>46</v>
      </c>
      <c r="T86" s="1" t="s">
        <v>100</v>
      </c>
      <c r="U86" s="1" t="s">
        <v>101</v>
      </c>
      <c r="V86" s="1" t="s">
        <v>36</v>
      </c>
    </row>
    <row r="87" spans="1:22" x14ac:dyDescent="0.3">
      <c r="A87" s="1" t="s">
        <v>563</v>
      </c>
      <c r="B87" s="1" t="s">
        <v>564</v>
      </c>
      <c r="C87" s="1">
        <v>51</v>
      </c>
      <c r="D87" s="1" t="s">
        <v>565</v>
      </c>
      <c r="E87" s="1" t="s">
        <v>88</v>
      </c>
      <c r="F87" s="2">
        <v>44290</v>
      </c>
      <c r="G87" s="1" t="s">
        <v>566</v>
      </c>
      <c r="H87" s="1">
        <v>0</v>
      </c>
      <c r="I87" s="1" t="s">
        <v>27</v>
      </c>
      <c r="J87" s="2">
        <v>44570</v>
      </c>
      <c r="K87" s="1" t="s">
        <v>567</v>
      </c>
      <c r="L87" s="1">
        <v>2</v>
      </c>
      <c r="M87" s="1">
        <v>7</v>
      </c>
      <c r="N87" s="1" t="s">
        <v>30</v>
      </c>
      <c r="O87" s="1" t="s">
        <v>91</v>
      </c>
      <c r="P87" s="1" t="s">
        <v>54</v>
      </c>
      <c r="Q87" s="1" t="s">
        <v>32</v>
      </c>
      <c r="R87" s="1">
        <v>506.14</v>
      </c>
      <c r="S87" s="1" t="s">
        <v>46</v>
      </c>
      <c r="T87" s="1" t="s">
        <v>47</v>
      </c>
      <c r="U87" s="1" t="s">
        <v>35</v>
      </c>
      <c r="V87" s="1" t="s">
        <v>36</v>
      </c>
    </row>
    <row r="88" spans="1:22" x14ac:dyDescent="0.3">
      <c r="A88" s="1" t="s">
        <v>568</v>
      </c>
      <c r="B88" s="1" t="s">
        <v>569</v>
      </c>
      <c r="C88" s="1">
        <v>55</v>
      </c>
      <c r="D88" s="1" t="s">
        <v>570</v>
      </c>
      <c r="E88" s="1" t="s">
        <v>88</v>
      </c>
      <c r="F88" s="1" t="s">
        <v>571</v>
      </c>
      <c r="G88" s="1" t="s">
        <v>572</v>
      </c>
      <c r="H88" s="1">
        <v>1</v>
      </c>
      <c r="I88" s="1" t="s">
        <v>27</v>
      </c>
      <c r="J88" s="1" t="s">
        <v>573</v>
      </c>
      <c r="K88" s="1" t="s">
        <v>574</v>
      </c>
      <c r="L88" s="1">
        <v>8</v>
      </c>
      <c r="M88" s="1">
        <v>3</v>
      </c>
      <c r="N88" s="1" t="s">
        <v>45</v>
      </c>
      <c r="O88" s="1" t="s">
        <v>245</v>
      </c>
      <c r="P88" s="1" t="s">
        <v>54</v>
      </c>
      <c r="Q88" s="1" t="s">
        <v>32</v>
      </c>
      <c r="R88" s="1">
        <v>1515.28</v>
      </c>
      <c r="S88" s="1" t="s">
        <v>46</v>
      </c>
      <c r="T88" s="1" t="s">
        <v>47</v>
      </c>
      <c r="U88" s="1" t="s">
        <v>35</v>
      </c>
      <c r="V88" s="1" t="s">
        <v>36</v>
      </c>
    </row>
    <row r="89" spans="1:22" x14ac:dyDescent="0.3">
      <c r="A89" s="1" t="s">
        <v>575</v>
      </c>
      <c r="B89" s="1" t="s">
        <v>576</v>
      </c>
      <c r="C89" s="1">
        <v>52</v>
      </c>
      <c r="D89" s="1" t="s">
        <v>577</v>
      </c>
      <c r="E89" s="1" t="s">
        <v>51</v>
      </c>
      <c r="F89" s="2">
        <v>44685</v>
      </c>
      <c r="G89" s="1" t="s">
        <v>578</v>
      </c>
      <c r="H89" s="1">
        <v>1</v>
      </c>
      <c r="I89" s="1" t="s">
        <v>52</v>
      </c>
      <c r="J89" s="1" t="s">
        <v>579</v>
      </c>
      <c r="K89" s="1" t="s">
        <v>580</v>
      </c>
      <c r="L89" s="1">
        <v>1</v>
      </c>
      <c r="M89" s="1">
        <v>45</v>
      </c>
      <c r="N89" s="1" t="s">
        <v>45</v>
      </c>
      <c r="O89" s="1" t="s">
        <v>44</v>
      </c>
      <c r="P89" s="1" t="s">
        <v>45</v>
      </c>
      <c r="Q89" s="1" t="s">
        <v>32</v>
      </c>
      <c r="R89" s="1">
        <v>1495.51</v>
      </c>
      <c r="S89" s="1" t="s">
        <v>33</v>
      </c>
      <c r="T89" s="1" t="s">
        <v>47</v>
      </c>
      <c r="U89" s="1" t="s">
        <v>35</v>
      </c>
      <c r="V89" s="1" t="s">
        <v>36</v>
      </c>
    </row>
    <row r="90" spans="1:22" x14ac:dyDescent="0.3">
      <c r="A90" s="1" t="s">
        <v>581</v>
      </c>
      <c r="B90" s="1" t="s">
        <v>582</v>
      </c>
      <c r="C90" s="1">
        <v>31</v>
      </c>
      <c r="D90" s="1" t="s">
        <v>583</v>
      </c>
      <c r="E90" s="1" t="s">
        <v>88</v>
      </c>
      <c r="F90" s="1" t="s">
        <v>584</v>
      </c>
      <c r="G90" s="2">
        <v>44784</v>
      </c>
      <c r="H90" s="1">
        <v>4</v>
      </c>
      <c r="I90" s="1" t="s">
        <v>52</v>
      </c>
      <c r="J90" s="2">
        <v>45485</v>
      </c>
      <c r="K90" s="1" t="s">
        <v>585</v>
      </c>
      <c r="L90" s="1">
        <v>2</v>
      </c>
      <c r="M90" s="1">
        <v>38</v>
      </c>
      <c r="N90" s="1" t="s">
        <v>45</v>
      </c>
      <c r="O90" s="1" t="s">
        <v>373</v>
      </c>
      <c r="P90" s="1" t="s">
        <v>54</v>
      </c>
      <c r="Q90" s="1" t="s">
        <v>32</v>
      </c>
      <c r="R90" s="1">
        <v>769.4</v>
      </c>
      <c r="S90" s="1" t="s">
        <v>46</v>
      </c>
      <c r="T90" s="1" t="s">
        <v>57</v>
      </c>
      <c r="U90" s="1" t="s">
        <v>35</v>
      </c>
      <c r="V90" s="1" t="s">
        <v>36</v>
      </c>
    </row>
    <row r="91" spans="1:22" x14ac:dyDescent="0.3">
      <c r="A91" s="1" t="s">
        <v>586</v>
      </c>
      <c r="B91" s="1" t="s">
        <v>587</v>
      </c>
      <c r="C91" s="1">
        <v>46</v>
      </c>
      <c r="D91" s="1" t="s">
        <v>588</v>
      </c>
      <c r="E91" s="1" t="s">
        <v>61</v>
      </c>
      <c r="F91" s="1" t="s">
        <v>589</v>
      </c>
      <c r="G91" s="2">
        <v>45116</v>
      </c>
      <c r="H91" s="1">
        <v>5</v>
      </c>
      <c r="I91" s="1" t="s">
        <v>27</v>
      </c>
      <c r="J91" s="1" t="s">
        <v>590</v>
      </c>
      <c r="K91" s="1" t="s">
        <v>591</v>
      </c>
      <c r="L91" s="1">
        <v>6</v>
      </c>
      <c r="M91" s="1">
        <v>29</v>
      </c>
      <c r="N91" s="1" t="s">
        <v>45</v>
      </c>
      <c r="O91" s="1" t="s">
        <v>238</v>
      </c>
      <c r="P91" s="1" t="s">
        <v>45</v>
      </c>
      <c r="Q91" s="1" t="s">
        <v>69</v>
      </c>
      <c r="R91" s="1">
        <v>1538.4</v>
      </c>
      <c r="S91" s="1" t="s">
        <v>33</v>
      </c>
      <c r="T91" s="1" t="s">
        <v>34</v>
      </c>
      <c r="U91" s="1" t="s">
        <v>35</v>
      </c>
      <c r="V91" s="1" t="s">
        <v>188</v>
      </c>
    </row>
    <row r="92" spans="1:22" x14ac:dyDescent="0.3">
      <c r="A92" s="1" t="s">
        <v>592</v>
      </c>
      <c r="B92" s="1" t="s">
        <v>593</v>
      </c>
      <c r="C92" s="1">
        <v>61</v>
      </c>
      <c r="D92" s="1" t="s">
        <v>594</v>
      </c>
      <c r="E92" s="1" t="s">
        <v>51</v>
      </c>
      <c r="F92" s="2">
        <v>45114</v>
      </c>
      <c r="G92" s="2">
        <v>45146</v>
      </c>
      <c r="H92" s="1">
        <v>0</v>
      </c>
      <c r="I92" s="1" t="s">
        <v>27</v>
      </c>
      <c r="J92" s="1" t="s">
        <v>595</v>
      </c>
      <c r="K92" s="1" t="s">
        <v>596</v>
      </c>
      <c r="L92" s="1">
        <v>4</v>
      </c>
      <c r="M92" s="1">
        <v>14</v>
      </c>
      <c r="N92" s="1" t="s">
        <v>56</v>
      </c>
      <c r="O92" s="1" t="s">
        <v>597</v>
      </c>
      <c r="P92" s="1" t="s">
        <v>45</v>
      </c>
      <c r="Q92" s="1" t="s">
        <v>32</v>
      </c>
      <c r="R92" s="1">
        <v>1158.8</v>
      </c>
      <c r="S92" s="1" t="s">
        <v>46</v>
      </c>
      <c r="T92" s="1" t="s">
        <v>47</v>
      </c>
      <c r="U92" s="1" t="s">
        <v>35</v>
      </c>
      <c r="V92" s="1" t="s">
        <v>36</v>
      </c>
    </row>
    <row r="93" spans="1:22" x14ac:dyDescent="0.3">
      <c r="A93" s="1" t="s">
        <v>598</v>
      </c>
      <c r="B93" s="1" t="s">
        <v>599</v>
      </c>
      <c r="C93" s="1">
        <v>30</v>
      </c>
      <c r="D93" s="1" t="s">
        <v>600</v>
      </c>
      <c r="E93" s="1" t="s">
        <v>25</v>
      </c>
      <c r="F93" s="1" t="s">
        <v>146</v>
      </c>
      <c r="G93" s="1" t="s">
        <v>601</v>
      </c>
      <c r="H93" s="1">
        <v>2</v>
      </c>
      <c r="I93" s="1" t="s">
        <v>27</v>
      </c>
      <c r="J93" s="1" t="s">
        <v>602</v>
      </c>
      <c r="K93" s="1" t="s">
        <v>603</v>
      </c>
      <c r="L93" s="1">
        <v>5</v>
      </c>
      <c r="M93" s="1">
        <v>8</v>
      </c>
      <c r="N93" s="1" t="s">
        <v>54</v>
      </c>
      <c r="O93" s="1" t="s">
        <v>604</v>
      </c>
      <c r="P93" s="1" t="s">
        <v>45</v>
      </c>
      <c r="Q93" s="1" t="s">
        <v>32</v>
      </c>
      <c r="R93" s="1">
        <v>135</v>
      </c>
      <c r="S93" s="1" t="s">
        <v>46</v>
      </c>
      <c r="T93" s="1" t="s">
        <v>57</v>
      </c>
      <c r="U93" s="1" t="s">
        <v>101</v>
      </c>
      <c r="V93" s="1" t="s">
        <v>36</v>
      </c>
    </row>
    <row r="94" spans="1:22" x14ac:dyDescent="0.3">
      <c r="A94" s="1" t="s">
        <v>605</v>
      </c>
      <c r="B94" s="1" t="s">
        <v>606</v>
      </c>
      <c r="C94" s="1">
        <v>56</v>
      </c>
      <c r="D94" s="1" t="s">
        <v>607</v>
      </c>
      <c r="E94" s="1" t="s">
        <v>25</v>
      </c>
      <c r="F94" s="1" t="s">
        <v>608</v>
      </c>
      <c r="G94" s="1" t="s">
        <v>338</v>
      </c>
      <c r="H94" s="1">
        <v>2</v>
      </c>
      <c r="I94" s="1" t="s">
        <v>27</v>
      </c>
      <c r="J94" s="1" t="s">
        <v>113</v>
      </c>
      <c r="K94" s="1" t="s">
        <v>609</v>
      </c>
      <c r="L94" s="1">
        <v>3</v>
      </c>
      <c r="M94" s="1">
        <v>28</v>
      </c>
      <c r="N94" s="1" t="s">
        <v>56</v>
      </c>
      <c r="O94" s="1" t="s">
        <v>610</v>
      </c>
      <c r="P94" s="1" t="s">
        <v>68</v>
      </c>
      <c r="Q94" s="1" t="s">
        <v>32</v>
      </c>
      <c r="R94" s="1">
        <v>839.49</v>
      </c>
      <c r="S94" s="1" t="s">
        <v>46</v>
      </c>
      <c r="T94" s="1" t="s">
        <v>47</v>
      </c>
      <c r="U94" s="1" t="s">
        <v>35</v>
      </c>
      <c r="V94" s="1" t="s">
        <v>36</v>
      </c>
    </row>
    <row r="95" spans="1:22" x14ac:dyDescent="0.3">
      <c r="A95" s="1" t="s">
        <v>611</v>
      </c>
      <c r="B95" s="1" t="s">
        <v>612</v>
      </c>
      <c r="C95" s="1">
        <v>24</v>
      </c>
      <c r="D95" s="1" t="s">
        <v>613</v>
      </c>
      <c r="E95" s="1" t="s">
        <v>25</v>
      </c>
      <c r="F95" s="1" t="s">
        <v>614</v>
      </c>
      <c r="G95" s="1" t="s">
        <v>615</v>
      </c>
      <c r="H95" s="1">
        <v>0</v>
      </c>
      <c r="I95" s="1" t="s">
        <v>64</v>
      </c>
      <c r="J95" s="1" t="s">
        <v>616</v>
      </c>
      <c r="K95" s="1" t="s">
        <v>617</v>
      </c>
      <c r="L95" s="1">
        <v>5</v>
      </c>
      <c r="M95" s="1">
        <v>30</v>
      </c>
      <c r="N95" s="1" t="s">
        <v>30</v>
      </c>
      <c r="O95" s="1" t="s">
        <v>128</v>
      </c>
      <c r="P95" s="1" t="s">
        <v>54</v>
      </c>
      <c r="Q95" s="1" t="s">
        <v>69</v>
      </c>
      <c r="R95" s="1">
        <v>1451.45</v>
      </c>
      <c r="S95" s="1" t="s">
        <v>46</v>
      </c>
      <c r="T95" s="1" t="s">
        <v>100</v>
      </c>
      <c r="U95" s="1" t="s">
        <v>35</v>
      </c>
      <c r="V95" s="1" t="s">
        <v>71</v>
      </c>
    </row>
    <row r="96" spans="1:22" x14ac:dyDescent="0.3">
      <c r="A96" s="1" t="s">
        <v>618</v>
      </c>
      <c r="B96" s="1" t="s">
        <v>619</v>
      </c>
      <c r="C96" s="1">
        <v>68</v>
      </c>
      <c r="D96" s="1" t="s">
        <v>620</v>
      </c>
      <c r="E96" s="1" t="s">
        <v>51</v>
      </c>
      <c r="F96" s="1" t="s">
        <v>621</v>
      </c>
      <c r="G96" s="1" t="s">
        <v>622</v>
      </c>
      <c r="H96" s="1">
        <v>2</v>
      </c>
      <c r="I96" s="1" t="s">
        <v>27</v>
      </c>
      <c r="J96" s="2">
        <v>45419</v>
      </c>
      <c r="K96" s="1" t="s">
        <v>623</v>
      </c>
      <c r="L96" s="1">
        <v>6</v>
      </c>
      <c r="M96" s="1">
        <v>38</v>
      </c>
      <c r="N96" s="1" t="s">
        <v>45</v>
      </c>
      <c r="O96" s="1" t="s">
        <v>624</v>
      </c>
      <c r="P96" s="1" t="s">
        <v>30</v>
      </c>
      <c r="Q96" s="1" t="s">
        <v>32</v>
      </c>
      <c r="R96" s="1">
        <v>1555.56</v>
      </c>
      <c r="S96" s="1" t="s">
        <v>46</v>
      </c>
      <c r="T96" s="1" t="s">
        <v>232</v>
      </c>
      <c r="U96" s="1" t="s">
        <v>35</v>
      </c>
      <c r="V96" s="1" t="s">
        <v>36</v>
      </c>
    </row>
    <row r="97" spans="1:22" x14ac:dyDescent="0.3">
      <c r="A97" s="1" t="s">
        <v>625</v>
      </c>
      <c r="B97" s="1" t="s">
        <v>626</v>
      </c>
      <c r="C97" s="1">
        <v>52</v>
      </c>
      <c r="D97" s="1" t="s">
        <v>627</v>
      </c>
      <c r="E97" s="1" t="s">
        <v>25</v>
      </c>
      <c r="F97" s="1" t="s">
        <v>502</v>
      </c>
      <c r="G97" s="2">
        <v>45607</v>
      </c>
      <c r="H97" s="1">
        <v>5</v>
      </c>
      <c r="I97" s="1" t="s">
        <v>52</v>
      </c>
      <c r="J97" s="2">
        <v>45907</v>
      </c>
      <c r="K97" s="1" t="s">
        <v>628</v>
      </c>
      <c r="L97" s="1">
        <v>5</v>
      </c>
      <c r="M97" s="1">
        <v>40</v>
      </c>
      <c r="N97" s="1" t="s">
        <v>30</v>
      </c>
      <c r="O97" s="1" t="s">
        <v>373</v>
      </c>
      <c r="P97" s="1" t="s">
        <v>54</v>
      </c>
      <c r="Q97" s="1" t="s">
        <v>69</v>
      </c>
      <c r="R97" s="1">
        <v>796.25</v>
      </c>
      <c r="S97" s="1" t="s">
        <v>46</v>
      </c>
      <c r="T97" s="1" t="s">
        <v>47</v>
      </c>
      <c r="U97" s="1" t="s">
        <v>35</v>
      </c>
      <c r="V97" s="1" t="s">
        <v>36</v>
      </c>
    </row>
    <row r="98" spans="1:22" x14ac:dyDescent="0.3">
      <c r="A98" s="1" t="s">
        <v>629</v>
      </c>
      <c r="B98" s="1" t="s">
        <v>630</v>
      </c>
      <c r="C98" s="1">
        <v>43</v>
      </c>
      <c r="D98" s="1" t="s">
        <v>631</v>
      </c>
      <c r="E98" s="1" t="s">
        <v>40</v>
      </c>
      <c r="F98" s="1" t="s">
        <v>632</v>
      </c>
      <c r="G98" s="1" t="s">
        <v>633</v>
      </c>
      <c r="H98" s="1">
        <v>0</v>
      </c>
      <c r="I98" s="1" t="s">
        <v>27</v>
      </c>
      <c r="J98" s="1" t="s">
        <v>634</v>
      </c>
      <c r="K98" s="1" t="s">
        <v>635</v>
      </c>
      <c r="L98" s="1">
        <v>3</v>
      </c>
      <c r="M98" s="1">
        <v>30</v>
      </c>
      <c r="N98" s="1" t="s">
        <v>30</v>
      </c>
      <c r="O98" s="1" t="s">
        <v>231</v>
      </c>
      <c r="P98" s="1" t="s">
        <v>30</v>
      </c>
      <c r="Q98" s="1" t="s">
        <v>32</v>
      </c>
      <c r="R98" s="1">
        <v>187.23</v>
      </c>
      <c r="S98" s="1" t="s">
        <v>33</v>
      </c>
      <c r="T98" s="1" t="s">
        <v>34</v>
      </c>
      <c r="U98" s="1" t="s">
        <v>35</v>
      </c>
      <c r="V98" s="1" t="s">
        <v>36</v>
      </c>
    </row>
    <row r="99" spans="1:22" x14ac:dyDescent="0.3">
      <c r="A99" s="1" t="s">
        <v>636</v>
      </c>
      <c r="B99" s="1" t="s">
        <v>637</v>
      </c>
      <c r="C99" s="1">
        <v>35</v>
      </c>
      <c r="D99" s="1" t="s">
        <v>638</v>
      </c>
      <c r="E99" s="1" t="s">
        <v>51</v>
      </c>
      <c r="F99" s="1" t="s">
        <v>639</v>
      </c>
      <c r="G99" s="1" t="s">
        <v>640</v>
      </c>
      <c r="H99" s="1">
        <v>4</v>
      </c>
      <c r="I99" s="1" t="s">
        <v>27</v>
      </c>
      <c r="J99" s="1" t="s">
        <v>338</v>
      </c>
      <c r="K99" s="1" t="s">
        <v>641</v>
      </c>
      <c r="L99" s="1">
        <v>5</v>
      </c>
      <c r="M99" s="1">
        <v>26</v>
      </c>
      <c r="N99" s="1" t="s">
        <v>45</v>
      </c>
      <c r="O99" s="1" t="s">
        <v>77</v>
      </c>
      <c r="P99" s="1" t="s">
        <v>54</v>
      </c>
      <c r="Q99" s="1" t="s">
        <v>69</v>
      </c>
      <c r="R99" s="1">
        <v>538.65</v>
      </c>
      <c r="S99" s="1" t="s">
        <v>46</v>
      </c>
      <c r="T99" s="1" t="s">
        <v>34</v>
      </c>
      <c r="U99" s="1" t="s">
        <v>35</v>
      </c>
      <c r="V99" s="1" t="s">
        <v>188</v>
      </c>
    </row>
    <row r="100" spans="1:22" x14ac:dyDescent="0.3">
      <c r="A100" s="1" t="s">
        <v>642</v>
      </c>
      <c r="B100" s="1" t="s">
        <v>643</v>
      </c>
      <c r="C100" s="1">
        <v>66</v>
      </c>
      <c r="D100" s="1" t="s">
        <v>644</v>
      </c>
      <c r="E100" s="1" t="s">
        <v>88</v>
      </c>
      <c r="F100" s="1" t="s">
        <v>645</v>
      </c>
      <c r="G100" s="2">
        <v>44750</v>
      </c>
      <c r="H100" s="1">
        <v>5</v>
      </c>
      <c r="I100" s="1" t="s">
        <v>64</v>
      </c>
      <c r="J100" s="1" t="s">
        <v>646</v>
      </c>
      <c r="K100" s="1" t="s">
        <v>647</v>
      </c>
      <c r="L100" s="1">
        <v>2</v>
      </c>
      <c r="M100" s="1">
        <v>40</v>
      </c>
      <c r="N100" s="1" t="s">
        <v>30</v>
      </c>
      <c r="O100" s="1" t="s">
        <v>223</v>
      </c>
      <c r="P100" s="1" t="s">
        <v>56</v>
      </c>
      <c r="Q100" s="1" t="s">
        <v>69</v>
      </c>
      <c r="R100" s="1">
        <v>1113.1400000000001</v>
      </c>
      <c r="S100" s="1" t="s">
        <v>46</v>
      </c>
      <c r="T100" s="1" t="s">
        <v>232</v>
      </c>
      <c r="U100" s="1" t="s">
        <v>35</v>
      </c>
      <c r="V100" s="1" t="s">
        <v>71</v>
      </c>
    </row>
    <row r="101" spans="1:22" x14ac:dyDescent="0.3">
      <c r="A101" s="1" t="s">
        <v>648</v>
      </c>
      <c r="B101" s="1" t="s">
        <v>649</v>
      </c>
      <c r="C101" s="1">
        <v>32</v>
      </c>
      <c r="D101" s="1" t="s">
        <v>650</v>
      </c>
      <c r="E101" s="1" t="s">
        <v>95</v>
      </c>
      <c r="F101" s="1" t="s">
        <v>651</v>
      </c>
      <c r="G101" s="1" t="s">
        <v>652</v>
      </c>
      <c r="H101" s="1">
        <v>2</v>
      </c>
      <c r="I101" s="1" t="s">
        <v>27</v>
      </c>
      <c r="J101" s="1" t="s">
        <v>653</v>
      </c>
      <c r="K101" s="1" t="s">
        <v>654</v>
      </c>
      <c r="L101" s="1">
        <v>1</v>
      </c>
      <c r="M101" s="1">
        <v>5</v>
      </c>
      <c r="N101" s="1" t="s">
        <v>30</v>
      </c>
      <c r="O101" s="1" t="s">
        <v>128</v>
      </c>
      <c r="P101" s="1" t="s">
        <v>54</v>
      </c>
      <c r="Q101" s="1" t="s">
        <v>32</v>
      </c>
      <c r="R101" s="1">
        <v>990.57</v>
      </c>
      <c r="S101" s="1" t="s">
        <v>46</v>
      </c>
      <c r="T101" s="1" t="s">
        <v>57</v>
      </c>
      <c r="U101" s="1" t="s">
        <v>35</v>
      </c>
      <c r="V101" s="1" t="s">
        <v>36</v>
      </c>
    </row>
    <row r="102" spans="1:22" x14ac:dyDescent="0.3">
      <c r="A102" s="1" t="s">
        <v>655</v>
      </c>
      <c r="B102" s="1" t="s">
        <v>656</v>
      </c>
      <c r="C102" s="1">
        <v>57</v>
      </c>
      <c r="D102" s="1" t="s">
        <v>657</v>
      </c>
      <c r="E102" s="1" t="s">
        <v>95</v>
      </c>
      <c r="F102" s="1" t="s">
        <v>658</v>
      </c>
      <c r="G102" s="1" t="s">
        <v>659</v>
      </c>
      <c r="H102" s="1">
        <v>2</v>
      </c>
      <c r="I102" s="1" t="s">
        <v>52</v>
      </c>
      <c r="J102" s="2">
        <v>44837</v>
      </c>
      <c r="K102" s="1" t="s">
        <v>660</v>
      </c>
      <c r="L102" s="1">
        <v>6</v>
      </c>
      <c r="M102" s="1">
        <v>26</v>
      </c>
      <c r="N102" s="1" t="s">
        <v>45</v>
      </c>
      <c r="O102" s="1" t="s">
        <v>109</v>
      </c>
      <c r="P102" s="1" t="s">
        <v>68</v>
      </c>
      <c r="Q102" s="1" t="s">
        <v>32</v>
      </c>
      <c r="R102" s="1">
        <v>844.26</v>
      </c>
      <c r="S102" s="1" t="s">
        <v>46</v>
      </c>
      <c r="T102" s="1" t="s">
        <v>47</v>
      </c>
      <c r="U102" s="1" t="s">
        <v>35</v>
      </c>
      <c r="V102" s="1" t="s">
        <v>36</v>
      </c>
    </row>
    <row r="103" spans="1:22" x14ac:dyDescent="0.3">
      <c r="A103" s="1" t="s">
        <v>661</v>
      </c>
      <c r="B103" s="1" t="s">
        <v>662</v>
      </c>
      <c r="C103" s="1">
        <v>49</v>
      </c>
      <c r="D103" s="1" t="s">
        <v>663</v>
      </c>
      <c r="E103" s="1" t="s">
        <v>40</v>
      </c>
      <c r="F103" s="1" t="s">
        <v>652</v>
      </c>
      <c r="G103" s="1" t="s">
        <v>664</v>
      </c>
      <c r="H103" s="1">
        <v>2</v>
      </c>
      <c r="I103" s="1" t="s">
        <v>27</v>
      </c>
      <c r="J103" s="2">
        <v>45903</v>
      </c>
      <c r="K103" s="1" t="s">
        <v>665</v>
      </c>
      <c r="L103" s="1">
        <v>9</v>
      </c>
      <c r="M103" s="1">
        <v>48</v>
      </c>
      <c r="N103" s="1" t="s">
        <v>30</v>
      </c>
      <c r="O103" s="1" t="s">
        <v>624</v>
      </c>
      <c r="P103" s="1" t="s">
        <v>30</v>
      </c>
      <c r="Q103" s="1" t="s">
        <v>69</v>
      </c>
      <c r="R103" s="1">
        <v>347.31</v>
      </c>
      <c r="S103" s="1" t="s">
        <v>33</v>
      </c>
      <c r="T103" s="1" t="s">
        <v>34</v>
      </c>
      <c r="U103" s="1" t="s">
        <v>35</v>
      </c>
      <c r="V103" s="1" t="s">
        <v>36</v>
      </c>
    </row>
    <row r="104" spans="1:22" x14ac:dyDescent="0.3">
      <c r="A104" s="1" t="s">
        <v>666</v>
      </c>
      <c r="B104" s="1" t="s">
        <v>667</v>
      </c>
      <c r="C104" s="1">
        <v>62</v>
      </c>
      <c r="D104" s="1" t="s">
        <v>668</v>
      </c>
      <c r="E104" s="1" t="s">
        <v>40</v>
      </c>
      <c r="F104" s="1" t="s">
        <v>669</v>
      </c>
      <c r="G104" s="2">
        <v>45511</v>
      </c>
      <c r="H104" s="1">
        <v>1</v>
      </c>
      <c r="I104" s="1" t="s">
        <v>27</v>
      </c>
      <c r="J104" s="1" t="s">
        <v>670</v>
      </c>
      <c r="K104" s="1" t="s">
        <v>671</v>
      </c>
      <c r="L104" s="1">
        <v>8</v>
      </c>
      <c r="M104" s="1">
        <v>35</v>
      </c>
      <c r="N104" s="1" t="s">
        <v>56</v>
      </c>
      <c r="O104" s="1" t="s">
        <v>610</v>
      </c>
      <c r="P104" s="1" t="s">
        <v>68</v>
      </c>
      <c r="Q104" s="1" t="s">
        <v>32</v>
      </c>
      <c r="R104" s="1">
        <v>1574.32</v>
      </c>
      <c r="S104" s="1" t="s">
        <v>46</v>
      </c>
      <c r="T104" s="1" t="s">
        <v>47</v>
      </c>
      <c r="U104" s="1" t="s">
        <v>35</v>
      </c>
      <c r="V104" s="1" t="s">
        <v>36</v>
      </c>
    </row>
    <row r="105" spans="1:22" x14ac:dyDescent="0.3">
      <c r="A105" s="1" t="s">
        <v>672</v>
      </c>
      <c r="B105" s="1" t="s">
        <v>673</v>
      </c>
      <c r="C105" s="1">
        <v>36</v>
      </c>
      <c r="D105" s="1" t="s">
        <v>674</v>
      </c>
      <c r="E105" s="1" t="s">
        <v>88</v>
      </c>
      <c r="F105" s="1" t="s">
        <v>675</v>
      </c>
      <c r="G105" s="2">
        <v>45812</v>
      </c>
      <c r="H105" s="1">
        <v>4</v>
      </c>
      <c r="I105" s="1" t="s">
        <v>27</v>
      </c>
      <c r="J105" s="1" t="s">
        <v>167</v>
      </c>
      <c r="K105" s="1" t="s">
        <v>676</v>
      </c>
      <c r="L105" s="1">
        <v>5</v>
      </c>
      <c r="M105" s="1">
        <v>41</v>
      </c>
      <c r="N105" s="1" t="s">
        <v>30</v>
      </c>
      <c r="O105" s="1" t="s">
        <v>251</v>
      </c>
      <c r="P105" s="1" t="s">
        <v>30</v>
      </c>
      <c r="Q105" s="1" t="s">
        <v>32</v>
      </c>
      <c r="R105" s="1">
        <v>421.7</v>
      </c>
      <c r="S105" s="1" t="s">
        <v>33</v>
      </c>
      <c r="T105" s="1" t="s">
        <v>34</v>
      </c>
      <c r="U105" s="1" t="s">
        <v>35</v>
      </c>
      <c r="V105" s="1" t="s">
        <v>188</v>
      </c>
    </row>
    <row r="106" spans="1:22" x14ac:dyDescent="0.3">
      <c r="A106" s="1" t="s">
        <v>677</v>
      </c>
      <c r="B106" s="1" t="s">
        <v>678</v>
      </c>
      <c r="C106" s="1">
        <v>51</v>
      </c>
      <c r="D106" s="1" t="s">
        <v>679</v>
      </c>
      <c r="E106" s="1" t="s">
        <v>40</v>
      </c>
      <c r="F106" s="1" t="s">
        <v>680</v>
      </c>
      <c r="G106" s="1" t="s">
        <v>681</v>
      </c>
      <c r="H106" s="1">
        <v>2</v>
      </c>
      <c r="I106" s="1" t="s">
        <v>64</v>
      </c>
      <c r="J106" s="2">
        <v>45748</v>
      </c>
      <c r="K106" s="1" t="s">
        <v>682</v>
      </c>
      <c r="L106" s="1">
        <v>1</v>
      </c>
      <c r="M106" s="1">
        <v>13</v>
      </c>
      <c r="N106" s="1" t="s">
        <v>54</v>
      </c>
      <c r="O106" s="1" t="s">
        <v>536</v>
      </c>
      <c r="P106" s="1" t="s">
        <v>68</v>
      </c>
      <c r="Q106" s="1" t="s">
        <v>69</v>
      </c>
      <c r="R106" s="1">
        <v>760.96</v>
      </c>
      <c r="S106" s="1" t="s">
        <v>46</v>
      </c>
      <c r="T106" s="1" t="s">
        <v>47</v>
      </c>
      <c r="U106" s="1" t="s">
        <v>35</v>
      </c>
      <c r="V106" s="1" t="s">
        <v>71</v>
      </c>
    </row>
    <row r="107" spans="1:22" x14ac:dyDescent="0.3">
      <c r="A107" s="1" t="s">
        <v>683</v>
      </c>
      <c r="B107" s="1" t="s">
        <v>684</v>
      </c>
      <c r="C107" s="1">
        <v>54</v>
      </c>
      <c r="D107" s="1" t="s">
        <v>685</v>
      </c>
      <c r="E107" s="1" t="s">
        <v>61</v>
      </c>
      <c r="F107" s="2">
        <v>44571</v>
      </c>
      <c r="G107" s="2">
        <v>45576</v>
      </c>
      <c r="H107" s="1">
        <v>4</v>
      </c>
      <c r="I107" s="1" t="s">
        <v>27</v>
      </c>
      <c r="J107" s="2">
        <v>45629</v>
      </c>
      <c r="K107" s="1" t="s">
        <v>686</v>
      </c>
      <c r="L107" s="1">
        <v>2</v>
      </c>
      <c r="M107" s="1">
        <v>24</v>
      </c>
      <c r="N107" s="1" t="s">
        <v>45</v>
      </c>
      <c r="O107" s="1" t="s">
        <v>199</v>
      </c>
      <c r="P107" s="1" t="s">
        <v>54</v>
      </c>
      <c r="Q107" s="1" t="s">
        <v>32</v>
      </c>
      <c r="R107" s="1">
        <v>1432.6</v>
      </c>
      <c r="S107" s="1" t="s">
        <v>46</v>
      </c>
      <c r="T107" s="1" t="s">
        <v>47</v>
      </c>
      <c r="U107" s="1" t="s">
        <v>35</v>
      </c>
      <c r="V107" s="1" t="s">
        <v>188</v>
      </c>
    </row>
    <row r="108" spans="1:22" x14ac:dyDescent="0.3">
      <c r="A108" s="1" t="s">
        <v>687</v>
      </c>
      <c r="B108" s="1" t="s">
        <v>688</v>
      </c>
      <c r="C108" s="1">
        <v>27</v>
      </c>
      <c r="D108" s="1" t="s">
        <v>689</v>
      </c>
      <c r="E108" s="1" t="s">
        <v>95</v>
      </c>
      <c r="F108" s="1" t="s">
        <v>690</v>
      </c>
      <c r="G108" s="1" t="s">
        <v>691</v>
      </c>
      <c r="H108" s="1">
        <v>0</v>
      </c>
      <c r="I108" s="1" t="s">
        <v>52</v>
      </c>
      <c r="J108" s="1" t="s">
        <v>692</v>
      </c>
      <c r="K108" s="1" t="s">
        <v>693</v>
      </c>
      <c r="L108" s="1">
        <v>5</v>
      </c>
      <c r="M108" s="1">
        <v>34</v>
      </c>
      <c r="N108" s="1" t="s">
        <v>30</v>
      </c>
      <c r="O108" s="1" t="s">
        <v>597</v>
      </c>
      <c r="P108" s="1" t="s">
        <v>45</v>
      </c>
      <c r="Q108" s="1" t="s">
        <v>32</v>
      </c>
      <c r="R108" s="1">
        <v>1981.8</v>
      </c>
      <c r="S108" s="1" t="s">
        <v>46</v>
      </c>
      <c r="T108" s="1" t="s">
        <v>57</v>
      </c>
      <c r="U108" s="1" t="s">
        <v>35</v>
      </c>
      <c r="V108" s="1" t="s">
        <v>36</v>
      </c>
    </row>
    <row r="109" spans="1:22" x14ac:dyDescent="0.3">
      <c r="A109" s="1" t="s">
        <v>694</v>
      </c>
      <c r="B109" s="1" t="s">
        <v>695</v>
      </c>
      <c r="C109" s="1">
        <v>42</v>
      </c>
      <c r="D109" s="1" t="s">
        <v>696</v>
      </c>
      <c r="E109" s="1" t="s">
        <v>88</v>
      </c>
      <c r="F109" s="1" t="s">
        <v>697</v>
      </c>
      <c r="G109" s="2">
        <v>44776</v>
      </c>
      <c r="H109" s="1">
        <v>0</v>
      </c>
      <c r="I109" s="1" t="s">
        <v>27</v>
      </c>
      <c r="J109" s="2">
        <v>44293</v>
      </c>
      <c r="K109" s="1" t="s">
        <v>698</v>
      </c>
      <c r="L109" s="1">
        <v>2</v>
      </c>
      <c r="M109" s="1">
        <v>39</v>
      </c>
      <c r="N109" s="1" t="s">
        <v>45</v>
      </c>
      <c r="O109" s="1" t="s">
        <v>149</v>
      </c>
      <c r="P109" s="1" t="s">
        <v>30</v>
      </c>
      <c r="Q109" s="1" t="s">
        <v>32</v>
      </c>
      <c r="R109" s="1">
        <v>1611.68</v>
      </c>
      <c r="S109" s="1" t="s">
        <v>46</v>
      </c>
      <c r="T109" s="1" t="s">
        <v>34</v>
      </c>
      <c r="U109" s="1" t="s">
        <v>35</v>
      </c>
      <c r="V109" s="1" t="s">
        <v>36</v>
      </c>
    </row>
    <row r="110" spans="1:22" x14ac:dyDescent="0.3">
      <c r="A110" s="1" t="s">
        <v>699</v>
      </c>
      <c r="B110" s="1" t="s">
        <v>700</v>
      </c>
      <c r="C110" s="1">
        <v>51</v>
      </c>
      <c r="D110" s="1" t="s">
        <v>701</v>
      </c>
      <c r="E110" s="1" t="s">
        <v>61</v>
      </c>
      <c r="F110" s="2">
        <v>44658</v>
      </c>
      <c r="G110" s="2">
        <v>45607</v>
      </c>
      <c r="H110" s="1">
        <v>3</v>
      </c>
      <c r="I110" s="1" t="s">
        <v>52</v>
      </c>
      <c r="J110" s="1" t="s">
        <v>702</v>
      </c>
      <c r="K110" s="1" t="s">
        <v>703</v>
      </c>
      <c r="L110" s="1">
        <v>4</v>
      </c>
      <c r="M110" s="1">
        <v>26</v>
      </c>
      <c r="N110" s="1" t="s">
        <v>56</v>
      </c>
      <c r="O110" s="1" t="s">
        <v>135</v>
      </c>
      <c r="P110" s="1" t="s">
        <v>45</v>
      </c>
      <c r="Q110" s="1" t="s">
        <v>322</v>
      </c>
      <c r="R110" s="1">
        <v>430.68</v>
      </c>
      <c r="S110" s="1" t="s">
        <v>46</v>
      </c>
      <c r="T110" s="1" t="s">
        <v>47</v>
      </c>
      <c r="U110" s="1" t="s">
        <v>35</v>
      </c>
      <c r="V110" s="1" t="s">
        <v>36</v>
      </c>
    </row>
    <row r="111" spans="1:22" x14ac:dyDescent="0.3">
      <c r="A111" s="1" t="s">
        <v>704</v>
      </c>
      <c r="B111" s="1" t="s">
        <v>705</v>
      </c>
      <c r="C111" s="1">
        <v>39</v>
      </c>
      <c r="D111" s="1" t="s">
        <v>706</v>
      </c>
      <c r="E111" s="1" t="s">
        <v>61</v>
      </c>
      <c r="F111" s="2">
        <v>44723</v>
      </c>
      <c r="G111" s="2">
        <v>45416</v>
      </c>
      <c r="H111" s="1">
        <v>1</v>
      </c>
      <c r="I111" s="1" t="s">
        <v>52</v>
      </c>
      <c r="J111" s="1" t="s">
        <v>75</v>
      </c>
      <c r="K111" s="1" t="s">
        <v>707</v>
      </c>
      <c r="L111" s="1">
        <v>6</v>
      </c>
      <c r="M111" s="1">
        <v>44</v>
      </c>
      <c r="N111" s="1" t="s">
        <v>56</v>
      </c>
      <c r="O111" s="1" t="s">
        <v>142</v>
      </c>
      <c r="P111" s="1" t="s">
        <v>68</v>
      </c>
      <c r="Q111" s="1" t="s">
        <v>69</v>
      </c>
      <c r="R111" s="1">
        <v>1400.04</v>
      </c>
      <c r="S111" s="1" t="s">
        <v>46</v>
      </c>
      <c r="T111" s="1" t="s">
        <v>34</v>
      </c>
      <c r="U111" s="1" t="s">
        <v>35</v>
      </c>
      <c r="V111" s="1" t="s">
        <v>36</v>
      </c>
    </row>
    <row r="112" spans="1:22" x14ac:dyDescent="0.3">
      <c r="A112" s="1" t="s">
        <v>708</v>
      </c>
      <c r="B112" s="1" t="s">
        <v>709</v>
      </c>
      <c r="C112" s="1">
        <v>23</v>
      </c>
      <c r="D112" s="1" t="s">
        <v>710</v>
      </c>
      <c r="E112" s="1" t="s">
        <v>25</v>
      </c>
      <c r="F112" s="1" t="s">
        <v>711</v>
      </c>
      <c r="G112" s="1" t="s">
        <v>712</v>
      </c>
      <c r="H112" s="1">
        <v>1</v>
      </c>
      <c r="I112" s="1" t="s">
        <v>27</v>
      </c>
      <c r="J112" s="2">
        <v>45416</v>
      </c>
      <c r="K112" s="1" t="s">
        <v>713</v>
      </c>
      <c r="L112" s="1">
        <v>3</v>
      </c>
      <c r="M112" s="1">
        <v>11</v>
      </c>
      <c r="N112" s="1" t="s">
        <v>54</v>
      </c>
      <c r="O112" s="1" t="s">
        <v>142</v>
      </c>
      <c r="P112" s="1" t="s">
        <v>68</v>
      </c>
      <c r="Q112" s="1" t="s">
        <v>32</v>
      </c>
      <c r="R112" s="1">
        <v>1061.4000000000001</v>
      </c>
      <c r="S112" s="1" t="s">
        <v>46</v>
      </c>
      <c r="T112" s="1" t="s">
        <v>100</v>
      </c>
      <c r="U112" s="1" t="s">
        <v>35</v>
      </c>
      <c r="V112" s="1" t="s">
        <v>36</v>
      </c>
    </row>
    <row r="113" spans="1:22" x14ac:dyDescent="0.3">
      <c r="A113" s="1" t="s">
        <v>714</v>
      </c>
      <c r="B113" s="1" t="s">
        <v>715</v>
      </c>
      <c r="C113" s="1">
        <v>59</v>
      </c>
      <c r="D113" s="1" t="s">
        <v>716</v>
      </c>
      <c r="E113" s="1" t="s">
        <v>61</v>
      </c>
      <c r="F113" s="1" t="s">
        <v>717</v>
      </c>
      <c r="G113" s="1" t="s">
        <v>718</v>
      </c>
      <c r="H113" s="1">
        <v>0</v>
      </c>
      <c r="I113" s="1" t="s">
        <v>64</v>
      </c>
      <c r="J113" s="2">
        <v>45962</v>
      </c>
      <c r="K113" s="1" t="s">
        <v>719</v>
      </c>
      <c r="L113" s="1">
        <v>8</v>
      </c>
      <c r="M113" s="1">
        <v>41</v>
      </c>
      <c r="N113" s="1" t="s">
        <v>56</v>
      </c>
      <c r="O113" s="1" t="s">
        <v>418</v>
      </c>
      <c r="P113" s="1" t="s">
        <v>56</v>
      </c>
      <c r="Q113" s="1" t="s">
        <v>32</v>
      </c>
      <c r="R113" s="1">
        <v>1770.24</v>
      </c>
      <c r="S113" s="1" t="s">
        <v>33</v>
      </c>
      <c r="T113" s="1" t="s">
        <v>47</v>
      </c>
      <c r="U113" s="1" t="s">
        <v>35</v>
      </c>
      <c r="V113" s="1" t="s">
        <v>71</v>
      </c>
    </row>
    <row r="114" spans="1:22" x14ac:dyDescent="0.3">
      <c r="A114" s="1" t="s">
        <v>720</v>
      </c>
      <c r="B114" s="1" t="s">
        <v>721</v>
      </c>
      <c r="C114" s="1">
        <v>29</v>
      </c>
      <c r="D114" s="1" t="s">
        <v>722</v>
      </c>
      <c r="E114" s="1" t="s">
        <v>25</v>
      </c>
      <c r="F114" s="1" t="s">
        <v>723</v>
      </c>
      <c r="G114" s="2">
        <v>45056</v>
      </c>
      <c r="H114" s="1">
        <v>4</v>
      </c>
      <c r="I114" s="1" t="s">
        <v>64</v>
      </c>
      <c r="J114" s="1" t="s">
        <v>724</v>
      </c>
      <c r="K114" s="1" t="s">
        <v>725</v>
      </c>
      <c r="L114" s="1">
        <v>8</v>
      </c>
      <c r="M114" s="1">
        <v>28</v>
      </c>
      <c r="N114" s="1" t="s">
        <v>54</v>
      </c>
      <c r="O114" s="1" t="s">
        <v>211</v>
      </c>
      <c r="P114" s="1" t="s">
        <v>68</v>
      </c>
      <c r="Q114" s="1" t="s">
        <v>32</v>
      </c>
      <c r="R114" s="1">
        <v>1982.24</v>
      </c>
      <c r="S114" s="1" t="s">
        <v>46</v>
      </c>
      <c r="T114" s="1" t="s">
        <v>57</v>
      </c>
      <c r="U114" s="1" t="s">
        <v>35</v>
      </c>
      <c r="V114" s="1" t="s">
        <v>71</v>
      </c>
    </row>
    <row r="115" spans="1:22" x14ac:dyDescent="0.3">
      <c r="A115" s="1" t="s">
        <v>726</v>
      </c>
      <c r="B115" s="1" t="s">
        <v>727</v>
      </c>
      <c r="C115" s="1">
        <v>50</v>
      </c>
      <c r="D115" s="1" t="s">
        <v>728</v>
      </c>
      <c r="E115" s="1" t="s">
        <v>61</v>
      </c>
      <c r="F115" s="2">
        <v>45238</v>
      </c>
      <c r="G115" s="2">
        <v>45841</v>
      </c>
      <c r="H115" s="1">
        <v>0</v>
      </c>
      <c r="I115" s="1" t="s">
        <v>52</v>
      </c>
      <c r="J115" s="1" t="s">
        <v>729</v>
      </c>
      <c r="K115" s="1" t="s">
        <v>730</v>
      </c>
      <c r="L115" s="1">
        <v>1</v>
      </c>
      <c r="M115" s="1">
        <v>13</v>
      </c>
      <c r="N115" s="1" t="s">
        <v>56</v>
      </c>
      <c r="O115" s="1" t="s">
        <v>624</v>
      </c>
      <c r="P115" s="1" t="s">
        <v>30</v>
      </c>
      <c r="Q115" s="1" t="s">
        <v>69</v>
      </c>
      <c r="R115" s="1">
        <v>1810.76</v>
      </c>
      <c r="S115" s="1" t="s">
        <v>46</v>
      </c>
      <c r="T115" s="1" t="s">
        <v>47</v>
      </c>
      <c r="U115" s="1" t="s">
        <v>35</v>
      </c>
      <c r="V115" s="1" t="s">
        <v>36</v>
      </c>
    </row>
    <row r="116" spans="1:22" x14ac:dyDescent="0.3">
      <c r="A116" s="1" t="s">
        <v>731</v>
      </c>
      <c r="B116" s="1" t="s">
        <v>732</v>
      </c>
      <c r="C116" s="1">
        <v>31</v>
      </c>
      <c r="D116" s="1" t="s">
        <v>733</v>
      </c>
      <c r="E116" s="1" t="s">
        <v>51</v>
      </c>
      <c r="F116" s="1" t="s">
        <v>734</v>
      </c>
      <c r="G116" s="1" t="s">
        <v>473</v>
      </c>
      <c r="H116" s="1">
        <v>3</v>
      </c>
      <c r="I116" s="1" t="s">
        <v>27</v>
      </c>
      <c r="J116" s="2">
        <v>44937</v>
      </c>
      <c r="K116" s="1" t="s">
        <v>735</v>
      </c>
      <c r="L116" s="1">
        <v>6</v>
      </c>
      <c r="M116" s="1">
        <v>15</v>
      </c>
      <c r="N116" s="1" t="s">
        <v>30</v>
      </c>
      <c r="O116" s="1" t="s">
        <v>238</v>
      </c>
      <c r="P116" s="1" t="s">
        <v>45</v>
      </c>
      <c r="Q116" s="1" t="s">
        <v>32</v>
      </c>
      <c r="R116" s="1">
        <v>987.72</v>
      </c>
      <c r="S116" s="1" t="s">
        <v>46</v>
      </c>
      <c r="T116" s="1" t="s">
        <v>57</v>
      </c>
      <c r="U116" s="1" t="s">
        <v>35</v>
      </c>
      <c r="V116" s="1" t="s">
        <v>36</v>
      </c>
    </row>
    <row r="117" spans="1:22" x14ac:dyDescent="0.3">
      <c r="A117" s="1" t="s">
        <v>736</v>
      </c>
      <c r="B117" s="1" t="s">
        <v>737</v>
      </c>
      <c r="C117" s="1">
        <v>65</v>
      </c>
      <c r="D117" s="1" t="s">
        <v>738</v>
      </c>
      <c r="E117" s="1" t="s">
        <v>25</v>
      </c>
      <c r="F117" s="1" t="s">
        <v>739</v>
      </c>
      <c r="G117" s="2">
        <v>44571</v>
      </c>
      <c r="H117" s="1">
        <v>3</v>
      </c>
      <c r="I117" s="1" t="s">
        <v>27</v>
      </c>
      <c r="J117" s="1" t="s">
        <v>740</v>
      </c>
      <c r="K117" s="1" t="s">
        <v>741</v>
      </c>
      <c r="L117" s="1">
        <v>5</v>
      </c>
      <c r="M117" s="1">
        <v>42</v>
      </c>
      <c r="N117" s="1" t="s">
        <v>68</v>
      </c>
      <c r="O117" s="1" t="s">
        <v>91</v>
      </c>
      <c r="P117" s="1" t="s">
        <v>54</v>
      </c>
      <c r="Q117" s="1" t="s">
        <v>32</v>
      </c>
      <c r="R117" s="1">
        <v>287.39999999999998</v>
      </c>
      <c r="S117" s="1" t="s">
        <v>46</v>
      </c>
      <c r="T117" s="1" t="s">
        <v>232</v>
      </c>
      <c r="U117" s="1" t="s">
        <v>35</v>
      </c>
      <c r="V117" s="1" t="s">
        <v>36</v>
      </c>
    </row>
    <row r="118" spans="1:22" x14ac:dyDescent="0.3">
      <c r="A118" s="1" t="s">
        <v>742</v>
      </c>
      <c r="B118" s="1" t="s">
        <v>743</v>
      </c>
      <c r="C118" s="1">
        <v>28</v>
      </c>
      <c r="D118" s="1" t="s">
        <v>744</v>
      </c>
      <c r="E118" s="1" t="s">
        <v>25</v>
      </c>
      <c r="F118" s="1" t="s">
        <v>745</v>
      </c>
      <c r="G118" s="1" t="s">
        <v>474</v>
      </c>
      <c r="H118" s="1">
        <v>0</v>
      </c>
      <c r="I118" s="1" t="s">
        <v>27</v>
      </c>
      <c r="J118" s="1" t="s">
        <v>746</v>
      </c>
      <c r="K118" s="1" t="s">
        <v>747</v>
      </c>
      <c r="L118" s="1">
        <v>3</v>
      </c>
      <c r="M118" s="1">
        <v>3</v>
      </c>
      <c r="N118" s="1" t="s">
        <v>54</v>
      </c>
      <c r="O118" s="1" t="s">
        <v>135</v>
      </c>
      <c r="P118" s="1" t="s">
        <v>45</v>
      </c>
      <c r="Q118" s="1" t="s">
        <v>32</v>
      </c>
      <c r="R118" s="1">
        <v>1293.78</v>
      </c>
      <c r="S118" s="1" t="s">
        <v>46</v>
      </c>
      <c r="T118" s="1" t="s">
        <v>57</v>
      </c>
      <c r="U118" s="1" t="s">
        <v>35</v>
      </c>
      <c r="V118" s="1" t="s">
        <v>36</v>
      </c>
    </row>
    <row r="119" spans="1:22" x14ac:dyDescent="0.3">
      <c r="A119" s="1" t="s">
        <v>748</v>
      </c>
      <c r="B119" s="1" t="s">
        <v>749</v>
      </c>
      <c r="C119" s="1">
        <v>31</v>
      </c>
      <c r="D119" s="1" t="s">
        <v>750</v>
      </c>
      <c r="E119" s="1" t="s">
        <v>88</v>
      </c>
      <c r="F119" s="1" t="s">
        <v>751</v>
      </c>
      <c r="G119" s="2">
        <v>44445</v>
      </c>
      <c r="H119" s="1">
        <v>0</v>
      </c>
      <c r="I119" s="1" t="s">
        <v>52</v>
      </c>
      <c r="J119" s="2">
        <v>44960</v>
      </c>
      <c r="K119" s="1" t="s">
        <v>752</v>
      </c>
      <c r="L119" s="1">
        <v>8</v>
      </c>
      <c r="M119" s="1">
        <v>7</v>
      </c>
      <c r="N119" s="1" t="s">
        <v>56</v>
      </c>
      <c r="O119" s="1" t="s">
        <v>194</v>
      </c>
      <c r="P119" s="1" t="s">
        <v>56</v>
      </c>
      <c r="Q119" s="1" t="s">
        <v>69</v>
      </c>
      <c r="R119" s="1">
        <v>1645.52</v>
      </c>
      <c r="S119" s="1" t="s">
        <v>33</v>
      </c>
      <c r="T119" s="1" t="s">
        <v>57</v>
      </c>
      <c r="U119" s="1" t="s">
        <v>35</v>
      </c>
      <c r="V119" s="1" t="s">
        <v>36</v>
      </c>
    </row>
    <row r="120" spans="1:22" x14ac:dyDescent="0.3">
      <c r="A120" s="1" t="s">
        <v>753</v>
      </c>
      <c r="B120" s="1" t="s">
        <v>754</v>
      </c>
      <c r="C120" s="1">
        <v>45</v>
      </c>
      <c r="D120" s="1" t="s">
        <v>755</v>
      </c>
      <c r="E120" s="1" t="s">
        <v>25</v>
      </c>
      <c r="F120" s="2">
        <v>44564</v>
      </c>
      <c r="G120" s="1" t="s">
        <v>756</v>
      </c>
      <c r="H120" s="1">
        <v>1</v>
      </c>
      <c r="I120" s="1" t="s">
        <v>27</v>
      </c>
      <c r="J120" s="1" t="s">
        <v>757</v>
      </c>
      <c r="K120" s="1" t="s">
        <v>758</v>
      </c>
      <c r="L120" s="1">
        <v>1</v>
      </c>
      <c r="M120" s="1">
        <v>22</v>
      </c>
      <c r="N120" s="1" t="s">
        <v>45</v>
      </c>
      <c r="O120" s="1" t="s">
        <v>55</v>
      </c>
      <c r="P120" s="1" t="s">
        <v>56</v>
      </c>
      <c r="Q120" s="1" t="s">
        <v>69</v>
      </c>
      <c r="R120" s="1">
        <v>338.72</v>
      </c>
      <c r="S120" s="1" t="s">
        <v>46</v>
      </c>
      <c r="T120" s="1" t="s">
        <v>34</v>
      </c>
      <c r="U120" s="1" t="s">
        <v>35</v>
      </c>
      <c r="V120" s="1" t="s">
        <v>36</v>
      </c>
    </row>
    <row r="121" spans="1:22" x14ac:dyDescent="0.3">
      <c r="A121" s="1" t="s">
        <v>759</v>
      </c>
      <c r="B121" s="1" t="s">
        <v>760</v>
      </c>
      <c r="C121" s="1">
        <v>19</v>
      </c>
      <c r="D121" s="1" t="s">
        <v>761</v>
      </c>
      <c r="E121" s="1" t="s">
        <v>40</v>
      </c>
      <c r="F121" s="2">
        <v>44539</v>
      </c>
      <c r="G121" s="1" t="s">
        <v>615</v>
      </c>
      <c r="H121" s="1">
        <v>1</v>
      </c>
      <c r="I121" s="1" t="s">
        <v>27</v>
      </c>
      <c r="J121" s="1" t="s">
        <v>762</v>
      </c>
      <c r="K121" s="1" t="s">
        <v>763</v>
      </c>
      <c r="L121" s="1">
        <v>9</v>
      </c>
      <c r="M121" s="1">
        <v>25</v>
      </c>
      <c r="N121" s="1" t="s">
        <v>56</v>
      </c>
      <c r="O121" s="1" t="s">
        <v>211</v>
      </c>
      <c r="P121" s="1" t="s">
        <v>68</v>
      </c>
      <c r="Q121" s="1" t="s">
        <v>32</v>
      </c>
      <c r="R121" s="1">
        <v>1570.41</v>
      </c>
      <c r="S121" s="1" t="s">
        <v>46</v>
      </c>
      <c r="T121" s="1" t="s">
        <v>100</v>
      </c>
      <c r="U121" s="1" t="s">
        <v>35</v>
      </c>
      <c r="V121" s="1" t="s">
        <v>36</v>
      </c>
    </row>
    <row r="122" spans="1:22" x14ac:dyDescent="0.3">
      <c r="A122" s="1" t="s">
        <v>764</v>
      </c>
      <c r="B122" s="1" t="s">
        <v>765</v>
      </c>
      <c r="C122" s="1">
        <v>64</v>
      </c>
      <c r="D122" s="1" t="s">
        <v>766</v>
      </c>
      <c r="E122" s="1" t="s">
        <v>51</v>
      </c>
      <c r="F122" s="1" t="s">
        <v>456</v>
      </c>
      <c r="G122" s="2">
        <v>44720</v>
      </c>
      <c r="H122" s="1">
        <v>5</v>
      </c>
      <c r="I122" s="1" t="s">
        <v>52</v>
      </c>
      <c r="J122" s="2">
        <v>45450</v>
      </c>
      <c r="K122" s="1" t="s">
        <v>767</v>
      </c>
      <c r="L122" s="1">
        <v>6</v>
      </c>
      <c r="M122" s="1">
        <v>1</v>
      </c>
      <c r="N122" s="1" t="s">
        <v>54</v>
      </c>
      <c r="O122" s="1" t="s">
        <v>91</v>
      </c>
      <c r="P122" s="1" t="s">
        <v>54</v>
      </c>
      <c r="Q122" s="1" t="s">
        <v>69</v>
      </c>
      <c r="R122" s="1">
        <v>612.05999999999995</v>
      </c>
      <c r="S122" s="1" t="s">
        <v>33</v>
      </c>
      <c r="T122" s="1" t="s">
        <v>47</v>
      </c>
      <c r="U122" s="1" t="s">
        <v>70</v>
      </c>
      <c r="V122" s="1" t="s">
        <v>36</v>
      </c>
    </row>
    <row r="123" spans="1:22" x14ac:dyDescent="0.3">
      <c r="A123" s="1" t="s">
        <v>768</v>
      </c>
      <c r="B123" s="1" t="s">
        <v>769</v>
      </c>
      <c r="C123" s="1">
        <v>23</v>
      </c>
      <c r="D123" s="1" t="s">
        <v>770</v>
      </c>
      <c r="E123" s="1" t="s">
        <v>95</v>
      </c>
      <c r="F123" s="1" t="s">
        <v>771</v>
      </c>
      <c r="G123" s="1" t="s">
        <v>772</v>
      </c>
      <c r="H123" s="1">
        <v>5</v>
      </c>
      <c r="I123" s="1" t="s">
        <v>27</v>
      </c>
      <c r="J123" s="1" t="s">
        <v>773</v>
      </c>
      <c r="K123" s="1" t="s">
        <v>774</v>
      </c>
      <c r="L123" s="1">
        <v>5</v>
      </c>
      <c r="M123" s="1">
        <v>3</v>
      </c>
      <c r="N123" s="1" t="s">
        <v>45</v>
      </c>
      <c r="O123" s="1" t="s">
        <v>269</v>
      </c>
      <c r="P123" s="1" t="s">
        <v>56</v>
      </c>
      <c r="Q123" s="1" t="s">
        <v>69</v>
      </c>
      <c r="R123" s="1">
        <v>1949.95</v>
      </c>
      <c r="S123" s="1" t="s">
        <v>46</v>
      </c>
      <c r="T123" s="1" t="s">
        <v>100</v>
      </c>
      <c r="U123" s="1" t="s">
        <v>35</v>
      </c>
      <c r="V123" s="1" t="s">
        <v>188</v>
      </c>
    </row>
    <row r="124" spans="1:22" x14ac:dyDescent="0.3">
      <c r="A124" s="1" t="s">
        <v>775</v>
      </c>
      <c r="B124" s="1" t="s">
        <v>776</v>
      </c>
      <c r="C124" s="1">
        <v>22</v>
      </c>
      <c r="D124" s="1" t="s">
        <v>777</v>
      </c>
      <c r="E124" s="1" t="s">
        <v>95</v>
      </c>
      <c r="F124" s="2">
        <v>44632</v>
      </c>
      <c r="G124" s="1" t="s">
        <v>778</v>
      </c>
      <c r="H124" s="1">
        <v>2</v>
      </c>
      <c r="I124" s="1" t="s">
        <v>52</v>
      </c>
      <c r="J124" s="2">
        <v>44754</v>
      </c>
      <c r="K124" s="1" t="s">
        <v>779</v>
      </c>
      <c r="L124" s="1">
        <v>6</v>
      </c>
      <c r="M124" s="1">
        <v>49</v>
      </c>
      <c r="N124" s="1" t="s">
        <v>30</v>
      </c>
      <c r="O124" s="1" t="s">
        <v>157</v>
      </c>
      <c r="P124" s="1" t="s">
        <v>68</v>
      </c>
      <c r="Q124" s="1" t="s">
        <v>69</v>
      </c>
      <c r="R124" s="1">
        <v>129.41999999999999</v>
      </c>
      <c r="S124" s="1" t="s">
        <v>46</v>
      </c>
      <c r="T124" s="1" t="s">
        <v>100</v>
      </c>
      <c r="U124" s="1" t="s">
        <v>35</v>
      </c>
      <c r="V124" s="1" t="s">
        <v>36</v>
      </c>
    </row>
    <row r="125" spans="1:22" x14ac:dyDescent="0.3">
      <c r="A125" s="1" t="s">
        <v>780</v>
      </c>
      <c r="B125" s="1" t="s">
        <v>781</v>
      </c>
      <c r="C125" s="1">
        <v>68</v>
      </c>
      <c r="D125" s="1" t="s">
        <v>782</v>
      </c>
      <c r="E125" s="1" t="s">
        <v>40</v>
      </c>
      <c r="F125" s="1" t="s">
        <v>783</v>
      </c>
      <c r="G125" s="1" t="s">
        <v>784</v>
      </c>
      <c r="H125" s="1">
        <v>1</v>
      </c>
      <c r="I125" s="1" t="s">
        <v>52</v>
      </c>
      <c r="J125" s="1" t="s">
        <v>785</v>
      </c>
      <c r="K125" s="1" t="s">
        <v>786</v>
      </c>
      <c r="L125" s="1">
        <v>2</v>
      </c>
      <c r="M125" s="1">
        <v>38</v>
      </c>
      <c r="N125" s="1" t="s">
        <v>54</v>
      </c>
      <c r="O125" s="1" t="s">
        <v>373</v>
      </c>
      <c r="P125" s="1" t="s">
        <v>54</v>
      </c>
      <c r="Q125" s="1" t="s">
        <v>69</v>
      </c>
      <c r="R125" s="1">
        <v>1298.3599999999999</v>
      </c>
      <c r="S125" s="1" t="s">
        <v>33</v>
      </c>
      <c r="T125" s="1" t="s">
        <v>232</v>
      </c>
      <c r="U125" s="1" t="s">
        <v>35</v>
      </c>
      <c r="V125" s="1" t="s">
        <v>36</v>
      </c>
    </row>
    <row r="126" spans="1:22" x14ac:dyDescent="0.3">
      <c r="A126" s="1" t="s">
        <v>787</v>
      </c>
      <c r="B126" s="1" t="s">
        <v>788</v>
      </c>
      <c r="C126" s="1">
        <v>61</v>
      </c>
      <c r="D126" s="1" t="s">
        <v>789</v>
      </c>
      <c r="E126" s="1" t="s">
        <v>25</v>
      </c>
      <c r="F126" s="1" t="s">
        <v>790</v>
      </c>
      <c r="G126" s="1" t="s">
        <v>791</v>
      </c>
      <c r="H126" s="1">
        <v>3</v>
      </c>
      <c r="I126" s="1" t="s">
        <v>52</v>
      </c>
      <c r="J126" s="1" t="s">
        <v>792</v>
      </c>
      <c r="K126" s="1" t="s">
        <v>793</v>
      </c>
      <c r="L126" s="1">
        <v>2</v>
      </c>
      <c r="M126" s="1">
        <v>5</v>
      </c>
      <c r="N126" s="1" t="s">
        <v>56</v>
      </c>
      <c r="O126" s="1" t="s">
        <v>425</v>
      </c>
      <c r="P126" s="1" t="s">
        <v>30</v>
      </c>
      <c r="Q126" s="1" t="s">
        <v>32</v>
      </c>
      <c r="R126" s="1">
        <v>1929.76</v>
      </c>
      <c r="S126" s="1" t="s">
        <v>46</v>
      </c>
      <c r="T126" s="1" t="s">
        <v>47</v>
      </c>
      <c r="U126" s="1" t="s">
        <v>35</v>
      </c>
      <c r="V126" s="1" t="s">
        <v>36</v>
      </c>
    </row>
    <row r="127" spans="1:22" x14ac:dyDescent="0.3">
      <c r="A127" s="1" t="s">
        <v>794</v>
      </c>
      <c r="B127" s="1" t="s">
        <v>795</v>
      </c>
      <c r="C127" s="1">
        <v>52</v>
      </c>
      <c r="D127" s="1" t="s">
        <v>796</v>
      </c>
      <c r="E127" s="1" t="s">
        <v>95</v>
      </c>
      <c r="F127" s="1" t="s">
        <v>797</v>
      </c>
      <c r="G127" s="2">
        <v>45506</v>
      </c>
      <c r="H127" s="1">
        <v>0</v>
      </c>
      <c r="I127" s="1" t="s">
        <v>27</v>
      </c>
      <c r="J127" s="2">
        <v>45966</v>
      </c>
      <c r="K127" s="1" t="s">
        <v>798</v>
      </c>
      <c r="L127" s="1">
        <v>8</v>
      </c>
      <c r="M127" s="1">
        <v>28</v>
      </c>
      <c r="N127" s="1" t="s">
        <v>45</v>
      </c>
      <c r="O127" s="1" t="s">
        <v>354</v>
      </c>
      <c r="P127" s="1" t="s">
        <v>45</v>
      </c>
      <c r="Q127" s="1" t="s">
        <v>69</v>
      </c>
      <c r="R127" s="1">
        <v>1608.48</v>
      </c>
      <c r="S127" s="1" t="s">
        <v>33</v>
      </c>
      <c r="T127" s="1" t="s">
        <v>47</v>
      </c>
      <c r="U127" s="1" t="s">
        <v>35</v>
      </c>
      <c r="V127" s="1" t="s">
        <v>36</v>
      </c>
    </row>
    <row r="128" spans="1:22" x14ac:dyDescent="0.3">
      <c r="A128" s="1" t="s">
        <v>799</v>
      </c>
      <c r="B128" s="1" t="s">
        <v>800</v>
      </c>
      <c r="C128" s="1">
        <v>35</v>
      </c>
      <c r="D128" s="1" t="s">
        <v>801</v>
      </c>
      <c r="E128" s="1" t="s">
        <v>95</v>
      </c>
      <c r="F128" s="2">
        <v>44445</v>
      </c>
      <c r="G128" s="1" t="s">
        <v>802</v>
      </c>
      <c r="H128" s="1">
        <v>1</v>
      </c>
      <c r="I128" s="1" t="s">
        <v>27</v>
      </c>
      <c r="J128" s="1" t="s">
        <v>803</v>
      </c>
      <c r="K128" s="1" t="s">
        <v>804</v>
      </c>
      <c r="L128" s="1">
        <v>1</v>
      </c>
      <c r="M128" s="1">
        <v>41</v>
      </c>
      <c r="N128" s="1" t="s">
        <v>54</v>
      </c>
      <c r="O128" s="1" t="s">
        <v>77</v>
      </c>
      <c r="P128" s="1" t="s">
        <v>54</v>
      </c>
      <c r="Q128" s="1" t="s">
        <v>32</v>
      </c>
      <c r="R128" s="1">
        <v>178.81</v>
      </c>
      <c r="S128" s="1" t="s">
        <v>33</v>
      </c>
      <c r="T128" s="1" t="s">
        <v>34</v>
      </c>
      <c r="U128" s="1" t="s">
        <v>35</v>
      </c>
      <c r="V128" s="1" t="s">
        <v>36</v>
      </c>
    </row>
    <row r="129" spans="1:22" x14ac:dyDescent="0.3">
      <c r="A129" s="1" t="s">
        <v>805</v>
      </c>
      <c r="B129" s="1" t="s">
        <v>806</v>
      </c>
      <c r="C129" s="1">
        <v>45</v>
      </c>
      <c r="D129" s="1" t="s">
        <v>807</v>
      </c>
      <c r="E129" s="1" t="s">
        <v>88</v>
      </c>
      <c r="F129" s="1" t="s">
        <v>808</v>
      </c>
      <c r="G129" s="1" t="s">
        <v>409</v>
      </c>
      <c r="H129" s="1">
        <v>2</v>
      </c>
      <c r="I129" s="1" t="s">
        <v>52</v>
      </c>
      <c r="J129" s="1" t="s">
        <v>809</v>
      </c>
      <c r="K129" s="1" t="s">
        <v>810</v>
      </c>
      <c r="L129" s="1">
        <v>5</v>
      </c>
      <c r="M129" s="1">
        <v>49</v>
      </c>
      <c r="N129" s="1" t="s">
        <v>54</v>
      </c>
      <c r="O129" s="1" t="s">
        <v>128</v>
      </c>
      <c r="P129" s="1" t="s">
        <v>54</v>
      </c>
      <c r="Q129" s="1" t="s">
        <v>32</v>
      </c>
      <c r="R129" s="1">
        <v>838.45</v>
      </c>
      <c r="S129" s="1" t="s">
        <v>33</v>
      </c>
      <c r="T129" s="1" t="s">
        <v>34</v>
      </c>
      <c r="U129" s="1" t="s">
        <v>35</v>
      </c>
      <c r="V129" s="1" t="s">
        <v>36</v>
      </c>
    </row>
    <row r="130" spans="1:22" x14ac:dyDescent="0.3">
      <c r="A130" s="1" t="s">
        <v>811</v>
      </c>
      <c r="B130" s="1" t="s">
        <v>812</v>
      </c>
      <c r="C130" s="1">
        <v>49</v>
      </c>
      <c r="D130" s="1" t="s">
        <v>813</v>
      </c>
      <c r="E130" s="1" t="s">
        <v>88</v>
      </c>
      <c r="F130" s="1" t="s">
        <v>814</v>
      </c>
      <c r="G130" s="2">
        <v>44905</v>
      </c>
      <c r="H130" s="1">
        <v>2</v>
      </c>
      <c r="I130" s="1" t="s">
        <v>27</v>
      </c>
      <c r="J130" s="2">
        <v>45354</v>
      </c>
      <c r="K130" s="1" t="s">
        <v>815</v>
      </c>
      <c r="L130" s="1">
        <v>6</v>
      </c>
      <c r="M130" s="1">
        <v>43</v>
      </c>
      <c r="N130" s="1" t="s">
        <v>68</v>
      </c>
      <c r="O130" s="1" t="s">
        <v>366</v>
      </c>
      <c r="P130" s="1" t="s">
        <v>54</v>
      </c>
      <c r="Q130" s="1" t="s">
        <v>32</v>
      </c>
      <c r="R130" s="1">
        <v>117.36</v>
      </c>
      <c r="S130" s="1" t="s">
        <v>46</v>
      </c>
      <c r="T130" s="1" t="s">
        <v>34</v>
      </c>
      <c r="U130" s="1" t="s">
        <v>35</v>
      </c>
      <c r="V130" s="1" t="s">
        <v>36</v>
      </c>
    </row>
    <row r="131" spans="1:22" x14ac:dyDescent="0.3">
      <c r="A131" s="1" t="s">
        <v>816</v>
      </c>
      <c r="B131" s="1" t="s">
        <v>817</v>
      </c>
      <c r="C131" s="1">
        <v>31</v>
      </c>
      <c r="D131" s="1" t="s">
        <v>818</v>
      </c>
      <c r="E131" s="1" t="s">
        <v>95</v>
      </c>
      <c r="F131" s="1" t="s">
        <v>819</v>
      </c>
      <c r="G131" s="2">
        <v>45566</v>
      </c>
      <c r="H131" s="1">
        <v>0</v>
      </c>
      <c r="I131" s="1" t="s">
        <v>27</v>
      </c>
      <c r="J131" s="2">
        <v>45024</v>
      </c>
      <c r="K131" s="1" t="s">
        <v>820</v>
      </c>
      <c r="L131" s="1">
        <v>3</v>
      </c>
      <c r="M131" s="1">
        <v>34</v>
      </c>
      <c r="N131" s="1" t="s">
        <v>54</v>
      </c>
      <c r="O131" s="1" t="s">
        <v>821</v>
      </c>
      <c r="P131" s="1" t="s">
        <v>68</v>
      </c>
      <c r="Q131" s="1" t="s">
        <v>69</v>
      </c>
      <c r="R131" s="1">
        <v>510.81</v>
      </c>
      <c r="S131" s="1" t="s">
        <v>46</v>
      </c>
      <c r="T131" s="1" t="s">
        <v>57</v>
      </c>
      <c r="U131" s="1" t="s">
        <v>35</v>
      </c>
      <c r="V131" s="1" t="s">
        <v>36</v>
      </c>
    </row>
    <row r="132" spans="1:22" x14ac:dyDescent="0.3">
      <c r="A132" s="1" t="s">
        <v>822</v>
      </c>
      <c r="B132" s="1" t="s">
        <v>823</v>
      </c>
      <c r="C132" s="1">
        <v>33</v>
      </c>
      <c r="D132" s="1" t="s">
        <v>824</v>
      </c>
      <c r="E132" s="1" t="s">
        <v>88</v>
      </c>
      <c r="F132" s="1" t="s">
        <v>502</v>
      </c>
      <c r="G132" s="2">
        <v>45481</v>
      </c>
      <c r="H132" s="1">
        <v>3</v>
      </c>
      <c r="I132" s="1" t="s">
        <v>52</v>
      </c>
      <c r="J132" s="1" t="s">
        <v>825</v>
      </c>
      <c r="K132" s="1" t="s">
        <v>826</v>
      </c>
      <c r="L132" s="1">
        <v>2</v>
      </c>
      <c r="M132" s="1">
        <v>3</v>
      </c>
      <c r="N132" s="1" t="s">
        <v>56</v>
      </c>
      <c r="O132" s="1" t="s">
        <v>77</v>
      </c>
      <c r="P132" s="1" t="s">
        <v>54</v>
      </c>
      <c r="Q132" s="1" t="s">
        <v>69</v>
      </c>
      <c r="R132" s="1">
        <v>1936.1</v>
      </c>
      <c r="S132" s="1" t="s">
        <v>46</v>
      </c>
      <c r="T132" s="1" t="s">
        <v>57</v>
      </c>
      <c r="U132" s="1" t="s">
        <v>35</v>
      </c>
      <c r="V132" s="1" t="s">
        <v>36</v>
      </c>
    </row>
    <row r="133" spans="1:22" x14ac:dyDescent="0.3">
      <c r="A133" s="1" t="s">
        <v>827</v>
      </c>
      <c r="B133" s="1" t="s">
        <v>828</v>
      </c>
      <c r="C133" s="1">
        <v>21</v>
      </c>
      <c r="D133" s="1" t="s">
        <v>829</v>
      </c>
      <c r="E133" s="1" t="s">
        <v>95</v>
      </c>
      <c r="F133" s="2">
        <v>44419</v>
      </c>
      <c r="G133" s="1" t="s">
        <v>634</v>
      </c>
      <c r="H133" s="1">
        <v>0</v>
      </c>
      <c r="I133" s="1" t="s">
        <v>52</v>
      </c>
      <c r="J133" s="1" t="s">
        <v>830</v>
      </c>
      <c r="K133" s="1" t="s">
        <v>831</v>
      </c>
      <c r="L133" s="1">
        <v>6</v>
      </c>
      <c r="M133" s="1">
        <v>13</v>
      </c>
      <c r="N133" s="1" t="s">
        <v>45</v>
      </c>
      <c r="O133" s="1" t="s">
        <v>91</v>
      </c>
      <c r="P133" s="1" t="s">
        <v>54</v>
      </c>
      <c r="Q133" s="1" t="s">
        <v>32</v>
      </c>
      <c r="R133" s="1">
        <v>1106.04</v>
      </c>
      <c r="S133" s="1" t="s">
        <v>46</v>
      </c>
      <c r="T133" s="1" t="s">
        <v>100</v>
      </c>
      <c r="U133" s="1" t="s">
        <v>35</v>
      </c>
      <c r="V133" s="1" t="s">
        <v>36</v>
      </c>
    </row>
    <row r="134" spans="1:22" x14ac:dyDescent="0.3">
      <c r="A134" s="1" t="s">
        <v>832</v>
      </c>
      <c r="B134" s="1" t="s">
        <v>833</v>
      </c>
      <c r="C134" s="1">
        <v>59</v>
      </c>
      <c r="D134" s="1" t="s">
        <v>834</v>
      </c>
      <c r="E134" s="1" t="s">
        <v>40</v>
      </c>
      <c r="F134" s="1" t="s">
        <v>835</v>
      </c>
      <c r="G134" s="2">
        <v>45266</v>
      </c>
      <c r="H134" s="1">
        <v>3</v>
      </c>
      <c r="I134" s="1" t="s">
        <v>27</v>
      </c>
      <c r="J134" s="2">
        <v>45877</v>
      </c>
      <c r="K134" s="1" t="s">
        <v>836</v>
      </c>
      <c r="L134" s="1">
        <v>4</v>
      </c>
      <c r="M134" s="1">
        <v>3</v>
      </c>
      <c r="N134" s="1" t="s">
        <v>54</v>
      </c>
      <c r="O134" s="1" t="s">
        <v>837</v>
      </c>
      <c r="P134" s="1" t="s">
        <v>56</v>
      </c>
      <c r="Q134" s="1" t="s">
        <v>32</v>
      </c>
      <c r="R134" s="1">
        <v>1328.56</v>
      </c>
      <c r="S134" s="1" t="s">
        <v>46</v>
      </c>
      <c r="T134" s="1" t="s">
        <v>47</v>
      </c>
      <c r="U134" s="1" t="s">
        <v>35</v>
      </c>
      <c r="V134" s="1" t="s">
        <v>36</v>
      </c>
    </row>
    <row r="135" spans="1:22" x14ac:dyDescent="0.3">
      <c r="A135" s="1" t="s">
        <v>838</v>
      </c>
      <c r="B135" s="1" t="s">
        <v>839</v>
      </c>
      <c r="C135" s="1">
        <v>46</v>
      </c>
      <c r="D135" s="1" t="s">
        <v>840</v>
      </c>
      <c r="E135" s="1" t="s">
        <v>88</v>
      </c>
      <c r="F135" s="1" t="s">
        <v>841</v>
      </c>
      <c r="G135" s="2">
        <v>44662</v>
      </c>
      <c r="H135" s="1">
        <v>2</v>
      </c>
      <c r="I135" s="1" t="s">
        <v>27</v>
      </c>
      <c r="J135" s="2">
        <v>45694</v>
      </c>
      <c r="K135" s="1" t="s">
        <v>842</v>
      </c>
      <c r="L135" s="1">
        <v>5</v>
      </c>
      <c r="M135" s="1">
        <v>34</v>
      </c>
      <c r="N135" s="1" t="s">
        <v>45</v>
      </c>
      <c r="O135" s="1" t="s">
        <v>231</v>
      </c>
      <c r="P135" s="1" t="s">
        <v>30</v>
      </c>
      <c r="Q135" s="1" t="s">
        <v>32</v>
      </c>
      <c r="R135" s="1">
        <v>213.25</v>
      </c>
      <c r="S135" s="1" t="s">
        <v>46</v>
      </c>
      <c r="T135" s="1" t="s">
        <v>34</v>
      </c>
      <c r="U135" s="1" t="s">
        <v>35</v>
      </c>
      <c r="V135" s="1" t="s">
        <v>36</v>
      </c>
    </row>
    <row r="136" spans="1:22" x14ac:dyDescent="0.3">
      <c r="A136" s="1" t="s">
        <v>843</v>
      </c>
      <c r="B136" s="1" t="s">
        <v>844</v>
      </c>
      <c r="C136" s="1">
        <v>35</v>
      </c>
      <c r="D136" s="1" t="s">
        <v>845</v>
      </c>
      <c r="E136" s="1" t="s">
        <v>95</v>
      </c>
      <c r="F136" s="2">
        <v>44325</v>
      </c>
      <c r="G136" s="1" t="s">
        <v>846</v>
      </c>
      <c r="H136" s="1">
        <v>1</v>
      </c>
      <c r="I136" s="1" t="s">
        <v>27</v>
      </c>
      <c r="J136" s="1" t="s">
        <v>847</v>
      </c>
      <c r="K136" s="1" t="s">
        <v>848</v>
      </c>
      <c r="L136" s="1">
        <v>9</v>
      </c>
      <c r="M136" s="1">
        <v>43</v>
      </c>
      <c r="N136" s="1" t="s">
        <v>68</v>
      </c>
      <c r="O136" s="1" t="s">
        <v>149</v>
      </c>
      <c r="P136" s="1" t="s">
        <v>30</v>
      </c>
      <c r="Q136" s="1" t="s">
        <v>69</v>
      </c>
      <c r="R136" s="1">
        <v>191.7</v>
      </c>
      <c r="S136" s="1" t="s">
        <v>46</v>
      </c>
      <c r="T136" s="1" t="s">
        <v>34</v>
      </c>
      <c r="U136" s="1" t="s">
        <v>35</v>
      </c>
      <c r="V136" s="1" t="s">
        <v>36</v>
      </c>
    </row>
    <row r="137" spans="1:22" x14ac:dyDescent="0.3">
      <c r="A137" s="1" t="s">
        <v>849</v>
      </c>
      <c r="B137" s="1" t="s">
        <v>850</v>
      </c>
      <c r="C137" s="1">
        <v>51</v>
      </c>
      <c r="D137" s="1" t="s">
        <v>851</v>
      </c>
      <c r="E137" s="1" t="s">
        <v>40</v>
      </c>
      <c r="F137" s="1" t="s">
        <v>797</v>
      </c>
      <c r="G137" s="1" t="s">
        <v>852</v>
      </c>
      <c r="H137" s="1">
        <v>5</v>
      </c>
      <c r="I137" s="1" t="s">
        <v>52</v>
      </c>
      <c r="J137" s="1" t="s">
        <v>853</v>
      </c>
      <c r="K137" s="1" t="s">
        <v>854</v>
      </c>
      <c r="L137" s="1">
        <v>7</v>
      </c>
      <c r="M137" s="1">
        <v>28</v>
      </c>
      <c r="N137" s="1" t="s">
        <v>56</v>
      </c>
      <c r="O137" s="1" t="s">
        <v>855</v>
      </c>
      <c r="P137" s="1" t="s">
        <v>45</v>
      </c>
      <c r="Q137" s="1" t="s">
        <v>69</v>
      </c>
      <c r="R137" s="1">
        <v>782.46</v>
      </c>
      <c r="S137" s="1" t="s">
        <v>46</v>
      </c>
      <c r="T137" s="1" t="s">
        <v>47</v>
      </c>
      <c r="U137" s="1" t="s">
        <v>35</v>
      </c>
      <c r="V137" s="1" t="s">
        <v>36</v>
      </c>
    </row>
    <row r="138" spans="1:22" x14ac:dyDescent="0.3">
      <c r="A138" s="1" t="s">
        <v>856</v>
      </c>
      <c r="B138" s="1" t="s">
        <v>857</v>
      </c>
      <c r="C138" s="1">
        <v>51</v>
      </c>
      <c r="D138" s="1" t="s">
        <v>858</v>
      </c>
      <c r="E138" s="1" t="s">
        <v>61</v>
      </c>
      <c r="F138" s="2">
        <v>44835</v>
      </c>
      <c r="G138" s="2">
        <v>44780</v>
      </c>
      <c r="H138" s="1">
        <v>1</v>
      </c>
      <c r="I138" s="1" t="s">
        <v>27</v>
      </c>
      <c r="J138" s="2">
        <v>45081</v>
      </c>
      <c r="K138" s="1" t="s">
        <v>859</v>
      </c>
      <c r="L138" s="1">
        <v>7</v>
      </c>
      <c r="M138" s="1">
        <v>25</v>
      </c>
      <c r="N138" s="1" t="s">
        <v>68</v>
      </c>
      <c r="O138" s="1" t="s">
        <v>157</v>
      </c>
      <c r="P138" s="1" t="s">
        <v>68</v>
      </c>
      <c r="Q138" s="1" t="s">
        <v>32</v>
      </c>
      <c r="R138" s="1">
        <v>722.82</v>
      </c>
      <c r="S138" s="1" t="s">
        <v>33</v>
      </c>
      <c r="T138" s="1" t="s">
        <v>47</v>
      </c>
      <c r="U138" s="1" t="s">
        <v>35</v>
      </c>
      <c r="V138" s="1" t="s">
        <v>36</v>
      </c>
    </row>
    <row r="139" spans="1:22" x14ac:dyDescent="0.3">
      <c r="A139" s="1" t="s">
        <v>860</v>
      </c>
      <c r="B139" s="1" t="s">
        <v>861</v>
      </c>
      <c r="C139" s="1">
        <v>39</v>
      </c>
      <c r="D139" s="1" t="s">
        <v>862</v>
      </c>
      <c r="E139" s="1" t="s">
        <v>40</v>
      </c>
      <c r="F139" s="2">
        <v>44232</v>
      </c>
      <c r="G139" s="2">
        <v>45603</v>
      </c>
      <c r="H139" s="1">
        <v>3</v>
      </c>
      <c r="I139" s="1" t="s">
        <v>27</v>
      </c>
      <c r="J139" s="1" t="s">
        <v>863</v>
      </c>
      <c r="K139" s="1" t="s">
        <v>864</v>
      </c>
      <c r="L139" s="1">
        <v>9</v>
      </c>
      <c r="M139" s="1">
        <v>11</v>
      </c>
      <c r="N139" s="1" t="s">
        <v>54</v>
      </c>
      <c r="O139" s="1" t="s">
        <v>128</v>
      </c>
      <c r="P139" s="1" t="s">
        <v>54</v>
      </c>
      <c r="Q139" s="1" t="s">
        <v>32</v>
      </c>
      <c r="R139" s="1">
        <v>49.32</v>
      </c>
      <c r="S139" s="1" t="s">
        <v>33</v>
      </c>
      <c r="T139" s="1" t="s">
        <v>34</v>
      </c>
      <c r="U139" s="1" t="s">
        <v>70</v>
      </c>
      <c r="V139" s="1" t="s">
        <v>36</v>
      </c>
    </row>
    <row r="140" spans="1:22" x14ac:dyDescent="0.3">
      <c r="A140" s="1" t="s">
        <v>865</v>
      </c>
      <c r="B140" s="1" t="s">
        <v>866</v>
      </c>
      <c r="C140" s="1">
        <v>36</v>
      </c>
      <c r="D140" s="1" t="s">
        <v>867</v>
      </c>
      <c r="E140" s="1" t="s">
        <v>88</v>
      </c>
      <c r="F140" s="2">
        <v>45111</v>
      </c>
      <c r="G140" s="2">
        <v>45174</v>
      </c>
      <c r="H140" s="1">
        <v>3</v>
      </c>
      <c r="I140" s="1" t="s">
        <v>27</v>
      </c>
      <c r="J140" s="2">
        <v>45968</v>
      </c>
      <c r="K140" s="1" t="s">
        <v>868</v>
      </c>
      <c r="L140" s="1">
        <v>5</v>
      </c>
      <c r="M140" s="1">
        <v>16</v>
      </c>
      <c r="N140" s="1" t="s">
        <v>30</v>
      </c>
      <c r="O140" s="1" t="s">
        <v>149</v>
      </c>
      <c r="P140" s="1" t="s">
        <v>30</v>
      </c>
      <c r="Q140" s="1" t="s">
        <v>32</v>
      </c>
      <c r="R140" s="1">
        <v>759.8</v>
      </c>
      <c r="S140" s="1" t="s">
        <v>33</v>
      </c>
      <c r="T140" s="1" t="s">
        <v>34</v>
      </c>
      <c r="U140" s="1" t="s">
        <v>35</v>
      </c>
      <c r="V140" s="1" t="s">
        <v>36</v>
      </c>
    </row>
    <row r="141" spans="1:22" x14ac:dyDescent="0.3">
      <c r="A141" s="1" t="s">
        <v>869</v>
      </c>
      <c r="B141" s="1" t="s">
        <v>870</v>
      </c>
      <c r="C141" s="1">
        <v>49</v>
      </c>
      <c r="D141" s="1" t="s">
        <v>871</v>
      </c>
      <c r="E141" s="1" t="s">
        <v>51</v>
      </c>
      <c r="F141" s="2">
        <v>45113</v>
      </c>
      <c r="G141" s="1" t="s">
        <v>872</v>
      </c>
      <c r="H141" s="1">
        <v>3</v>
      </c>
      <c r="I141" s="1" t="s">
        <v>27</v>
      </c>
      <c r="J141" s="1" t="s">
        <v>873</v>
      </c>
      <c r="K141" s="1" t="s">
        <v>874</v>
      </c>
      <c r="L141" s="1">
        <v>9</v>
      </c>
      <c r="M141" s="1">
        <v>12</v>
      </c>
      <c r="N141" s="1" t="s">
        <v>54</v>
      </c>
      <c r="O141" s="1" t="s">
        <v>175</v>
      </c>
      <c r="P141" s="1" t="s">
        <v>56</v>
      </c>
      <c r="Q141" s="1" t="s">
        <v>32</v>
      </c>
      <c r="R141" s="1">
        <v>1375.02</v>
      </c>
      <c r="S141" s="1" t="s">
        <v>46</v>
      </c>
      <c r="T141" s="1" t="s">
        <v>34</v>
      </c>
      <c r="U141" s="1" t="s">
        <v>35</v>
      </c>
      <c r="V141" s="1" t="s">
        <v>36</v>
      </c>
    </row>
    <row r="142" spans="1:22" x14ac:dyDescent="0.3">
      <c r="A142" s="1" t="s">
        <v>875</v>
      </c>
      <c r="B142" s="1" t="s">
        <v>876</v>
      </c>
      <c r="C142" s="1">
        <v>55</v>
      </c>
      <c r="D142" s="1" t="s">
        <v>877</v>
      </c>
      <c r="E142" s="1" t="s">
        <v>95</v>
      </c>
      <c r="F142" s="1" t="s">
        <v>878</v>
      </c>
      <c r="G142" s="1" t="s">
        <v>602</v>
      </c>
      <c r="H142" s="1">
        <v>2</v>
      </c>
      <c r="I142" s="1" t="s">
        <v>27</v>
      </c>
      <c r="J142" s="2">
        <v>45424</v>
      </c>
      <c r="K142" s="1" t="s">
        <v>879</v>
      </c>
      <c r="L142" s="1">
        <v>7</v>
      </c>
      <c r="M142" s="1">
        <v>3</v>
      </c>
      <c r="N142" s="1" t="s">
        <v>56</v>
      </c>
      <c r="O142" s="1" t="s">
        <v>149</v>
      </c>
      <c r="P142" s="1" t="s">
        <v>30</v>
      </c>
      <c r="Q142" s="1" t="s">
        <v>69</v>
      </c>
      <c r="R142" s="1">
        <v>1259.02</v>
      </c>
      <c r="S142" s="1" t="s">
        <v>46</v>
      </c>
      <c r="T142" s="1" t="s">
        <v>47</v>
      </c>
      <c r="U142" s="1" t="s">
        <v>35</v>
      </c>
      <c r="V142" s="1" t="s">
        <v>36</v>
      </c>
    </row>
    <row r="143" spans="1:22" x14ac:dyDescent="0.3">
      <c r="A143" s="1" t="s">
        <v>880</v>
      </c>
      <c r="B143" s="1" t="s">
        <v>881</v>
      </c>
      <c r="C143" s="1">
        <v>19</v>
      </c>
      <c r="D143" s="1" t="s">
        <v>882</v>
      </c>
      <c r="E143" s="1" t="s">
        <v>88</v>
      </c>
      <c r="F143" s="1" t="s">
        <v>883</v>
      </c>
      <c r="G143" s="2">
        <v>45362</v>
      </c>
      <c r="H143" s="1">
        <v>4</v>
      </c>
      <c r="I143" s="1" t="s">
        <v>52</v>
      </c>
      <c r="J143" s="1" t="s">
        <v>884</v>
      </c>
      <c r="K143" s="1" t="s">
        <v>885</v>
      </c>
      <c r="L143" s="1">
        <v>8</v>
      </c>
      <c r="M143" s="1">
        <v>9</v>
      </c>
      <c r="N143" s="1" t="s">
        <v>56</v>
      </c>
      <c r="O143" s="1" t="s">
        <v>175</v>
      </c>
      <c r="P143" s="1" t="s">
        <v>56</v>
      </c>
      <c r="Q143" s="1" t="s">
        <v>32</v>
      </c>
      <c r="R143" s="1">
        <v>1749.76</v>
      </c>
      <c r="S143" s="1" t="s">
        <v>33</v>
      </c>
      <c r="T143" s="1" t="s">
        <v>100</v>
      </c>
      <c r="U143" s="1" t="s">
        <v>35</v>
      </c>
      <c r="V143" s="1" t="s">
        <v>36</v>
      </c>
    </row>
    <row r="144" spans="1:22" x14ac:dyDescent="0.3">
      <c r="A144" s="1" t="s">
        <v>886</v>
      </c>
      <c r="B144" s="1" t="s">
        <v>887</v>
      </c>
      <c r="C144" s="1">
        <v>47</v>
      </c>
      <c r="D144" s="1" t="s">
        <v>888</v>
      </c>
      <c r="E144" s="1" t="s">
        <v>95</v>
      </c>
      <c r="F144" s="2">
        <v>44963</v>
      </c>
      <c r="G144" s="1" t="s">
        <v>313</v>
      </c>
      <c r="H144" s="1">
        <v>0</v>
      </c>
      <c r="I144" s="1" t="s">
        <v>52</v>
      </c>
      <c r="J144" s="1" t="s">
        <v>889</v>
      </c>
      <c r="K144" s="1" t="s">
        <v>890</v>
      </c>
      <c r="L144" s="1">
        <v>4</v>
      </c>
      <c r="M144" s="1">
        <v>46</v>
      </c>
      <c r="N144" s="1" t="s">
        <v>56</v>
      </c>
      <c r="O144" s="1" t="s">
        <v>223</v>
      </c>
      <c r="P144" s="1" t="s">
        <v>56</v>
      </c>
      <c r="Q144" s="1" t="s">
        <v>32</v>
      </c>
      <c r="R144" s="1">
        <v>710.88</v>
      </c>
      <c r="S144" s="1" t="s">
        <v>33</v>
      </c>
      <c r="T144" s="1" t="s">
        <v>34</v>
      </c>
      <c r="U144" s="1" t="s">
        <v>35</v>
      </c>
      <c r="V144" s="1" t="s">
        <v>36</v>
      </c>
    </row>
    <row r="145" spans="1:22" x14ac:dyDescent="0.3">
      <c r="A145" s="1" t="s">
        <v>891</v>
      </c>
      <c r="B145" s="1" t="s">
        <v>892</v>
      </c>
      <c r="C145" s="1">
        <v>53</v>
      </c>
      <c r="D145" s="1" t="s">
        <v>893</v>
      </c>
      <c r="E145" s="1" t="s">
        <v>61</v>
      </c>
      <c r="F145" s="1" t="s">
        <v>894</v>
      </c>
      <c r="G145" s="1" t="s">
        <v>561</v>
      </c>
      <c r="H145" s="1">
        <v>5</v>
      </c>
      <c r="I145" s="1" t="s">
        <v>27</v>
      </c>
      <c r="J145" s="1" t="s">
        <v>895</v>
      </c>
      <c r="K145" s="1" t="s">
        <v>896</v>
      </c>
      <c r="L145" s="1">
        <v>4</v>
      </c>
      <c r="M145" s="1">
        <v>30</v>
      </c>
      <c r="N145" s="1" t="s">
        <v>54</v>
      </c>
      <c r="O145" s="1" t="s">
        <v>67</v>
      </c>
      <c r="P145" s="1" t="s">
        <v>68</v>
      </c>
      <c r="Q145" s="1" t="s">
        <v>32</v>
      </c>
      <c r="R145" s="1">
        <v>897.48</v>
      </c>
      <c r="S145" s="1" t="s">
        <v>46</v>
      </c>
      <c r="T145" s="1" t="s">
        <v>47</v>
      </c>
      <c r="U145" s="1" t="s">
        <v>35</v>
      </c>
      <c r="V145" s="1" t="s">
        <v>188</v>
      </c>
    </row>
    <row r="146" spans="1:22" x14ac:dyDescent="0.3">
      <c r="A146" s="1" t="s">
        <v>897</v>
      </c>
      <c r="B146" s="1" t="s">
        <v>898</v>
      </c>
      <c r="C146" s="1">
        <v>46</v>
      </c>
      <c r="D146" s="1" t="s">
        <v>899</v>
      </c>
      <c r="E146" s="1" t="s">
        <v>61</v>
      </c>
      <c r="F146" s="2">
        <v>44480</v>
      </c>
      <c r="G146" s="1" t="s">
        <v>900</v>
      </c>
      <c r="H146" s="1">
        <v>3</v>
      </c>
      <c r="I146" s="1" t="s">
        <v>27</v>
      </c>
      <c r="J146" s="1" t="s">
        <v>901</v>
      </c>
      <c r="K146" s="1" t="s">
        <v>902</v>
      </c>
      <c r="L146" s="1">
        <v>7</v>
      </c>
      <c r="M146" s="1">
        <v>18</v>
      </c>
      <c r="N146" s="1" t="s">
        <v>54</v>
      </c>
      <c r="O146" s="1" t="s">
        <v>194</v>
      </c>
      <c r="P146" s="1" t="s">
        <v>56</v>
      </c>
      <c r="Q146" s="1" t="s">
        <v>32</v>
      </c>
      <c r="R146" s="1">
        <v>1985.2</v>
      </c>
      <c r="S146" s="1" t="s">
        <v>46</v>
      </c>
      <c r="T146" s="1" t="s">
        <v>34</v>
      </c>
      <c r="U146" s="1" t="s">
        <v>35</v>
      </c>
      <c r="V146" s="1" t="s">
        <v>36</v>
      </c>
    </row>
    <row r="147" spans="1:22" x14ac:dyDescent="0.3">
      <c r="A147" s="1" t="s">
        <v>903</v>
      </c>
      <c r="B147" s="1" t="s">
        <v>904</v>
      </c>
      <c r="C147" s="1">
        <v>48</v>
      </c>
      <c r="D147" s="1" t="s">
        <v>905</v>
      </c>
      <c r="E147" s="1" t="s">
        <v>88</v>
      </c>
      <c r="F147" s="2">
        <v>44385</v>
      </c>
      <c r="G147" s="2">
        <v>45421</v>
      </c>
      <c r="H147" s="1">
        <v>2</v>
      </c>
      <c r="I147" s="1" t="s">
        <v>52</v>
      </c>
      <c r="J147" s="2">
        <v>45084</v>
      </c>
      <c r="K147" s="1" t="s">
        <v>906</v>
      </c>
      <c r="L147" s="1">
        <v>9</v>
      </c>
      <c r="M147" s="1">
        <v>23</v>
      </c>
      <c r="N147" s="1" t="s">
        <v>56</v>
      </c>
      <c r="O147" s="1" t="s">
        <v>837</v>
      </c>
      <c r="P147" s="1" t="s">
        <v>56</v>
      </c>
      <c r="Q147" s="1" t="s">
        <v>69</v>
      </c>
      <c r="R147" s="1">
        <v>1503</v>
      </c>
      <c r="S147" s="1" t="s">
        <v>33</v>
      </c>
      <c r="T147" s="1" t="s">
        <v>34</v>
      </c>
      <c r="U147" s="1" t="s">
        <v>35</v>
      </c>
      <c r="V147" s="1" t="s">
        <v>36</v>
      </c>
    </row>
    <row r="148" spans="1:22" x14ac:dyDescent="0.3">
      <c r="A148" s="1" t="s">
        <v>907</v>
      </c>
      <c r="B148" s="1" t="s">
        <v>908</v>
      </c>
      <c r="C148" s="1">
        <v>47</v>
      </c>
      <c r="D148" s="1" t="s">
        <v>909</v>
      </c>
      <c r="E148" s="1" t="s">
        <v>40</v>
      </c>
      <c r="F148" s="1" t="s">
        <v>910</v>
      </c>
      <c r="G148" s="1" t="s">
        <v>911</v>
      </c>
      <c r="H148" s="1">
        <v>1</v>
      </c>
      <c r="I148" s="1" t="s">
        <v>27</v>
      </c>
      <c r="J148" s="1" t="s">
        <v>912</v>
      </c>
      <c r="K148" s="1" t="s">
        <v>913</v>
      </c>
      <c r="L148" s="1">
        <v>6</v>
      </c>
      <c r="M148" s="1">
        <v>24</v>
      </c>
      <c r="N148" s="1" t="s">
        <v>68</v>
      </c>
      <c r="O148" s="1" t="s">
        <v>418</v>
      </c>
      <c r="P148" s="1" t="s">
        <v>56</v>
      </c>
      <c r="Q148" s="1" t="s">
        <v>32</v>
      </c>
      <c r="R148" s="1">
        <v>726.36</v>
      </c>
      <c r="S148" s="1" t="s">
        <v>46</v>
      </c>
      <c r="T148" s="1" t="s">
        <v>34</v>
      </c>
      <c r="U148" s="1" t="s">
        <v>35</v>
      </c>
      <c r="V148" s="1" t="s">
        <v>36</v>
      </c>
    </row>
    <row r="149" spans="1:22" x14ac:dyDescent="0.3">
      <c r="A149" s="1" t="s">
        <v>914</v>
      </c>
      <c r="B149" s="1" t="s">
        <v>915</v>
      </c>
      <c r="C149" s="1">
        <v>26</v>
      </c>
      <c r="D149" s="1" t="s">
        <v>916</v>
      </c>
      <c r="E149" s="1" t="s">
        <v>88</v>
      </c>
      <c r="F149" s="1" t="s">
        <v>917</v>
      </c>
      <c r="G149" s="1" t="s">
        <v>918</v>
      </c>
      <c r="H149" s="1">
        <v>5</v>
      </c>
      <c r="I149" s="1" t="s">
        <v>27</v>
      </c>
      <c r="J149" s="1" t="s">
        <v>919</v>
      </c>
      <c r="K149" s="1" t="s">
        <v>920</v>
      </c>
      <c r="L149" s="1">
        <v>3</v>
      </c>
      <c r="M149" s="1">
        <v>28</v>
      </c>
      <c r="N149" s="1" t="s">
        <v>68</v>
      </c>
      <c r="O149" s="1" t="s">
        <v>128</v>
      </c>
      <c r="P149" s="1" t="s">
        <v>54</v>
      </c>
      <c r="Q149" s="1" t="s">
        <v>322</v>
      </c>
      <c r="R149" s="1">
        <v>1300.77</v>
      </c>
      <c r="S149" s="1" t="s">
        <v>46</v>
      </c>
      <c r="T149" s="1" t="s">
        <v>57</v>
      </c>
      <c r="U149" s="1" t="s">
        <v>35</v>
      </c>
      <c r="V149" s="1" t="s">
        <v>188</v>
      </c>
    </row>
    <row r="150" spans="1:22" x14ac:dyDescent="0.3">
      <c r="A150" s="1" t="s">
        <v>921</v>
      </c>
      <c r="B150" s="1" t="s">
        <v>922</v>
      </c>
      <c r="C150" s="1">
        <v>20</v>
      </c>
      <c r="D150" s="1" t="s">
        <v>923</v>
      </c>
      <c r="E150" s="1" t="s">
        <v>61</v>
      </c>
      <c r="F150" s="2">
        <v>44328</v>
      </c>
      <c r="G150" s="1" t="s">
        <v>924</v>
      </c>
      <c r="H150" s="1">
        <v>1</v>
      </c>
      <c r="I150" s="1" t="s">
        <v>27</v>
      </c>
      <c r="J150" s="1" t="s">
        <v>545</v>
      </c>
      <c r="K150" s="1" t="s">
        <v>925</v>
      </c>
      <c r="L150" s="1">
        <v>5</v>
      </c>
      <c r="M150" s="1">
        <v>17</v>
      </c>
      <c r="N150" s="1" t="s">
        <v>68</v>
      </c>
      <c r="O150" s="1" t="s">
        <v>354</v>
      </c>
      <c r="P150" s="1" t="s">
        <v>45</v>
      </c>
      <c r="Q150" s="1" t="s">
        <v>69</v>
      </c>
      <c r="R150" s="1">
        <v>1151.4000000000001</v>
      </c>
      <c r="S150" s="1" t="s">
        <v>46</v>
      </c>
      <c r="T150" s="1" t="s">
        <v>100</v>
      </c>
      <c r="U150" s="1" t="s">
        <v>35</v>
      </c>
      <c r="V150" s="1" t="s">
        <v>36</v>
      </c>
    </row>
    <row r="151" spans="1:22" x14ac:dyDescent="0.3">
      <c r="A151" s="1" t="s">
        <v>926</v>
      </c>
      <c r="B151" s="1" t="s">
        <v>927</v>
      </c>
      <c r="C151" s="1">
        <v>51</v>
      </c>
      <c r="D151" s="1" t="s">
        <v>928</v>
      </c>
      <c r="E151" s="1" t="s">
        <v>88</v>
      </c>
      <c r="F151" s="1" t="s">
        <v>550</v>
      </c>
      <c r="G151" s="2">
        <v>45414</v>
      </c>
      <c r="H151" s="1">
        <v>2</v>
      </c>
      <c r="I151" s="1" t="s">
        <v>52</v>
      </c>
      <c r="J151" s="1" t="s">
        <v>929</v>
      </c>
      <c r="K151" s="1" t="s">
        <v>930</v>
      </c>
      <c r="L151" s="1">
        <v>6</v>
      </c>
      <c r="M151" s="1">
        <v>37</v>
      </c>
      <c r="N151" s="1" t="s">
        <v>56</v>
      </c>
      <c r="O151" s="1" t="s">
        <v>109</v>
      </c>
      <c r="P151" s="1" t="s">
        <v>68</v>
      </c>
      <c r="Q151" s="1" t="s">
        <v>69</v>
      </c>
      <c r="R151" s="1">
        <v>49.44</v>
      </c>
      <c r="S151" s="1" t="s">
        <v>46</v>
      </c>
      <c r="T151" s="1" t="s">
        <v>47</v>
      </c>
      <c r="U151" s="1" t="s">
        <v>101</v>
      </c>
      <c r="V151" s="1" t="s">
        <v>36</v>
      </c>
    </row>
    <row r="152" spans="1:22" x14ac:dyDescent="0.3">
      <c r="A152" s="1" t="s">
        <v>931</v>
      </c>
      <c r="B152" s="1" t="s">
        <v>932</v>
      </c>
      <c r="C152" s="1">
        <v>20</v>
      </c>
      <c r="D152" s="1" t="s">
        <v>933</v>
      </c>
      <c r="E152" s="1" t="s">
        <v>88</v>
      </c>
      <c r="F152" s="1" t="s">
        <v>934</v>
      </c>
      <c r="G152" s="2">
        <v>44752</v>
      </c>
      <c r="H152" s="1">
        <v>3</v>
      </c>
      <c r="I152" s="1" t="s">
        <v>52</v>
      </c>
      <c r="J152" s="2">
        <v>45417</v>
      </c>
      <c r="K152" s="1" t="s">
        <v>935</v>
      </c>
      <c r="L152" s="1">
        <v>3</v>
      </c>
      <c r="M152" s="1">
        <v>40</v>
      </c>
      <c r="N152" s="1" t="s">
        <v>56</v>
      </c>
      <c r="O152" s="1" t="s">
        <v>269</v>
      </c>
      <c r="P152" s="1" t="s">
        <v>56</v>
      </c>
      <c r="Q152" s="1" t="s">
        <v>69</v>
      </c>
      <c r="R152" s="1">
        <v>1903.38</v>
      </c>
      <c r="S152" s="1" t="s">
        <v>33</v>
      </c>
      <c r="T152" s="1" t="s">
        <v>100</v>
      </c>
      <c r="U152" s="1" t="s">
        <v>35</v>
      </c>
      <c r="V152" s="1" t="s">
        <v>36</v>
      </c>
    </row>
    <row r="153" spans="1:22" x14ac:dyDescent="0.3">
      <c r="A153" s="1" t="s">
        <v>936</v>
      </c>
      <c r="B153" s="1" t="s">
        <v>937</v>
      </c>
      <c r="C153" s="1">
        <v>49</v>
      </c>
      <c r="D153" s="1" t="s">
        <v>938</v>
      </c>
      <c r="E153" s="1" t="s">
        <v>40</v>
      </c>
      <c r="F153" s="1" t="s">
        <v>939</v>
      </c>
      <c r="G153" s="2">
        <v>44566</v>
      </c>
      <c r="H153" s="1">
        <v>3</v>
      </c>
      <c r="I153" s="1" t="s">
        <v>27</v>
      </c>
      <c r="J153" s="1" t="s">
        <v>940</v>
      </c>
      <c r="K153" s="1" t="s">
        <v>941</v>
      </c>
      <c r="L153" s="1">
        <v>8</v>
      </c>
      <c r="M153" s="1">
        <v>40</v>
      </c>
      <c r="N153" s="1" t="s">
        <v>30</v>
      </c>
      <c r="O153" s="1" t="s">
        <v>109</v>
      </c>
      <c r="P153" s="1" t="s">
        <v>68</v>
      </c>
      <c r="Q153" s="1" t="s">
        <v>32</v>
      </c>
      <c r="R153" s="1">
        <v>1254.1600000000001</v>
      </c>
      <c r="S153" s="1" t="s">
        <v>46</v>
      </c>
      <c r="T153" s="1" t="s">
        <v>34</v>
      </c>
      <c r="U153" s="1" t="s">
        <v>35</v>
      </c>
      <c r="V153" s="1" t="s">
        <v>36</v>
      </c>
    </row>
    <row r="154" spans="1:22" x14ac:dyDescent="0.3">
      <c r="A154" s="1" t="s">
        <v>942</v>
      </c>
      <c r="B154" s="1" t="s">
        <v>943</v>
      </c>
      <c r="C154" s="1">
        <v>27</v>
      </c>
      <c r="D154" s="1" t="s">
        <v>944</v>
      </c>
      <c r="E154" s="1" t="s">
        <v>51</v>
      </c>
      <c r="F154" s="2">
        <v>44450</v>
      </c>
      <c r="G154" s="1" t="s">
        <v>945</v>
      </c>
      <c r="H154" s="1">
        <v>5</v>
      </c>
      <c r="I154" s="1" t="s">
        <v>27</v>
      </c>
      <c r="J154" s="1" t="s">
        <v>946</v>
      </c>
      <c r="K154" s="1" t="s">
        <v>947</v>
      </c>
      <c r="L154" s="1">
        <v>7</v>
      </c>
      <c r="M154" s="1">
        <v>41</v>
      </c>
      <c r="N154" s="1" t="s">
        <v>45</v>
      </c>
      <c r="O154" s="1" t="s">
        <v>855</v>
      </c>
      <c r="P154" s="1" t="s">
        <v>45</v>
      </c>
      <c r="Q154" s="1" t="s">
        <v>32</v>
      </c>
      <c r="R154" s="1">
        <v>1205.19</v>
      </c>
      <c r="S154" s="1" t="s">
        <v>33</v>
      </c>
      <c r="T154" s="1" t="s">
        <v>57</v>
      </c>
      <c r="U154" s="1" t="s">
        <v>35</v>
      </c>
      <c r="V154" s="1" t="s">
        <v>188</v>
      </c>
    </row>
    <row r="155" spans="1:22" x14ac:dyDescent="0.3">
      <c r="A155" s="1" t="s">
        <v>948</v>
      </c>
      <c r="B155" s="1" t="s">
        <v>949</v>
      </c>
      <c r="C155" s="1">
        <v>52</v>
      </c>
      <c r="D155" s="1" t="s">
        <v>950</v>
      </c>
      <c r="E155" s="1" t="s">
        <v>61</v>
      </c>
      <c r="F155" s="1" t="s">
        <v>680</v>
      </c>
      <c r="G155" s="2">
        <v>45511</v>
      </c>
      <c r="H155" s="1">
        <v>2</v>
      </c>
      <c r="I155" s="1" t="s">
        <v>27</v>
      </c>
      <c r="J155" s="1" t="s">
        <v>690</v>
      </c>
      <c r="K155" s="1" t="s">
        <v>951</v>
      </c>
      <c r="L155" s="1">
        <v>1</v>
      </c>
      <c r="M155" s="1">
        <v>18</v>
      </c>
      <c r="N155" s="1" t="s">
        <v>56</v>
      </c>
      <c r="O155" s="1" t="s">
        <v>99</v>
      </c>
      <c r="P155" s="1" t="s">
        <v>56</v>
      </c>
      <c r="Q155" s="1" t="s">
        <v>32</v>
      </c>
      <c r="R155" s="1">
        <v>1308.29</v>
      </c>
      <c r="S155" s="1" t="s">
        <v>33</v>
      </c>
      <c r="T155" s="1" t="s">
        <v>47</v>
      </c>
      <c r="U155" s="1" t="s">
        <v>35</v>
      </c>
      <c r="V155" s="1" t="s">
        <v>36</v>
      </c>
    </row>
    <row r="156" spans="1:22" x14ac:dyDescent="0.3">
      <c r="A156" s="1" t="s">
        <v>952</v>
      </c>
      <c r="B156" s="1" t="s">
        <v>953</v>
      </c>
      <c r="C156" s="1">
        <v>24</v>
      </c>
      <c r="D156" s="1" t="s">
        <v>954</v>
      </c>
      <c r="E156" s="1" t="s">
        <v>95</v>
      </c>
      <c r="F156" s="1" t="s">
        <v>955</v>
      </c>
      <c r="G156" s="1" t="s">
        <v>956</v>
      </c>
      <c r="H156" s="1">
        <v>1</v>
      </c>
      <c r="I156" s="1" t="s">
        <v>52</v>
      </c>
      <c r="J156" s="1" t="s">
        <v>910</v>
      </c>
      <c r="K156" s="1" t="s">
        <v>957</v>
      </c>
      <c r="L156" s="1">
        <v>2</v>
      </c>
      <c r="M156" s="1">
        <v>42</v>
      </c>
      <c r="N156" s="1" t="s">
        <v>45</v>
      </c>
      <c r="O156" s="1" t="s">
        <v>157</v>
      </c>
      <c r="P156" s="1" t="s">
        <v>68</v>
      </c>
      <c r="Q156" s="1" t="s">
        <v>322</v>
      </c>
      <c r="R156" s="1">
        <v>1546</v>
      </c>
      <c r="S156" s="1" t="s">
        <v>46</v>
      </c>
      <c r="T156" s="1" t="s">
        <v>100</v>
      </c>
      <c r="U156" s="1" t="s">
        <v>35</v>
      </c>
      <c r="V156" s="1" t="s">
        <v>36</v>
      </c>
    </row>
    <row r="157" spans="1:22" x14ac:dyDescent="0.3">
      <c r="A157" s="1" t="s">
        <v>958</v>
      </c>
      <c r="B157" s="1" t="s">
        <v>959</v>
      </c>
      <c r="C157" s="1">
        <v>54</v>
      </c>
      <c r="D157" s="1" t="s">
        <v>960</v>
      </c>
      <c r="E157" s="1" t="s">
        <v>95</v>
      </c>
      <c r="F157" s="1" t="s">
        <v>961</v>
      </c>
      <c r="G157" s="1" t="s">
        <v>962</v>
      </c>
      <c r="H157" s="1">
        <v>1</v>
      </c>
      <c r="I157" s="1" t="s">
        <v>52</v>
      </c>
      <c r="J157" s="1" t="s">
        <v>963</v>
      </c>
      <c r="K157" s="1" t="s">
        <v>964</v>
      </c>
      <c r="L157" s="1">
        <v>1</v>
      </c>
      <c r="M157" s="1">
        <v>7</v>
      </c>
      <c r="N157" s="1" t="s">
        <v>45</v>
      </c>
      <c r="O157" s="1" t="s">
        <v>175</v>
      </c>
      <c r="P157" s="1" t="s">
        <v>56</v>
      </c>
      <c r="Q157" s="1" t="s">
        <v>32</v>
      </c>
      <c r="R157" s="1">
        <v>37.35</v>
      </c>
      <c r="S157" s="1" t="s">
        <v>46</v>
      </c>
      <c r="T157" s="1" t="s">
        <v>47</v>
      </c>
      <c r="U157" s="1" t="s">
        <v>70</v>
      </c>
      <c r="V157" s="1" t="s">
        <v>36</v>
      </c>
    </row>
    <row r="158" spans="1:22" x14ac:dyDescent="0.3">
      <c r="A158" s="1" t="s">
        <v>965</v>
      </c>
      <c r="B158" s="1" t="s">
        <v>966</v>
      </c>
      <c r="C158" s="1">
        <v>42</v>
      </c>
      <c r="D158" s="1" t="s">
        <v>967</v>
      </c>
      <c r="E158" s="1" t="s">
        <v>51</v>
      </c>
      <c r="F158" s="2">
        <v>44357</v>
      </c>
      <c r="G158" s="2">
        <v>45634</v>
      </c>
      <c r="H158" s="1">
        <v>0</v>
      </c>
      <c r="I158" s="1" t="s">
        <v>27</v>
      </c>
      <c r="J158" s="1" t="s">
        <v>968</v>
      </c>
      <c r="K158" s="1" t="s">
        <v>969</v>
      </c>
      <c r="L158" s="1">
        <v>2</v>
      </c>
      <c r="M158" s="1">
        <v>1</v>
      </c>
      <c r="N158" s="1" t="s">
        <v>45</v>
      </c>
      <c r="O158" s="1" t="s">
        <v>99</v>
      </c>
      <c r="P158" s="1" t="s">
        <v>56</v>
      </c>
      <c r="Q158" s="1" t="s">
        <v>69</v>
      </c>
      <c r="R158" s="1">
        <v>421.02</v>
      </c>
      <c r="S158" s="1" t="s">
        <v>46</v>
      </c>
      <c r="T158" s="1" t="s">
        <v>34</v>
      </c>
      <c r="U158" s="1" t="s">
        <v>70</v>
      </c>
      <c r="V158" s="1" t="s">
        <v>36</v>
      </c>
    </row>
    <row r="159" spans="1:22" x14ac:dyDescent="0.3">
      <c r="A159" s="1" t="s">
        <v>970</v>
      </c>
      <c r="B159" s="1" t="s">
        <v>971</v>
      </c>
      <c r="C159" s="1">
        <v>55</v>
      </c>
      <c r="D159" s="1" t="s">
        <v>972</v>
      </c>
      <c r="E159" s="1" t="s">
        <v>25</v>
      </c>
      <c r="F159" s="1" t="s">
        <v>973</v>
      </c>
      <c r="G159" s="2">
        <v>45475</v>
      </c>
      <c r="H159" s="1">
        <v>4</v>
      </c>
      <c r="I159" s="1" t="s">
        <v>52</v>
      </c>
      <c r="J159" s="1" t="s">
        <v>974</v>
      </c>
      <c r="K159" s="1" t="s">
        <v>975</v>
      </c>
      <c r="L159" s="1">
        <v>7</v>
      </c>
      <c r="M159" s="1">
        <v>45</v>
      </c>
      <c r="N159" s="1" t="s">
        <v>45</v>
      </c>
      <c r="O159" s="1" t="s">
        <v>55</v>
      </c>
      <c r="P159" s="1" t="s">
        <v>56</v>
      </c>
      <c r="Q159" s="1" t="s">
        <v>69</v>
      </c>
      <c r="R159" s="1">
        <v>1294.58</v>
      </c>
      <c r="S159" s="1" t="s">
        <v>46</v>
      </c>
      <c r="T159" s="1" t="s">
        <v>47</v>
      </c>
      <c r="U159" s="1" t="s">
        <v>35</v>
      </c>
      <c r="V159" s="1" t="s">
        <v>36</v>
      </c>
    </row>
    <row r="160" spans="1:22" x14ac:dyDescent="0.3">
      <c r="A160" s="1" t="s">
        <v>976</v>
      </c>
      <c r="B160" s="1" t="s">
        <v>977</v>
      </c>
      <c r="C160" s="1">
        <v>35</v>
      </c>
      <c r="D160" s="1" t="s">
        <v>978</v>
      </c>
      <c r="E160" s="1" t="s">
        <v>51</v>
      </c>
      <c r="F160" s="1" t="s">
        <v>979</v>
      </c>
      <c r="G160" s="1" t="s">
        <v>980</v>
      </c>
      <c r="H160" s="1">
        <v>4</v>
      </c>
      <c r="I160" s="1" t="s">
        <v>27</v>
      </c>
      <c r="J160" s="2">
        <v>44443</v>
      </c>
      <c r="K160" s="1" t="s">
        <v>981</v>
      </c>
      <c r="L160" s="1">
        <v>5</v>
      </c>
      <c r="M160" s="1">
        <v>24</v>
      </c>
      <c r="N160" s="1" t="s">
        <v>68</v>
      </c>
      <c r="O160" s="1" t="s">
        <v>354</v>
      </c>
      <c r="P160" s="1" t="s">
        <v>45</v>
      </c>
      <c r="Q160" s="1" t="s">
        <v>32</v>
      </c>
      <c r="R160" s="1">
        <v>174.4</v>
      </c>
      <c r="S160" s="1" t="s">
        <v>46</v>
      </c>
      <c r="T160" s="1" t="s">
        <v>34</v>
      </c>
      <c r="U160" s="1" t="s">
        <v>35</v>
      </c>
      <c r="V160" s="1" t="s">
        <v>188</v>
      </c>
    </row>
    <row r="161" spans="1:22" x14ac:dyDescent="0.3">
      <c r="A161" s="1" t="s">
        <v>982</v>
      </c>
      <c r="B161" s="1" t="s">
        <v>983</v>
      </c>
      <c r="C161" s="1">
        <v>31</v>
      </c>
      <c r="D161" s="1" t="s">
        <v>984</v>
      </c>
      <c r="E161" s="1" t="s">
        <v>51</v>
      </c>
      <c r="F161" s="2">
        <v>44808</v>
      </c>
      <c r="G161" s="2">
        <v>45543</v>
      </c>
      <c r="H161" s="1">
        <v>3</v>
      </c>
      <c r="I161" s="1" t="s">
        <v>27</v>
      </c>
      <c r="J161" s="1" t="s">
        <v>852</v>
      </c>
      <c r="K161" s="1" t="s">
        <v>985</v>
      </c>
      <c r="L161" s="1">
        <v>9</v>
      </c>
      <c r="M161" s="1">
        <v>1</v>
      </c>
      <c r="N161" s="1" t="s">
        <v>56</v>
      </c>
      <c r="O161" s="1" t="s">
        <v>536</v>
      </c>
      <c r="P161" s="1" t="s">
        <v>68</v>
      </c>
      <c r="Q161" s="1" t="s">
        <v>69</v>
      </c>
      <c r="R161" s="1">
        <v>214.38</v>
      </c>
      <c r="S161" s="1" t="s">
        <v>46</v>
      </c>
      <c r="T161" s="1" t="s">
        <v>57</v>
      </c>
      <c r="U161" s="1" t="s">
        <v>70</v>
      </c>
      <c r="V161" s="1" t="s">
        <v>36</v>
      </c>
    </row>
    <row r="162" spans="1:22" x14ac:dyDescent="0.3">
      <c r="A162" s="1" t="s">
        <v>986</v>
      </c>
      <c r="B162" s="1" t="s">
        <v>987</v>
      </c>
      <c r="C162" s="1">
        <v>21</v>
      </c>
      <c r="D162" s="1" t="s">
        <v>988</v>
      </c>
      <c r="E162" s="1" t="s">
        <v>88</v>
      </c>
      <c r="F162" s="1" t="s">
        <v>338</v>
      </c>
      <c r="G162" s="2">
        <v>44603</v>
      </c>
      <c r="H162" s="1">
        <v>1</v>
      </c>
      <c r="I162" s="1" t="s">
        <v>27</v>
      </c>
      <c r="J162" s="2">
        <v>44750</v>
      </c>
      <c r="K162" s="1" t="s">
        <v>989</v>
      </c>
      <c r="L162" s="1">
        <v>6</v>
      </c>
      <c r="M162" s="1">
        <v>21</v>
      </c>
      <c r="N162" s="1" t="s">
        <v>56</v>
      </c>
      <c r="O162" s="1" t="s">
        <v>624</v>
      </c>
      <c r="P162" s="1" t="s">
        <v>30</v>
      </c>
      <c r="Q162" s="1" t="s">
        <v>69</v>
      </c>
      <c r="R162" s="1">
        <v>1447.8</v>
      </c>
      <c r="S162" s="1" t="s">
        <v>46</v>
      </c>
      <c r="T162" s="1" t="s">
        <v>100</v>
      </c>
      <c r="U162" s="1" t="s">
        <v>35</v>
      </c>
      <c r="V162" s="1" t="s">
        <v>36</v>
      </c>
    </row>
    <row r="163" spans="1:22" x14ac:dyDescent="0.3">
      <c r="A163" s="1" t="s">
        <v>990</v>
      </c>
      <c r="B163" s="1" t="s">
        <v>991</v>
      </c>
      <c r="C163" s="1">
        <v>65</v>
      </c>
      <c r="D163" s="1" t="s">
        <v>992</v>
      </c>
      <c r="E163" s="1" t="s">
        <v>25</v>
      </c>
      <c r="F163" s="1" t="s">
        <v>993</v>
      </c>
      <c r="G163" s="1" t="s">
        <v>994</v>
      </c>
      <c r="H163" s="1">
        <v>5</v>
      </c>
      <c r="I163" s="1" t="s">
        <v>27</v>
      </c>
      <c r="J163" s="1" t="s">
        <v>995</v>
      </c>
      <c r="K163" s="1" t="s">
        <v>996</v>
      </c>
      <c r="L163" s="1">
        <v>3</v>
      </c>
      <c r="M163" s="1">
        <v>24</v>
      </c>
      <c r="N163" s="1" t="s">
        <v>68</v>
      </c>
      <c r="O163" s="1" t="s">
        <v>231</v>
      </c>
      <c r="P163" s="1" t="s">
        <v>30</v>
      </c>
      <c r="Q163" s="1" t="s">
        <v>32</v>
      </c>
      <c r="R163" s="1">
        <v>876.75</v>
      </c>
      <c r="S163" s="1" t="s">
        <v>46</v>
      </c>
      <c r="T163" s="1" t="s">
        <v>232</v>
      </c>
      <c r="U163" s="1" t="s">
        <v>35</v>
      </c>
      <c r="V163" s="1" t="s">
        <v>188</v>
      </c>
    </row>
    <row r="164" spans="1:22" x14ac:dyDescent="0.3">
      <c r="A164" s="1" t="s">
        <v>997</v>
      </c>
      <c r="B164" s="1" t="s">
        <v>998</v>
      </c>
      <c r="C164" s="1">
        <v>30</v>
      </c>
      <c r="D164" s="1" t="s">
        <v>999</v>
      </c>
      <c r="E164" s="1" t="s">
        <v>25</v>
      </c>
      <c r="F164" s="1" t="s">
        <v>1000</v>
      </c>
      <c r="G164" s="1" t="s">
        <v>423</v>
      </c>
      <c r="H164" s="1">
        <v>4</v>
      </c>
      <c r="I164" s="1" t="s">
        <v>52</v>
      </c>
      <c r="J164" s="2">
        <v>44654</v>
      </c>
      <c r="K164" s="1" t="s">
        <v>1001</v>
      </c>
      <c r="L164" s="1">
        <v>6</v>
      </c>
      <c r="M164" s="1">
        <v>44</v>
      </c>
      <c r="N164" s="1" t="s">
        <v>56</v>
      </c>
      <c r="O164" s="1" t="s">
        <v>293</v>
      </c>
      <c r="P164" s="1" t="s">
        <v>45</v>
      </c>
      <c r="Q164" s="1" t="s">
        <v>32</v>
      </c>
      <c r="R164" s="1">
        <v>837.48</v>
      </c>
      <c r="S164" s="1" t="s">
        <v>46</v>
      </c>
      <c r="T164" s="1" t="s">
        <v>57</v>
      </c>
      <c r="U164" s="1" t="s">
        <v>35</v>
      </c>
      <c r="V164" s="1" t="s">
        <v>36</v>
      </c>
    </row>
    <row r="165" spans="1:22" x14ac:dyDescent="0.3">
      <c r="A165" s="1" t="s">
        <v>1002</v>
      </c>
      <c r="B165" s="1" t="s">
        <v>1003</v>
      </c>
      <c r="C165" s="1">
        <v>38</v>
      </c>
      <c r="D165" s="1" t="s">
        <v>1004</v>
      </c>
      <c r="E165" s="1" t="s">
        <v>51</v>
      </c>
      <c r="F165" s="2">
        <v>44964</v>
      </c>
      <c r="G165" s="1" t="s">
        <v>1005</v>
      </c>
      <c r="H165" s="1">
        <v>4</v>
      </c>
      <c r="I165" s="1" t="s">
        <v>52</v>
      </c>
      <c r="J165" s="1" t="s">
        <v>1006</v>
      </c>
      <c r="K165" s="1" t="s">
        <v>1007</v>
      </c>
      <c r="L165" s="1">
        <v>4</v>
      </c>
      <c r="M165" s="1">
        <v>38</v>
      </c>
      <c r="N165" s="1" t="s">
        <v>56</v>
      </c>
      <c r="O165" s="1" t="s">
        <v>425</v>
      </c>
      <c r="P165" s="1" t="s">
        <v>30</v>
      </c>
      <c r="Q165" s="1" t="s">
        <v>32</v>
      </c>
      <c r="R165" s="1">
        <v>1600.32</v>
      </c>
      <c r="S165" s="1" t="s">
        <v>46</v>
      </c>
      <c r="T165" s="1" t="s">
        <v>34</v>
      </c>
      <c r="U165" s="1" t="s">
        <v>35</v>
      </c>
      <c r="V165" s="1" t="s">
        <v>36</v>
      </c>
    </row>
    <row r="166" spans="1:22" x14ac:dyDescent="0.3">
      <c r="A166" s="1" t="s">
        <v>1008</v>
      </c>
      <c r="B166" s="1" t="s">
        <v>1009</v>
      </c>
      <c r="C166" s="1">
        <v>64</v>
      </c>
      <c r="D166" s="1" t="s">
        <v>1010</v>
      </c>
      <c r="E166" s="1" t="s">
        <v>88</v>
      </c>
      <c r="F166" s="1" t="s">
        <v>1011</v>
      </c>
      <c r="G166" s="1" t="s">
        <v>410</v>
      </c>
      <c r="H166" s="1">
        <v>3</v>
      </c>
      <c r="I166" s="1" t="s">
        <v>64</v>
      </c>
      <c r="J166" s="2">
        <v>44934</v>
      </c>
      <c r="K166" s="1" t="s">
        <v>1012</v>
      </c>
      <c r="L166" s="1">
        <v>2</v>
      </c>
      <c r="M166" s="1">
        <v>34</v>
      </c>
      <c r="N166" s="1" t="s">
        <v>54</v>
      </c>
      <c r="O166" s="1" t="s">
        <v>135</v>
      </c>
      <c r="P166" s="1" t="s">
        <v>45</v>
      </c>
      <c r="Q166" s="1" t="s">
        <v>69</v>
      </c>
      <c r="R166" s="1">
        <v>1802.4</v>
      </c>
      <c r="S166" s="1" t="s">
        <v>46</v>
      </c>
      <c r="T166" s="1" t="s">
        <v>47</v>
      </c>
      <c r="U166" s="1" t="s">
        <v>35</v>
      </c>
      <c r="V166" s="1" t="s">
        <v>71</v>
      </c>
    </row>
    <row r="167" spans="1:22" x14ac:dyDescent="0.3">
      <c r="A167" s="1" t="s">
        <v>1013</v>
      </c>
      <c r="B167" s="1" t="s">
        <v>1014</v>
      </c>
      <c r="C167" s="1">
        <v>45</v>
      </c>
      <c r="D167" s="1" t="s">
        <v>1015</v>
      </c>
      <c r="E167" s="1" t="s">
        <v>88</v>
      </c>
      <c r="F167" s="2">
        <v>45265</v>
      </c>
      <c r="G167" s="2">
        <v>45573</v>
      </c>
      <c r="H167" s="1">
        <v>5</v>
      </c>
      <c r="I167" s="1" t="s">
        <v>27</v>
      </c>
      <c r="J167" s="2">
        <v>45967</v>
      </c>
      <c r="K167" s="1" t="s">
        <v>1016</v>
      </c>
      <c r="L167" s="1">
        <v>3</v>
      </c>
      <c r="M167" s="1">
        <v>9</v>
      </c>
      <c r="N167" s="1" t="s">
        <v>54</v>
      </c>
      <c r="O167" s="1" t="s">
        <v>293</v>
      </c>
      <c r="P167" s="1" t="s">
        <v>45</v>
      </c>
      <c r="Q167" s="1" t="s">
        <v>69</v>
      </c>
      <c r="R167" s="1">
        <v>1793.01</v>
      </c>
      <c r="S167" s="1" t="s">
        <v>46</v>
      </c>
      <c r="T167" s="1" t="s">
        <v>34</v>
      </c>
      <c r="U167" s="1" t="s">
        <v>35</v>
      </c>
      <c r="V167" s="1" t="s">
        <v>188</v>
      </c>
    </row>
    <row r="168" spans="1:22" x14ac:dyDescent="0.3">
      <c r="A168" s="1" t="s">
        <v>1017</v>
      </c>
      <c r="B168" s="1" t="s">
        <v>1018</v>
      </c>
      <c r="C168" s="1">
        <v>41</v>
      </c>
      <c r="D168" s="1" t="s">
        <v>1019</v>
      </c>
      <c r="E168" s="1" t="s">
        <v>95</v>
      </c>
      <c r="F168" s="2">
        <v>44264</v>
      </c>
      <c r="G168" s="1" t="s">
        <v>1020</v>
      </c>
      <c r="H168" s="1">
        <v>2</v>
      </c>
      <c r="I168" s="1" t="s">
        <v>52</v>
      </c>
      <c r="J168" s="2">
        <v>45018</v>
      </c>
      <c r="K168" s="1" t="s">
        <v>1021</v>
      </c>
      <c r="L168" s="1">
        <v>3</v>
      </c>
      <c r="M168" s="1">
        <v>3</v>
      </c>
      <c r="N168" s="1" t="s">
        <v>54</v>
      </c>
      <c r="O168" s="1" t="s">
        <v>425</v>
      </c>
      <c r="P168" s="1" t="s">
        <v>30</v>
      </c>
      <c r="Q168" s="1" t="s">
        <v>69</v>
      </c>
      <c r="R168" s="1">
        <v>233.28</v>
      </c>
      <c r="S168" s="1" t="s">
        <v>46</v>
      </c>
      <c r="T168" s="1" t="s">
        <v>34</v>
      </c>
      <c r="U168" s="1" t="s">
        <v>70</v>
      </c>
      <c r="V168" s="1" t="s">
        <v>36</v>
      </c>
    </row>
    <row r="169" spans="1:22" x14ac:dyDescent="0.3">
      <c r="A169" s="1" t="s">
        <v>1022</v>
      </c>
      <c r="B169" s="1" t="s">
        <v>1023</v>
      </c>
      <c r="C169" s="1">
        <v>38</v>
      </c>
      <c r="D169" s="1" t="s">
        <v>1024</v>
      </c>
      <c r="E169" s="1" t="s">
        <v>51</v>
      </c>
      <c r="F169" s="1" t="s">
        <v>1025</v>
      </c>
      <c r="G169" s="1" t="s">
        <v>1026</v>
      </c>
      <c r="H169" s="1">
        <v>1</v>
      </c>
      <c r="I169" s="1" t="s">
        <v>52</v>
      </c>
      <c r="J169" s="2">
        <v>44604</v>
      </c>
      <c r="K169" s="1" t="s">
        <v>1027</v>
      </c>
      <c r="L169" s="1">
        <v>6</v>
      </c>
      <c r="M169" s="1">
        <v>8</v>
      </c>
      <c r="N169" s="1" t="s">
        <v>45</v>
      </c>
      <c r="O169" s="1" t="s">
        <v>169</v>
      </c>
      <c r="P169" s="1" t="s">
        <v>30</v>
      </c>
      <c r="Q169" s="1" t="s">
        <v>69</v>
      </c>
      <c r="R169" s="1">
        <v>94.8</v>
      </c>
      <c r="S169" s="1" t="s">
        <v>46</v>
      </c>
      <c r="T169" s="1" t="s">
        <v>34</v>
      </c>
      <c r="U169" s="1" t="s">
        <v>101</v>
      </c>
      <c r="V169" s="1" t="s">
        <v>36</v>
      </c>
    </row>
    <row r="170" spans="1:22" x14ac:dyDescent="0.3">
      <c r="A170" s="1" t="s">
        <v>1028</v>
      </c>
      <c r="B170" s="1" t="s">
        <v>1029</v>
      </c>
      <c r="C170" s="1">
        <v>62</v>
      </c>
      <c r="D170" s="1" t="s">
        <v>1030</v>
      </c>
      <c r="E170" s="1" t="s">
        <v>88</v>
      </c>
      <c r="F170" s="1" t="s">
        <v>1031</v>
      </c>
      <c r="G170" s="2">
        <v>45017</v>
      </c>
      <c r="H170" s="1">
        <v>2</v>
      </c>
      <c r="I170" s="1" t="s">
        <v>27</v>
      </c>
      <c r="J170" s="2">
        <v>45177</v>
      </c>
      <c r="K170" s="1" t="s">
        <v>1032</v>
      </c>
      <c r="L170" s="1">
        <v>5</v>
      </c>
      <c r="M170" s="1">
        <v>36</v>
      </c>
      <c r="N170" s="1" t="s">
        <v>45</v>
      </c>
      <c r="O170" s="1" t="s">
        <v>425</v>
      </c>
      <c r="P170" s="1" t="s">
        <v>30</v>
      </c>
      <c r="Q170" s="1" t="s">
        <v>322</v>
      </c>
      <c r="R170" s="1">
        <v>759.9</v>
      </c>
      <c r="S170" s="1" t="s">
        <v>46</v>
      </c>
      <c r="T170" s="1" t="s">
        <v>47</v>
      </c>
      <c r="U170" s="1" t="s">
        <v>35</v>
      </c>
      <c r="V170" s="1" t="s">
        <v>36</v>
      </c>
    </row>
    <row r="171" spans="1:22" x14ac:dyDescent="0.3">
      <c r="A171" s="1" t="s">
        <v>1033</v>
      </c>
      <c r="B171" s="1" t="s">
        <v>1034</v>
      </c>
      <c r="C171" s="1">
        <v>47</v>
      </c>
      <c r="D171" s="1" t="s">
        <v>1035</v>
      </c>
      <c r="E171" s="1" t="s">
        <v>61</v>
      </c>
      <c r="F171" s="2">
        <v>44232</v>
      </c>
      <c r="G171" s="1" t="s">
        <v>1036</v>
      </c>
      <c r="H171" s="1">
        <v>5</v>
      </c>
      <c r="I171" s="1" t="s">
        <v>27</v>
      </c>
      <c r="J171" s="1" t="s">
        <v>940</v>
      </c>
      <c r="K171" s="1" t="s">
        <v>1037</v>
      </c>
      <c r="L171" s="1">
        <v>6</v>
      </c>
      <c r="M171" s="1">
        <v>49</v>
      </c>
      <c r="N171" s="1" t="s">
        <v>30</v>
      </c>
      <c r="O171" s="1" t="s">
        <v>269</v>
      </c>
      <c r="P171" s="1" t="s">
        <v>56</v>
      </c>
      <c r="Q171" s="1" t="s">
        <v>69</v>
      </c>
      <c r="R171" s="1">
        <v>211.92</v>
      </c>
      <c r="S171" s="1" t="s">
        <v>46</v>
      </c>
      <c r="T171" s="1" t="s">
        <v>34</v>
      </c>
      <c r="U171" s="1" t="s">
        <v>35</v>
      </c>
      <c r="V171" s="1" t="s">
        <v>188</v>
      </c>
    </row>
    <row r="172" spans="1:22" x14ac:dyDescent="0.3">
      <c r="A172" s="1" t="s">
        <v>1038</v>
      </c>
      <c r="B172" s="1" t="s">
        <v>1039</v>
      </c>
      <c r="C172" s="1">
        <v>65</v>
      </c>
      <c r="D172" s="1" t="s">
        <v>1040</v>
      </c>
      <c r="E172" s="1" t="s">
        <v>95</v>
      </c>
      <c r="F172" s="2">
        <v>44444</v>
      </c>
      <c r="G172" s="2">
        <v>45296</v>
      </c>
      <c r="H172" s="1">
        <v>5</v>
      </c>
      <c r="I172" s="1" t="s">
        <v>27</v>
      </c>
      <c r="J172" s="1" t="s">
        <v>1041</v>
      </c>
      <c r="K172" s="1" t="s">
        <v>1042</v>
      </c>
      <c r="L172" s="1">
        <v>9</v>
      </c>
      <c r="M172" s="1">
        <v>47</v>
      </c>
      <c r="N172" s="1" t="s">
        <v>54</v>
      </c>
      <c r="O172" s="1" t="s">
        <v>251</v>
      </c>
      <c r="P172" s="1" t="s">
        <v>30</v>
      </c>
      <c r="Q172" s="1" t="s">
        <v>32</v>
      </c>
      <c r="R172" s="1">
        <v>1449.27</v>
      </c>
      <c r="S172" s="1" t="s">
        <v>46</v>
      </c>
      <c r="T172" s="1" t="s">
        <v>232</v>
      </c>
      <c r="U172" s="1" t="s">
        <v>35</v>
      </c>
      <c r="V172" s="1" t="s">
        <v>188</v>
      </c>
    </row>
    <row r="173" spans="1:22" x14ac:dyDescent="0.3">
      <c r="A173" s="1" t="s">
        <v>1043</v>
      </c>
      <c r="B173" s="1" t="s">
        <v>1044</v>
      </c>
      <c r="C173" s="1">
        <v>36</v>
      </c>
      <c r="D173" s="1" t="s">
        <v>1045</v>
      </c>
      <c r="E173" s="1" t="s">
        <v>95</v>
      </c>
      <c r="F173" s="1" t="s">
        <v>1046</v>
      </c>
      <c r="G173" s="2">
        <v>45632</v>
      </c>
      <c r="H173" s="1">
        <v>1</v>
      </c>
      <c r="I173" s="1" t="s">
        <v>52</v>
      </c>
      <c r="J173" s="1" t="s">
        <v>1047</v>
      </c>
      <c r="K173" s="1" t="s">
        <v>1048</v>
      </c>
      <c r="L173" s="1">
        <v>2</v>
      </c>
      <c r="M173" s="1">
        <v>2</v>
      </c>
      <c r="N173" s="1" t="s">
        <v>45</v>
      </c>
      <c r="O173" s="1" t="s">
        <v>175</v>
      </c>
      <c r="P173" s="1" t="s">
        <v>56</v>
      </c>
      <c r="Q173" s="1" t="s">
        <v>32</v>
      </c>
      <c r="R173" s="1">
        <v>1242.3399999999999</v>
      </c>
      <c r="S173" s="1" t="s">
        <v>46</v>
      </c>
      <c r="T173" s="1" t="s">
        <v>34</v>
      </c>
      <c r="U173" s="1" t="s">
        <v>101</v>
      </c>
      <c r="V173" s="1" t="s">
        <v>36</v>
      </c>
    </row>
    <row r="174" spans="1:22" x14ac:dyDescent="0.3">
      <c r="A174" s="1" t="s">
        <v>1049</v>
      </c>
      <c r="B174" s="1" t="s">
        <v>1050</v>
      </c>
      <c r="C174" s="1">
        <v>64</v>
      </c>
      <c r="D174" s="1" t="s">
        <v>1051</v>
      </c>
      <c r="E174" s="1" t="s">
        <v>25</v>
      </c>
      <c r="F174" s="1" t="s">
        <v>1052</v>
      </c>
      <c r="G174" s="1" t="s">
        <v>1053</v>
      </c>
      <c r="H174" s="1">
        <v>0</v>
      </c>
      <c r="I174" s="1" t="s">
        <v>52</v>
      </c>
      <c r="J174" s="1" t="s">
        <v>1054</v>
      </c>
      <c r="K174" s="1" t="s">
        <v>1055</v>
      </c>
      <c r="L174" s="1">
        <v>5</v>
      </c>
      <c r="M174" s="1">
        <v>28</v>
      </c>
      <c r="N174" s="1" t="s">
        <v>30</v>
      </c>
      <c r="O174" s="1" t="s">
        <v>837</v>
      </c>
      <c r="P174" s="1" t="s">
        <v>56</v>
      </c>
      <c r="Q174" s="1" t="s">
        <v>32</v>
      </c>
      <c r="R174" s="1">
        <v>1308.25</v>
      </c>
      <c r="S174" s="1" t="s">
        <v>46</v>
      </c>
      <c r="T174" s="1" t="s">
        <v>47</v>
      </c>
      <c r="U174" s="1" t="s">
        <v>35</v>
      </c>
      <c r="V174" s="1" t="s">
        <v>36</v>
      </c>
    </row>
    <row r="175" spans="1:22" x14ac:dyDescent="0.3">
      <c r="A175" s="1" t="s">
        <v>1056</v>
      </c>
      <c r="B175" s="1" t="s">
        <v>1057</v>
      </c>
      <c r="C175" s="1">
        <v>38</v>
      </c>
      <c r="D175" s="1" t="s">
        <v>1058</v>
      </c>
      <c r="E175" s="1" t="s">
        <v>51</v>
      </c>
      <c r="F175" s="2">
        <v>44900</v>
      </c>
      <c r="G175" s="2">
        <v>45334</v>
      </c>
      <c r="H175" s="1">
        <v>5</v>
      </c>
      <c r="I175" s="1" t="s">
        <v>52</v>
      </c>
      <c r="J175" s="2">
        <v>45966</v>
      </c>
      <c r="K175" s="1" t="s">
        <v>1059</v>
      </c>
      <c r="L175" s="1">
        <v>5</v>
      </c>
      <c r="M175" s="1">
        <v>42</v>
      </c>
      <c r="N175" s="1" t="s">
        <v>68</v>
      </c>
      <c r="O175" s="1" t="s">
        <v>354</v>
      </c>
      <c r="P175" s="1" t="s">
        <v>45</v>
      </c>
      <c r="Q175" s="1" t="s">
        <v>69</v>
      </c>
      <c r="R175" s="1">
        <v>1664.3</v>
      </c>
      <c r="S175" s="1" t="s">
        <v>46</v>
      </c>
      <c r="T175" s="1" t="s">
        <v>34</v>
      </c>
      <c r="U175" s="1" t="s">
        <v>35</v>
      </c>
      <c r="V175" s="1" t="s">
        <v>36</v>
      </c>
    </row>
    <row r="176" spans="1:22" x14ac:dyDescent="0.3">
      <c r="A176" s="1" t="s">
        <v>1060</v>
      </c>
      <c r="B176" s="1" t="s">
        <v>1061</v>
      </c>
      <c r="C176" s="1">
        <v>51</v>
      </c>
      <c r="D176" s="1" t="s">
        <v>1062</v>
      </c>
      <c r="E176" s="1" t="s">
        <v>88</v>
      </c>
      <c r="F176" s="1" t="s">
        <v>1063</v>
      </c>
      <c r="G176" s="1" t="s">
        <v>1064</v>
      </c>
      <c r="H176" s="1">
        <v>4</v>
      </c>
      <c r="I176" s="1" t="s">
        <v>27</v>
      </c>
      <c r="J176" s="2">
        <v>45905</v>
      </c>
      <c r="K176" s="1" t="s">
        <v>1065</v>
      </c>
      <c r="L176" s="1">
        <v>3</v>
      </c>
      <c r="M176" s="1">
        <v>39</v>
      </c>
      <c r="N176" s="1" t="s">
        <v>68</v>
      </c>
      <c r="O176" s="1" t="s">
        <v>821</v>
      </c>
      <c r="P176" s="1" t="s">
        <v>68</v>
      </c>
      <c r="Q176" s="1" t="s">
        <v>69</v>
      </c>
      <c r="R176" s="1">
        <v>205.35</v>
      </c>
      <c r="S176" s="1" t="s">
        <v>33</v>
      </c>
      <c r="T176" s="1" t="s">
        <v>47</v>
      </c>
      <c r="U176" s="1" t="s">
        <v>35</v>
      </c>
      <c r="V176" s="1" t="s">
        <v>188</v>
      </c>
    </row>
    <row r="177" spans="1:22" x14ac:dyDescent="0.3">
      <c r="A177" s="1" t="s">
        <v>1066</v>
      </c>
      <c r="B177" s="1" t="s">
        <v>1067</v>
      </c>
      <c r="C177" s="1">
        <v>62</v>
      </c>
      <c r="D177" s="1" t="s">
        <v>1068</v>
      </c>
      <c r="E177" s="1" t="s">
        <v>51</v>
      </c>
      <c r="F177" s="1" t="s">
        <v>645</v>
      </c>
      <c r="G177" s="1" t="s">
        <v>1069</v>
      </c>
      <c r="H177" s="1">
        <v>5</v>
      </c>
      <c r="I177" s="1" t="s">
        <v>27</v>
      </c>
      <c r="J177" s="1" t="s">
        <v>664</v>
      </c>
      <c r="K177" s="1" t="s">
        <v>1070</v>
      </c>
      <c r="L177" s="1">
        <v>4</v>
      </c>
      <c r="M177" s="1">
        <v>26</v>
      </c>
      <c r="N177" s="1" t="s">
        <v>30</v>
      </c>
      <c r="O177" s="1" t="s">
        <v>199</v>
      </c>
      <c r="P177" s="1" t="s">
        <v>54</v>
      </c>
      <c r="Q177" s="1" t="s">
        <v>69</v>
      </c>
      <c r="R177" s="1">
        <v>1099.8399999999999</v>
      </c>
      <c r="S177" s="1" t="s">
        <v>46</v>
      </c>
      <c r="T177" s="1" t="s">
        <v>47</v>
      </c>
      <c r="U177" s="1" t="s">
        <v>35</v>
      </c>
      <c r="V177" s="1" t="s">
        <v>188</v>
      </c>
    </row>
    <row r="178" spans="1:22" x14ac:dyDescent="0.3">
      <c r="A178" s="1" t="s">
        <v>1071</v>
      </c>
      <c r="B178" s="1" t="s">
        <v>1072</v>
      </c>
      <c r="C178" s="1">
        <v>20</v>
      </c>
      <c r="D178" s="1" t="s">
        <v>1073</v>
      </c>
      <c r="E178" s="1" t="s">
        <v>51</v>
      </c>
      <c r="F178" s="2">
        <v>45237</v>
      </c>
      <c r="G178" s="1" t="s">
        <v>1074</v>
      </c>
      <c r="H178" s="1">
        <v>3</v>
      </c>
      <c r="I178" s="1" t="s">
        <v>52</v>
      </c>
      <c r="J178" s="1" t="s">
        <v>1075</v>
      </c>
      <c r="K178" s="1" t="s">
        <v>1076</v>
      </c>
      <c r="L178" s="1">
        <v>2</v>
      </c>
      <c r="M178" s="1">
        <v>17</v>
      </c>
      <c r="N178" s="1" t="s">
        <v>30</v>
      </c>
      <c r="O178" s="1" t="s">
        <v>366</v>
      </c>
      <c r="P178" s="1" t="s">
        <v>54</v>
      </c>
      <c r="Q178" s="1" t="s">
        <v>69</v>
      </c>
      <c r="R178" s="1">
        <v>1718.8</v>
      </c>
      <c r="S178" s="1" t="s">
        <v>46</v>
      </c>
      <c r="T178" s="1" t="s">
        <v>100</v>
      </c>
      <c r="U178" s="1" t="s">
        <v>35</v>
      </c>
      <c r="V178" s="1" t="s">
        <v>36</v>
      </c>
    </row>
    <row r="179" spans="1:22" x14ac:dyDescent="0.3">
      <c r="A179" s="1" t="s">
        <v>1077</v>
      </c>
      <c r="B179" s="1" t="s">
        <v>1078</v>
      </c>
      <c r="C179" s="1">
        <v>21</v>
      </c>
      <c r="D179" s="1" t="s">
        <v>1079</v>
      </c>
      <c r="E179" s="1" t="s">
        <v>25</v>
      </c>
      <c r="F179" s="1" t="s">
        <v>1080</v>
      </c>
      <c r="G179" s="2">
        <v>44662</v>
      </c>
      <c r="H179" s="1">
        <v>4</v>
      </c>
      <c r="I179" s="1" t="s">
        <v>64</v>
      </c>
      <c r="J179" s="1" t="s">
        <v>1036</v>
      </c>
      <c r="K179" s="1" t="s">
        <v>1081</v>
      </c>
      <c r="L179" s="1">
        <v>9</v>
      </c>
      <c r="M179" s="1">
        <v>34</v>
      </c>
      <c r="N179" s="1" t="s">
        <v>30</v>
      </c>
      <c r="O179" s="1" t="s">
        <v>169</v>
      </c>
      <c r="P179" s="1" t="s">
        <v>30</v>
      </c>
      <c r="Q179" s="1" t="s">
        <v>32</v>
      </c>
      <c r="R179" s="1">
        <v>932.76</v>
      </c>
      <c r="S179" s="1" t="s">
        <v>33</v>
      </c>
      <c r="T179" s="1" t="s">
        <v>100</v>
      </c>
      <c r="U179" s="1" t="s">
        <v>35</v>
      </c>
      <c r="V179" s="1" t="s">
        <v>71</v>
      </c>
    </row>
    <row r="180" spans="1:22" x14ac:dyDescent="0.3">
      <c r="A180" s="1" t="s">
        <v>1082</v>
      </c>
      <c r="B180" s="1" t="s">
        <v>1083</v>
      </c>
      <c r="C180" s="1">
        <v>45</v>
      </c>
      <c r="D180" s="1" t="s">
        <v>1084</v>
      </c>
      <c r="E180" s="1" t="s">
        <v>25</v>
      </c>
      <c r="F180" s="1" t="s">
        <v>1085</v>
      </c>
      <c r="G180" s="1" t="s">
        <v>312</v>
      </c>
      <c r="H180" s="1">
        <v>3</v>
      </c>
      <c r="I180" s="1" t="s">
        <v>52</v>
      </c>
      <c r="J180" s="2">
        <v>45086</v>
      </c>
      <c r="K180" s="1" t="s">
        <v>1086</v>
      </c>
      <c r="L180" s="1">
        <v>2</v>
      </c>
      <c r="M180" s="1">
        <v>18</v>
      </c>
      <c r="N180" s="1" t="s">
        <v>68</v>
      </c>
      <c r="O180" s="1" t="s">
        <v>142</v>
      </c>
      <c r="P180" s="1" t="s">
        <v>68</v>
      </c>
      <c r="Q180" s="1" t="s">
        <v>32</v>
      </c>
      <c r="R180" s="1">
        <v>1986.96</v>
      </c>
      <c r="S180" s="1" t="s">
        <v>33</v>
      </c>
      <c r="T180" s="1" t="s">
        <v>34</v>
      </c>
      <c r="U180" s="1" t="s">
        <v>35</v>
      </c>
      <c r="V180" s="1" t="s">
        <v>36</v>
      </c>
    </row>
    <row r="181" spans="1:22" x14ac:dyDescent="0.3">
      <c r="A181" s="1" t="s">
        <v>1087</v>
      </c>
      <c r="B181" s="1" t="s">
        <v>1088</v>
      </c>
      <c r="C181" s="1">
        <v>48</v>
      </c>
      <c r="D181" s="1" t="s">
        <v>1089</v>
      </c>
      <c r="E181" s="1" t="s">
        <v>88</v>
      </c>
      <c r="F181" s="1" t="s">
        <v>1090</v>
      </c>
      <c r="G181" s="2">
        <v>44357</v>
      </c>
      <c r="H181" s="1">
        <v>2</v>
      </c>
      <c r="I181" s="1" t="s">
        <v>27</v>
      </c>
      <c r="J181" s="2">
        <v>44838</v>
      </c>
      <c r="K181" s="1" t="s">
        <v>1091</v>
      </c>
      <c r="L181" s="1">
        <v>2</v>
      </c>
      <c r="M181" s="1">
        <v>15</v>
      </c>
      <c r="N181" s="1" t="s">
        <v>30</v>
      </c>
      <c r="O181" s="1" t="s">
        <v>211</v>
      </c>
      <c r="P181" s="1" t="s">
        <v>68</v>
      </c>
      <c r="Q181" s="1" t="s">
        <v>69</v>
      </c>
      <c r="R181" s="1">
        <v>696.68</v>
      </c>
      <c r="S181" s="1" t="s">
        <v>46</v>
      </c>
      <c r="T181" s="1" t="s">
        <v>34</v>
      </c>
      <c r="U181" s="1" t="s">
        <v>35</v>
      </c>
      <c r="V181" s="1" t="s">
        <v>36</v>
      </c>
    </row>
    <row r="182" spans="1:22" x14ac:dyDescent="0.3">
      <c r="A182" s="1" t="s">
        <v>1092</v>
      </c>
      <c r="B182" s="1" t="s">
        <v>1093</v>
      </c>
      <c r="C182" s="1">
        <v>48</v>
      </c>
      <c r="D182" s="1" t="s">
        <v>1094</v>
      </c>
      <c r="E182" s="1" t="s">
        <v>51</v>
      </c>
      <c r="F182" s="2">
        <v>45203</v>
      </c>
      <c r="G182" s="2">
        <v>45296</v>
      </c>
      <c r="H182" s="1">
        <v>0</v>
      </c>
      <c r="I182" s="1" t="s">
        <v>27</v>
      </c>
      <c r="J182" s="1" t="s">
        <v>1095</v>
      </c>
      <c r="K182" s="1" t="s">
        <v>1096</v>
      </c>
      <c r="L182" s="1">
        <v>6</v>
      </c>
      <c r="M182" s="1">
        <v>33</v>
      </c>
      <c r="N182" s="1" t="s">
        <v>68</v>
      </c>
      <c r="O182" s="1" t="s">
        <v>855</v>
      </c>
      <c r="P182" s="1" t="s">
        <v>45</v>
      </c>
      <c r="Q182" s="1" t="s">
        <v>69</v>
      </c>
      <c r="R182" s="1">
        <v>112.2</v>
      </c>
      <c r="S182" s="1" t="s">
        <v>46</v>
      </c>
      <c r="T182" s="1" t="s">
        <v>34</v>
      </c>
      <c r="U182" s="1" t="s">
        <v>35</v>
      </c>
      <c r="V182" s="1" t="s">
        <v>36</v>
      </c>
    </row>
    <row r="183" spans="1:22" x14ac:dyDescent="0.3">
      <c r="A183" s="1" t="s">
        <v>1097</v>
      </c>
      <c r="B183" s="1" t="s">
        <v>1098</v>
      </c>
      <c r="C183" s="1">
        <v>33</v>
      </c>
      <c r="D183" s="1" t="s">
        <v>1099</v>
      </c>
      <c r="E183" s="1" t="s">
        <v>51</v>
      </c>
      <c r="F183" s="1" t="s">
        <v>344</v>
      </c>
      <c r="G183" s="1" t="s">
        <v>1100</v>
      </c>
      <c r="H183" s="1">
        <v>3</v>
      </c>
      <c r="I183" s="1" t="s">
        <v>52</v>
      </c>
      <c r="J183" s="2">
        <v>45966</v>
      </c>
      <c r="K183" s="1" t="s">
        <v>1101</v>
      </c>
      <c r="L183" s="1">
        <v>1</v>
      </c>
      <c r="M183" s="1">
        <v>42</v>
      </c>
      <c r="N183" s="1" t="s">
        <v>30</v>
      </c>
      <c r="O183" s="1" t="s">
        <v>223</v>
      </c>
      <c r="P183" s="1" t="s">
        <v>56</v>
      </c>
      <c r="Q183" s="1" t="s">
        <v>69</v>
      </c>
      <c r="R183" s="1">
        <v>1543.22</v>
      </c>
      <c r="S183" s="1" t="s">
        <v>46</v>
      </c>
      <c r="T183" s="1" t="s">
        <v>57</v>
      </c>
      <c r="U183" s="1" t="s">
        <v>35</v>
      </c>
      <c r="V183" s="1" t="s">
        <v>36</v>
      </c>
    </row>
    <row r="184" spans="1:22" x14ac:dyDescent="0.3">
      <c r="A184" s="1" t="s">
        <v>1102</v>
      </c>
      <c r="B184" s="1" t="s">
        <v>1103</v>
      </c>
      <c r="C184" s="1">
        <v>37</v>
      </c>
      <c r="D184" s="1" t="s">
        <v>1104</v>
      </c>
      <c r="E184" s="1" t="s">
        <v>61</v>
      </c>
      <c r="F184" s="2">
        <v>44204</v>
      </c>
      <c r="G184" s="1" t="s">
        <v>1105</v>
      </c>
      <c r="H184" s="1">
        <v>0</v>
      </c>
      <c r="I184" s="1" t="s">
        <v>27</v>
      </c>
      <c r="J184" s="1" t="s">
        <v>1106</v>
      </c>
      <c r="K184" s="1" t="s">
        <v>1107</v>
      </c>
      <c r="L184" s="1">
        <v>8</v>
      </c>
      <c r="M184" s="1">
        <v>5</v>
      </c>
      <c r="N184" s="1" t="s">
        <v>68</v>
      </c>
      <c r="O184" s="1" t="s">
        <v>128</v>
      </c>
      <c r="P184" s="1" t="s">
        <v>54</v>
      </c>
      <c r="Q184" s="1" t="s">
        <v>69</v>
      </c>
      <c r="R184" s="1">
        <v>1465.6</v>
      </c>
      <c r="S184" s="1" t="s">
        <v>46</v>
      </c>
      <c r="T184" s="1" t="s">
        <v>34</v>
      </c>
      <c r="U184" s="1" t="s">
        <v>35</v>
      </c>
      <c r="V184" s="1" t="s">
        <v>36</v>
      </c>
    </row>
    <row r="185" spans="1:22" x14ac:dyDescent="0.3">
      <c r="A185" s="1" t="s">
        <v>1108</v>
      </c>
      <c r="B185" s="1" t="s">
        <v>1109</v>
      </c>
      <c r="C185" s="1">
        <v>59</v>
      </c>
      <c r="D185" s="1" t="s">
        <v>1110</v>
      </c>
      <c r="E185" s="1" t="s">
        <v>25</v>
      </c>
      <c r="F185" s="1" t="s">
        <v>249</v>
      </c>
      <c r="G185" s="1" t="s">
        <v>1111</v>
      </c>
      <c r="H185" s="1">
        <v>2</v>
      </c>
      <c r="I185" s="1" t="s">
        <v>27</v>
      </c>
      <c r="J185" s="1" t="s">
        <v>1112</v>
      </c>
      <c r="K185" s="1" t="s">
        <v>1113</v>
      </c>
      <c r="L185" s="1">
        <v>8</v>
      </c>
      <c r="M185" s="1">
        <v>23</v>
      </c>
      <c r="N185" s="1" t="s">
        <v>56</v>
      </c>
      <c r="O185" s="1" t="s">
        <v>77</v>
      </c>
      <c r="P185" s="1" t="s">
        <v>54</v>
      </c>
      <c r="Q185" s="1" t="s">
        <v>69</v>
      </c>
      <c r="R185" s="1">
        <v>1727.04</v>
      </c>
      <c r="S185" s="1" t="s">
        <v>46</v>
      </c>
      <c r="T185" s="1" t="s">
        <v>47</v>
      </c>
      <c r="U185" s="1" t="s">
        <v>35</v>
      </c>
      <c r="V185" s="1" t="s">
        <v>36</v>
      </c>
    </row>
    <row r="186" spans="1:22" x14ac:dyDescent="0.3">
      <c r="A186" s="1" t="s">
        <v>1114</v>
      </c>
      <c r="B186" s="1" t="s">
        <v>1115</v>
      </c>
      <c r="C186" s="1">
        <v>37</v>
      </c>
      <c r="D186" s="1" t="s">
        <v>1116</v>
      </c>
      <c r="E186" s="1" t="s">
        <v>40</v>
      </c>
      <c r="F186" s="2">
        <v>45176</v>
      </c>
      <c r="G186" s="2">
        <v>45841</v>
      </c>
      <c r="H186" s="1">
        <v>3</v>
      </c>
      <c r="I186" s="1" t="s">
        <v>27</v>
      </c>
      <c r="J186" s="1" t="s">
        <v>1117</v>
      </c>
      <c r="K186" s="1" t="s">
        <v>1118</v>
      </c>
      <c r="L186" s="1">
        <v>1</v>
      </c>
      <c r="M186" s="1">
        <v>33</v>
      </c>
      <c r="N186" s="1" t="s">
        <v>54</v>
      </c>
      <c r="O186" s="1" t="s">
        <v>425</v>
      </c>
      <c r="P186" s="1" t="s">
        <v>30</v>
      </c>
      <c r="Q186" s="1" t="s">
        <v>69</v>
      </c>
      <c r="R186" s="1">
        <v>1071.1300000000001</v>
      </c>
      <c r="S186" s="1" t="s">
        <v>46</v>
      </c>
      <c r="T186" s="1" t="s">
        <v>34</v>
      </c>
      <c r="U186" s="1" t="s">
        <v>35</v>
      </c>
      <c r="V186" s="1" t="s">
        <v>36</v>
      </c>
    </row>
    <row r="187" spans="1:22" x14ac:dyDescent="0.3">
      <c r="A187" s="1" t="s">
        <v>1119</v>
      </c>
      <c r="B187" s="1" t="s">
        <v>1120</v>
      </c>
      <c r="C187" s="1">
        <v>47</v>
      </c>
      <c r="D187" s="1" t="s">
        <v>1121</v>
      </c>
      <c r="E187" s="1" t="s">
        <v>25</v>
      </c>
      <c r="F187" s="1" t="s">
        <v>1122</v>
      </c>
      <c r="G187" s="1" t="s">
        <v>1123</v>
      </c>
      <c r="H187" s="1">
        <v>2</v>
      </c>
      <c r="I187" s="1" t="s">
        <v>27</v>
      </c>
      <c r="J187" s="1" t="s">
        <v>918</v>
      </c>
      <c r="K187" s="1" t="s">
        <v>1124</v>
      </c>
      <c r="L187" s="1">
        <v>9</v>
      </c>
      <c r="M187" s="1">
        <v>9</v>
      </c>
      <c r="N187" s="1" t="s">
        <v>45</v>
      </c>
      <c r="O187" s="1" t="s">
        <v>169</v>
      </c>
      <c r="P187" s="1" t="s">
        <v>30</v>
      </c>
      <c r="Q187" s="1" t="s">
        <v>32</v>
      </c>
      <c r="R187" s="1">
        <v>198.63</v>
      </c>
      <c r="S187" s="1" t="s">
        <v>46</v>
      </c>
      <c r="T187" s="1" t="s">
        <v>34</v>
      </c>
      <c r="U187" s="1" t="s">
        <v>101</v>
      </c>
      <c r="V187" s="1" t="s">
        <v>36</v>
      </c>
    </row>
    <row r="188" spans="1:22" x14ac:dyDescent="0.3">
      <c r="A188" s="1" t="s">
        <v>1125</v>
      </c>
      <c r="B188" s="1" t="s">
        <v>1126</v>
      </c>
      <c r="C188" s="1">
        <v>62</v>
      </c>
      <c r="D188" s="1" t="s">
        <v>1127</v>
      </c>
      <c r="E188" s="1" t="s">
        <v>25</v>
      </c>
      <c r="F188" s="2">
        <v>44416</v>
      </c>
      <c r="G188" s="2">
        <v>45998</v>
      </c>
      <c r="H188" s="1">
        <v>5</v>
      </c>
      <c r="I188" s="1" t="s">
        <v>27</v>
      </c>
      <c r="J188" s="1" t="s">
        <v>1111</v>
      </c>
      <c r="K188" s="1" t="s">
        <v>1128</v>
      </c>
      <c r="L188" s="1">
        <v>4</v>
      </c>
      <c r="M188" s="1">
        <v>10</v>
      </c>
      <c r="N188" s="1" t="s">
        <v>68</v>
      </c>
      <c r="O188" s="1" t="s">
        <v>99</v>
      </c>
      <c r="P188" s="1" t="s">
        <v>56</v>
      </c>
      <c r="Q188" s="1" t="s">
        <v>32</v>
      </c>
      <c r="R188" s="1">
        <v>800.84</v>
      </c>
      <c r="S188" s="1" t="s">
        <v>46</v>
      </c>
      <c r="T188" s="1" t="s">
        <v>47</v>
      </c>
      <c r="U188" s="1" t="s">
        <v>35</v>
      </c>
      <c r="V188" s="1" t="s">
        <v>188</v>
      </c>
    </row>
    <row r="189" spans="1:22" x14ac:dyDescent="0.3">
      <c r="A189" s="1" t="s">
        <v>1129</v>
      </c>
      <c r="B189" s="1" t="s">
        <v>1130</v>
      </c>
      <c r="C189" s="1">
        <v>26</v>
      </c>
      <c r="D189" s="1" t="s">
        <v>1131</v>
      </c>
      <c r="E189" s="1" t="s">
        <v>61</v>
      </c>
      <c r="F189" s="2">
        <v>45082</v>
      </c>
      <c r="G189" s="1" t="s">
        <v>1132</v>
      </c>
      <c r="H189" s="1">
        <v>1</v>
      </c>
      <c r="I189" s="1" t="s">
        <v>52</v>
      </c>
      <c r="J189" s="1" t="s">
        <v>830</v>
      </c>
      <c r="K189" s="1" t="s">
        <v>1133</v>
      </c>
      <c r="L189" s="1">
        <v>2</v>
      </c>
      <c r="M189" s="1">
        <v>39</v>
      </c>
      <c r="N189" s="1" t="s">
        <v>45</v>
      </c>
      <c r="O189" s="1" t="s">
        <v>231</v>
      </c>
      <c r="P189" s="1" t="s">
        <v>30</v>
      </c>
      <c r="Q189" s="1" t="s">
        <v>32</v>
      </c>
      <c r="R189" s="1">
        <v>1357.34</v>
      </c>
      <c r="S189" s="1" t="s">
        <v>46</v>
      </c>
      <c r="T189" s="1" t="s">
        <v>57</v>
      </c>
      <c r="U189" s="1" t="s">
        <v>35</v>
      </c>
      <c r="V189" s="1" t="s">
        <v>36</v>
      </c>
    </row>
    <row r="190" spans="1:22" x14ac:dyDescent="0.3">
      <c r="A190" s="1" t="s">
        <v>1134</v>
      </c>
      <c r="B190" s="1" t="s">
        <v>1135</v>
      </c>
      <c r="C190" s="1">
        <v>20</v>
      </c>
      <c r="D190" s="1" t="s">
        <v>1136</v>
      </c>
      <c r="E190" s="1" t="s">
        <v>51</v>
      </c>
      <c r="F190" s="1" t="s">
        <v>1137</v>
      </c>
      <c r="G190" s="2">
        <v>45575</v>
      </c>
      <c r="H190" s="1">
        <v>0</v>
      </c>
      <c r="I190" s="1" t="s">
        <v>27</v>
      </c>
      <c r="J190" s="1" t="s">
        <v>75</v>
      </c>
      <c r="K190" s="1" t="s">
        <v>1138</v>
      </c>
      <c r="L190" s="1">
        <v>2</v>
      </c>
      <c r="M190" s="1">
        <v>34</v>
      </c>
      <c r="N190" s="1" t="s">
        <v>68</v>
      </c>
      <c r="O190" s="1" t="s">
        <v>855</v>
      </c>
      <c r="P190" s="1" t="s">
        <v>45</v>
      </c>
      <c r="Q190" s="1" t="s">
        <v>32</v>
      </c>
      <c r="R190" s="1">
        <v>1378.74</v>
      </c>
      <c r="S190" s="1" t="s">
        <v>46</v>
      </c>
      <c r="T190" s="1" t="s">
        <v>100</v>
      </c>
      <c r="U190" s="1" t="s">
        <v>35</v>
      </c>
      <c r="V190" s="1" t="s">
        <v>36</v>
      </c>
    </row>
    <row r="191" spans="1:22" x14ac:dyDescent="0.3">
      <c r="A191" s="1" t="s">
        <v>1139</v>
      </c>
      <c r="B191" s="1" t="s">
        <v>1140</v>
      </c>
      <c r="C191" s="1">
        <v>40</v>
      </c>
      <c r="D191" s="1" t="s">
        <v>1141</v>
      </c>
      <c r="E191" s="1" t="s">
        <v>88</v>
      </c>
      <c r="F191" s="1" t="s">
        <v>1142</v>
      </c>
      <c r="G191" s="1" t="s">
        <v>1143</v>
      </c>
      <c r="H191" s="1">
        <v>5</v>
      </c>
      <c r="I191" s="1" t="s">
        <v>27</v>
      </c>
      <c r="J191" s="2">
        <v>45755</v>
      </c>
      <c r="K191" s="1" t="s">
        <v>1144</v>
      </c>
      <c r="L191" s="1">
        <v>6</v>
      </c>
      <c r="M191" s="1">
        <v>40</v>
      </c>
      <c r="N191" s="1" t="s">
        <v>54</v>
      </c>
      <c r="O191" s="1" t="s">
        <v>837</v>
      </c>
      <c r="P191" s="1" t="s">
        <v>56</v>
      </c>
      <c r="Q191" s="1" t="s">
        <v>69</v>
      </c>
      <c r="R191" s="1">
        <v>1085.8800000000001</v>
      </c>
      <c r="S191" s="1" t="s">
        <v>46</v>
      </c>
      <c r="T191" s="1" t="s">
        <v>34</v>
      </c>
      <c r="U191" s="1" t="s">
        <v>35</v>
      </c>
      <c r="V191" s="1" t="s">
        <v>188</v>
      </c>
    </row>
    <row r="192" spans="1:22" x14ac:dyDescent="0.3">
      <c r="A192" s="1" t="s">
        <v>1145</v>
      </c>
      <c r="B192" s="1" t="s">
        <v>1146</v>
      </c>
      <c r="C192" s="1">
        <v>49</v>
      </c>
      <c r="D192" s="1" t="s">
        <v>1147</v>
      </c>
      <c r="E192" s="1" t="s">
        <v>51</v>
      </c>
      <c r="F192" s="1" t="s">
        <v>1148</v>
      </c>
      <c r="G192" s="2">
        <v>44958</v>
      </c>
      <c r="H192" s="1">
        <v>4</v>
      </c>
      <c r="I192" s="1" t="s">
        <v>52</v>
      </c>
      <c r="J192" s="2">
        <v>45753</v>
      </c>
      <c r="K192" s="1" t="s">
        <v>1149</v>
      </c>
      <c r="L192" s="1">
        <v>5</v>
      </c>
      <c r="M192" s="1">
        <v>7</v>
      </c>
      <c r="N192" s="1" t="s">
        <v>54</v>
      </c>
      <c r="O192" s="1" t="s">
        <v>116</v>
      </c>
      <c r="P192" s="1" t="s">
        <v>54</v>
      </c>
      <c r="Q192" s="1" t="s">
        <v>32</v>
      </c>
      <c r="R192" s="1">
        <v>741.7</v>
      </c>
      <c r="S192" s="1" t="s">
        <v>33</v>
      </c>
      <c r="T192" s="1" t="s">
        <v>34</v>
      </c>
      <c r="U192" s="1" t="s">
        <v>35</v>
      </c>
      <c r="V192" s="1" t="s">
        <v>36</v>
      </c>
    </row>
    <row r="193" spans="1:22" x14ac:dyDescent="0.3">
      <c r="A193" s="1" t="s">
        <v>1150</v>
      </c>
      <c r="B193" s="1" t="s">
        <v>1151</v>
      </c>
      <c r="C193" s="1">
        <v>33</v>
      </c>
      <c r="D193" s="1" t="s">
        <v>1152</v>
      </c>
      <c r="E193" s="1" t="s">
        <v>95</v>
      </c>
      <c r="F193" s="1" t="s">
        <v>1153</v>
      </c>
      <c r="G193" s="1" t="s">
        <v>1154</v>
      </c>
      <c r="H193" s="1">
        <v>4</v>
      </c>
      <c r="I193" s="1" t="s">
        <v>52</v>
      </c>
      <c r="J193" s="2">
        <v>44597</v>
      </c>
      <c r="K193" s="1" t="s">
        <v>1155</v>
      </c>
      <c r="L193" s="1">
        <v>7</v>
      </c>
      <c r="M193" s="1">
        <v>9</v>
      </c>
      <c r="N193" s="1" t="s">
        <v>54</v>
      </c>
      <c r="O193" s="1" t="s">
        <v>366</v>
      </c>
      <c r="P193" s="1" t="s">
        <v>54</v>
      </c>
      <c r="Q193" s="1" t="s">
        <v>69</v>
      </c>
      <c r="R193" s="1">
        <v>894.81</v>
      </c>
      <c r="S193" s="1" t="s">
        <v>33</v>
      </c>
      <c r="T193" s="1" t="s">
        <v>57</v>
      </c>
      <c r="U193" s="1" t="s">
        <v>35</v>
      </c>
      <c r="V193" s="1" t="s">
        <v>36</v>
      </c>
    </row>
    <row r="194" spans="1:22" x14ac:dyDescent="0.3">
      <c r="A194" s="1" t="s">
        <v>1156</v>
      </c>
      <c r="B194" s="1" t="s">
        <v>1157</v>
      </c>
      <c r="C194" s="1">
        <v>54</v>
      </c>
      <c r="D194" s="1" t="s">
        <v>1158</v>
      </c>
      <c r="E194" s="1" t="s">
        <v>51</v>
      </c>
      <c r="F194" s="2">
        <v>44265</v>
      </c>
      <c r="G194" s="1" t="s">
        <v>1159</v>
      </c>
      <c r="H194" s="1">
        <v>2</v>
      </c>
      <c r="I194" s="1" t="s">
        <v>27</v>
      </c>
      <c r="J194" s="2">
        <v>45689</v>
      </c>
      <c r="K194" s="1" t="s">
        <v>1160</v>
      </c>
      <c r="L194" s="1">
        <v>8</v>
      </c>
      <c r="M194" s="1">
        <v>29</v>
      </c>
      <c r="N194" s="1" t="s">
        <v>56</v>
      </c>
      <c r="O194" s="1" t="s">
        <v>211</v>
      </c>
      <c r="P194" s="1" t="s">
        <v>68</v>
      </c>
      <c r="Q194" s="1" t="s">
        <v>322</v>
      </c>
      <c r="R194" s="1">
        <v>1496.16</v>
      </c>
      <c r="S194" s="1" t="s">
        <v>46</v>
      </c>
      <c r="T194" s="1" t="s">
        <v>47</v>
      </c>
      <c r="U194" s="1" t="s">
        <v>35</v>
      </c>
      <c r="V194" s="1" t="s">
        <v>36</v>
      </c>
    </row>
    <row r="195" spans="1:22" x14ac:dyDescent="0.3">
      <c r="A195" s="1" t="s">
        <v>1161</v>
      </c>
      <c r="B195" s="1" t="s">
        <v>1162</v>
      </c>
      <c r="C195" s="1">
        <v>28</v>
      </c>
      <c r="D195" s="1" t="s">
        <v>1163</v>
      </c>
      <c r="E195" s="1" t="s">
        <v>25</v>
      </c>
      <c r="F195" s="1" t="s">
        <v>1164</v>
      </c>
      <c r="G195" s="2">
        <v>44963</v>
      </c>
      <c r="H195" s="1">
        <v>5</v>
      </c>
      <c r="I195" s="1" t="s">
        <v>27</v>
      </c>
      <c r="J195" s="2">
        <v>45478</v>
      </c>
      <c r="K195" s="1" t="s">
        <v>1165</v>
      </c>
      <c r="L195" s="1">
        <v>7</v>
      </c>
      <c r="M195" s="1">
        <v>26</v>
      </c>
      <c r="N195" s="1" t="s">
        <v>45</v>
      </c>
      <c r="O195" s="1" t="s">
        <v>223</v>
      </c>
      <c r="P195" s="1" t="s">
        <v>56</v>
      </c>
      <c r="Q195" s="1" t="s">
        <v>69</v>
      </c>
      <c r="R195" s="1">
        <v>1229.97</v>
      </c>
      <c r="S195" s="1" t="s">
        <v>46</v>
      </c>
      <c r="T195" s="1" t="s">
        <v>57</v>
      </c>
      <c r="U195" s="1" t="s">
        <v>35</v>
      </c>
      <c r="V195" s="1" t="s">
        <v>188</v>
      </c>
    </row>
    <row r="196" spans="1:22" x14ac:dyDescent="0.3">
      <c r="A196" s="1" t="s">
        <v>1166</v>
      </c>
      <c r="B196" s="1" t="s">
        <v>1167</v>
      </c>
      <c r="C196" s="1">
        <v>36</v>
      </c>
      <c r="D196" s="1" t="s">
        <v>1168</v>
      </c>
      <c r="E196" s="1" t="s">
        <v>25</v>
      </c>
      <c r="F196" s="2">
        <v>44474</v>
      </c>
      <c r="G196" s="1" t="s">
        <v>1169</v>
      </c>
      <c r="H196" s="1">
        <v>2</v>
      </c>
      <c r="I196" s="1" t="s">
        <v>52</v>
      </c>
      <c r="J196" s="2">
        <v>44203</v>
      </c>
      <c r="K196" s="1" t="s">
        <v>1170</v>
      </c>
      <c r="L196" s="1">
        <v>9</v>
      </c>
      <c r="M196" s="1">
        <v>10</v>
      </c>
      <c r="N196" s="1" t="s">
        <v>45</v>
      </c>
      <c r="O196" s="1" t="s">
        <v>67</v>
      </c>
      <c r="P196" s="1" t="s">
        <v>68</v>
      </c>
      <c r="Q196" s="1" t="s">
        <v>32</v>
      </c>
      <c r="R196" s="1">
        <v>357.66</v>
      </c>
      <c r="S196" s="1" t="s">
        <v>46</v>
      </c>
      <c r="T196" s="1" t="s">
        <v>34</v>
      </c>
      <c r="U196" s="1" t="s">
        <v>35</v>
      </c>
      <c r="V196" s="1" t="s">
        <v>36</v>
      </c>
    </row>
    <row r="197" spans="1:22" x14ac:dyDescent="0.3">
      <c r="A197" s="1" t="s">
        <v>1171</v>
      </c>
      <c r="B197" s="1" t="s">
        <v>1172</v>
      </c>
      <c r="C197" s="1">
        <v>57</v>
      </c>
      <c r="D197" s="1" t="s">
        <v>1173</v>
      </c>
      <c r="E197" s="1" t="s">
        <v>61</v>
      </c>
      <c r="F197" s="1" t="s">
        <v>872</v>
      </c>
      <c r="G197" s="1" t="s">
        <v>1174</v>
      </c>
      <c r="H197" s="1">
        <v>0</v>
      </c>
      <c r="I197" s="1" t="s">
        <v>27</v>
      </c>
      <c r="J197" s="1" t="s">
        <v>345</v>
      </c>
      <c r="K197" s="1" t="s">
        <v>1175</v>
      </c>
      <c r="L197" s="1">
        <v>6</v>
      </c>
      <c r="M197" s="1">
        <v>46</v>
      </c>
      <c r="N197" s="1" t="s">
        <v>54</v>
      </c>
      <c r="O197" s="1" t="s">
        <v>122</v>
      </c>
      <c r="P197" s="1" t="s">
        <v>30</v>
      </c>
      <c r="Q197" s="1" t="s">
        <v>69</v>
      </c>
      <c r="R197" s="1">
        <v>1198.3800000000001</v>
      </c>
      <c r="S197" s="1" t="s">
        <v>46</v>
      </c>
      <c r="T197" s="1" t="s">
        <v>47</v>
      </c>
      <c r="U197" s="1" t="s">
        <v>35</v>
      </c>
      <c r="V197" s="1" t="s">
        <v>36</v>
      </c>
    </row>
    <row r="198" spans="1:22" x14ac:dyDescent="0.3">
      <c r="A198" s="1" t="s">
        <v>1176</v>
      </c>
      <c r="B198" s="1" t="s">
        <v>1177</v>
      </c>
      <c r="C198" s="1">
        <v>36</v>
      </c>
      <c r="D198" s="1" t="s">
        <v>1178</v>
      </c>
      <c r="E198" s="1" t="s">
        <v>61</v>
      </c>
      <c r="F198" s="2">
        <v>44022</v>
      </c>
      <c r="G198" s="1" t="s">
        <v>1179</v>
      </c>
      <c r="H198" s="1">
        <v>3</v>
      </c>
      <c r="I198" s="1" t="s">
        <v>27</v>
      </c>
      <c r="J198" s="1" t="s">
        <v>338</v>
      </c>
      <c r="K198" s="1" t="s">
        <v>1180</v>
      </c>
      <c r="L198" s="1">
        <v>9</v>
      </c>
      <c r="M198" s="1">
        <v>49</v>
      </c>
      <c r="N198" s="1" t="s">
        <v>68</v>
      </c>
      <c r="O198" s="1" t="s">
        <v>418</v>
      </c>
      <c r="P198" s="1" t="s">
        <v>56</v>
      </c>
      <c r="Q198" s="1" t="s">
        <v>69</v>
      </c>
      <c r="R198" s="1">
        <v>276.83999999999997</v>
      </c>
      <c r="S198" s="1" t="s">
        <v>46</v>
      </c>
      <c r="T198" s="1" t="s">
        <v>34</v>
      </c>
      <c r="U198" s="1" t="s">
        <v>35</v>
      </c>
      <c r="V198" s="1" t="s">
        <v>36</v>
      </c>
    </row>
    <row r="199" spans="1:22" x14ac:dyDescent="0.3">
      <c r="A199" s="1" t="s">
        <v>1181</v>
      </c>
      <c r="B199" s="1" t="s">
        <v>1182</v>
      </c>
      <c r="C199" s="1">
        <v>34</v>
      </c>
      <c r="D199" s="1" t="s">
        <v>1183</v>
      </c>
      <c r="E199" s="1" t="s">
        <v>40</v>
      </c>
      <c r="F199" s="2">
        <v>44571</v>
      </c>
      <c r="G199" s="2">
        <v>44988</v>
      </c>
      <c r="H199" s="1">
        <v>2</v>
      </c>
      <c r="I199" s="1" t="s">
        <v>27</v>
      </c>
      <c r="J199" s="1" t="s">
        <v>1184</v>
      </c>
      <c r="K199" s="1" t="s">
        <v>1185</v>
      </c>
      <c r="L199" s="1">
        <v>4</v>
      </c>
      <c r="M199" s="1">
        <v>45</v>
      </c>
      <c r="N199" s="1" t="s">
        <v>54</v>
      </c>
      <c r="O199" s="1" t="s">
        <v>128</v>
      </c>
      <c r="P199" s="1" t="s">
        <v>54</v>
      </c>
      <c r="Q199" s="1" t="s">
        <v>69</v>
      </c>
      <c r="R199" s="1">
        <v>1717</v>
      </c>
      <c r="S199" s="1" t="s">
        <v>33</v>
      </c>
      <c r="T199" s="1" t="s">
        <v>57</v>
      </c>
      <c r="U199" s="1" t="s">
        <v>35</v>
      </c>
      <c r="V199" s="1" t="s">
        <v>36</v>
      </c>
    </row>
    <row r="200" spans="1:22" x14ac:dyDescent="0.3">
      <c r="A200" s="1" t="s">
        <v>1186</v>
      </c>
      <c r="B200" s="1" t="s">
        <v>1187</v>
      </c>
      <c r="C200" s="1">
        <v>39</v>
      </c>
      <c r="D200" s="1" t="s">
        <v>1188</v>
      </c>
      <c r="E200" s="1" t="s">
        <v>40</v>
      </c>
      <c r="F200" s="1" t="s">
        <v>1189</v>
      </c>
      <c r="G200" s="2">
        <v>45446</v>
      </c>
      <c r="H200" s="1">
        <v>4</v>
      </c>
      <c r="I200" s="1" t="s">
        <v>52</v>
      </c>
      <c r="J200" s="1" t="s">
        <v>1190</v>
      </c>
      <c r="K200" s="1" t="s">
        <v>1191</v>
      </c>
      <c r="L200" s="1">
        <v>9</v>
      </c>
      <c r="M200" s="1">
        <v>35</v>
      </c>
      <c r="N200" s="1" t="s">
        <v>54</v>
      </c>
      <c r="O200" s="1" t="s">
        <v>269</v>
      </c>
      <c r="P200" s="1" t="s">
        <v>56</v>
      </c>
      <c r="Q200" s="1" t="s">
        <v>32</v>
      </c>
      <c r="R200" s="1">
        <v>1104.48</v>
      </c>
      <c r="S200" s="1" t="s">
        <v>46</v>
      </c>
      <c r="T200" s="1" t="s">
        <v>34</v>
      </c>
      <c r="U200" s="1" t="s">
        <v>35</v>
      </c>
      <c r="V200" s="1" t="s">
        <v>36</v>
      </c>
    </row>
    <row r="201" spans="1:22" x14ac:dyDescent="0.3">
      <c r="A201" s="1" t="s">
        <v>1192</v>
      </c>
      <c r="B201" s="1" t="s">
        <v>1193</v>
      </c>
      <c r="C201" s="1">
        <v>32</v>
      </c>
      <c r="D201" s="1" t="s">
        <v>1194</v>
      </c>
      <c r="E201" s="1" t="s">
        <v>51</v>
      </c>
      <c r="F201" s="2">
        <v>44875</v>
      </c>
      <c r="G201" s="1" t="s">
        <v>1195</v>
      </c>
      <c r="H201" s="1">
        <v>4</v>
      </c>
      <c r="I201" s="1" t="s">
        <v>27</v>
      </c>
      <c r="J201" s="2">
        <v>45417</v>
      </c>
      <c r="K201" s="1" t="s">
        <v>1196</v>
      </c>
      <c r="L201" s="1">
        <v>3</v>
      </c>
      <c r="M201" s="1">
        <v>43</v>
      </c>
      <c r="N201" s="1" t="s">
        <v>54</v>
      </c>
      <c r="O201" s="1" t="s">
        <v>55</v>
      </c>
      <c r="P201" s="1" t="s">
        <v>56</v>
      </c>
      <c r="Q201" s="1" t="s">
        <v>69</v>
      </c>
      <c r="R201" s="1">
        <v>1512.48</v>
      </c>
      <c r="S201" s="1" t="s">
        <v>46</v>
      </c>
      <c r="T201" s="1" t="s">
        <v>57</v>
      </c>
      <c r="U201" s="1" t="s">
        <v>35</v>
      </c>
      <c r="V201" s="1" t="s">
        <v>188</v>
      </c>
    </row>
    <row r="202" spans="1:22" x14ac:dyDescent="0.3">
      <c r="A202" s="1" t="s">
        <v>1197</v>
      </c>
      <c r="B202" s="1" t="s">
        <v>1198</v>
      </c>
      <c r="C202" s="1">
        <v>69</v>
      </c>
      <c r="D202" s="1" t="s">
        <v>1199</v>
      </c>
      <c r="E202" s="1" t="s">
        <v>88</v>
      </c>
      <c r="F202" s="2">
        <v>44507</v>
      </c>
      <c r="G202" s="1" t="s">
        <v>1200</v>
      </c>
      <c r="H202" s="1">
        <v>2</v>
      </c>
      <c r="I202" s="1" t="s">
        <v>52</v>
      </c>
      <c r="J202" s="2">
        <v>44448</v>
      </c>
      <c r="K202" s="1" t="s">
        <v>1201</v>
      </c>
      <c r="L202" s="1">
        <v>4</v>
      </c>
      <c r="M202" s="1">
        <v>23</v>
      </c>
      <c r="N202" s="1" t="s">
        <v>30</v>
      </c>
      <c r="O202" s="1" t="s">
        <v>821</v>
      </c>
      <c r="P202" s="1" t="s">
        <v>68</v>
      </c>
      <c r="Q202" s="1" t="s">
        <v>32</v>
      </c>
      <c r="R202" s="1">
        <v>1932.48</v>
      </c>
      <c r="S202" s="1" t="s">
        <v>46</v>
      </c>
      <c r="T202" s="1" t="s">
        <v>232</v>
      </c>
      <c r="U202" s="1" t="s">
        <v>35</v>
      </c>
      <c r="V202" s="1" t="s">
        <v>36</v>
      </c>
    </row>
    <row r="203" spans="1:22" x14ac:dyDescent="0.3">
      <c r="A203" s="1" t="s">
        <v>1202</v>
      </c>
      <c r="B203" s="1" t="s">
        <v>1203</v>
      </c>
      <c r="C203" s="1">
        <v>61</v>
      </c>
      <c r="D203" s="1" t="s">
        <v>1204</v>
      </c>
      <c r="E203" s="1" t="s">
        <v>61</v>
      </c>
      <c r="F203" s="1" t="s">
        <v>1195</v>
      </c>
      <c r="G203" s="2">
        <v>45694</v>
      </c>
      <c r="H203" s="1">
        <v>0</v>
      </c>
      <c r="I203" s="1" t="s">
        <v>52</v>
      </c>
      <c r="J203" s="1" t="s">
        <v>1205</v>
      </c>
      <c r="K203" s="1" t="s">
        <v>1206</v>
      </c>
      <c r="L203" s="1">
        <v>6</v>
      </c>
      <c r="M203" s="1">
        <v>47</v>
      </c>
      <c r="N203" s="1" t="s">
        <v>54</v>
      </c>
      <c r="O203" s="1" t="s">
        <v>269</v>
      </c>
      <c r="P203" s="1" t="s">
        <v>56</v>
      </c>
      <c r="Q203" s="1" t="s">
        <v>69</v>
      </c>
      <c r="R203" s="1">
        <v>833.52</v>
      </c>
      <c r="S203" s="1" t="s">
        <v>46</v>
      </c>
      <c r="T203" s="1" t="s">
        <v>47</v>
      </c>
      <c r="U203" s="1" t="s">
        <v>35</v>
      </c>
      <c r="V203" s="1" t="s">
        <v>36</v>
      </c>
    </row>
    <row r="204" spans="1:22" x14ac:dyDescent="0.3">
      <c r="A204" s="1" t="s">
        <v>1207</v>
      </c>
      <c r="B204" s="1" t="s">
        <v>1208</v>
      </c>
      <c r="C204" s="1">
        <v>68</v>
      </c>
      <c r="D204" s="1" t="s">
        <v>1209</v>
      </c>
      <c r="E204" s="1" t="s">
        <v>95</v>
      </c>
      <c r="F204" s="2">
        <v>44358</v>
      </c>
      <c r="G204" s="1" t="s">
        <v>1210</v>
      </c>
      <c r="H204" s="1">
        <v>4</v>
      </c>
      <c r="I204" s="1" t="s">
        <v>27</v>
      </c>
      <c r="J204" s="1" t="s">
        <v>487</v>
      </c>
      <c r="K204" s="1" t="s">
        <v>1211</v>
      </c>
      <c r="L204" s="1">
        <v>6</v>
      </c>
      <c r="M204" s="1">
        <v>13</v>
      </c>
      <c r="N204" s="1" t="s">
        <v>45</v>
      </c>
      <c r="O204" s="1" t="s">
        <v>135</v>
      </c>
      <c r="P204" s="1" t="s">
        <v>45</v>
      </c>
      <c r="Q204" s="1" t="s">
        <v>32</v>
      </c>
      <c r="R204" s="1">
        <v>1798.68</v>
      </c>
      <c r="S204" s="1" t="s">
        <v>33</v>
      </c>
      <c r="T204" s="1" t="s">
        <v>232</v>
      </c>
      <c r="U204" s="1" t="s">
        <v>35</v>
      </c>
      <c r="V204" s="1" t="s">
        <v>188</v>
      </c>
    </row>
    <row r="205" spans="1:22" x14ac:dyDescent="0.3">
      <c r="A205" s="1" t="s">
        <v>1212</v>
      </c>
      <c r="B205" s="1" t="s">
        <v>1213</v>
      </c>
      <c r="C205" s="1">
        <v>61</v>
      </c>
      <c r="D205" s="1" t="s">
        <v>1214</v>
      </c>
      <c r="E205" s="1" t="s">
        <v>88</v>
      </c>
      <c r="F205" s="1" t="s">
        <v>1215</v>
      </c>
      <c r="G205" s="1" t="s">
        <v>1216</v>
      </c>
      <c r="H205" s="1">
        <v>4</v>
      </c>
      <c r="I205" s="1" t="s">
        <v>52</v>
      </c>
      <c r="J205" s="2">
        <v>44660</v>
      </c>
      <c r="K205" s="1" t="s">
        <v>1217</v>
      </c>
      <c r="L205" s="1">
        <v>6</v>
      </c>
      <c r="M205" s="1">
        <v>6</v>
      </c>
      <c r="N205" s="1" t="s">
        <v>56</v>
      </c>
      <c r="O205" s="1" t="s">
        <v>194</v>
      </c>
      <c r="P205" s="1" t="s">
        <v>56</v>
      </c>
      <c r="Q205" s="1" t="s">
        <v>322</v>
      </c>
      <c r="R205" s="1">
        <v>1780.08</v>
      </c>
      <c r="S205" s="1" t="s">
        <v>33</v>
      </c>
      <c r="T205" s="1" t="s">
        <v>47</v>
      </c>
      <c r="U205" s="1" t="s">
        <v>35</v>
      </c>
      <c r="V205" s="1" t="s">
        <v>36</v>
      </c>
    </row>
    <row r="206" spans="1:22" x14ac:dyDescent="0.3">
      <c r="A206" s="1" t="s">
        <v>1218</v>
      </c>
      <c r="B206" s="1" t="s">
        <v>1219</v>
      </c>
      <c r="C206" s="1">
        <v>22</v>
      </c>
      <c r="D206" s="1" t="s">
        <v>1220</v>
      </c>
      <c r="E206" s="1" t="s">
        <v>40</v>
      </c>
      <c r="F206" s="2">
        <v>44535</v>
      </c>
      <c r="G206" s="1" t="s">
        <v>1221</v>
      </c>
      <c r="H206" s="1">
        <v>0</v>
      </c>
      <c r="I206" s="1" t="s">
        <v>27</v>
      </c>
      <c r="J206" s="2">
        <v>45452</v>
      </c>
      <c r="K206" s="1" t="s">
        <v>1222</v>
      </c>
      <c r="L206" s="1">
        <v>2</v>
      </c>
      <c r="M206" s="1">
        <v>13</v>
      </c>
      <c r="N206" s="1" t="s">
        <v>56</v>
      </c>
      <c r="O206" s="1" t="s">
        <v>366</v>
      </c>
      <c r="P206" s="1" t="s">
        <v>54</v>
      </c>
      <c r="Q206" s="1" t="s">
        <v>32</v>
      </c>
      <c r="R206" s="1">
        <v>126.32</v>
      </c>
      <c r="S206" s="1" t="s">
        <v>46</v>
      </c>
      <c r="T206" s="1" t="s">
        <v>100</v>
      </c>
      <c r="U206" s="1" t="s">
        <v>101</v>
      </c>
      <c r="V206" s="1" t="s">
        <v>36</v>
      </c>
    </row>
    <row r="207" spans="1:22" x14ac:dyDescent="0.3">
      <c r="A207" s="1" t="s">
        <v>1223</v>
      </c>
      <c r="B207" s="1" t="s">
        <v>1224</v>
      </c>
      <c r="C207" s="1">
        <v>58</v>
      </c>
      <c r="D207" s="1" t="s">
        <v>1225</v>
      </c>
      <c r="E207" s="1" t="s">
        <v>61</v>
      </c>
      <c r="F207" s="1" t="s">
        <v>1226</v>
      </c>
      <c r="G207" s="1" t="s">
        <v>274</v>
      </c>
      <c r="H207" s="1">
        <v>2</v>
      </c>
      <c r="I207" s="1" t="s">
        <v>52</v>
      </c>
      <c r="J207" s="1" t="s">
        <v>1227</v>
      </c>
      <c r="K207" s="1" t="s">
        <v>1228</v>
      </c>
      <c r="L207" s="1">
        <v>1</v>
      </c>
      <c r="M207" s="1">
        <v>13</v>
      </c>
      <c r="N207" s="1" t="s">
        <v>56</v>
      </c>
      <c r="O207" s="1" t="s">
        <v>128</v>
      </c>
      <c r="P207" s="1" t="s">
        <v>54</v>
      </c>
      <c r="Q207" s="1" t="s">
        <v>69</v>
      </c>
      <c r="R207" s="1">
        <v>1484.8</v>
      </c>
      <c r="S207" s="1" t="s">
        <v>46</v>
      </c>
      <c r="T207" s="1" t="s">
        <v>47</v>
      </c>
      <c r="U207" s="1" t="s">
        <v>35</v>
      </c>
      <c r="V207" s="1" t="s">
        <v>36</v>
      </c>
    </row>
    <row r="208" spans="1:22" x14ac:dyDescent="0.3">
      <c r="A208" s="1" t="s">
        <v>1229</v>
      </c>
      <c r="B208" s="1" t="s">
        <v>1230</v>
      </c>
      <c r="C208" s="1">
        <v>59</v>
      </c>
      <c r="D208" s="1" t="s">
        <v>1231</v>
      </c>
      <c r="E208" s="1" t="s">
        <v>88</v>
      </c>
      <c r="F208" s="1" t="s">
        <v>1232</v>
      </c>
      <c r="G208" s="2">
        <v>45242</v>
      </c>
      <c r="H208" s="1">
        <v>1</v>
      </c>
      <c r="I208" s="1" t="s">
        <v>27</v>
      </c>
      <c r="J208" s="2">
        <v>45510</v>
      </c>
      <c r="K208" s="1" t="s">
        <v>1233</v>
      </c>
      <c r="L208" s="1">
        <v>6</v>
      </c>
      <c r="M208" s="1">
        <v>26</v>
      </c>
      <c r="N208" s="1" t="s">
        <v>68</v>
      </c>
      <c r="O208" s="1" t="s">
        <v>624</v>
      </c>
      <c r="P208" s="1" t="s">
        <v>30</v>
      </c>
      <c r="Q208" s="1" t="s">
        <v>32</v>
      </c>
      <c r="R208" s="1">
        <v>1578.12</v>
      </c>
      <c r="S208" s="1" t="s">
        <v>46</v>
      </c>
      <c r="T208" s="1" t="s">
        <v>47</v>
      </c>
      <c r="U208" s="1" t="s">
        <v>35</v>
      </c>
      <c r="V208" s="1" t="s">
        <v>36</v>
      </c>
    </row>
    <row r="209" spans="1:22" x14ac:dyDescent="0.3">
      <c r="A209" s="1" t="s">
        <v>1234</v>
      </c>
      <c r="B209" s="1" t="s">
        <v>1235</v>
      </c>
      <c r="C209" s="1">
        <v>32</v>
      </c>
      <c r="D209" s="1" t="s">
        <v>1236</v>
      </c>
      <c r="E209" s="1" t="s">
        <v>61</v>
      </c>
      <c r="F209" s="1" t="s">
        <v>1237</v>
      </c>
      <c r="G209" s="2">
        <v>44997</v>
      </c>
      <c r="H209" s="1">
        <v>1</v>
      </c>
      <c r="I209" s="1" t="s">
        <v>27</v>
      </c>
      <c r="J209" s="1" t="s">
        <v>1238</v>
      </c>
      <c r="K209" s="1" t="s">
        <v>1239</v>
      </c>
      <c r="L209" s="1">
        <v>1</v>
      </c>
      <c r="M209" s="1">
        <v>38</v>
      </c>
      <c r="N209" s="1" t="s">
        <v>56</v>
      </c>
      <c r="O209" s="1" t="s">
        <v>135</v>
      </c>
      <c r="P209" s="1" t="s">
        <v>45</v>
      </c>
      <c r="Q209" s="1" t="s">
        <v>69</v>
      </c>
      <c r="R209" s="1">
        <v>1212.26</v>
      </c>
      <c r="S209" s="1" t="s">
        <v>46</v>
      </c>
      <c r="T209" s="1" t="s">
        <v>57</v>
      </c>
      <c r="U209" s="1" t="s">
        <v>35</v>
      </c>
      <c r="V209" s="1" t="s">
        <v>36</v>
      </c>
    </row>
    <row r="210" spans="1:22" x14ac:dyDescent="0.3">
      <c r="A210" s="1" t="s">
        <v>1240</v>
      </c>
      <c r="B210" s="1" t="s">
        <v>1241</v>
      </c>
      <c r="C210" s="1">
        <v>37</v>
      </c>
      <c r="D210" s="1" t="s">
        <v>1242</v>
      </c>
      <c r="E210" s="1" t="s">
        <v>61</v>
      </c>
      <c r="F210" s="2">
        <v>44904</v>
      </c>
      <c r="G210" s="1" t="s">
        <v>1243</v>
      </c>
      <c r="H210" s="1">
        <v>0</v>
      </c>
      <c r="I210" s="1" t="s">
        <v>27</v>
      </c>
      <c r="J210" s="1" t="s">
        <v>773</v>
      </c>
      <c r="K210" s="1" t="s">
        <v>1244</v>
      </c>
      <c r="L210" s="1">
        <v>1</v>
      </c>
      <c r="M210" s="1">
        <v>33</v>
      </c>
      <c r="N210" s="1" t="s">
        <v>68</v>
      </c>
      <c r="O210" s="1" t="s">
        <v>269</v>
      </c>
      <c r="P210" s="1" t="s">
        <v>56</v>
      </c>
      <c r="Q210" s="1" t="s">
        <v>69</v>
      </c>
      <c r="R210" s="1">
        <v>1790.4</v>
      </c>
      <c r="S210" s="1" t="s">
        <v>46</v>
      </c>
      <c r="T210" s="1" t="s">
        <v>34</v>
      </c>
      <c r="U210" s="1" t="s">
        <v>35</v>
      </c>
      <c r="V210" s="1" t="s">
        <v>36</v>
      </c>
    </row>
    <row r="211" spans="1:22" x14ac:dyDescent="0.3">
      <c r="A211" s="1" t="s">
        <v>1245</v>
      </c>
      <c r="B211" s="1" t="s">
        <v>1246</v>
      </c>
      <c r="C211" s="1">
        <v>30</v>
      </c>
      <c r="D211" s="1" t="s">
        <v>1247</v>
      </c>
      <c r="E211" s="1" t="s">
        <v>51</v>
      </c>
      <c r="F211" s="2">
        <v>44899</v>
      </c>
      <c r="G211" s="1" t="s">
        <v>75</v>
      </c>
      <c r="H211" s="1">
        <v>2</v>
      </c>
      <c r="I211" s="1" t="s">
        <v>27</v>
      </c>
      <c r="J211" s="1" t="s">
        <v>847</v>
      </c>
      <c r="K211" s="1" t="s">
        <v>1248</v>
      </c>
      <c r="L211" s="1">
        <v>2</v>
      </c>
      <c r="M211" s="1">
        <v>6</v>
      </c>
      <c r="N211" s="1" t="s">
        <v>56</v>
      </c>
      <c r="O211" s="1" t="s">
        <v>175</v>
      </c>
      <c r="P211" s="1" t="s">
        <v>56</v>
      </c>
      <c r="Q211" s="1" t="s">
        <v>69</v>
      </c>
      <c r="R211" s="1">
        <v>1165.24</v>
      </c>
      <c r="S211" s="1" t="s">
        <v>33</v>
      </c>
      <c r="T211" s="1" t="s">
        <v>57</v>
      </c>
      <c r="U211" s="1" t="s">
        <v>35</v>
      </c>
      <c r="V211" s="1" t="s">
        <v>36</v>
      </c>
    </row>
    <row r="212" spans="1:22" x14ac:dyDescent="0.3">
      <c r="A212" s="1" t="s">
        <v>1249</v>
      </c>
      <c r="B212" s="1" t="s">
        <v>1250</v>
      </c>
      <c r="C212" s="1">
        <v>30</v>
      </c>
      <c r="D212" s="1" t="s">
        <v>1251</v>
      </c>
      <c r="E212" s="1" t="s">
        <v>95</v>
      </c>
      <c r="F212" s="1" t="s">
        <v>1252</v>
      </c>
      <c r="G212" s="1" t="s">
        <v>1253</v>
      </c>
      <c r="H212" s="1">
        <v>0</v>
      </c>
      <c r="I212" s="1" t="s">
        <v>27</v>
      </c>
      <c r="J212" s="2">
        <v>44568</v>
      </c>
      <c r="K212" s="1" t="s">
        <v>1254</v>
      </c>
      <c r="L212" s="1">
        <v>2</v>
      </c>
      <c r="M212" s="1">
        <v>40</v>
      </c>
      <c r="N212" s="1" t="s">
        <v>45</v>
      </c>
      <c r="O212" s="1" t="s">
        <v>610</v>
      </c>
      <c r="P212" s="1" t="s">
        <v>68</v>
      </c>
      <c r="Q212" s="1" t="s">
        <v>32</v>
      </c>
      <c r="R212" s="1">
        <v>362.64</v>
      </c>
      <c r="S212" s="1" t="s">
        <v>46</v>
      </c>
      <c r="T212" s="1" t="s">
        <v>57</v>
      </c>
      <c r="U212" s="1" t="s">
        <v>35</v>
      </c>
      <c r="V212" s="1" t="s">
        <v>36</v>
      </c>
    </row>
    <row r="213" spans="1:22" x14ac:dyDescent="0.3">
      <c r="A213" s="1" t="s">
        <v>1255</v>
      </c>
      <c r="B213" s="1" t="s">
        <v>1256</v>
      </c>
      <c r="C213" s="1">
        <v>65</v>
      </c>
      <c r="D213" s="1" t="s">
        <v>1257</v>
      </c>
      <c r="E213" s="1" t="s">
        <v>95</v>
      </c>
      <c r="F213" s="2">
        <v>44776</v>
      </c>
      <c r="G213" s="1" t="s">
        <v>773</v>
      </c>
      <c r="H213" s="1">
        <v>2</v>
      </c>
      <c r="I213" s="1" t="s">
        <v>64</v>
      </c>
      <c r="J213" s="1" t="s">
        <v>1258</v>
      </c>
      <c r="K213" s="1" t="s">
        <v>1259</v>
      </c>
      <c r="L213" s="1">
        <v>9</v>
      </c>
      <c r="M213" s="1">
        <v>34</v>
      </c>
      <c r="N213" s="1" t="s">
        <v>30</v>
      </c>
      <c r="O213" s="1" t="s">
        <v>169</v>
      </c>
      <c r="P213" s="1" t="s">
        <v>30</v>
      </c>
      <c r="Q213" s="1" t="s">
        <v>69</v>
      </c>
      <c r="R213" s="1">
        <v>1573.83</v>
      </c>
      <c r="S213" s="1" t="s">
        <v>33</v>
      </c>
      <c r="T213" s="1" t="s">
        <v>232</v>
      </c>
      <c r="U213" s="1" t="s">
        <v>35</v>
      </c>
      <c r="V213" s="1" t="s">
        <v>71</v>
      </c>
    </row>
    <row r="214" spans="1:22" x14ac:dyDescent="0.3">
      <c r="A214" s="1" t="s">
        <v>1260</v>
      </c>
      <c r="B214" s="1" t="s">
        <v>1261</v>
      </c>
      <c r="C214" s="1">
        <v>48</v>
      </c>
      <c r="D214" s="1" t="s">
        <v>1262</v>
      </c>
      <c r="E214" s="1" t="s">
        <v>25</v>
      </c>
      <c r="F214" s="1" t="s">
        <v>1263</v>
      </c>
      <c r="G214" s="2">
        <v>45598</v>
      </c>
      <c r="H214" s="1">
        <v>4</v>
      </c>
      <c r="I214" s="1" t="s">
        <v>52</v>
      </c>
      <c r="J214" s="2">
        <v>45266</v>
      </c>
      <c r="K214" s="1" t="s">
        <v>1264</v>
      </c>
      <c r="L214" s="1">
        <v>3</v>
      </c>
      <c r="M214" s="1">
        <v>45</v>
      </c>
      <c r="N214" s="1" t="s">
        <v>56</v>
      </c>
      <c r="O214" s="1" t="s">
        <v>44</v>
      </c>
      <c r="P214" s="1" t="s">
        <v>45</v>
      </c>
      <c r="Q214" s="1" t="s">
        <v>32</v>
      </c>
      <c r="R214" s="1">
        <v>1388.7</v>
      </c>
      <c r="S214" s="1" t="s">
        <v>46</v>
      </c>
      <c r="T214" s="1" t="s">
        <v>34</v>
      </c>
      <c r="U214" s="1" t="s">
        <v>35</v>
      </c>
      <c r="V214" s="1" t="s">
        <v>36</v>
      </c>
    </row>
    <row r="215" spans="1:22" x14ac:dyDescent="0.3">
      <c r="A215" s="1" t="s">
        <v>1265</v>
      </c>
      <c r="B215" s="1" t="s">
        <v>1266</v>
      </c>
      <c r="C215" s="1">
        <v>56</v>
      </c>
      <c r="D215" s="1" t="s">
        <v>1267</v>
      </c>
      <c r="E215" s="1" t="s">
        <v>51</v>
      </c>
      <c r="F215" s="2">
        <v>44287</v>
      </c>
      <c r="G215" s="1" t="s">
        <v>1268</v>
      </c>
      <c r="H215" s="1">
        <v>2</v>
      </c>
      <c r="I215" s="1" t="s">
        <v>52</v>
      </c>
      <c r="J215" s="1" t="s">
        <v>830</v>
      </c>
      <c r="K215" s="1" t="s">
        <v>1269</v>
      </c>
      <c r="L215" s="1">
        <v>3</v>
      </c>
      <c r="M215" s="1">
        <v>40</v>
      </c>
      <c r="N215" s="1" t="s">
        <v>30</v>
      </c>
      <c r="O215" s="1" t="s">
        <v>128</v>
      </c>
      <c r="P215" s="1" t="s">
        <v>54</v>
      </c>
      <c r="Q215" s="1" t="s">
        <v>32</v>
      </c>
      <c r="R215" s="1">
        <v>1470.03</v>
      </c>
      <c r="S215" s="1" t="s">
        <v>46</v>
      </c>
      <c r="T215" s="1" t="s">
        <v>47</v>
      </c>
      <c r="U215" s="1" t="s">
        <v>35</v>
      </c>
      <c r="V215" s="1" t="s">
        <v>36</v>
      </c>
    </row>
    <row r="216" spans="1:22" x14ac:dyDescent="0.3">
      <c r="A216" s="1" t="s">
        <v>1270</v>
      </c>
      <c r="B216" s="1" t="s">
        <v>1271</v>
      </c>
      <c r="C216" s="1">
        <v>29</v>
      </c>
      <c r="D216" s="1" t="s">
        <v>1272</v>
      </c>
      <c r="E216" s="1" t="s">
        <v>88</v>
      </c>
      <c r="F216" s="1" t="s">
        <v>1273</v>
      </c>
      <c r="G216" s="1" t="s">
        <v>107</v>
      </c>
      <c r="H216" s="1">
        <v>0</v>
      </c>
      <c r="I216" s="1" t="s">
        <v>52</v>
      </c>
      <c r="J216" s="1" t="s">
        <v>284</v>
      </c>
      <c r="K216" s="1" t="s">
        <v>1274</v>
      </c>
      <c r="L216" s="1">
        <v>1</v>
      </c>
      <c r="M216" s="1">
        <v>36</v>
      </c>
      <c r="N216" s="1" t="s">
        <v>45</v>
      </c>
      <c r="O216" s="1" t="s">
        <v>597</v>
      </c>
      <c r="P216" s="1" t="s">
        <v>45</v>
      </c>
      <c r="Q216" s="1" t="s">
        <v>32</v>
      </c>
      <c r="R216" s="1">
        <v>1068.3399999999999</v>
      </c>
      <c r="S216" s="1" t="s">
        <v>33</v>
      </c>
      <c r="T216" s="1" t="s">
        <v>57</v>
      </c>
      <c r="U216" s="1" t="s">
        <v>35</v>
      </c>
      <c r="V216" s="1" t="s">
        <v>36</v>
      </c>
    </row>
    <row r="217" spans="1:22" x14ac:dyDescent="0.3">
      <c r="A217" s="1" t="s">
        <v>1275</v>
      </c>
      <c r="B217" s="1" t="s">
        <v>1276</v>
      </c>
      <c r="C217" s="1">
        <v>64</v>
      </c>
      <c r="D217" s="1" t="s">
        <v>1277</v>
      </c>
      <c r="E217" s="1" t="s">
        <v>61</v>
      </c>
      <c r="F217" s="2">
        <v>44411</v>
      </c>
      <c r="G217" s="1" t="s">
        <v>1278</v>
      </c>
      <c r="H217" s="1">
        <v>4</v>
      </c>
      <c r="I217" s="1" t="s">
        <v>27</v>
      </c>
      <c r="J217" s="2">
        <v>45387</v>
      </c>
      <c r="K217" s="1" t="s">
        <v>1279</v>
      </c>
      <c r="L217" s="1">
        <v>8</v>
      </c>
      <c r="M217" s="1">
        <v>30</v>
      </c>
      <c r="N217" s="1" t="s">
        <v>68</v>
      </c>
      <c r="O217" s="1" t="s">
        <v>199</v>
      </c>
      <c r="P217" s="1" t="s">
        <v>54</v>
      </c>
      <c r="Q217" s="1" t="s">
        <v>69</v>
      </c>
      <c r="R217" s="1">
        <v>1208.24</v>
      </c>
      <c r="S217" s="1" t="s">
        <v>46</v>
      </c>
      <c r="T217" s="1" t="s">
        <v>47</v>
      </c>
      <c r="U217" s="1" t="s">
        <v>35</v>
      </c>
      <c r="V217" s="1" t="s">
        <v>188</v>
      </c>
    </row>
    <row r="218" spans="1:22" x14ac:dyDescent="0.3">
      <c r="A218" s="1" t="s">
        <v>1280</v>
      </c>
      <c r="B218" s="1" t="s">
        <v>1281</v>
      </c>
      <c r="C218" s="1">
        <v>48</v>
      </c>
      <c r="D218" s="1" t="s">
        <v>1282</v>
      </c>
      <c r="E218" s="1" t="s">
        <v>51</v>
      </c>
      <c r="F218" s="2">
        <v>44723</v>
      </c>
      <c r="G218" s="1" t="s">
        <v>1283</v>
      </c>
      <c r="H218" s="1">
        <v>3</v>
      </c>
      <c r="I218" s="1" t="s">
        <v>27</v>
      </c>
      <c r="J218" s="2">
        <v>45177</v>
      </c>
      <c r="K218" s="1" t="s">
        <v>1284</v>
      </c>
      <c r="L218" s="1">
        <v>8</v>
      </c>
      <c r="M218" s="1">
        <v>32</v>
      </c>
      <c r="N218" s="1" t="s">
        <v>30</v>
      </c>
      <c r="O218" s="1" t="s">
        <v>44</v>
      </c>
      <c r="P218" s="1" t="s">
        <v>45</v>
      </c>
      <c r="Q218" s="1" t="s">
        <v>32</v>
      </c>
      <c r="R218" s="1">
        <v>1218.8</v>
      </c>
      <c r="S218" s="1" t="s">
        <v>46</v>
      </c>
      <c r="T218" s="1" t="s">
        <v>34</v>
      </c>
      <c r="U218" s="1" t="s">
        <v>35</v>
      </c>
      <c r="V218" s="1" t="s">
        <v>36</v>
      </c>
    </row>
    <row r="219" spans="1:22" x14ac:dyDescent="0.3">
      <c r="A219" s="1" t="s">
        <v>1285</v>
      </c>
      <c r="B219" s="1" t="s">
        <v>1286</v>
      </c>
      <c r="C219" s="1">
        <v>59</v>
      </c>
      <c r="D219" s="1" t="s">
        <v>1287</v>
      </c>
      <c r="E219" s="1" t="s">
        <v>88</v>
      </c>
      <c r="F219" s="1" t="s">
        <v>1288</v>
      </c>
      <c r="G219" s="2">
        <v>45028</v>
      </c>
      <c r="H219" s="1">
        <v>5</v>
      </c>
      <c r="I219" s="1" t="s">
        <v>27</v>
      </c>
      <c r="J219" s="2">
        <v>45055</v>
      </c>
      <c r="K219" s="1" t="s">
        <v>1289</v>
      </c>
      <c r="L219" s="1">
        <v>7</v>
      </c>
      <c r="M219" s="1">
        <v>3</v>
      </c>
      <c r="N219" s="1" t="s">
        <v>54</v>
      </c>
      <c r="O219" s="1" t="s">
        <v>211</v>
      </c>
      <c r="P219" s="1" t="s">
        <v>68</v>
      </c>
      <c r="Q219" s="1" t="s">
        <v>69</v>
      </c>
      <c r="R219" s="1">
        <v>1940.19</v>
      </c>
      <c r="S219" s="1" t="s">
        <v>46</v>
      </c>
      <c r="T219" s="1" t="s">
        <v>47</v>
      </c>
      <c r="U219" s="1" t="s">
        <v>35</v>
      </c>
      <c r="V219" s="1" t="s">
        <v>188</v>
      </c>
    </row>
    <row r="220" spans="1:22" x14ac:dyDescent="0.3">
      <c r="A220" s="1" t="s">
        <v>1290</v>
      </c>
      <c r="B220" s="1" t="s">
        <v>1291</v>
      </c>
      <c r="C220" s="1">
        <v>36</v>
      </c>
      <c r="D220" s="1" t="s">
        <v>1292</v>
      </c>
      <c r="E220" s="1" t="s">
        <v>25</v>
      </c>
      <c r="F220" s="2">
        <v>44568</v>
      </c>
      <c r="G220" s="1" t="s">
        <v>918</v>
      </c>
      <c r="H220" s="1">
        <v>5</v>
      </c>
      <c r="I220" s="1" t="s">
        <v>27</v>
      </c>
      <c r="J220" s="1" t="s">
        <v>1293</v>
      </c>
      <c r="K220" s="1" t="s">
        <v>1294</v>
      </c>
      <c r="L220" s="1">
        <v>1</v>
      </c>
      <c r="M220" s="1">
        <v>30</v>
      </c>
      <c r="N220" s="1" t="s">
        <v>30</v>
      </c>
      <c r="O220" s="1" t="s">
        <v>610</v>
      </c>
      <c r="P220" s="1" t="s">
        <v>68</v>
      </c>
      <c r="Q220" s="1" t="s">
        <v>32</v>
      </c>
      <c r="R220" s="1">
        <v>90.95</v>
      </c>
      <c r="S220" s="1" t="s">
        <v>46</v>
      </c>
      <c r="T220" s="1" t="s">
        <v>34</v>
      </c>
      <c r="U220" s="1" t="s">
        <v>35</v>
      </c>
      <c r="V220" s="1" t="s">
        <v>188</v>
      </c>
    </row>
    <row r="221" spans="1:22" x14ac:dyDescent="0.3">
      <c r="A221" s="1" t="s">
        <v>1295</v>
      </c>
      <c r="B221" s="1" t="s">
        <v>1296</v>
      </c>
      <c r="C221" s="1">
        <v>20</v>
      </c>
      <c r="D221" s="1" t="s">
        <v>1297</v>
      </c>
      <c r="E221" s="1" t="s">
        <v>25</v>
      </c>
      <c r="F221" s="1" t="s">
        <v>1298</v>
      </c>
      <c r="G221" s="1" t="s">
        <v>530</v>
      </c>
      <c r="H221" s="1">
        <v>4</v>
      </c>
      <c r="I221" s="1" t="s">
        <v>27</v>
      </c>
      <c r="J221" s="2">
        <v>45875</v>
      </c>
      <c r="K221" s="1" t="s">
        <v>1299</v>
      </c>
      <c r="L221" s="1">
        <v>2</v>
      </c>
      <c r="M221" s="1">
        <v>38</v>
      </c>
      <c r="N221" s="1" t="s">
        <v>30</v>
      </c>
      <c r="O221" s="1" t="s">
        <v>169</v>
      </c>
      <c r="P221" s="1" t="s">
        <v>30</v>
      </c>
      <c r="Q221" s="1" t="s">
        <v>32</v>
      </c>
      <c r="R221" s="1">
        <v>1627.8</v>
      </c>
      <c r="S221" s="1" t="s">
        <v>33</v>
      </c>
      <c r="T221" s="1" t="s">
        <v>100</v>
      </c>
      <c r="U221" s="1" t="s">
        <v>35</v>
      </c>
      <c r="V221" s="1" t="s">
        <v>188</v>
      </c>
    </row>
    <row r="222" spans="1:22" x14ac:dyDescent="0.3">
      <c r="A222" s="1" t="s">
        <v>1300</v>
      </c>
      <c r="B222" s="1" t="s">
        <v>1301</v>
      </c>
      <c r="C222" s="1">
        <v>51</v>
      </c>
      <c r="D222" s="1" t="s">
        <v>1302</v>
      </c>
      <c r="E222" s="1" t="s">
        <v>51</v>
      </c>
      <c r="F222" s="2">
        <v>44718</v>
      </c>
      <c r="G222" s="2">
        <v>45267</v>
      </c>
      <c r="H222" s="1">
        <v>3</v>
      </c>
      <c r="I222" s="1" t="s">
        <v>64</v>
      </c>
      <c r="J222" s="1" t="s">
        <v>1105</v>
      </c>
      <c r="K222" s="1" t="s">
        <v>1303</v>
      </c>
      <c r="L222" s="1">
        <v>3</v>
      </c>
      <c r="M222" s="1">
        <v>27</v>
      </c>
      <c r="N222" s="1" t="s">
        <v>45</v>
      </c>
      <c r="O222" s="1" t="s">
        <v>821</v>
      </c>
      <c r="P222" s="1" t="s">
        <v>68</v>
      </c>
      <c r="Q222" s="1" t="s">
        <v>32</v>
      </c>
      <c r="R222" s="1">
        <v>788.61</v>
      </c>
      <c r="S222" s="1" t="s">
        <v>46</v>
      </c>
      <c r="T222" s="1" t="s">
        <v>47</v>
      </c>
      <c r="U222" s="1" t="s">
        <v>35</v>
      </c>
      <c r="V222" s="1" t="s">
        <v>71</v>
      </c>
    </row>
    <row r="223" spans="1:22" x14ac:dyDescent="0.3">
      <c r="A223" s="1" t="s">
        <v>1304</v>
      </c>
      <c r="B223" s="1" t="s">
        <v>1305</v>
      </c>
      <c r="C223" s="1">
        <v>49</v>
      </c>
      <c r="D223" s="1" t="s">
        <v>1306</v>
      </c>
      <c r="E223" s="1" t="s">
        <v>40</v>
      </c>
      <c r="F223" s="2">
        <v>43840</v>
      </c>
      <c r="G223" s="1" t="s">
        <v>1307</v>
      </c>
      <c r="H223" s="1">
        <v>2</v>
      </c>
      <c r="I223" s="1" t="s">
        <v>27</v>
      </c>
      <c r="J223" s="2">
        <v>45112</v>
      </c>
      <c r="K223" s="1" t="s">
        <v>1308</v>
      </c>
      <c r="L223" s="1">
        <v>8</v>
      </c>
      <c r="M223" s="1">
        <v>45</v>
      </c>
      <c r="N223" s="1" t="s">
        <v>30</v>
      </c>
      <c r="O223" s="1" t="s">
        <v>425</v>
      </c>
      <c r="P223" s="1" t="s">
        <v>30</v>
      </c>
      <c r="Q223" s="1" t="s">
        <v>32</v>
      </c>
      <c r="R223" s="1">
        <v>1385.6</v>
      </c>
      <c r="S223" s="1" t="s">
        <v>33</v>
      </c>
      <c r="T223" s="1" t="s">
        <v>34</v>
      </c>
      <c r="U223" s="1" t="s">
        <v>35</v>
      </c>
      <c r="V223" s="1" t="s">
        <v>36</v>
      </c>
    </row>
    <row r="224" spans="1:22" x14ac:dyDescent="0.3">
      <c r="A224" s="1" t="s">
        <v>1309</v>
      </c>
      <c r="B224" s="1" t="s">
        <v>1310</v>
      </c>
      <c r="C224" s="1">
        <v>46</v>
      </c>
      <c r="D224" s="1" t="s">
        <v>1311</v>
      </c>
      <c r="E224" s="1" t="s">
        <v>25</v>
      </c>
      <c r="F224" s="1" t="s">
        <v>1263</v>
      </c>
      <c r="G224" s="1" t="s">
        <v>1312</v>
      </c>
      <c r="H224" s="1">
        <v>1</v>
      </c>
      <c r="I224" s="1" t="s">
        <v>27</v>
      </c>
      <c r="J224" s="1" t="s">
        <v>1313</v>
      </c>
      <c r="K224" s="1" t="s">
        <v>1314</v>
      </c>
      <c r="L224" s="1">
        <v>5</v>
      </c>
      <c r="M224" s="1">
        <v>12</v>
      </c>
      <c r="N224" s="1" t="s">
        <v>30</v>
      </c>
      <c r="O224" s="1" t="s">
        <v>142</v>
      </c>
      <c r="P224" s="1" t="s">
        <v>68</v>
      </c>
      <c r="Q224" s="1" t="s">
        <v>32</v>
      </c>
      <c r="R224" s="1">
        <v>1990.9</v>
      </c>
      <c r="S224" s="1" t="s">
        <v>46</v>
      </c>
      <c r="T224" s="1" t="s">
        <v>34</v>
      </c>
      <c r="U224" s="1" t="s">
        <v>35</v>
      </c>
      <c r="V224" s="1" t="s">
        <v>36</v>
      </c>
    </row>
    <row r="225" spans="1:22" x14ac:dyDescent="0.3">
      <c r="A225" s="1" t="s">
        <v>1315</v>
      </c>
      <c r="B225" s="1" t="s">
        <v>1316</v>
      </c>
      <c r="C225" s="1">
        <v>25</v>
      </c>
      <c r="D225" s="1" t="s">
        <v>1317</v>
      </c>
      <c r="E225" s="1" t="s">
        <v>51</v>
      </c>
      <c r="F225" s="2">
        <v>45047</v>
      </c>
      <c r="G225" s="1" t="s">
        <v>1318</v>
      </c>
      <c r="H225" s="1">
        <v>0</v>
      </c>
      <c r="I225" s="1" t="s">
        <v>27</v>
      </c>
      <c r="J225" s="2">
        <v>44931</v>
      </c>
      <c r="K225" s="1" t="s">
        <v>1319</v>
      </c>
      <c r="L225" s="1">
        <v>8</v>
      </c>
      <c r="M225" s="1">
        <v>32</v>
      </c>
      <c r="N225" s="1" t="s">
        <v>45</v>
      </c>
      <c r="O225" s="1" t="s">
        <v>610</v>
      </c>
      <c r="P225" s="1" t="s">
        <v>68</v>
      </c>
      <c r="Q225" s="1" t="s">
        <v>32</v>
      </c>
      <c r="R225" s="1">
        <v>1694.56</v>
      </c>
      <c r="S225" s="1" t="s">
        <v>46</v>
      </c>
      <c r="T225" s="1" t="s">
        <v>57</v>
      </c>
      <c r="U225" s="1" t="s">
        <v>35</v>
      </c>
      <c r="V225" s="1" t="s">
        <v>36</v>
      </c>
    </row>
    <row r="226" spans="1:22" x14ac:dyDescent="0.3">
      <c r="A226" s="1" t="s">
        <v>1320</v>
      </c>
      <c r="B226" s="1" t="s">
        <v>1321</v>
      </c>
      <c r="C226" s="1">
        <v>19</v>
      </c>
      <c r="D226" s="1" t="s">
        <v>1322</v>
      </c>
      <c r="E226" s="1" t="s">
        <v>40</v>
      </c>
      <c r="F226" s="1" t="s">
        <v>1323</v>
      </c>
      <c r="G226" s="2">
        <v>45546</v>
      </c>
      <c r="H226" s="1">
        <v>1</v>
      </c>
      <c r="I226" s="1" t="s">
        <v>27</v>
      </c>
      <c r="J226" s="1" t="s">
        <v>1324</v>
      </c>
      <c r="K226" s="1" t="s">
        <v>1325</v>
      </c>
      <c r="L226" s="1">
        <v>6</v>
      </c>
      <c r="M226" s="1">
        <v>21</v>
      </c>
      <c r="N226" s="1" t="s">
        <v>68</v>
      </c>
      <c r="O226" s="1" t="s">
        <v>122</v>
      </c>
      <c r="P226" s="1" t="s">
        <v>30</v>
      </c>
      <c r="Q226" s="1" t="s">
        <v>32</v>
      </c>
      <c r="R226" s="1">
        <v>1534.62</v>
      </c>
      <c r="S226" s="1" t="s">
        <v>46</v>
      </c>
      <c r="T226" s="1" t="s">
        <v>100</v>
      </c>
      <c r="U226" s="1" t="s">
        <v>35</v>
      </c>
      <c r="V226" s="1" t="s">
        <v>36</v>
      </c>
    </row>
    <row r="227" spans="1:22" x14ac:dyDescent="0.3">
      <c r="A227" s="1" t="s">
        <v>1326</v>
      </c>
      <c r="B227" s="1" t="s">
        <v>1327</v>
      </c>
      <c r="C227" s="1">
        <v>62</v>
      </c>
      <c r="D227" s="1" t="s">
        <v>1328</v>
      </c>
      <c r="E227" s="1" t="s">
        <v>95</v>
      </c>
      <c r="F227" s="1" t="s">
        <v>409</v>
      </c>
      <c r="G227" s="2">
        <v>45331</v>
      </c>
      <c r="H227" s="1">
        <v>5</v>
      </c>
      <c r="I227" s="1" t="s">
        <v>27</v>
      </c>
      <c r="J227" s="2">
        <v>45509</v>
      </c>
      <c r="K227" s="1" t="s">
        <v>1329</v>
      </c>
      <c r="L227" s="1">
        <v>8</v>
      </c>
      <c r="M227" s="1">
        <v>7</v>
      </c>
      <c r="N227" s="1" t="s">
        <v>68</v>
      </c>
      <c r="O227" s="1" t="s">
        <v>122</v>
      </c>
      <c r="P227" s="1" t="s">
        <v>30</v>
      </c>
      <c r="Q227" s="1" t="s">
        <v>32</v>
      </c>
      <c r="R227" s="1">
        <v>508.16</v>
      </c>
      <c r="S227" s="1" t="s">
        <v>46</v>
      </c>
      <c r="T227" s="1" t="s">
        <v>47</v>
      </c>
      <c r="U227" s="1" t="s">
        <v>35</v>
      </c>
      <c r="V227" s="1" t="s">
        <v>188</v>
      </c>
    </row>
    <row r="228" spans="1:22" x14ac:dyDescent="0.3">
      <c r="A228" s="1" t="s">
        <v>1330</v>
      </c>
      <c r="B228" s="1" t="s">
        <v>1331</v>
      </c>
      <c r="C228" s="1">
        <v>52</v>
      </c>
      <c r="D228" s="1" t="s">
        <v>1332</v>
      </c>
      <c r="E228" s="1" t="s">
        <v>88</v>
      </c>
      <c r="F228" s="1" t="s">
        <v>1333</v>
      </c>
      <c r="G228" s="2">
        <v>44904</v>
      </c>
      <c r="H228" s="1">
        <v>2</v>
      </c>
      <c r="I228" s="1" t="s">
        <v>27</v>
      </c>
      <c r="J228" s="2">
        <v>45079</v>
      </c>
      <c r="K228" s="1" t="s">
        <v>1334</v>
      </c>
      <c r="L228" s="1">
        <v>5</v>
      </c>
      <c r="M228" s="1">
        <v>45</v>
      </c>
      <c r="N228" s="1" t="s">
        <v>54</v>
      </c>
      <c r="O228" s="1" t="s">
        <v>169</v>
      </c>
      <c r="P228" s="1" t="s">
        <v>30</v>
      </c>
      <c r="Q228" s="1" t="s">
        <v>32</v>
      </c>
      <c r="R228" s="1">
        <v>1586.55</v>
      </c>
      <c r="S228" s="1" t="s">
        <v>46</v>
      </c>
      <c r="T228" s="1" t="s">
        <v>47</v>
      </c>
      <c r="U228" s="1" t="s">
        <v>35</v>
      </c>
      <c r="V228" s="1" t="s">
        <v>36</v>
      </c>
    </row>
    <row r="229" spans="1:22" x14ac:dyDescent="0.3">
      <c r="A229" s="1" t="s">
        <v>1335</v>
      </c>
      <c r="B229" s="1" t="s">
        <v>1336</v>
      </c>
      <c r="C229" s="1">
        <v>52</v>
      </c>
      <c r="D229" s="1" t="s">
        <v>1337</v>
      </c>
      <c r="E229" s="1" t="s">
        <v>88</v>
      </c>
      <c r="F229" s="1" t="s">
        <v>166</v>
      </c>
      <c r="G229" s="1" t="s">
        <v>1338</v>
      </c>
      <c r="H229" s="1">
        <v>5</v>
      </c>
      <c r="I229" s="1" t="s">
        <v>27</v>
      </c>
      <c r="J229" s="1" t="s">
        <v>1339</v>
      </c>
      <c r="K229" s="1" t="s">
        <v>1340</v>
      </c>
      <c r="L229" s="1">
        <v>2</v>
      </c>
      <c r="M229" s="1">
        <v>11</v>
      </c>
      <c r="N229" s="1" t="s">
        <v>30</v>
      </c>
      <c r="O229" s="1" t="s">
        <v>149</v>
      </c>
      <c r="P229" s="1" t="s">
        <v>30</v>
      </c>
      <c r="Q229" s="1" t="s">
        <v>322</v>
      </c>
      <c r="R229" s="1">
        <v>872.32</v>
      </c>
      <c r="S229" s="1" t="s">
        <v>33</v>
      </c>
      <c r="T229" s="1" t="s">
        <v>47</v>
      </c>
      <c r="U229" s="1" t="s">
        <v>35</v>
      </c>
      <c r="V229" s="1" t="s">
        <v>188</v>
      </c>
    </row>
    <row r="230" spans="1:22" x14ac:dyDescent="0.3">
      <c r="A230" s="1" t="s">
        <v>1341</v>
      </c>
      <c r="B230" s="1" t="s">
        <v>1342</v>
      </c>
      <c r="C230" s="1">
        <v>47</v>
      </c>
      <c r="D230" s="1" t="s">
        <v>1343</v>
      </c>
      <c r="E230" s="1" t="s">
        <v>88</v>
      </c>
      <c r="F230" s="1" t="s">
        <v>1344</v>
      </c>
      <c r="G230" s="1" t="s">
        <v>790</v>
      </c>
      <c r="H230" s="1">
        <v>0</v>
      </c>
      <c r="I230" s="1" t="s">
        <v>27</v>
      </c>
      <c r="J230" s="1" t="s">
        <v>614</v>
      </c>
      <c r="K230" s="1" t="s">
        <v>1345</v>
      </c>
      <c r="L230" s="1">
        <v>4</v>
      </c>
      <c r="M230" s="1">
        <v>13</v>
      </c>
      <c r="N230" s="1" t="s">
        <v>30</v>
      </c>
      <c r="O230" s="1" t="s">
        <v>149</v>
      </c>
      <c r="P230" s="1" t="s">
        <v>30</v>
      </c>
      <c r="Q230" s="1" t="s">
        <v>32</v>
      </c>
      <c r="R230" s="1">
        <v>1466.56</v>
      </c>
      <c r="S230" s="1" t="s">
        <v>33</v>
      </c>
      <c r="T230" s="1" t="s">
        <v>34</v>
      </c>
      <c r="U230" s="1" t="s">
        <v>35</v>
      </c>
      <c r="V230" s="1" t="s">
        <v>36</v>
      </c>
    </row>
    <row r="231" spans="1:22" x14ac:dyDescent="0.3">
      <c r="A231" s="1" t="s">
        <v>1346</v>
      </c>
      <c r="B231" s="1" t="s">
        <v>1347</v>
      </c>
      <c r="C231" s="1">
        <v>46</v>
      </c>
      <c r="D231" s="1" t="s">
        <v>1348</v>
      </c>
      <c r="E231" s="1" t="s">
        <v>95</v>
      </c>
      <c r="F231" s="1" t="s">
        <v>808</v>
      </c>
      <c r="G231" s="1" t="s">
        <v>1349</v>
      </c>
      <c r="H231" s="1">
        <v>2</v>
      </c>
      <c r="I231" s="1" t="s">
        <v>27</v>
      </c>
      <c r="J231" s="1" t="s">
        <v>320</v>
      </c>
      <c r="K231" s="1" t="s">
        <v>1350</v>
      </c>
      <c r="L231" s="1">
        <v>4</v>
      </c>
      <c r="M231" s="1">
        <v>27</v>
      </c>
      <c r="N231" s="1" t="s">
        <v>68</v>
      </c>
      <c r="O231" s="1" t="s">
        <v>269</v>
      </c>
      <c r="P231" s="1" t="s">
        <v>56</v>
      </c>
      <c r="Q231" s="1" t="s">
        <v>69</v>
      </c>
      <c r="R231" s="1">
        <v>1391.04</v>
      </c>
      <c r="S231" s="1" t="s">
        <v>46</v>
      </c>
      <c r="T231" s="1" t="s">
        <v>34</v>
      </c>
      <c r="U231" s="1" t="s">
        <v>35</v>
      </c>
      <c r="V231" s="1" t="s">
        <v>36</v>
      </c>
    </row>
    <row r="232" spans="1:22" x14ac:dyDescent="0.3">
      <c r="A232" s="1" t="s">
        <v>1351</v>
      </c>
      <c r="B232" s="1" t="s">
        <v>1352</v>
      </c>
      <c r="C232" s="1">
        <v>18</v>
      </c>
      <c r="D232" s="1" t="s">
        <v>1353</v>
      </c>
      <c r="E232" s="1" t="s">
        <v>61</v>
      </c>
      <c r="F232" s="1" t="s">
        <v>1354</v>
      </c>
      <c r="G232" s="1" t="s">
        <v>1355</v>
      </c>
      <c r="H232" s="1">
        <v>1</v>
      </c>
      <c r="I232" s="1" t="s">
        <v>27</v>
      </c>
      <c r="J232" s="1" t="s">
        <v>1356</v>
      </c>
      <c r="K232" s="1" t="s">
        <v>1357</v>
      </c>
      <c r="L232" s="1">
        <v>8</v>
      </c>
      <c r="M232" s="1">
        <v>38</v>
      </c>
      <c r="N232" s="1" t="s">
        <v>45</v>
      </c>
      <c r="O232" s="1" t="s">
        <v>251</v>
      </c>
      <c r="P232" s="1" t="s">
        <v>30</v>
      </c>
      <c r="Q232" s="1" t="s">
        <v>32</v>
      </c>
      <c r="R232" s="1">
        <v>1767.44</v>
      </c>
      <c r="S232" s="1" t="s">
        <v>46</v>
      </c>
      <c r="T232" s="1" t="s">
        <v>100</v>
      </c>
      <c r="U232" s="1" t="s">
        <v>35</v>
      </c>
      <c r="V232" s="1" t="s">
        <v>36</v>
      </c>
    </row>
    <row r="233" spans="1:22" x14ac:dyDescent="0.3">
      <c r="A233" s="1" t="s">
        <v>1358</v>
      </c>
      <c r="B233" s="1" t="s">
        <v>1359</v>
      </c>
      <c r="C233" s="1">
        <v>66</v>
      </c>
      <c r="D233" s="1" t="s">
        <v>1360</v>
      </c>
      <c r="E233" s="1" t="s">
        <v>51</v>
      </c>
      <c r="F233" s="2">
        <v>45261</v>
      </c>
      <c r="G233" s="2">
        <v>45663</v>
      </c>
      <c r="H233" s="1">
        <v>5</v>
      </c>
      <c r="I233" s="1" t="s">
        <v>27</v>
      </c>
      <c r="J233" s="2">
        <v>45844</v>
      </c>
      <c r="K233" s="1" t="s">
        <v>1361</v>
      </c>
      <c r="L233" s="1">
        <v>1</v>
      </c>
      <c r="M233" s="1">
        <v>33</v>
      </c>
      <c r="N233" s="1" t="s">
        <v>30</v>
      </c>
      <c r="O233" s="1" t="s">
        <v>238</v>
      </c>
      <c r="P233" s="1" t="s">
        <v>45</v>
      </c>
      <c r="Q233" s="1" t="s">
        <v>32</v>
      </c>
      <c r="R233" s="1">
        <v>1331.03</v>
      </c>
      <c r="S233" s="1" t="s">
        <v>46</v>
      </c>
      <c r="T233" s="1" t="s">
        <v>232</v>
      </c>
      <c r="U233" s="1" t="s">
        <v>35</v>
      </c>
      <c r="V233" s="1" t="s">
        <v>188</v>
      </c>
    </row>
    <row r="234" spans="1:22" x14ac:dyDescent="0.3">
      <c r="A234" s="1" t="s">
        <v>1362</v>
      </c>
      <c r="B234" s="1" t="s">
        <v>1363</v>
      </c>
      <c r="C234" s="1">
        <v>54</v>
      </c>
      <c r="D234" s="1" t="s">
        <v>1364</v>
      </c>
      <c r="E234" s="1" t="s">
        <v>95</v>
      </c>
      <c r="F234" s="1" t="s">
        <v>621</v>
      </c>
      <c r="G234" s="2">
        <v>45087</v>
      </c>
      <c r="H234" s="1">
        <v>4</v>
      </c>
      <c r="I234" s="1" t="s">
        <v>52</v>
      </c>
      <c r="J234" s="2">
        <v>45600</v>
      </c>
      <c r="K234" s="1" t="s">
        <v>1365</v>
      </c>
      <c r="L234" s="1">
        <v>5</v>
      </c>
      <c r="M234" s="1">
        <v>30</v>
      </c>
      <c r="N234" s="1" t="s">
        <v>54</v>
      </c>
      <c r="O234" s="1" t="s">
        <v>597</v>
      </c>
      <c r="P234" s="1" t="s">
        <v>45</v>
      </c>
      <c r="Q234" s="1" t="s">
        <v>322</v>
      </c>
      <c r="R234" s="1">
        <v>672</v>
      </c>
      <c r="S234" s="1" t="s">
        <v>46</v>
      </c>
      <c r="T234" s="1" t="s">
        <v>47</v>
      </c>
      <c r="U234" s="1" t="s">
        <v>35</v>
      </c>
      <c r="V234" s="1" t="s">
        <v>36</v>
      </c>
    </row>
    <row r="235" spans="1:22" x14ac:dyDescent="0.3">
      <c r="A235" s="1" t="s">
        <v>1366</v>
      </c>
      <c r="B235" s="1" t="s">
        <v>1367</v>
      </c>
      <c r="C235" s="1">
        <v>35</v>
      </c>
      <c r="D235" s="1" t="s">
        <v>1368</v>
      </c>
      <c r="E235" s="1" t="s">
        <v>61</v>
      </c>
      <c r="F235" s="2">
        <v>44746</v>
      </c>
      <c r="G235" s="2">
        <v>45328</v>
      </c>
      <c r="H235" s="1">
        <v>1</v>
      </c>
      <c r="I235" s="1" t="s">
        <v>27</v>
      </c>
      <c r="J235" s="1" t="s">
        <v>1369</v>
      </c>
      <c r="K235" s="1" t="s">
        <v>1370</v>
      </c>
      <c r="L235" s="1">
        <v>9</v>
      </c>
      <c r="M235" s="1">
        <v>26</v>
      </c>
      <c r="N235" s="1" t="s">
        <v>54</v>
      </c>
      <c r="O235" s="1" t="s">
        <v>238</v>
      </c>
      <c r="P235" s="1" t="s">
        <v>45</v>
      </c>
      <c r="Q235" s="1" t="s">
        <v>32</v>
      </c>
      <c r="R235" s="1">
        <v>1199.25</v>
      </c>
      <c r="S235" s="1" t="s">
        <v>46</v>
      </c>
      <c r="T235" s="1" t="s">
        <v>34</v>
      </c>
      <c r="U235" s="1" t="s">
        <v>35</v>
      </c>
      <c r="V235" s="1" t="s">
        <v>36</v>
      </c>
    </row>
    <row r="236" spans="1:22" x14ac:dyDescent="0.3">
      <c r="A236" s="1" t="s">
        <v>1371</v>
      </c>
      <c r="B236" s="1" t="s">
        <v>1372</v>
      </c>
      <c r="C236" s="1">
        <v>65</v>
      </c>
      <c r="D236" s="1" t="s">
        <v>1373</v>
      </c>
      <c r="E236" s="1" t="s">
        <v>40</v>
      </c>
      <c r="F236" s="1" t="s">
        <v>1374</v>
      </c>
      <c r="G236" s="2">
        <v>45778</v>
      </c>
      <c r="H236" s="1">
        <v>1</v>
      </c>
      <c r="I236" s="1" t="s">
        <v>52</v>
      </c>
      <c r="J236" s="1" t="s">
        <v>1375</v>
      </c>
      <c r="K236" s="1" t="s">
        <v>1376</v>
      </c>
      <c r="L236" s="1">
        <v>9</v>
      </c>
      <c r="M236" s="1">
        <v>15</v>
      </c>
      <c r="N236" s="1" t="s">
        <v>30</v>
      </c>
      <c r="O236" s="1" t="s">
        <v>149</v>
      </c>
      <c r="P236" s="1" t="s">
        <v>30</v>
      </c>
      <c r="Q236" s="1" t="s">
        <v>69</v>
      </c>
      <c r="R236" s="1">
        <v>1892.34</v>
      </c>
      <c r="S236" s="1" t="s">
        <v>33</v>
      </c>
      <c r="T236" s="1" t="s">
        <v>232</v>
      </c>
      <c r="U236" s="1" t="s">
        <v>35</v>
      </c>
      <c r="V236" s="1" t="s">
        <v>36</v>
      </c>
    </row>
    <row r="237" spans="1:22" x14ac:dyDescent="0.3">
      <c r="A237" s="1" t="s">
        <v>1377</v>
      </c>
      <c r="B237" s="1" t="s">
        <v>1378</v>
      </c>
      <c r="C237" s="1">
        <v>22</v>
      </c>
      <c r="D237" s="1" t="s">
        <v>1379</v>
      </c>
      <c r="E237" s="1" t="s">
        <v>51</v>
      </c>
      <c r="F237" s="1" t="s">
        <v>1380</v>
      </c>
      <c r="G237" s="1" t="s">
        <v>825</v>
      </c>
      <c r="H237" s="1">
        <v>0</v>
      </c>
      <c r="I237" s="1" t="s">
        <v>52</v>
      </c>
      <c r="J237" s="1" t="s">
        <v>1381</v>
      </c>
      <c r="K237" s="1" t="s">
        <v>1382</v>
      </c>
      <c r="L237" s="1">
        <v>8</v>
      </c>
      <c r="M237" s="1">
        <v>47</v>
      </c>
      <c r="N237" s="1" t="s">
        <v>56</v>
      </c>
      <c r="O237" s="1" t="s">
        <v>135</v>
      </c>
      <c r="P237" s="1" t="s">
        <v>45</v>
      </c>
      <c r="Q237" s="1" t="s">
        <v>32</v>
      </c>
      <c r="R237" s="1">
        <v>641.67999999999995</v>
      </c>
      <c r="S237" s="1" t="s">
        <v>46</v>
      </c>
      <c r="T237" s="1" t="s">
        <v>100</v>
      </c>
      <c r="U237" s="1" t="s">
        <v>35</v>
      </c>
      <c r="V237" s="1" t="s">
        <v>36</v>
      </c>
    </row>
    <row r="238" spans="1:22" x14ac:dyDescent="0.3">
      <c r="A238" s="1" t="s">
        <v>1383</v>
      </c>
      <c r="B238" s="1" t="s">
        <v>1384</v>
      </c>
      <c r="C238" s="1">
        <v>60</v>
      </c>
      <c r="D238" s="1" t="s">
        <v>1385</v>
      </c>
      <c r="E238" s="1" t="s">
        <v>51</v>
      </c>
      <c r="F238" s="1" t="s">
        <v>550</v>
      </c>
      <c r="G238" s="1" t="s">
        <v>1386</v>
      </c>
      <c r="H238" s="1">
        <v>2</v>
      </c>
      <c r="I238" s="1" t="s">
        <v>27</v>
      </c>
      <c r="J238" s="2">
        <v>45239</v>
      </c>
      <c r="K238" s="1" t="s">
        <v>1387</v>
      </c>
      <c r="L238" s="1">
        <v>4</v>
      </c>
      <c r="M238" s="1">
        <v>11</v>
      </c>
      <c r="N238" s="1" t="s">
        <v>45</v>
      </c>
      <c r="O238" s="1" t="s">
        <v>223</v>
      </c>
      <c r="P238" s="1" t="s">
        <v>56</v>
      </c>
      <c r="Q238" s="1" t="s">
        <v>32</v>
      </c>
      <c r="R238" s="1">
        <v>535.36</v>
      </c>
      <c r="S238" s="1" t="s">
        <v>46</v>
      </c>
      <c r="T238" s="1" t="s">
        <v>47</v>
      </c>
      <c r="U238" s="1" t="s">
        <v>35</v>
      </c>
      <c r="V238" s="1" t="s">
        <v>36</v>
      </c>
    </row>
    <row r="239" spans="1:22" x14ac:dyDescent="0.3">
      <c r="A239" s="1" t="s">
        <v>1388</v>
      </c>
      <c r="B239" s="1" t="s">
        <v>1389</v>
      </c>
      <c r="C239" s="1">
        <v>57</v>
      </c>
      <c r="D239" s="1" t="s">
        <v>1390</v>
      </c>
      <c r="E239" s="1" t="s">
        <v>88</v>
      </c>
      <c r="F239" s="2">
        <v>45200</v>
      </c>
      <c r="G239" s="2">
        <v>45117</v>
      </c>
      <c r="H239" s="1">
        <v>1</v>
      </c>
      <c r="I239" s="1" t="s">
        <v>52</v>
      </c>
      <c r="J239" s="1" t="s">
        <v>1391</v>
      </c>
      <c r="K239" s="1" t="s">
        <v>1392</v>
      </c>
      <c r="L239" s="1">
        <v>4</v>
      </c>
      <c r="M239" s="1">
        <v>28</v>
      </c>
      <c r="N239" s="1" t="s">
        <v>54</v>
      </c>
      <c r="O239" s="1" t="s">
        <v>142</v>
      </c>
      <c r="P239" s="1" t="s">
        <v>68</v>
      </c>
      <c r="Q239" s="1" t="s">
        <v>32</v>
      </c>
      <c r="R239" s="1">
        <v>1146.76</v>
      </c>
      <c r="S239" s="1" t="s">
        <v>46</v>
      </c>
      <c r="T239" s="1" t="s">
        <v>47</v>
      </c>
      <c r="U239" s="1" t="s">
        <v>35</v>
      </c>
      <c r="V239" s="1" t="s">
        <v>36</v>
      </c>
    </row>
    <row r="240" spans="1:22" x14ac:dyDescent="0.3">
      <c r="A240" s="1" t="s">
        <v>1393</v>
      </c>
      <c r="B240" s="1" t="s">
        <v>1394</v>
      </c>
      <c r="C240" s="1">
        <v>37</v>
      </c>
      <c r="D240" s="1" t="s">
        <v>1395</v>
      </c>
      <c r="E240" s="1" t="s">
        <v>25</v>
      </c>
      <c r="F240" s="1" t="s">
        <v>1396</v>
      </c>
      <c r="G240" s="1" t="s">
        <v>1397</v>
      </c>
      <c r="H240" s="1">
        <v>2</v>
      </c>
      <c r="I240" s="1" t="s">
        <v>27</v>
      </c>
      <c r="J240" s="1" t="s">
        <v>382</v>
      </c>
      <c r="K240" s="1" t="s">
        <v>1398</v>
      </c>
      <c r="L240" s="1">
        <v>8</v>
      </c>
      <c r="M240" s="1">
        <v>3</v>
      </c>
      <c r="N240" s="1" t="s">
        <v>54</v>
      </c>
      <c r="O240" s="1" t="s">
        <v>199</v>
      </c>
      <c r="P240" s="1" t="s">
        <v>54</v>
      </c>
      <c r="Q240" s="1" t="s">
        <v>32</v>
      </c>
      <c r="R240" s="1">
        <v>441.44</v>
      </c>
      <c r="S240" s="1" t="s">
        <v>33</v>
      </c>
      <c r="T240" s="1" t="s">
        <v>34</v>
      </c>
      <c r="U240" s="1" t="s">
        <v>101</v>
      </c>
      <c r="V240" s="1" t="s">
        <v>36</v>
      </c>
    </row>
    <row r="241" spans="1:22" x14ac:dyDescent="0.3">
      <c r="A241" s="1" t="s">
        <v>1399</v>
      </c>
      <c r="B241" s="1" t="s">
        <v>1400</v>
      </c>
      <c r="C241" s="1">
        <v>50</v>
      </c>
      <c r="D241" s="1" t="s">
        <v>1401</v>
      </c>
      <c r="E241" s="1" t="s">
        <v>40</v>
      </c>
      <c r="F241" s="1" t="s">
        <v>1210</v>
      </c>
      <c r="G241" s="1" t="s">
        <v>1402</v>
      </c>
      <c r="H241" s="1">
        <v>5</v>
      </c>
      <c r="I241" s="1" t="s">
        <v>27</v>
      </c>
      <c r="J241" s="2">
        <v>45749</v>
      </c>
      <c r="K241" s="1" t="s">
        <v>1403</v>
      </c>
      <c r="L241" s="1">
        <v>7</v>
      </c>
      <c r="M241" s="1">
        <v>8</v>
      </c>
      <c r="N241" s="1" t="s">
        <v>56</v>
      </c>
      <c r="O241" s="1" t="s">
        <v>231</v>
      </c>
      <c r="P241" s="1" t="s">
        <v>30</v>
      </c>
      <c r="Q241" s="1" t="s">
        <v>32</v>
      </c>
      <c r="R241" s="1">
        <v>180.25</v>
      </c>
      <c r="S241" s="1" t="s">
        <v>46</v>
      </c>
      <c r="T241" s="1" t="s">
        <v>47</v>
      </c>
      <c r="U241" s="1" t="s">
        <v>101</v>
      </c>
      <c r="V241" s="1" t="s">
        <v>188</v>
      </c>
    </row>
    <row r="242" spans="1:22" x14ac:dyDescent="0.3">
      <c r="A242" s="1" t="s">
        <v>1404</v>
      </c>
      <c r="B242" s="1" t="s">
        <v>1405</v>
      </c>
      <c r="C242" s="1">
        <v>22</v>
      </c>
      <c r="D242" s="1" t="s">
        <v>1406</v>
      </c>
      <c r="E242" s="1" t="s">
        <v>88</v>
      </c>
      <c r="F242" s="1" t="s">
        <v>1407</v>
      </c>
      <c r="G242" s="2">
        <v>45173</v>
      </c>
      <c r="H242" s="1">
        <v>5</v>
      </c>
      <c r="I242" s="1" t="s">
        <v>27</v>
      </c>
      <c r="J242" s="1" t="s">
        <v>1408</v>
      </c>
      <c r="K242" s="1" t="s">
        <v>1409</v>
      </c>
      <c r="L242" s="1">
        <v>6</v>
      </c>
      <c r="M242" s="1">
        <v>22</v>
      </c>
      <c r="N242" s="1" t="s">
        <v>54</v>
      </c>
      <c r="O242" s="1" t="s">
        <v>354</v>
      </c>
      <c r="P242" s="1" t="s">
        <v>45</v>
      </c>
      <c r="Q242" s="1" t="s">
        <v>32</v>
      </c>
      <c r="R242" s="1">
        <v>44.52</v>
      </c>
      <c r="S242" s="1" t="s">
        <v>46</v>
      </c>
      <c r="T242" s="1" t="s">
        <v>100</v>
      </c>
      <c r="U242" s="1" t="s">
        <v>101</v>
      </c>
      <c r="V242" s="1" t="s">
        <v>188</v>
      </c>
    </row>
    <row r="243" spans="1:22" x14ac:dyDescent="0.3">
      <c r="A243" s="1" t="s">
        <v>1410</v>
      </c>
      <c r="B243" s="1" t="s">
        <v>1411</v>
      </c>
      <c r="C243" s="1">
        <v>46</v>
      </c>
      <c r="D243" s="1" t="s">
        <v>1412</v>
      </c>
      <c r="E243" s="1" t="s">
        <v>25</v>
      </c>
      <c r="F243" s="1" t="s">
        <v>1413</v>
      </c>
      <c r="G243" s="1" t="s">
        <v>1414</v>
      </c>
      <c r="H243" s="1">
        <v>0</v>
      </c>
      <c r="I243" s="1" t="s">
        <v>27</v>
      </c>
      <c r="J243" s="1" t="s">
        <v>1415</v>
      </c>
      <c r="K243" s="1" t="s">
        <v>1416</v>
      </c>
      <c r="L243" s="1">
        <v>4</v>
      </c>
      <c r="M243" s="1">
        <v>39</v>
      </c>
      <c r="N243" s="1" t="s">
        <v>30</v>
      </c>
      <c r="O243" s="1" t="s">
        <v>418</v>
      </c>
      <c r="P243" s="1" t="s">
        <v>56</v>
      </c>
      <c r="Q243" s="1" t="s">
        <v>32</v>
      </c>
      <c r="R243" s="1">
        <v>1721.12</v>
      </c>
      <c r="S243" s="1" t="s">
        <v>46</v>
      </c>
      <c r="T243" s="1" t="s">
        <v>34</v>
      </c>
      <c r="U243" s="1" t="s">
        <v>35</v>
      </c>
      <c r="V243" s="1" t="s">
        <v>36</v>
      </c>
    </row>
    <row r="244" spans="1:22" x14ac:dyDescent="0.3">
      <c r="A244" s="1" t="s">
        <v>1417</v>
      </c>
      <c r="B244" s="1" t="s">
        <v>1418</v>
      </c>
      <c r="C244" s="1">
        <v>59</v>
      </c>
      <c r="D244" s="1" t="s">
        <v>1419</v>
      </c>
      <c r="E244" s="1" t="s">
        <v>61</v>
      </c>
      <c r="F244" s="2">
        <v>44444</v>
      </c>
      <c r="G244" s="2">
        <v>45721</v>
      </c>
      <c r="H244" s="1">
        <v>2</v>
      </c>
      <c r="I244" s="1" t="s">
        <v>27</v>
      </c>
      <c r="J244" s="1" t="s">
        <v>1420</v>
      </c>
      <c r="K244" s="1" t="s">
        <v>1421</v>
      </c>
      <c r="L244" s="1">
        <v>3</v>
      </c>
      <c r="M244" s="1">
        <v>40</v>
      </c>
      <c r="N244" s="1" t="s">
        <v>56</v>
      </c>
      <c r="O244" s="1" t="s">
        <v>366</v>
      </c>
      <c r="P244" s="1" t="s">
        <v>54</v>
      </c>
      <c r="Q244" s="1" t="s">
        <v>69</v>
      </c>
      <c r="R244" s="1">
        <v>923.85</v>
      </c>
      <c r="S244" s="1" t="s">
        <v>46</v>
      </c>
      <c r="T244" s="1" t="s">
        <v>47</v>
      </c>
      <c r="U244" s="1" t="s">
        <v>35</v>
      </c>
      <c r="V244" s="1" t="s">
        <v>36</v>
      </c>
    </row>
    <row r="245" spans="1:22" x14ac:dyDescent="0.3">
      <c r="A245" s="1" t="s">
        <v>1422</v>
      </c>
      <c r="B245" s="1" t="s">
        <v>1423</v>
      </c>
      <c r="C245" s="1">
        <v>53</v>
      </c>
      <c r="D245" s="1" t="s">
        <v>1424</v>
      </c>
      <c r="E245" s="1" t="s">
        <v>88</v>
      </c>
      <c r="F245" s="1" t="s">
        <v>1425</v>
      </c>
      <c r="G245" s="2">
        <v>44902</v>
      </c>
      <c r="H245" s="1">
        <v>2</v>
      </c>
      <c r="I245" s="1" t="s">
        <v>27</v>
      </c>
      <c r="J245" s="1" t="s">
        <v>339</v>
      </c>
      <c r="K245" s="1" t="s">
        <v>1426</v>
      </c>
      <c r="L245" s="1">
        <v>1</v>
      </c>
      <c r="M245" s="1">
        <v>5</v>
      </c>
      <c r="N245" s="1" t="s">
        <v>68</v>
      </c>
      <c r="O245" s="1" t="s">
        <v>211</v>
      </c>
      <c r="P245" s="1" t="s">
        <v>68</v>
      </c>
      <c r="Q245" s="1" t="s">
        <v>32</v>
      </c>
      <c r="R245" s="1">
        <v>235.7</v>
      </c>
      <c r="S245" s="1" t="s">
        <v>33</v>
      </c>
      <c r="T245" s="1" t="s">
        <v>47</v>
      </c>
      <c r="U245" s="1" t="s">
        <v>101</v>
      </c>
      <c r="V245" s="1" t="s">
        <v>36</v>
      </c>
    </row>
    <row r="246" spans="1:22" x14ac:dyDescent="0.3">
      <c r="A246" s="1" t="s">
        <v>1427</v>
      </c>
      <c r="B246" s="1" t="s">
        <v>1428</v>
      </c>
      <c r="C246" s="1">
        <v>40</v>
      </c>
      <c r="D246" s="1" t="s">
        <v>1429</v>
      </c>
      <c r="E246" s="1" t="s">
        <v>40</v>
      </c>
      <c r="F246" s="1" t="s">
        <v>1430</v>
      </c>
      <c r="G246" s="1" t="s">
        <v>1431</v>
      </c>
      <c r="H246" s="1">
        <v>5</v>
      </c>
      <c r="I246" s="1" t="s">
        <v>27</v>
      </c>
      <c r="J246" s="2">
        <v>44989</v>
      </c>
      <c r="K246" s="1" t="s">
        <v>1432</v>
      </c>
      <c r="L246" s="1">
        <v>8</v>
      </c>
      <c r="M246" s="1">
        <v>23</v>
      </c>
      <c r="N246" s="1" t="s">
        <v>45</v>
      </c>
      <c r="O246" s="1" t="s">
        <v>149</v>
      </c>
      <c r="P246" s="1" t="s">
        <v>30</v>
      </c>
      <c r="Q246" s="1" t="s">
        <v>32</v>
      </c>
      <c r="R246" s="1">
        <v>1399.6</v>
      </c>
      <c r="S246" s="1" t="s">
        <v>46</v>
      </c>
      <c r="T246" s="1" t="s">
        <v>34</v>
      </c>
      <c r="U246" s="1" t="s">
        <v>35</v>
      </c>
      <c r="V246" s="1" t="s">
        <v>188</v>
      </c>
    </row>
    <row r="247" spans="1:22" x14ac:dyDescent="0.3">
      <c r="A247" s="1" t="s">
        <v>1433</v>
      </c>
      <c r="B247" s="1" t="s">
        <v>1434</v>
      </c>
      <c r="C247" s="1">
        <v>67</v>
      </c>
      <c r="D247" s="1" t="s">
        <v>1435</v>
      </c>
      <c r="E247" s="1" t="s">
        <v>95</v>
      </c>
      <c r="F247" s="1" t="s">
        <v>1436</v>
      </c>
      <c r="G247" s="1" t="s">
        <v>352</v>
      </c>
      <c r="H247" s="1">
        <v>0</v>
      </c>
      <c r="I247" s="1" t="s">
        <v>27</v>
      </c>
      <c r="J247" s="2">
        <v>45815</v>
      </c>
      <c r="K247" s="1" t="s">
        <v>1437</v>
      </c>
      <c r="L247" s="1">
        <v>4</v>
      </c>
      <c r="M247" s="1">
        <v>40</v>
      </c>
      <c r="N247" s="1" t="s">
        <v>68</v>
      </c>
      <c r="O247" s="1" t="s">
        <v>67</v>
      </c>
      <c r="P247" s="1" t="s">
        <v>68</v>
      </c>
      <c r="Q247" s="1" t="s">
        <v>32</v>
      </c>
      <c r="R247" s="1">
        <v>929.56</v>
      </c>
      <c r="S247" s="1" t="s">
        <v>33</v>
      </c>
      <c r="T247" s="1" t="s">
        <v>232</v>
      </c>
      <c r="U247" s="1" t="s">
        <v>35</v>
      </c>
      <c r="V247" s="1" t="s">
        <v>36</v>
      </c>
    </row>
    <row r="248" spans="1:22" x14ac:dyDescent="0.3">
      <c r="A248" s="1" t="s">
        <v>1438</v>
      </c>
      <c r="B248" s="1" t="s">
        <v>1439</v>
      </c>
      <c r="C248" s="1">
        <v>26</v>
      </c>
      <c r="D248" s="1" t="s">
        <v>1440</v>
      </c>
      <c r="E248" s="1" t="s">
        <v>88</v>
      </c>
      <c r="F248" s="1" t="s">
        <v>1441</v>
      </c>
      <c r="G248" s="1" t="s">
        <v>1442</v>
      </c>
      <c r="H248" s="1">
        <v>2</v>
      </c>
      <c r="I248" s="1" t="s">
        <v>27</v>
      </c>
      <c r="J248" s="2">
        <v>45356</v>
      </c>
      <c r="K248" s="1" t="s">
        <v>1443</v>
      </c>
      <c r="L248" s="1">
        <v>4</v>
      </c>
      <c r="M248" s="1">
        <v>23</v>
      </c>
      <c r="N248" s="1" t="s">
        <v>54</v>
      </c>
      <c r="O248" s="1" t="s">
        <v>135</v>
      </c>
      <c r="P248" s="1" t="s">
        <v>45</v>
      </c>
      <c r="Q248" s="1" t="s">
        <v>69</v>
      </c>
      <c r="R248" s="1">
        <v>1067</v>
      </c>
      <c r="S248" s="1" t="s">
        <v>46</v>
      </c>
      <c r="T248" s="1" t="s">
        <v>57</v>
      </c>
      <c r="U248" s="1" t="s">
        <v>35</v>
      </c>
      <c r="V248" s="1" t="s">
        <v>36</v>
      </c>
    </row>
    <row r="249" spans="1:22" x14ac:dyDescent="0.3">
      <c r="A249" s="1" t="s">
        <v>1444</v>
      </c>
      <c r="B249" s="1" t="s">
        <v>1445</v>
      </c>
      <c r="C249" s="1">
        <v>67</v>
      </c>
      <c r="D249" s="1" t="s">
        <v>1446</v>
      </c>
      <c r="E249" s="1" t="s">
        <v>95</v>
      </c>
      <c r="F249" s="1" t="s">
        <v>1447</v>
      </c>
      <c r="G249" s="1" t="s">
        <v>873</v>
      </c>
      <c r="H249" s="1">
        <v>5</v>
      </c>
      <c r="I249" s="1" t="s">
        <v>27</v>
      </c>
      <c r="J249" s="1" t="s">
        <v>423</v>
      </c>
      <c r="K249" s="1" t="s">
        <v>1448</v>
      </c>
      <c r="L249" s="1">
        <v>2</v>
      </c>
      <c r="M249" s="1">
        <v>39</v>
      </c>
      <c r="N249" s="1" t="s">
        <v>68</v>
      </c>
      <c r="O249" s="1" t="s">
        <v>373</v>
      </c>
      <c r="P249" s="1" t="s">
        <v>54</v>
      </c>
      <c r="Q249" s="1" t="s">
        <v>32</v>
      </c>
      <c r="R249" s="1">
        <v>65.64</v>
      </c>
      <c r="S249" s="1" t="s">
        <v>46</v>
      </c>
      <c r="T249" s="1" t="s">
        <v>232</v>
      </c>
      <c r="U249" s="1" t="s">
        <v>35</v>
      </c>
      <c r="V249" s="1" t="s">
        <v>188</v>
      </c>
    </row>
    <row r="250" spans="1:22" x14ac:dyDescent="0.3">
      <c r="A250" s="1" t="s">
        <v>1449</v>
      </c>
      <c r="B250" s="1" t="s">
        <v>1450</v>
      </c>
      <c r="C250" s="1">
        <v>23</v>
      </c>
      <c r="D250" s="1" t="s">
        <v>1451</v>
      </c>
      <c r="E250" s="1" t="s">
        <v>40</v>
      </c>
      <c r="F250" s="1" t="s">
        <v>1452</v>
      </c>
      <c r="G250" s="1" t="s">
        <v>1453</v>
      </c>
      <c r="H250" s="1">
        <v>2</v>
      </c>
      <c r="I250" s="1" t="s">
        <v>64</v>
      </c>
      <c r="J250" s="1" t="s">
        <v>1454</v>
      </c>
      <c r="K250" s="1" t="s">
        <v>1455</v>
      </c>
      <c r="L250" s="1">
        <v>3</v>
      </c>
      <c r="M250" s="1">
        <v>11</v>
      </c>
      <c r="N250" s="1" t="s">
        <v>54</v>
      </c>
      <c r="O250" s="1" t="s">
        <v>67</v>
      </c>
      <c r="P250" s="1" t="s">
        <v>68</v>
      </c>
      <c r="Q250" s="1" t="s">
        <v>69</v>
      </c>
      <c r="R250" s="1">
        <v>1792.08</v>
      </c>
      <c r="S250" s="1" t="s">
        <v>46</v>
      </c>
      <c r="T250" s="1" t="s">
        <v>100</v>
      </c>
      <c r="U250" s="1" t="s">
        <v>35</v>
      </c>
      <c r="V250" s="1" t="s">
        <v>71</v>
      </c>
    </row>
    <row r="251" spans="1:22" x14ac:dyDescent="0.3">
      <c r="A251" s="1" t="s">
        <v>1456</v>
      </c>
      <c r="B251" s="1" t="s">
        <v>1457</v>
      </c>
      <c r="C251" s="1">
        <v>51</v>
      </c>
      <c r="D251" s="1" t="s">
        <v>1458</v>
      </c>
      <c r="E251" s="1" t="s">
        <v>61</v>
      </c>
      <c r="F251" s="1" t="s">
        <v>1459</v>
      </c>
      <c r="G251" s="2">
        <v>45485</v>
      </c>
      <c r="H251" s="1">
        <v>1</v>
      </c>
      <c r="I251" s="1" t="s">
        <v>52</v>
      </c>
      <c r="J251" s="1" t="s">
        <v>75</v>
      </c>
      <c r="K251" s="1" t="s">
        <v>1460</v>
      </c>
      <c r="L251" s="1">
        <v>8</v>
      </c>
      <c r="M251" s="1">
        <v>18</v>
      </c>
      <c r="N251" s="1" t="s">
        <v>68</v>
      </c>
      <c r="O251" s="1" t="s">
        <v>67</v>
      </c>
      <c r="P251" s="1" t="s">
        <v>68</v>
      </c>
      <c r="Q251" s="1" t="s">
        <v>32</v>
      </c>
      <c r="R251" s="1">
        <v>1179.5999999999999</v>
      </c>
      <c r="S251" s="1" t="s">
        <v>33</v>
      </c>
      <c r="T251" s="1" t="s">
        <v>47</v>
      </c>
      <c r="U251" s="1" t="s">
        <v>35</v>
      </c>
      <c r="V251" s="1" t="s">
        <v>36</v>
      </c>
    </row>
    <row r="252" spans="1:22" x14ac:dyDescent="0.3">
      <c r="A252" s="1" t="s">
        <v>1461</v>
      </c>
      <c r="B252" s="1" t="s">
        <v>1462</v>
      </c>
      <c r="C252" s="1">
        <v>64</v>
      </c>
      <c r="D252" s="1" t="s">
        <v>1463</v>
      </c>
      <c r="E252" s="1" t="s">
        <v>61</v>
      </c>
      <c r="F252" s="1" t="s">
        <v>1464</v>
      </c>
      <c r="G252" s="1" t="s">
        <v>1465</v>
      </c>
      <c r="H252" s="1">
        <v>2</v>
      </c>
      <c r="I252" s="1" t="s">
        <v>27</v>
      </c>
      <c r="J252" s="2">
        <v>44896</v>
      </c>
      <c r="K252" s="1" t="s">
        <v>1466</v>
      </c>
      <c r="L252" s="1">
        <v>7</v>
      </c>
      <c r="M252" s="1">
        <v>39</v>
      </c>
      <c r="N252" s="1" t="s">
        <v>54</v>
      </c>
      <c r="O252" s="1" t="s">
        <v>425</v>
      </c>
      <c r="P252" s="1" t="s">
        <v>30</v>
      </c>
      <c r="Q252" s="1" t="s">
        <v>32</v>
      </c>
      <c r="R252" s="1">
        <v>643.44000000000005</v>
      </c>
      <c r="S252" s="1" t="s">
        <v>46</v>
      </c>
      <c r="T252" s="1" t="s">
        <v>47</v>
      </c>
      <c r="U252" s="1" t="s">
        <v>35</v>
      </c>
      <c r="V252" s="1" t="s">
        <v>36</v>
      </c>
    </row>
    <row r="253" spans="1:22" x14ac:dyDescent="0.3">
      <c r="A253" s="1" t="s">
        <v>1467</v>
      </c>
      <c r="B253" s="1" t="s">
        <v>1468</v>
      </c>
      <c r="C253" s="1">
        <v>42</v>
      </c>
      <c r="D253" s="1" t="s">
        <v>1469</v>
      </c>
      <c r="E253" s="1" t="s">
        <v>88</v>
      </c>
      <c r="F253" s="1" t="s">
        <v>797</v>
      </c>
      <c r="G253" s="2">
        <v>45515</v>
      </c>
      <c r="H253" s="1">
        <v>2</v>
      </c>
      <c r="I253" s="1" t="s">
        <v>27</v>
      </c>
      <c r="J253" s="2">
        <v>45179</v>
      </c>
      <c r="K253" s="1" t="s">
        <v>1470</v>
      </c>
      <c r="L253" s="1">
        <v>6</v>
      </c>
      <c r="M253" s="1">
        <v>39</v>
      </c>
      <c r="N253" s="1" t="s">
        <v>45</v>
      </c>
      <c r="O253" s="1" t="s">
        <v>837</v>
      </c>
      <c r="P253" s="1" t="s">
        <v>56</v>
      </c>
      <c r="Q253" s="1" t="s">
        <v>32</v>
      </c>
      <c r="R253" s="1">
        <v>538.08000000000004</v>
      </c>
      <c r="S253" s="1" t="s">
        <v>46</v>
      </c>
      <c r="T253" s="1" t="s">
        <v>34</v>
      </c>
      <c r="U253" s="1" t="s">
        <v>35</v>
      </c>
      <c r="V253" s="1" t="s">
        <v>36</v>
      </c>
    </row>
    <row r="254" spans="1:22" x14ac:dyDescent="0.3">
      <c r="A254" s="1" t="s">
        <v>1471</v>
      </c>
      <c r="B254" s="1" t="s">
        <v>1472</v>
      </c>
      <c r="C254" s="1">
        <v>23</v>
      </c>
      <c r="D254" s="1" t="s">
        <v>1473</v>
      </c>
      <c r="E254" s="1" t="s">
        <v>51</v>
      </c>
      <c r="F254" s="1" t="s">
        <v>1474</v>
      </c>
      <c r="G254" s="1" t="s">
        <v>1100</v>
      </c>
      <c r="H254" s="1">
        <v>1</v>
      </c>
      <c r="I254" s="1" t="s">
        <v>64</v>
      </c>
      <c r="J254" s="2">
        <v>44594</v>
      </c>
      <c r="K254" s="1" t="s">
        <v>1475</v>
      </c>
      <c r="L254" s="1">
        <v>5</v>
      </c>
      <c r="M254" s="1">
        <v>6</v>
      </c>
      <c r="N254" s="1" t="s">
        <v>30</v>
      </c>
      <c r="O254" s="1" t="s">
        <v>293</v>
      </c>
      <c r="P254" s="1" t="s">
        <v>45</v>
      </c>
      <c r="Q254" s="1" t="s">
        <v>69</v>
      </c>
      <c r="R254" s="1">
        <v>1348.1</v>
      </c>
      <c r="S254" s="1" t="s">
        <v>46</v>
      </c>
      <c r="T254" s="1" t="s">
        <v>100</v>
      </c>
      <c r="U254" s="1" t="s">
        <v>35</v>
      </c>
      <c r="V254" s="1" t="s">
        <v>71</v>
      </c>
    </row>
    <row r="255" spans="1:22" x14ac:dyDescent="0.3">
      <c r="A255" s="1" t="s">
        <v>1476</v>
      </c>
      <c r="B255" s="1" t="s">
        <v>1477</v>
      </c>
      <c r="C255" s="1">
        <v>57</v>
      </c>
      <c r="D255" s="1" t="s">
        <v>1478</v>
      </c>
      <c r="E255" s="1" t="s">
        <v>61</v>
      </c>
      <c r="F255" s="2">
        <v>44532</v>
      </c>
      <c r="G255" s="2">
        <v>44505</v>
      </c>
      <c r="H255" s="1">
        <v>0</v>
      </c>
      <c r="I255" s="1" t="s">
        <v>27</v>
      </c>
      <c r="J255" s="2">
        <v>44846</v>
      </c>
      <c r="K255" s="1" t="s">
        <v>1479</v>
      </c>
      <c r="L255" s="1">
        <v>1</v>
      </c>
      <c r="M255" s="1">
        <v>37</v>
      </c>
      <c r="N255" s="1" t="s">
        <v>56</v>
      </c>
      <c r="O255" s="1" t="s">
        <v>418</v>
      </c>
      <c r="P255" s="1" t="s">
        <v>56</v>
      </c>
      <c r="Q255" s="1" t="s">
        <v>32</v>
      </c>
      <c r="R255" s="1">
        <v>214.01</v>
      </c>
      <c r="S255" s="1" t="s">
        <v>33</v>
      </c>
      <c r="T255" s="1" t="s">
        <v>47</v>
      </c>
      <c r="U255" s="1" t="s">
        <v>35</v>
      </c>
      <c r="V255" s="1" t="s">
        <v>36</v>
      </c>
    </row>
    <row r="256" spans="1:22" x14ac:dyDescent="0.3">
      <c r="A256" s="1" t="s">
        <v>1480</v>
      </c>
      <c r="B256" s="1" t="s">
        <v>1481</v>
      </c>
      <c r="C256" s="1">
        <v>29</v>
      </c>
      <c r="D256" s="1" t="s">
        <v>1482</v>
      </c>
      <c r="E256" s="1" t="s">
        <v>61</v>
      </c>
      <c r="F256" s="2">
        <v>44904</v>
      </c>
      <c r="G256" s="1" t="s">
        <v>313</v>
      </c>
      <c r="H256" s="1">
        <v>0</v>
      </c>
      <c r="I256" s="1" t="s">
        <v>27</v>
      </c>
      <c r="J256" s="2">
        <v>45415</v>
      </c>
      <c r="K256" s="1" t="s">
        <v>1483</v>
      </c>
      <c r="L256" s="1">
        <v>2</v>
      </c>
      <c r="M256" s="1">
        <v>24</v>
      </c>
      <c r="N256" s="1" t="s">
        <v>30</v>
      </c>
      <c r="O256" s="1" t="s">
        <v>128</v>
      </c>
      <c r="P256" s="1" t="s">
        <v>54</v>
      </c>
      <c r="Q256" s="1" t="s">
        <v>69</v>
      </c>
      <c r="R256" s="1">
        <v>736.4</v>
      </c>
      <c r="S256" s="1" t="s">
        <v>46</v>
      </c>
      <c r="T256" s="1" t="s">
        <v>57</v>
      </c>
      <c r="U256" s="1" t="s">
        <v>35</v>
      </c>
      <c r="V256" s="1" t="s">
        <v>36</v>
      </c>
    </row>
    <row r="257" spans="1:22" x14ac:dyDescent="0.3">
      <c r="A257" s="1" t="s">
        <v>1484</v>
      </c>
      <c r="B257" s="1" t="s">
        <v>1485</v>
      </c>
      <c r="C257" s="1">
        <v>60</v>
      </c>
      <c r="D257" s="1" t="s">
        <v>1486</v>
      </c>
      <c r="E257" s="1" t="s">
        <v>40</v>
      </c>
      <c r="F257" s="2">
        <v>45171</v>
      </c>
      <c r="G257" s="1" t="s">
        <v>544</v>
      </c>
      <c r="H257" s="1">
        <v>5</v>
      </c>
      <c r="I257" s="1" t="s">
        <v>64</v>
      </c>
      <c r="J257" s="1" t="s">
        <v>371</v>
      </c>
      <c r="K257" s="1" t="s">
        <v>1487</v>
      </c>
      <c r="L257" s="1">
        <v>2</v>
      </c>
      <c r="M257" s="1">
        <v>40</v>
      </c>
      <c r="N257" s="1" t="s">
        <v>56</v>
      </c>
      <c r="O257" s="1" t="s">
        <v>169</v>
      </c>
      <c r="P257" s="1" t="s">
        <v>30</v>
      </c>
      <c r="Q257" s="1" t="s">
        <v>32</v>
      </c>
      <c r="R257" s="1">
        <v>1120.48</v>
      </c>
      <c r="S257" s="1" t="s">
        <v>46</v>
      </c>
      <c r="T257" s="1" t="s">
        <v>47</v>
      </c>
      <c r="U257" s="1" t="s">
        <v>35</v>
      </c>
      <c r="V257" s="1" t="s">
        <v>71</v>
      </c>
    </row>
    <row r="258" spans="1:22" x14ac:dyDescent="0.3">
      <c r="A258" s="1" t="s">
        <v>1488</v>
      </c>
      <c r="B258" s="1" t="s">
        <v>1489</v>
      </c>
      <c r="C258" s="1">
        <v>22</v>
      </c>
      <c r="D258" s="1" t="s">
        <v>1490</v>
      </c>
      <c r="E258" s="1" t="s">
        <v>88</v>
      </c>
      <c r="F258" s="1" t="s">
        <v>1491</v>
      </c>
      <c r="G258" s="2">
        <v>45574</v>
      </c>
      <c r="H258" s="1">
        <v>2</v>
      </c>
      <c r="I258" s="1" t="s">
        <v>27</v>
      </c>
      <c r="J258" s="1" t="s">
        <v>1492</v>
      </c>
      <c r="K258" s="1" t="s">
        <v>1493</v>
      </c>
      <c r="L258" s="1">
        <v>1</v>
      </c>
      <c r="M258" s="1">
        <v>44</v>
      </c>
      <c r="N258" s="1" t="s">
        <v>45</v>
      </c>
      <c r="O258" s="1" t="s">
        <v>122</v>
      </c>
      <c r="P258" s="1" t="s">
        <v>30</v>
      </c>
      <c r="Q258" s="1" t="s">
        <v>32</v>
      </c>
      <c r="R258" s="1">
        <v>262.89</v>
      </c>
      <c r="S258" s="1" t="s">
        <v>46</v>
      </c>
      <c r="T258" s="1" t="s">
        <v>100</v>
      </c>
      <c r="U258" s="1" t="s">
        <v>35</v>
      </c>
      <c r="V258" s="1" t="s">
        <v>36</v>
      </c>
    </row>
    <row r="259" spans="1:22" x14ac:dyDescent="0.3">
      <c r="A259" s="1" t="s">
        <v>1494</v>
      </c>
      <c r="B259" s="1" t="s">
        <v>1495</v>
      </c>
      <c r="C259" s="1">
        <v>56</v>
      </c>
      <c r="D259" s="1" t="s">
        <v>1496</v>
      </c>
      <c r="E259" s="1" t="s">
        <v>25</v>
      </c>
      <c r="F259" s="1" t="s">
        <v>275</v>
      </c>
      <c r="G259" s="1" t="s">
        <v>1497</v>
      </c>
      <c r="H259" s="1">
        <v>2</v>
      </c>
      <c r="I259" s="1" t="s">
        <v>52</v>
      </c>
      <c r="J259" s="1" t="s">
        <v>1498</v>
      </c>
      <c r="K259" s="1" t="s">
        <v>1499</v>
      </c>
      <c r="L259" s="1">
        <v>8</v>
      </c>
      <c r="M259" s="1">
        <v>14</v>
      </c>
      <c r="N259" s="1" t="s">
        <v>68</v>
      </c>
      <c r="O259" s="1" t="s">
        <v>31</v>
      </c>
      <c r="P259" s="1" t="s">
        <v>30</v>
      </c>
      <c r="Q259" s="1" t="s">
        <v>69</v>
      </c>
      <c r="R259" s="1">
        <v>908.16</v>
      </c>
      <c r="S259" s="1" t="s">
        <v>46</v>
      </c>
      <c r="T259" s="1" t="s">
        <v>47</v>
      </c>
      <c r="U259" s="1" t="s">
        <v>35</v>
      </c>
      <c r="V259" s="1" t="s">
        <v>36</v>
      </c>
    </row>
    <row r="260" spans="1:22" x14ac:dyDescent="0.3">
      <c r="A260" s="1" t="s">
        <v>1500</v>
      </c>
      <c r="B260" s="1" t="s">
        <v>1501</v>
      </c>
      <c r="C260" s="1">
        <v>65</v>
      </c>
      <c r="D260" s="1" t="s">
        <v>1502</v>
      </c>
      <c r="E260" s="1" t="s">
        <v>61</v>
      </c>
      <c r="F260" s="2">
        <v>43870</v>
      </c>
      <c r="G260" s="1" t="s">
        <v>1503</v>
      </c>
      <c r="H260" s="1">
        <v>2</v>
      </c>
      <c r="I260" s="1" t="s">
        <v>27</v>
      </c>
      <c r="J260" s="1" t="s">
        <v>669</v>
      </c>
      <c r="K260" s="1" t="s">
        <v>1504</v>
      </c>
      <c r="L260" s="1">
        <v>7</v>
      </c>
      <c r="M260" s="1">
        <v>35</v>
      </c>
      <c r="N260" s="1" t="s">
        <v>68</v>
      </c>
      <c r="O260" s="1" t="s">
        <v>604</v>
      </c>
      <c r="P260" s="1" t="s">
        <v>45</v>
      </c>
      <c r="Q260" s="1" t="s">
        <v>32</v>
      </c>
      <c r="R260" s="1">
        <v>550.97</v>
      </c>
      <c r="S260" s="1" t="s">
        <v>46</v>
      </c>
      <c r="T260" s="1" t="s">
        <v>232</v>
      </c>
      <c r="U260" s="1" t="s">
        <v>35</v>
      </c>
      <c r="V260" s="1" t="s">
        <v>36</v>
      </c>
    </row>
    <row r="261" spans="1:22" x14ac:dyDescent="0.3">
      <c r="A261" s="1" t="s">
        <v>1505</v>
      </c>
      <c r="B261" s="1" t="s">
        <v>1506</v>
      </c>
      <c r="C261" s="1">
        <v>40</v>
      </c>
      <c r="D261" s="1" t="s">
        <v>1507</v>
      </c>
      <c r="E261" s="1" t="s">
        <v>40</v>
      </c>
      <c r="F261" s="1" t="s">
        <v>1508</v>
      </c>
      <c r="G261" s="1" t="s">
        <v>487</v>
      </c>
      <c r="H261" s="1">
        <v>0</v>
      </c>
      <c r="I261" s="1" t="s">
        <v>27</v>
      </c>
      <c r="J261" s="2">
        <v>44237</v>
      </c>
      <c r="K261" s="1" t="s">
        <v>1509</v>
      </c>
      <c r="L261" s="1">
        <v>3</v>
      </c>
      <c r="M261" s="1">
        <v>48</v>
      </c>
      <c r="N261" s="1" t="s">
        <v>45</v>
      </c>
      <c r="O261" s="1" t="s">
        <v>199</v>
      </c>
      <c r="P261" s="1" t="s">
        <v>54</v>
      </c>
      <c r="Q261" s="1" t="s">
        <v>69</v>
      </c>
      <c r="R261" s="1">
        <v>850.56</v>
      </c>
      <c r="S261" s="1" t="s">
        <v>46</v>
      </c>
      <c r="T261" s="1" t="s">
        <v>34</v>
      </c>
      <c r="U261" s="1" t="s">
        <v>35</v>
      </c>
      <c r="V261" s="1" t="s">
        <v>36</v>
      </c>
    </row>
    <row r="262" spans="1:22" x14ac:dyDescent="0.3">
      <c r="A262" s="1" t="s">
        <v>1510</v>
      </c>
      <c r="B262" s="1" t="s">
        <v>1511</v>
      </c>
      <c r="C262" s="1">
        <v>34</v>
      </c>
      <c r="D262" s="1" t="s">
        <v>1512</v>
      </c>
      <c r="E262" s="1" t="s">
        <v>95</v>
      </c>
      <c r="F262" s="1" t="s">
        <v>1513</v>
      </c>
      <c r="G262" s="2">
        <v>45085</v>
      </c>
      <c r="H262" s="1">
        <v>1</v>
      </c>
      <c r="I262" s="1" t="s">
        <v>27</v>
      </c>
      <c r="J262" s="1" t="s">
        <v>1514</v>
      </c>
      <c r="K262" s="1" t="s">
        <v>1515</v>
      </c>
      <c r="L262" s="1">
        <v>9</v>
      </c>
      <c r="M262" s="1">
        <v>14</v>
      </c>
      <c r="N262" s="1" t="s">
        <v>56</v>
      </c>
      <c r="O262" s="1" t="s">
        <v>128</v>
      </c>
      <c r="P262" s="1" t="s">
        <v>54</v>
      </c>
      <c r="Q262" s="1" t="s">
        <v>32</v>
      </c>
      <c r="R262" s="1">
        <v>1570.05</v>
      </c>
      <c r="S262" s="1" t="s">
        <v>46</v>
      </c>
      <c r="T262" s="1" t="s">
        <v>57</v>
      </c>
      <c r="U262" s="1" t="s">
        <v>35</v>
      </c>
      <c r="V262" s="1" t="s">
        <v>36</v>
      </c>
    </row>
    <row r="263" spans="1:22" x14ac:dyDescent="0.3">
      <c r="A263" s="1" t="s">
        <v>1516</v>
      </c>
      <c r="B263" s="1" t="s">
        <v>1517</v>
      </c>
      <c r="C263" s="1">
        <v>36</v>
      </c>
      <c r="D263" s="1" t="s">
        <v>1518</v>
      </c>
      <c r="E263" s="1" t="s">
        <v>95</v>
      </c>
      <c r="F263" s="2">
        <v>44601</v>
      </c>
      <c r="G263" s="2">
        <v>45665</v>
      </c>
      <c r="H263" s="1">
        <v>5</v>
      </c>
      <c r="I263" s="1" t="s">
        <v>64</v>
      </c>
      <c r="J263" s="1" t="s">
        <v>1519</v>
      </c>
      <c r="K263" s="1" t="s">
        <v>1520</v>
      </c>
      <c r="L263" s="1">
        <v>6</v>
      </c>
      <c r="M263" s="1">
        <v>8</v>
      </c>
      <c r="N263" s="1" t="s">
        <v>45</v>
      </c>
      <c r="O263" s="1" t="s">
        <v>837</v>
      </c>
      <c r="P263" s="1" t="s">
        <v>56</v>
      </c>
      <c r="Q263" s="1" t="s">
        <v>32</v>
      </c>
      <c r="R263" s="1">
        <v>992.04</v>
      </c>
      <c r="S263" s="1" t="s">
        <v>46</v>
      </c>
      <c r="T263" s="1" t="s">
        <v>34</v>
      </c>
      <c r="U263" s="1" t="s">
        <v>35</v>
      </c>
      <c r="V263" s="1" t="s">
        <v>71</v>
      </c>
    </row>
    <row r="264" spans="1:22" x14ac:dyDescent="0.3">
      <c r="A264" s="1" t="s">
        <v>1521</v>
      </c>
      <c r="B264" s="1" t="s">
        <v>1522</v>
      </c>
      <c r="C264" s="1">
        <v>46</v>
      </c>
      <c r="D264" s="1" t="s">
        <v>1523</v>
      </c>
      <c r="E264" s="1" t="s">
        <v>61</v>
      </c>
      <c r="F264" s="2">
        <v>44989</v>
      </c>
      <c r="G264" s="1" t="s">
        <v>1524</v>
      </c>
      <c r="H264" s="1">
        <v>1</v>
      </c>
      <c r="I264" s="1" t="s">
        <v>27</v>
      </c>
      <c r="J264" s="1" t="s">
        <v>852</v>
      </c>
      <c r="K264" s="1" t="s">
        <v>1525</v>
      </c>
      <c r="L264" s="1">
        <v>4</v>
      </c>
      <c r="M264" s="1">
        <v>25</v>
      </c>
      <c r="N264" s="1" t="s">
        <v>45</v>
      </c>
      <c r="O264" s="1" t="s">
        <v>67</v>
      </c>
      <c r="P264" s="1" t="s">
        <v>68</v>
      </c>
      <c r="Q264" s="1" t="s">
        <v>32</v>
      </c>
      <c r="R264" s="1">
        <v>1098.68</v>
      </c>
      <c r="S264" s="1" t="s">
        <v>46</v>
      </c>
      <c r="T264" s="1" t="s">
        <v>34</v>
      </c>
      <c r="U264" s="1" t="s">
        <v>35</v>
      </c>
      <c r="V264" s="1" t="s">
        <v>36</v>
      </c>
    </row>
    <row r="265" spans="1:22" x14ac:dyDescent="0.3">
      <c r="A265" s="1" t="s">
        <v>1526</v>
      </c>
      <c r="B265" s="1" t="s">
        <v>1527</v>
      </c>
      <c r="C265" s="1">
        <v>65</v>
      </c>
      <c r="D265" s="1" t="s">
        <v>1528</v>
      </c>
      <c r="E265" s="1" t="s">
        <v>95</v>
      </c>
      <c r="F265" s="2">
        <v>43870</v>
      </c>
      <c r="G265" s="2">
        <v>45049</v>
      </c>
      <c r="H265" s="1">
        <v>5</v>
      </c>
      <c r="I265" s="1" t="s">
        <v>64</v>
      </c>
      <c r="J265" s="1" t="s">
        <v>1529</v>
      </c>
      <c r="K265" s="1" t="s">
        <v>1530</v>
      </c>
      <c r="L265" s="1">
        <v>5</v>
      </c>
      <c r="M265" s="1">
        <v>28</v>
      </c>
      <c r="N265" s="1" t="s">
        <v>56</v>
      </c>
      <c r="O265" s="1" t="s">
        <v>77</v>
      </c>
      <c r="P265" s="1" t="s">
        <v>54</v>
      </c>
      <c r="Q265" s="1" t="s">
        <v>69</v>
      </c>
      <c r="R265" s="1">
        <v>369.55</v>
      </c>
      <c r="S265" s="1" t="s">
        <v>46</v>
      </c>
      <c r="T265" s="1" t="s">
        <v>232</v>
      </c>
      <c r="U265" s="1" t="s">
        <v>35</v>
      </c>
      <c r="V265" s="1" t="s">
        <v>71</v>
      </c>
    </row>
    <row r="266" spans="1:22" x14ac:dyDescent="0.3">
      <c r="A266" s="1" t="s">
        <v>1531</v>
      </c>
      <c r="B266" s="1" t="s">
        <v>1532</v>
      </c>
      <c r="C266" s="1">
        <v>31</v>
      </c>
      <c r="D266" s="1" t="s">
        <v>1533</v>
      </c>
      <c r="E266" s="1" t="s">
        <v>51</v>
      </c>
      <c r="F266" s="1" t="s">
        <v>1534</v>
      </c>
      <c r="G266" s="1" t="s">
        <v>1535</v>
      </c>
      <c r="H266" s="1">
        <v>3</v>
      </c>
      <c r="I266" s="1" t="s">
        <v>52</v>
      </c>
      <c r="J266" s="1" t="s">
        <v>1536</v>
      </c>
      <c r="K266" s="1" t="s">
        <v>1537</v>
      </c>
      <c r="L266" s="1">
        <v>2</v>
      </c>
      <c r="M266" s="1">
        <v>37</v>
      </c>
      <c r="N266" s="1" t="s">
        <v>56</v>
      </c>
      <c r="O266" s="1" t="s">
        <v>536</v>
      </c>
      <c r="P266" s="1" t="s">
        <v>68</v>
      </c>
      <c r="Q266" s="1" t="s">
        <v>32</v>
      </c>
      <c r="R266" s="1">
        <v>661.04</v>
      </c>
      <c r="S266" s="1" t="s">
        <v>46</v>
      </c>
      <c r="T266" s="1" t="s">
        <v>57</v>
      </c>
      <c r="U266" s="1" t="s">
        <v>35</v>
      </c>
      <c r="V266" s="1" t="s">
        <v>36</v>
      </c>
    </row>
    <row r="267" spans="1:22" x14ac:dyDescent="0.3">
      <c r="A267" s="1" t="s">
        <v>1538</v>
      </c>
      <c r="B267" s="1" t="s">
        <v>1539</v>
      </c>
      <c r="C267" s="1">
        <v>57</v>
      </c>
      <c r="D267" s="1" t="s">
        <v>1540</v>
      </c>
      <c r="E267" s="1" t="s">
        <v>88</v>
      </c>
      <c r="F267" s="1" t="s">
        <v>409</v>
      </c>
      <c r="G267" s="1" t="s">
        <v>846</v>
      </c>
      <c r="H267" s="1">
        <v>3</v>
      </c>
      <c r="I267" s="1" t="s">
        <v>52</v>
      </c>
      <c r="J267" s="1" t="s">
        <v>1541</v>
      </c>
      <c r="K267" s="1" t="s">
        <v>1542</v>
      </c>
      <c r="L267" s="1">
        <v>1</v>
      </c>
      <c r="M267" s="1">
        <v>47</v>
      </c>
      <c r="N267" s="1" t="s">
        <v>54</v>
      </c>
      <c r="O267" s="1" t="s">
        <v>211</v>
      </c>
      <c r="P267" s="1" t="s">
        <v>68</v>
      </c>
      <c r="Q267" s="1" t="s">
        <v>32</v>
      </c>
      <c r="R267" s="1">
        <v>1865.18</v>
      </c>
      <c r="S267" s="1" t="s">
        <v>46</v>
      </c>
      <c r="T267" s="1" t="s">
        <v>47</v>
      </c>
      <c r="U267" s="1" t="s">
        <v>35</v>
      </c>
      <c r="V267" s="1" t="s">
        <v>36</v>
      </c>
    </row>
    <row r="268" spans="1:22" x14ac:dyDescent="0.3">
      <c r="A268" s="1" t="s">
        <v>1543</v>
      </c>
      <c r="B268" s="1" t="s">
        <v>1544</v>
      </c>
      <c r="C268" s="1">
        <v>32</v>
      </c>
      <c r="D268" s="1" t="s">
        <v>1545</v>
      </c>
      <c r="E268" s="1" t="s">
        <v>51</v>
      </c>
      <c r="F268" s="1" t="s">
        <v>783</v>
      </c>
      <c r="G268" s="2">
        <v>45476</v>
      </c>
      <c r="H268" s="1">
        <v>1</v>
      </c>
      <c r="I268" s="1" t="s">
        <v>64</v>
      </c>
      <c r="J268" s="1" t="s">
        <v>1546</v>
      </c>
      <c r="K268" s="1" t="s">
        <v>1547</v>
      </c>
      <c r="L268" s="1">
        <v>1</v>
      </c>
      <c r="M268" s="1">
        <v>16</v>
      </c>
      <c r="N268" s="1" t="s">
        <v>45</v>
      </c>
      <c r="O268" s="1" t="s">
        <v>837</v>
      </c>
      <c r="P268" s="1" t="s">
        <v>56</v>
      </c>
      <c r="Q268" s="1" t="s">
        <v>69</v>
      </c>
      <c r="R268" s="1">
        <v>1624.53</v>
      </c>
      <c r="S268" s="1" t="s">
        <v>46</v>
      </c>
      <c r="T268" s="1" t="s">
        <v>57</v>
      </c>
      <c r="U268" s="1" t="s">
        <v>35</v>
      </c>
      <c r="V268" s="1" t="s">
        <v>71</v>
      </c>
    </row>
    <row r="269" spans="1:22" x14ac:dyDescent="0.3">
      <c r="A269" s="1" t="s">
        <v>1548</v>
      </c>
      <c r="B269" s="1" t="s">
        <v>1549</v>
      </c>
      <c r="C269" s="1">
        <v>47</v>
      </c>
      <c r="D269" s="1" t="s">
        <v>1550</v>
      </c>
      <c r="E269" s="1" t="s">
        <v>61</v>
      </c>
      <c r="F269" s="1" t="s">
        <v>1551</v>
      </c>
      <c r="G269" s="1" t="s">
        <v>1552</v>
      </c>
      <c r="H269" s="1">
        <v>2</v>
      </c>
      <c r="I269" s="1" t="s">
        <v>27</v>
      </c>
      <c r="J269" s="1" t="s">
        <v>1553</v>
      </c>
      <c r="K269" s="1" t="s">
        <v>1554</v>
      </c>
      <c r="L269" s="1">
        <v>3</v>
      </c>
      <c r="M269" s="1">
        <v>12</v>
      </c>
      <c r="N269" s="1" t="s">
        <v>30</v>
      </c>
      <c r="O269" s="1" t="s">
        <v>354</v>
      </c>
      <c r="P269" s="1" t="s">
        <v>45</v>
      </c>
      <c r="Q269" s="1" t="s">
        <v>69</v>
      </c>
      <c r="R269" s="1">
        <v>667.14</v>
      </c>
      <c r="S269" s="1" t="s">
        <v>46</v>
      </c>
      <c r="T269" s="1" t="s">
        <v>34</v>
      </c>
      <c r="U269" s="1" t="s">
        <v>35</v>
      </c>
      <c r="V269" s="1" t="s">
        <v>36</v>
      </c>
    </row>
    <row r="270" spans="1:22" x14ac:dyDescent="0.3">
      <c r="A270" s="1" t="s">
        <v>1555</v>
      </c>
      <c r="B270" s="1" t="s">
        <v>1556</v>
      </c>
      <c r="C270" s="1">
        <v>28</v>
      </c>
      <c r="D270" s="1" t="s">
        <v>1557</v>
      </c>
      <c r="E270" s="1" t="s">
        <v>40</v>
      </c>
      <c r="F270" s="1" t="s">
        <v>711</v>
      </c>
      <c r="G270" s="2">
        <v>45691</v>
      </c>
      <c r="H270" s="1">
        <v>3</v>
      </c>
      <c r="I270" s="1" t="s">
        <v>27</v>
      </c>
      <c r="J270" s="2">
        <v>45181</v>
      </c>
      <c r="K270" s="1" t="s">
        <v>1558</v>
      </c>
      <c r="L270" s="1">
        <v>8</v>
      </c>
      <c r="M270" s="1">
        <v>1</v>
      </c>
      <c r="N270" s="1" t="s">
        <v>56</v>
      </c>
      <c r="O270" s="1" t="s">
        <v>418</v>
      </c>
      <c r="P270" s="1" t="s">
        <v>56</v>
      </c>
      <c r="Q270" s="1" t="s">
        <v>69</v>
      </c>
      <c r="R270" s="1">
        <v>1524.8</v>
      </c>
      <c r="S270" s="1" t="s">
        <v>33</v>
      </c>
      <c r="T270" s="1" t="s">
        <v>57</v>
      </c>
      <c r="U270" s="1" t="s">
        <v>101</v>
      </c>
      <c r="V270" s="1" t="s">
        <v>36</v>
      </c>
    </row>
    <row r="271" spans="1:22" x14ac:dyDescent="0.3">
      <c r="A271" s="1" t="s">
        <v>1559</v>
      </c>
      <c r="B271" s="1" t="s">
        <v>1560</v>
      </c>
      <c r="C271" s="1">
        <v>58</v>
      </c>
      <c r="D271" s="1" t="s">
        <v>1561</v>
      </c>
      <c r="E271" s="1" t="s">
        <v>95</v>
      </c>
      <c r="F271" s="1" t="s">
        <v>1562</v>
      </c>
      <c r="G271" s="1" t="s">
        <v>1563</v>
      </c>
      <c r="H271" s="1">
        <v>3</v>
      </c>
      <c r="I271" s="1" t="s">
        <v>52</v>
      </c>
      <c r="J271" s="2">
        <v>45907</v>
      </c>
      <c r="K271" s="1" t="s">
        <v>1564</v>
      </c>
      <c r="L271" s="1">
        <v>4</v>
      </c>
      <c r="M271" s="1">
        <v>45</v>
      </c>
      <c r="N271" s="1" t="s">
        <v>30</v>
      </c>
      <c r="O271" s="1" t="s">
        <v>293</v>
      </c>
      <c r="P271" s="1" t="s">
        <v>45</v>
      </c>
      <c r="Q271" s="1" t="s">
        <v>32</v>
      </c>
      <c r="R271" s="1">
        <v>629.6</v>
      </c>
      <c r="S271" s="1" t="s">
        <v>46</v>
      </c>
      <c r="T271" s="1" t="s">
        <v>47</v>
      </c>
      <c r="U271" s="1" t="s">
        <v>35</v>
      </c>
      <c r="V271" s="1" t="s">
        <v>36</v>
      </c>
    </row>
    <row r="272" spans="1:22" x14ac:dyDescent="0.3">
      <c r="A272" s="1" t="s">
        <v>1565</v>
      </c>
      <c r="B272" s="1" t="s">
        <v>1566</v>
      </c>
      <c r="C272" s="1">
        <v>27</v>
      </c>
      <c r="D272" s="1" t="s">
        <v>1567</v>
      </c>
      <c r="E272" s="1" t="s">
        <v>88</v>
      </c>
      <c r="F272" s="2">
        <v>44291</v>
      </c>
      <c r="G272" s="1" t="s">
        <v>440</v>
      </c>
      <c r="H272" s="1">
        <v>1</v>
      </c>
      <c r="I272" s="1" t="s">
        <v>52</v>
      </c>
      <c r="J272" s="2">
        <v>44692</v>
      </c>
      <c r="K272" s="1" t="s">
        <v>1568</v>
      </c>
      <c r="L272" s="1">
        <v>7</v>
      </c>
      <c r="M272" s="1">
        <v>17</v>
      </c>
      <c r="N272" s="1" t="s">
        <v>54</v>
      </c>
      <c r="O272" s="1" t="s">
        <v>194</v>
      </c>
      <c r="P272" s="1" t="s">
        <v>56</v>
      </c>
      <c r="Q272" s="1" t="s">
        <v>32</v>
      </c>
      <c r="R272" s="1">
        <v>682.92</v>
      </c>
      <c r="S272" s="1" t="s">
        <v>46</v>
      </c>
      <c r="T272" s="1" t="s">
        <v>57</v>
      </c>
      <c r="U272" s="1" t="s">
        <v>35</v>
      </c>
      <c r="V272" s="1" t="s">
        <v>36</v>
      </c>
    </row>
    <row r="273" spans="1:22" x14ac:dyDescent="0.3">
      <c r="A273" s="1" t="s">
        <v>1569</v>
      </c>
      <c r="B273" s="1" t="s">
        <v>1570</v>
      </c>
      <c r="C273" s="1">
        <v>52</v>
      </c>
      <c r="D273" s="1" t="s">
        <v>1571</v>
      </c>
      <c r="E273" s="1" t="s">
        <v>61</v>
      </c>
      <c r="F273" s="2">
        <v>44358</v>
      </c>
      <c r="G273" s="2">
        <v>45780</v>
      </c>
      <c r="H273" s="1">
        <v>4</v>
      </c>
      <c r="I273" s="1" t="s">
        <v>64</v>
      </c>
      <c r="J273" s="1" t="s">
        <v>1572</v>
      </c>
      <c r="K273" s="1" t="s">
        <v>1573</v>
      </c>
      <c r="L273" s="1">
        <v>8</v>
      </c>
      <c r="M273" s="1">
        <v>38</v>
      </c>
      <c r="N273" s="1" t="s">
        <v>30</v>
      </c>
      <c r="O273" s="1" t="s">
        <v>837</v>
      </c>
      <c r="P273" s="1" t="s">
        <v>56</v>
      </c>
      <c r="Q273" s="1" t="s">
        <v>32</v>
      </c>
      <c r="R273" s="1">
        <v>350.08</v>
      </c>
      <c r="S273" s="1" t="s">
        <v>46</v>
      </c>
      <c r="T273" s="1" t="s">
        <v>47</v>
      </c>
      <c r="U273" s="1" t="s">
        <v>35</v>
      </c>
      <c r="V273" s="1" t="s">
        <v>71</v>
      </c>
    </row>
    <row r="274" spans="1:22" x14ac:dyDescent="0.3">
      <c r="A274" s="1" t="s">
        <v>1574</v>
      </c>
      <c r="B274" s="1" t="s">
        <v>1575</v>
      </c>
      <c r="C274" s="1">
        <v>28</v>
      </c>
      <c r="D274" s="1" t="s">
        <v>1576</v>
      </c>
      <c r="E274" s="1" t="s">
        <v>40</v>
      </c>
      <c r="F274" s="1" t="s">
        <v>825</v>
      </c>
      <c r="G274" s="1" t="s">
        <v>1577</v>
      </c>
      <c r="H274" s="1">
        <v>3</v>
      </c>
      <c r="I274" s="1" t="s">
        <v>27</v>
      </c>
      <c r="J274" s="2">
        <v>45478</v>
      </c>
      <c r="K274" s="1" t="s">
        <v>1578</v>
      </c>
      <c r="L274" s="1">
        <v>8</v>
      </c>
      <c r="M274" s="1">
        <v>41</v>
      </c>
      <c r="N274" s="1" t="s">
        <v>56</v>
      </c>
      <c r="O274" s="1" t="s">
        <v>135</v>
      </c>
      <c r="P274" s="1" t="s">
        <v>45</v>
      </c>
      <c r="Q274" s="1" t="s">
        <v>32</v>
      </c>
      <c r="R274" s="1">
        <v>1906.4</v>
      </c>
      <c r="S274" s="1" t="s">
        <v>46</v>
      </c>
      <c r="T274" s="1" t="s">
        <v>57</v>
      </c>
      <c r="U274" s="1" t="s">
        <v>35</v>
      </c>
      <c r="V274" s="1" t="s">
        <v>36</v>
      </c>
    </row>
    <row r="275" spans="1:22" x14ac:dyDescent="0.3">
      <c r="A275" s="1" t="s">
        <v>1579</v>
      </c>
      <c r="B275" s="1" t="s">
        <v>1580</v>
      </c>
      <c r="C275" s="1">
        <v>53</v>
      </c>
      <c r="D275" s="1" t="s">
        <v>1581</v>
      </c>
      <c r="E275" s="1" t="s">
        <v>51</v>
      </c>
      <c r="F275" s="1" t="s">
        <v>1582</v>
      </c>
      <c r="G275" s="2">
        <v>45080</v>
      </c>
      <c r="H275" s="1">
        <v>1</v>
      </c>
      <c r="I275" s="1" t="s">
        <v>27</v>
      </c>
      <c r="J275" s="1" t="s">
        <v>1583</v>
      </c>
      <c r="K275" s="1" t="s">
        <v>1584</v>
      </c>
      <c r="L275" s="1">
        <v>6</v>
      </c>
      <c r="M275" s="1">
        <v>49</v>
      </c>
      <c r="N275" s="1" t="s">
        <v>30</v>
      </c>
      <c r="O275" s="1" t="s">
        <v>610</v>
      </c>
      <c r="P275" s="1" t="s">
        <v>68</v>
      </c>
      <c r="Q275" s="1" t="s">
        <v>32</v>
      </c>
      <c r="R275" s="1">
        <v>1483.68</v>
      </c>
      <c r="S275" s="1" t="s">
        <v>46</v>
      </c>
      <c r="T275" s="1" t="s">
        <v>47</v>
      </c>
      <c r="U275" s="1" t="s">
        <v>35</v>
      </c>
      <c r="V275" s="1" t="s">
        <v>36</v>
      </c>
    </row>
    <row r="276" spans="1:22" x14ac:dyDescent="0.3">
      <c r="A276" s="1" t="s">
        <v>1585</v>
      </c>
      <c r="B276" s="1" t="s">
        <v>1586</v>
      </c>
      <c r="C276" s="1">
        <v>61</v>
      </c>
      <c r="D276" s="1" t="s">
        <v>1587</v>
      </c>
      <c r="E276" s="1" t="s">
        <v>40</v>
      </c>
      <c r="F276" s="1" t="s">
        <v>1588</v>
      </c>
      <c r="G276" s="1" t="s">
        <v>1169</v>
      </c>
      <c r="H276" s="1">
        <v>0</v>
      </c>
      <c r="I276" s="1" t="s">
        <v>27</v>
      </c>
      <c r="J276" s="1" t="s">
        <v>1589</v>
      </c>
      <c r="K276" s="1" t="s">
        <v>1590</v>
      </c>
      <c r="L276" s="1">
        <v>3</v>
      </c>
      <c r="M276" s="1">
        <v>1</v>
      </c>
      <c r="N276" s="1" t="s">
        <v>68</v>
      </c>
      <c r="O276" s="1" t="s">
        <v>604</v>
      </c>
      <c r="P276" s="1" t="s">
        <v>45</v>
      </c>
      <c r="Q276" s="1" t="s">
        <v>32</v>
      </c>
      <c r="R276" s="1">
        <v>1023.12</v>
      </c>
      <c r="S276" s="1" t="s">
        <v>46</v>
      </c>
      <c r="T276" s="1" t="s">
        <v>47</v>
      </c>
      <c r="U276" s="1" t="s">
        <v>101</v>
      </c>
      <c r="V276" s="1" t="s">
        <v>36</v>
      </c>
    </row>
    <row r="277" spans="1:22" x14ac:dyDescent="0.3">
      <c r="A277" s="1" t="s">
        <v>1591</v>
      </c>
      <c r="B277" s="1" t="s">
        <v>1592</v>
      </c>
      <c r="C277" s="1">
        <v>53</v>
      </c>
      <c r="D277" s="1" t="s">
        <v>1593</v>
      </c>
      <c r="E277" s="1" t="s">
        <v>88</v>
      </c>
      <c r="F277" s="2">
        <v>44356</v>
      </c>
      <c r="G277" s="1" t="s">
        <v>1594</v>
      </c>
      <c r="H277" s="1">
        <v>3</v>
      </c>
      <c r="I277" s="1" t="s">
        <v>27</v>
      </c>
      <c r="J277" s="2">
        <v>44721</v>
      </c>
      <c r="K277" s="1" t="s">
        <v>1595</v>
      </c>
      <c r="L277" s="1">
        <v>2</v>
      </c>
      <c r="M277" s="1">
        <v>46</v>
      </c>
      <c r="N277" s="1" t="s">
        <v>56</v>
      </c>
      <c r="O277" s="1" t="s">
        <v>610</v>
      </c>
      <c r="P277" s="1" t="s">
        <v>68</v>
      </c>
      <c r="Q277" s="1" t="s">
        <v>32</v>
      </c>
      <c r="R277" s="1">
        <v>1460.88</v>
      </c>
      <c r="S277" s="1" t="s">
        <v>46</v>
      </c>
      <c r="T277" s="1" t="s">
        <v>47</v>
      </c>
      <c r="U277" s="1" t="s">
        <v>35</v>
      </c>
      <c r="V277" s="1" t="s">
        <v>36</v>
      </c>
    </row>
    <row r="278" spans="1:22" x14ac:dyDescent="0.3">
      <c r="A278" s="1" t="s">
        <v>1596</v>
      </c>
      <c r="B278" s="1" t="s">
        <v>1597</v>
      </c>
      <c r="C278" s="1">
        <v>59</v>
      </c>
      <c r="D278" s="1" t="s">
        <v>1598</v>
      </c>
      <c r="E278" s="1" t="s">
        <v>95</v>
      </c>
      <c r="F278" s="1" t="s">
        <v>1599</v>
      </c>
      <c r="G278" s="1" t="s">
        <v>1600</v>
      </c>
      <c r="H278" s="1">
        <v>3</v>
      </c>
      <c r="I278" s="1" t="s">
        <v>52</v>
      </c>
      <c r="J278" s="1" t="s">
        <v>1601</v>
      </c>
      <c r="K278" s="1" t="s">
        <v>1602</v>
      </c>
      <c r="L278" s="1">
        <v>8</v>
      </c>
      <c r="M278" s="1">
        <v>12</v>
      </c>
      <c r="N278" s="1" t="s">
        <v>45</v>
      </c>
      <c r="O278" s="1" t="s">
        <v>128</v>
      </c>
      <c r="P278" s="1" t="s">
        <v>54</v>
      </c>
      <c r="Q278" s="1" t="s">
        <v>32</v>
      </c>
      <c r="R278" s="1">
        <v>116.4</v>
      </c>
      <c r="S278" s="1" t="s">
        <v>46</v>
      </c>
      <c r="T278" s="1" t="s">
        <v>47</v>
      </c>
      <c r="U278" s="1" t="s">
        <v>101</v>
      </c>
      <c r="V278" s="1" t="s">
        <v>36</v>
      </c>
    </row>
    <row r="279" spans="1:22" x14ac:dyDescent="0.3">
      <c r="A279" s="1" t="s">
        <v>1603</v>
      </c>
      <c r="B279" s="1" t="s">
        <v>1604</v>
      </c>
      <c r="C279" s="1">
        <v>33</v>
      </c>
      <c r="D279" s="1" t="s">
        <v>1605</v>
      </c>
      <c r="E279" s="1" t="s">
        <v>61</v>
      </c>
      <c r="F279" s="2">
        <v>44816</v>
      </c>
      <c r="G279" s="1" t="s">
        <v>1606</v>
      </c>
      <c r="H279" s="1">
        <v>4</v>
      </c>
      <c r="I279" s="1" t="s">
        <v>27</v>
      </c>
      <c r="J279" s="1" t="s">
        <v>1607</v>
      </c>
      <c r="K279" s="1" t="s">
        <v>1608</v>
      </c>
      <c r="L279" s="1">
        <v>6</v>
      </c>
      <c r="M279" s="1">
        <v>30</v>
      </c>
      <c r="N279" s="1" t="s">
        <v>54</v>
      </c>
      <c r="O279" s="1" t="s">
        <v>604</v>
      </c>
      <c r="P279" s="1" t="s">
        <v>45</v>
      </c>
      <c r="Q279" s="1" t="s">
        <v>32</v>
      </c>
      <c r="R279" s="1">
        <v>1349.34</v>
      </c>
      <c r="S279" s="1" t="s">
        <v>46</v>
      </c>
      <c r="T279" s="1" t="s">
        <v>57</v>
      </c>
      <c r="U279" s="1" t="s">
        <v>35</v>
      </c>
      <c r="V279" s="1" t="s">
        <v>188</v>
      </c>
    </row>
    <row r="280" spans="1:22" x14ac:dyDescent="0.3">
      <c r="A280" s="1" t="s">
        <v>1609</v>
      </c>
      <c r="B280" s="1" t="s">
        <v>1610</v>
      </c>
      <c r="C280" s="1">
        <v>53</v>
      </c>
      <c r="D280" s="1" t="s">
        <v>1611</v>
      </c>
      <c r="E280" s="1" t="s">
        <v>95</v>
      </c>
      <c r="F280" s="2">
        <v>45082</v>
      </c>
      <c r="G280" s="1" t="s">
        <v>358</v>
      </c>
      <c r="H280" s="1">
        <v>0</v>
      </c>
      <c r="I280" s="1" t="s">
        <v>64</v>
      </c>
      <c r="J280" s="2">
        <v>45421</v>
      </c>
      <c r="K280" s="1" t="s">
        <v>1612</v>
      </c>
      <c r="L280" s="1">
        <v>7</v>
      </c>
      <c r="M280" s="1">
        <v>41</v>
      </c>
      <c r="N280" s="1" t="s">
        <v>30</v>
      </c>
      <c r="O280" s="1" t="s">
        <v>366</v>
      </c>
      <c r="P280" s="1" t="s">
        <v>54</v>
      </c>
      <c r="Q280" s="1" t="s">
        <v>32</v>
      </c>
      <c r="R280" s="1">
        <v>1711.43</v>
      </c>
      <c r="S280" s="1" t="s">
        <v>46</v>
      </c>
      <c r="T280" s="1" t="s">
        <v>47</v>
      </c>
      <c r="U280" s="1" t="s">
        <v>35</v>
      </c>
      <c r="V280" s="1" t="s">
        <v>71</v>
      </c>
    </row>
    <row r="281" spans="1:22" x14ac:dyDescent="0.3">
      <c r="A281" s="1" t="s">
        <v>1613</v>
      </c>
      <c r="B281" s="1" t="s">
        <v>1614</v>
      </c>
      <c r="C281" s="1">
        <v>47</v>
      </c>
      <c r="D281" s="1" t="s">
        <v>1615</v>
      </c>
      <c r="E281" s="1" t="s">
        <v>88</v>
      </c>
      <c r="F281" s="1" t="s">
        <v>1616</v>
      </c>
      <c r="G281" s="2">
        <v>45178</v>
      </c>
      <c r="H281" s="1">
        <v>4</v>
      </c>
      <c r="I281" s="1" t="s">
        <v>52</v>
      </c>
      <c r="J281" s="1" t="s">
        <v>1617</v>
      </c>
      <c r="K281" s="1" t="s">
        <v>1618</v>
      </c>
      <c r="L281" s="1">
        <v>2</v>
      </c>
      <c r="M281" s="1">
        <v>49</v>
      </c>
      <c r="N281" s="1" t="s">
        <v>30</v>
      </c>
      <c r="O281" s="1" t="s">
        <v>425</v>
      </c>
      <c r="P281" s="1" t="s">
        <v>30</v>
      </c>
      <c r="Q281" s="1" t="s">
        <v>69</v>
      </c>
      <c r="R281" s="1">
        <v>568.17999999999995</v>
      </c>
      <c r="S281" s="1" t="s">
        <v>33</v>
      </c>
      <c r="T281" s="1" t="s">
        <v>34</v>
      </c>
      <c r="U281" s="1" t="s">
        <v>35</v>
      </c>
      <c r="V281" s="1" t="s">
        <v>36</v>
      </c>
    </row>
    <row r="282" spans="1:22" x14ac:dyDescent="0.3">
      <c r="A282" s="1" t="s">
        <v>1619</v>
      </c>
      <c r="B282" s="1" t="s">
        <v>1620</v>
      </c>
      <c r="C282" s="1">
        <v>52</v>
      </c>
      <c r="D282" s="1" t="s">
        <v>1621</v>
      </c>
      <c r="E282" s="1" t="s">
        <v>25</v>
      </c>
      <c r="F282" s="1" t="s">
        <v>502</v>
      </c>
      <c r="G282" s="2">
        <v>45052</v>
      </c>
      <c r="H282" s="1">
        <v>5</v>
      </c>
      <c r="I282" s="1" t="s">
        <v>27</v>
      </c>
      <c r="J282" s="1" t="s">
        <v>1622</v>
      </c>
      <c r="K282" s="1" t="s">
        <v>1623</v>
      </c>
      <c r="L282" s="1">
        <v>4</v>
      </c>
      <c r="M282" s="1">
        <v>14</v>
      </c>
      <c r="N282" s="1" t="s">
        <v>56</v>
      </c>
      <c r="O282" s="1" t="s">
        <v>366</v>
      </c>
      <c r="P282" s="1" t="s">
        <v>54</v>
      </c>
      <c r="Q282" s="1" t="s">
        <v>69</v>
      </c>
      <c r="R282" s="1">
        <v>958.28</v>
      </c>
      <c r="S282" s="1" t="s">
        <v>46</v>
      </c>
      <c r="T282" s="1" t="s">
        <v>47</v>
      </c>
      <c r="U282" s="1" t="s">
        <v>35</v>
      </c>
      <c r="V282" s="1" t="s">
        <v>188</v>
      </c>
    </row>
    <row r="283" spans="1:22" x14ac:dyDescent="0.3">
      <c r="A283" s="1" t="s">
        <v>1624</v>
      </c>
      <c r="B283" s="1" t="s">
        <v>1625</v>
      </c>
      <c r="C283" s="1">
        <v>59</v>
      </c>
      <c r="D283" s="1" t="s">
        <v>1626</v>
      </c>
      <c r="E283" s="1" t="s">
        <v>95</v>
      </c>
      <c r="F283" s="2">
        <v>44290</v>
      </c>
      <c r="G283" s="2">
        <v>44263</v>
      </c>
      <c r="H283" s="1">
        <v>0</v>
      </c>
      <c r="I283" s="1" t="s">
        <v>52</v>
      </c>
      <c r="J283" s="1" t="s">
        <v>388</v>
      </c>
      <c r="K283" s="1" t="s">
        <v>1627</v>
      </c>
      <c r="L283" s="1">
        <v>3</v>
      </c>
      <c r="M283" s="1">
        <v>23</v>
      </c>
      <c r="N283" s="1" t="s">
        <v>45</v>
      </c>
      <c r="O283" s="1" t="s">
        <v>624</v>
      </c>
      <c r="P283" s="1" t="s">
        <v>30</v>
      </c>
      <c r="Q283" s="1" t="s">
        <v>32</v>
      </c>
      <c r="R283" s="1">
        <v>307.86</v>
      </c>
      <c r="S283" s="1" t="s">
        <v>46</v>
      </c>
      <c r="T283" s="1" t="s">
        <v>47</v>
      </c>
      <c r="U283" s="1" t="s">
        <v>35</v>
      </c>
      <c r="V283" s="1" t="s">
        <v>36</v>
      </c>
    </row>
    <row r="284" spans="1:22" x14ac:dyDescent="0.3">
      <c r="A284" s="1" t="s">
        <v>1628</v>
      </c>
      <c r="B284" s="1" t="s">
        <v>1629</v>
      </c>
      <c r="C284" s="1">
        <v>63</v>
      </c>
      <c r="D284" s="1" t="s">
        <v>1630</v>
      </c>
      <c r="E284" s="1" t="s">
        <v>51</v>
      </c>
      <c r="F284" s="1" t="s">
        <v>220</v>
      </c>
      <c r="G284" s="2">
        <v>45908</v>
      </c>
      <c r="H284" s="1">
        <v>2</v>
      </c>
      <c r="I284" s="1" t="s">
        <v>27</v>
      </c>
      <c r="J284" s="2">
        <v>45266</v>
      </c>
      <c r="K284" s="1" t="s">
        <v>1631</v>
      </c>
      <c r="L284" s="1">
        <v>8</v>
      </c>
      <c r="M284" s="1">
        <v>28</v>
      </c>
      <c r="N284" s="1" t="s">
        <v>30</v>
      </c>
      <c r="O284" s="1" t="s">
        <v>128</v>
      </c>
      <c r="P284" s="1" t="s">
        <v>54</v>
      </c>
      <c r="Q284" s="1" t="s">
        <v>69</v>
      </c>
      <c r="R284" s="1">
        <v>212.88</v>
      </c>
      <c r="S284" s="1" t="s">
        <v>46</v>
      </c>
      <c r="T284" s="1" t="s">
        <v>47</v>
      </c>
      <c r="U284" s="1" t="s">
        <v>35</v>
      </c>
      <c r="V284" s="1" t="s">
        <v>36</v>
      </c>
    </row>
    <row r="285" spans="1:22" x14ac:dyDescent="0.3">
      <c r="A285" s="1" t="s">
        <v>1632</v>
      </c>
      <c r="B285" s="1" t="s">
        <v>1633</v>
      </c>
      <c r="C285" s="1">
        <v>29</v>
      </c>
      <c r="D285" s="1" t="s">
        <v>1634</v>
      </c>
      <c r="E285" s="1" t="s">
        <v>25</v>
      </c>
      <c r="F285" s="2">
        <v>44446</v>
      </c>
      <c r="G285" s="1" t="s">
        <v>1635</v>
      </c>
      <c r="H285" s="1">
        <v>4</v>
      </c>
      <c r="I285" s="1" t="s">
        <v>27</v>
      </c>
      <c r="J285" s="2">
        <v>45506</v>
      </c>
      <c r="K285" s="1" t="s">
        <v>1636</v>
      </c>
      <c r="L285" s="1">
        <v>5</v>
      </c>
      <c r="M285" s="1">
        <v>28</v>
      </c>
      <c r="N285" s="1" t="s">
        <v>30</v>
      </c>
      <c r="O285" s="1" t="s">
        <v>116</v>
      </c>
      <c r="P285" s="1" t="s">
        <v>54</v>
      </c>
      <c r="Q285" s="1" t="s">
        <v>69</v>
      </c>
      <c r="R285" s="1">
        <v>1408.55</v>
      </c>
      <c r="S285" s="1" t="s">
        <v>46</v>
      </c>
      <c r="T285" s="1" t="s">
        <v>57</v>
      </c>
      <c r="U285" s="1" t="s">
        <v>35</v>
      </c>
      <c r="V285" s="1" t="s">
        <v>188</v>
      </c>
    </row>
    <row r="286" spans="1:22" x14ac:dyDescent="0.3">
      <c r="A286" s="1" t="s">
        <v>1637</v>
      </c>
      <c r="B286" s="1" t="s">
        <v>1638</v>
      </c>
      <c r="C286" s="1">
        <v>45</v>
      </c>
      <c r="D286" s="1" t="s">
        <v>1639</v>
      </c>
      <c r="E286" s="1" t="s">
        <v>88</v>
      </c>
      <c r="F286" s="2">
        <v>43993</v>
      </c>
      <c r="G286" s="2">
        <v>45938</v>
      </c>
      <c r="H286" s="1">
        <v>1</v>
      </c>
      <c r="I286" s="1" t="s">
        <v>64</v>
      </c>
      <c r="J286" s="2">
        <v>44256</v>
      </c>
      <c r="K286" s="1" t="s">
        <v>1640</v>
      </c>
      <c r="L286" s="1">
        <v>3</v>
      </c>
      <c r="M286" s="1">
        <v>23</v>
      </c>
      <c r="N286" s="1" t="s">
        <v>56</v>
      </c>
      <c r="O286" s="1" t="s">
        <v>55</v>
      </c>
      <c r="P286" s="1" t="s">
        <v>56</v>
      </c>
      <c r="Q286" s="1" t="s">
        <v>69</v>
      </c>
      <c r="R286" s="1">
        <v>1495.23</v>
      </c>
      <c r="S286" s="1" t="s">
        <v>33</v>
      </c>
      <c r="T286" s="1" t="s">
        <v>34</v>
      </c>
      <c r="U286" s="1" t="s">
        <v>35</v>
      </c>
      <c r="V286" s="1" t="s">
        <v>71</v>
      </c>
    </row>
    <row r="287" spans="1:22" x14ac:dyDescent="0.3">
      <c r="A287" s="1" t="s">
        <v>1641</v>
      </c>
      <c r="B287" s="1" t="s">
        <v>1642</v>
      </c>
      <c r="C287" s="1">
        <v>54</v>
      </c>
      <c r="D287" s="1" t="s">
        <v>1643</v>
      </c>
      <c r="E287" s="1" t="s">
        <v>61</v>
      </c>
      <c r="F287" s="1" t="s">
        <v>1644</v>
      </c>
      <c r="G287" s="1" t="s">
        <v>614</v>
      </c>
      <c r="H287" s="1">
        <v>3</v>
      </c>
      <c r="I287" s="1" t="s">
        <v>52</v>
      </c>
      <c r="J287" s="2">
        <v>45179</v>
      </c>
      <c r="K287" s="1" t="s">
        <v>1645</v>
      </c>
      <c r="L287" s="1">
        <v>7</v>
      </c>
      <c r="M287" s="1">
        <v>39</v>
      </c>
      <c r="N287" s="1" t="s">
        <v>56</v>
      </c>
      <c r="O287" s="1" t="s">
        <v>99</v>
      </c>
      <c r="P287" s="1" t="s">
        <v>56</v>
      </c>
      <c r="Q287" s="1" t="s">
        <v>32</v>
      </c>
      <c r="R287" s="1">
        <v>1055.3900000000001</v>
      </c>
      <c r="S287" s="1" t="s">
        <v>33</v>
      </c>
      <c r="T287" s="1" t="s">
        <v>47</v>
      </c>
      <c r="U287" s="1" t="s">
        <v>35</v>
      </c>
      <c r="V287" s="1" t="s">
        <v>36</v>
      </c>
    </row>
    <row r="288" spans="1:22" x14ac:dyDescent="0.3">
      <c r="A288" s="1" t="s">
        <v>1646</v>
      </c>
      <c r="B288" s="1" t="s">
        <v>1647</v>
      </c>
      <c r="C288" s="1">
        <v>28</v>
      </c>
      <c r="D288" s="1" t="s">
        <v>1648</v>
      </c>
      <c r="E288" s="1" t="s">
        <v>95</v>
      </c>
      <c r="F288" s="1" t="s">
        <v>1649</v>
      </c>
      <c r="G288" s="2">
        <v>45474</v>
      </c>
      <c r="H288" s="1">
        <v>2</v>
      </c>
      <c r="I288" s="1" t="s">
        <v>64</v>
      </c>
      <c r="J288" s="1" t="s">
        <v>1650</v>
      </c>
      <c r="K288" s="1" t="s">
        <v>1651</v>
      </c>
      <c r="L288" s="1">
        <v>7</v>
      </c>
      <c r="M288" s="1">
        <v>24</v>
      </c>
      <c r="N288" s="1" t="s">
        <v>45</v>
      </c>
      <c r="O288" s="1" t="s">
        <v>99</v>
      </c>
      <c r="P288" s="1" t="s">
        <v>56</v>
      </c>
      <c r="Q288" s="1" t="s">
        <v>69</v>
      </c>
      <c r="R288" s="1">
        <v>787.64</v>
      </c>
      <c r="S288" s="1" t="s">
        <v>46</v>
      </c>
      <c r="T288" s="1" t="s">
        <v>57</v>
      </c>
      <c r="U288" s="1" t="s">
        <v>35</v>
      </c>
      <c r="V288" s="1" t="s">
        <v>71</v>
      </c>
    </row>
    <row r="289" spans="1:22" x14ac:dyDescent="0.3">
      <c r="A289" s="1" t="s">
        <v>1652</v>
      </c>
      <c r="B289" s="1" t="s">
        <v>1653</v>
      </c>
      <c r="C289" s="1">
        <v>45</v>
      </c>
      <c r="D289" s="1" t="s">
        <v>1654</v>
      </c>
      <c r="E289" s="1" t="s">
        <v>95</v>
      </c>
      <c r="F289" s="2">
        <v>44808</v>
      </c>
      <c r="G289" s="1" t="s">
        <v>792</v>
      </c>
      <c r="H289" s="1">
        <v>3</v>
      </c>
      <c r="I289" s="1" t="s">
        <v>27</v>
      </c>
      <c r="J289" s="2">
        <v>44813</v>
      </c>
      <c r="K289" s="1" t="s">
        <v>1655</v>
      </c>
      <c r="L289" s="1">
        <v>9</v>
      </c>
      <c r="M289" s="1">
        <v>15</v>
      </c>
      <c r="N289" s="1" t="s">
        <v>54</v>
      </c>
      <c r="O289" s="1" t="s">
        <v>135</v>
      </c>
      <c r="P289" s="1" t="s">
        <v>45</v>
      </c>
      <c r="Q289" s="1" t="s">
        <v>32</v>
      </c>
      <c r="R289" s="1">
        <v>1753.29</v>
      </c>
      <c r="S289" s="1" t="s">
        <v>46</v>
      </c>
      <c r="T289" s="1" t="s">
        <v>34</v>
      </c>
      <c r="U289" s="1" t="s">
        <v>35</v>
      </c>
      <c r="V289" s="1" t="s">
        <v>36</v>
      </c>
    </row>
    <row r="290" spans="1:22" x14ac:dyDescent="0.3">
      <c r="A290" s="1" t="s">
        <v>1656</v>
      </c>
      <c r="B290" s="1" t="s">
        <v>1657</v>
      </c>
      <c r="C290" s="1">
        <v>28</v>
      </c>
      <c r="D290" s="1" t="s">
        <v>1658</v>
      </c>
      <c r="E290" s="1" t="s">
        <v>51</v>
      </c>
      <c r="F290" s="2">
        <v>44897</v>
      </c>
      <c r="G290" s="2">
        <v>45477</v>
      </c>
      <c r="H290" s="1">
        <v>1</v>
      </c>
      <c r="I290" s="1" t="s">
        <v>27</v>
      </c>
      <c r="J290" s="2">
        <v>45962</v>
      </c>
      <c r="K290" s="1" t="s">
        <v>1659</v>
      </c>
      <c r="L290" s="1">
        <v>5</v>
      </c>
      <c r="M290" s="1">
        <v>8</v>
      </c>
      <c r="N290" s="1" t="s">
        <v>30</v>
      </c>
      <c r="O290" s="1" t="s">
        <v>142</v>
      </c>
      <c r="P290" s="1" t="s">
        <v>68</v>
      </c>
      <c r="Q290" s="1" t="s">
        <v>69</v>
      </c>
      <c r="R290" s="1">
        <v>1047.05</v>
      </c>
      <c r="S290" s="1" t="s">
        <v>46</v>
      </c>
      <c r="T290" s="1" t="s">
        <v>57</v>
      </c>
      <c r="U290" s="1" t="s">
        <v>35</v>
      </c>
      <c r="V290" s="1" t="s">
        <v>36</v>
      </c>
    </row>
    <row r="291" spans="1:22" x14ac:dyDescent="0.3">
      <c r="A291" s="1" t="s">
        <v>1660</v>
      </c>
      <c r="B291" s="1" t="s">
        <v>1661</v>
      </c>
      <c r="C291" s="1">
        <v>29</v>
      </c>
      <c r="D291" s="1" t="s">
        <v>1662</v>
      </c>
      <c r="E291" s="1" t="s">
        <v>40</v>
      </c>
      <c r="F291" s="2">
        <v>44412</v>
      </c>
      <c r="G291" s="1" t="s">
        <v>1663</v>
      </c>
      <c r="H291" s="1">
        <v>0</v>
      </c>
      <c r="I291" s="1" t="s">
        <v>52</v>
      </c>
      <c r="J291" s="1" t="s">
        <v>1664</v>
      </c>
      <c r="K291" s="1" t="s">
        <v>1665</v>
      </c>
      <c r="L291" s="1">
        <v>2</v>
      </c>
      <c r="M291" s="1">
        <v>22</v>
      </c>
      <c r="N291" s="1" t="s">
        <v>54</v>
      </c>
      <c r="O291" s="1" t="s">
        <v>821</v>
      </c>
      <c r="P291" s="1" t="s">
        <v>68</v>
      </c>
      <c r="Q291" s="1" t="s">
        <v>322</v>
      </c>
      <c r="R291" s="1">
        <v>988.82</v>
      </c>
      <c r="S291" s="1" t="s">
        <v>46</v>
      </c>
      <c r="T291" s="1" t="s">
        <v>57</v>
      </c>
      <c r="U291" s="1" t="s">
        <v>35</v>
      </c>
      <c r="V291" s="1" t="s">
        <v>36</v>
      </c>
    </row>
    <row r="292" spans="1:22" x14ac:dyDescent="0.3">
      <c r="A292" s="1" t="s">
        <v>1666</v>
      </c>
      <c r="B292" s="1" t="s">
        <v>1667</v>
      </c>
      <c r="C292" s="1">
        <v>47</v>
      </c>
      <c r="D292" s="1" t="s">
        <v>1668</v>
      </c>
      <c r="E292" s="1" t="s">
        <v>51</v>
      </c>
      <c r="F292" s="1" t="s">
        <v>1669</v>
      </c>
      <c r="G292" s="2">
        <v>45781</v>
      </c>
      <c r="H292" s="1">
        <v>2</v>
      </c>
      <c r="I292" s="1" t="s">
        <v>27</v>
      </c>
      <c r="J292" s="2">
        <v>44930</v>
      </c>
      <c r="K292" s="1" t="s">
        <v>1670</v>
      </c>
      <c r="L292" s="1">
        <v>5</v>
      </c>
      <c r="M292" s="1">
        <v>7</v>
      </c>
      <c r="N292" s="1" t="s">
        <v>68</v>
      </c>
      <c r="O292" s="1" t="s">
        <v>354</v>
      </c>
      <c r="P292" s="1" t="s">
        <v>45</v>
      </c>
      <c r="Q292" s="1" t="s">
        <v>69</v>
      </c>
      <c r="R292" s="1">
        <v>935.15</v>
      </c>
      <c r="S292" s="1" t="s">
        <v>46</v>
      </c>
      <c r="T292" s="1" t="s">
        <v>34</v>
      </c>
      <c r="U292" s="1" t="s">
        <v>35</v>
      </c>
      <c r="V292" s="1" t="s">
        <v>36</v>
      </c>
    </row>
    <row r="293" spans="1:22" x14ac:dyDescent="0.3">
      <c r="A293" s="1" t="s">
        <v>1671</v>
      </c>
      <c r="B293" s="1" t="s">
        <v>1672</v>
      </c>
      <c r="C293" s="1">
        <v>41</v>
      </c>
      <c r="D293" s="1" t="s">
        <v>1673</v>
      </c>
      <c r="E293" s="1" t="s">
        <v>88</v>
      </c>
      <c r="F293" s="1" t="s">
        <v>1674</v>
      </c>
      <c r="G293" s="1" t="s">
        <v>963</v>
      </c>
      <c r="H293" s="1">
        <v>4</v>
      </c>
      <c r="I293" s="1" t="s">
        <v>27</v>
      </c>
      <c r="J293" s="1" t="s">
        <v>1675</v>
      </c>
      <c r="K293" s="1" t="s">
        <v>1676</v>
      </c>
      <c r="L293" s="1">
        <v>4</v>
      </c>
      <c r="M293" s="1">
        <v>47</v>
      </c>
      <c r="N293" s="1" t="s">
        <v>30</v>
      </c>
      <c r="O293" s="1" t="s">
        <v>31</v>
      </c>
      <c r="P293" s="1" t="s">
        <v>30</v>
      </c>
      <c r="Q293" s="1" t="s">
        <v>32</v>
      </c>
      <c r="R293" s="1">
        <v>1259.52</v>
      </c>
      <c r="S293" s="1" t="s">
        <v>33</v>
      </c>
      <c r="T293" s="1" t="s">
        <v>34</v>
      </c>
      <c r="U293" s="1" t="s">
        <v>35</v>
      </c>
      <c r="V293" s="1" t="s">
        <v>188</v>
      </c>
    </row>
    <row r="294" spans="1:22" x14ac:dyDescent="0.3">
      <c r="A294" s="1" t="s">
        <v>1677</v>
      </c>
      <c r="B294" s="1" t="s">
        <v>1678</v>
      </c>
      <c r="C294" s="1">
        <v>37</v>
      </c>
      <c r="D294" s="1" t="s">
        <v>1679</v>
      </c>
      <c r="E294" s="1" t="s">
        <v>61</v>
      </c>
      <c r="F294" s="1" t="s">
        <v>1680</v>
      </c>
      <c r="G294" s="1" t="s">
        <v>734</v>
      </c>
      <c r="H294" s="1">
        <v>5</v>
      </c>
      <c r="I294" s="1" t="s">
        <v>52</v>
      </c>
      <c r="J294" s="2">
        <v>45298</v>
      </c>
      <c r="K294" s="1" t="s">
        <v>1681</v>
      </c>
      <c r="L294" s="1">
        <v>5</v>
      </c>
      <c r="M294" s="1">
        <v>19</v>
      </c>
      <c r="N294" s="1" t="s">
        <v>56</v>
      </c>
      <c r="O294" s="1" t="s">
        <v>245</v>
      </c>
      <c r="P294" s="1" t="s">
        <v>54</v>
      </c>
      <c r="Q294" s="1" t="s">
        <v>69</v>
      </c>
      <c r="R294" s="1">
        <v>1169.3499999999999</v>
      </c>
      <c r="S294" s="1" t="s">
        <v>46</v>
      </c>
      <c r="T294" s="1" t="s">
        <v>34</v>
      </c>
      <c r="U294" s="1" t="s">
        <v>35</v>
      </c>
      <c r="V294" s="1" t="s">
        <v>36</v>
      </c>
    </row>
    <row r="295" spans="1:22" x14ac:dyDescent="0.3">
      <c r="A295" s="1" t="s">
        <v>1682</v>
      </c>
      <c r="B295" s="1" t="s">
        <v>1683</v>
      </c>
      <c r="C295" s="1">
        <v>58</v>
      </c>
      <c r="D295" s="1" t="s">
        <v>1684</v>
      </c>
      <c r="E295" s="1" t="s">
        <v>95</v>
      </c>
      <c r="F295" s="2">
        <v>45047</v>
      </c>
      <c r="G295" s="1" t="s">
        <v>133</v>
      </c>
      <c r="H295" s="1">
        <v>4</v>
      </c>
      <c r="I295" s="1" t="s">
        <v>27</v>
      </c>
      <c r="J295" s="1" t="s">
        <v>1685</v>
      </c>
      <c r="K295" s="1" t="s">
        <v>1686</v>
      </c>
      <c r="L295" s="1">
        <v>6</v>
      </c>
      <c r="M295" s="1">
        <v>6</v>
      </c>
      <c r="N295" s="1" t="s">
        <v>30</v>
      </c>
      <c r="O295" s="1" t="s">
        <v>149</v>
      </c>
      <c r="P295" s="1" t="s">
        <v>30</v>
      </c>
      <c r="Q295" s="1" t="s">
        <v>69</v>
      </c>
      <c r="R295" s="1">
        <v>1026.42</v>
      </c>
      <c r="S295" s="1" t="s">
        <v>33</v>
      </c>
      <c r="T295" s="1" t="s">
        <v>47</v>
      </c>
      <c r="U295" s="1" t="s">
        <v>35</v>
      </c>
      <c r="V295" s="1" t="s">
        <v>188</v>
      </c>
    </row>
    <row r="296" spans="1:22" x14ac:dyDescent="0.3">
      <c r="A296" s="1" t="s">
        <v>1687</v>
      </c>
      <c r="B296" s="1" t="s">
        <v>1688</v>
      </c>
      <c r="C296" s="1">
        <v>38</v>
      </c>
      <c r="D296" s="1" t="s">
        <v>1689</v>
      </c>
      <c r="E296" s="1" t="s">
        <v>25</v>
      </c>
      <c r="F296" s="2">
        <v>43961</v>
      </c>
      <c r="G296" s="2">
        <v>44417</v>
      </c>
      <c r="H296" s="1">
        <v>5</v>
      </c>
      <c r="I296" s="1" t="s">
        <v>27</v>
      </c>
      <c r="J296" s="1" t="s">
        <v>1690</v>
      </c>
      <c r="K296" s="1" t="s">
        <v>1691</v>
      </c>
      <c r="L296" s="1">
        <v>5</v>
      </c>
      <c r="M296" s="1">
        <v>29</v>
      </c>
      <c r="N296" s="1" t="s">
        <v>54</v>
      </c>
      <c r="O296" s="1" t="s">
        <v>610</v>
      </c>
      <c r="P296" s="1" t="s">
        <v>68</v>
      </c>
      <c r="Q296" s="1" t="s">
        <v>69</v>
      </c>
      <c r="R296" s="1">
        <v>777.2</v>
      </c>
      <c r="S296" s="1" t="s">
        <v>46</v>
      </c>
      <c r="T296" s="1" t="s">
        <v>34</v>
      </c>
      <c r="U296" s="1" t="s">
        <v>35</v>
      </c>
      <c r="V296" s="1" t="s">
        <v>188</v>
      </c>
    </row>
    <row r="297" spans="1:22" x14ac:dyDescent="0.3">
      <c r="A297" s="1" t="s">
        <v>1692</v>
      </c>
      <c r="B297" s="1" t="s">
        <v>1693</v>
      </c>
      <c r="C297" s="1">
        <v>68</v>
      </c>
      <c r="D297" s="1" t="s">
        <v>1694</v>
      </c>
      <c r="E297" s="1" t="s">
        <v>95</v>
      </c>
      <c r="F297" s="1" t="s">
        <v>1695</v>
      </c>
      <c r="G297" s="2">
        <v>45813</v>
      </c>
      <c r="H297" s="1">
        <v>0</v>
      </c>
      <c r="I297" s="1" t="s">
        <v>27</v>
      </c>
      <c r="J297" s="1" t="s">
        <v>1696</v>
      </c>
      <c r="K297" s="1" t="s">
        <v>1697</v>
      </c>
      <c r="L297" s="1">
        <v>2</v>
      </c>
      <c r="M297" s="1">
        <v>14</v>
      </c>
      <c r="N297" s="1" t="s">
        <v>68</v>
      </c>
      <c r="O297" s="1" t="s">
        <v>821</v>
      </c>
      <c r="P297" s="1" t="s">
        <v>68</v>
      </c>
      <c r="Q297" s="1" t="s">
        <v>69</v>
      </c>
      <c r="R297" s="1">
        <v>1579</v>
      </c>
      <c r="S297" s="1" t="s">
        <v>33</v>
      </c>
      <c r="T297" s="1" t="s">
        <v>232</v>
      </c>
      <c r="U297" s="1" t="s">
        <v>35</v>
      </c>
      <c r="V297" s="1" t="s">
        <v>36</v>
      </c>
    </row>
    <row r="298" spans="1:22" x14ac:dyDescent="0.3">
      <c r="A298" s="1" t="s">
        <v>1698</v>
      </c>
      <c r="B298" s="1" t="s">
        <v>1699</v>
      </c>
      <c r="C298" s="1">
        <v>38</v>
      </c>
      <c r="D298" s="1" t="s">
        <v>1700</v>
      </c>
      <c r="E298" s="1" t="s">
        <v>95</v>
      </c>
      <c r="F298" s="2">
        <v>44810</v>
      </c>
      <c r="G298" s="2">
        <v>45906</v>
      </c>
      <c r="H298" s="1">
        <v>2</v>
      </c>
      <c r="I298" s="1" t="s">
        <v>27</v>
      </c>
      <c r="J298" s="1" t="s">
        <v>946</v>
      </c>
      <c r="K298" s="1" t="s">
        <v>1701</v>
      </c>
      <c r="L298" s="1">
        <v>8</v>
      </c>
      <c r="M298" s="1">
        <v>5</v>
      </c>
      <c r="N298" s="1" t="s">
        <v>68</v>
      </c>
      <c r="O298" s="1" t="s">
        <v>77</v>
      </c>
      <c r="P298" s="1" t="s">
        <v>54</v>
      </c>
      <c r="Q298" s="1" t="s">
        <v>32</v>
      </c>
      <c r="R298" s="1">
        <v>1862</v>
      </c>
      <c r="S298" s="1" t="s">
        <v>46</v>
      </c>
      <c r="T298" s="1" t="s">
        <v>34</v>
      </c>
      <c r="U298" s="1" t="s">
        <v>35</v>
      </c>
      <c r="V298" s="1" t="s">
        <v>36</v>
      </c>
    </row>
    <row r="299" spans="1:22" x14ac:dyDescent="0.3">
      <c r="A299" s="1" t="s">
        <v>1702</v>
      </c>
      <c r="B299" s="1" t="s">
        <v>1703</v>
      </c>
      <c r="C299" s="1">
        <v>66</v>
      </c>
      <c r="D299" s="1" t="s">
        <v>1704</v>
      </c>
      <c r="E299" s="1" t="s">
        <v>51</v>
      </c>
      <c r="F299" s="2">
        <v>44411</v>
      </c>
      <c r="G299" s="1" t="s">
        <v>1174</v>
      </c>
      <c r="H299" s="1">
        <v>5</v>
      </c>
      <c r="I299" s="1" t="s">
        <v>64</v>
      </c>
      <c r="J299" s="1" t="s">
        <v>1705</v>
      </c>
      <c r="K299" s="1" t="s">
        <v>1706</v>
      </c>
      <c r="L299" s="1">
        <v>1</v>
      </c>
      <c r="M299" s="1">
        <v>2</v>
      </c>
      <c r="N299" s="1" t="s">
        <v>45</v>
      </c>
      <c r="O299" s="1" t="s">
        <v>194</v>
      </c>
      <c r="P299" s="1" t="s">
        <v>56</v>
      </c>
      <c r="Q299" s="1" t="s">
        <v>69</v>
      </c>
      <c r="R299" s="1">
        <v>1786.22</v>
      </c>
      <c r="S299" s="1" t="s">
        <v>46</v>
      </c>
      <c r="T299" s="1" t="s">
        <v>232</v>
      </c>
      <c r="U299" s="1" t="s">
        <v>35</v>
      </c>
      <c r="V299" s="1" t="s">
        <v>71</v>
      </c>
    </row>
    <row r="300" spans="1:22" x14ac:dyDescent="0.3">
      <c r="A300" s="1" t="s">
        <v>1707</v>
      </c>
      <c r="B300" s="1" t="s">
        <v>1708</v>
      </c>
      <c r="C300" s="1">
        <v>42</v>
      </c>
      <c r="D300" s="1" t="s">
        <v>1709</v>
      </c>
      <c r="E300" s="1" t="s">
        <v>40</v>
      </c>
      <c r="F300" s="2">
        <v>44199</v>
      </c>
      <c r="G300" s="2">
        <v>45265</v>
      </c>
      <c r="H300" s="1">
        <v>3</v>
      </c>
      <c r="I300" s="1" t="s">
        <v>52</v>
      </c>
      <c r="J300" s="2">
        <v>45177</v>
      </c>
      <c r="K300" s="1" t="s">
        <v>1710</v>
      </c>
      <c r="L300" s="1">
        <v>8</v>
      </c>
      <c r="M300" s="1">
        <v>15</v>
      </c>
      <c r="N300" s="1" t="s">
        <v>56</v>
      </c>
      <c r="O300" s="1" t="s">
        <v>223</v>
      </c>
      <c r="P300" s="1" t="s">
        <v>56</v>
      </c>
      <c r="Q300" s="1" t="s">
        <v>32</v>
      </c>
      <c r="R300" s="1">
        <v>1735.92</v>
      </c>
      <c r="S300" s="1" t="s">
        <v>33</v>
      </c>
      <c r="T300" s="1" t="s">
        <v>34</v>
      </c>
      <c r="U300" s="1" t="s">
        <v>35</v>
      </c>
      <c r="V300" s="1" t="s">
        <v>36</v>
      </c>
    </row>
    <row r="301" spans="1:22" x14ac:dyDescent="0.3">
      <c r="A301" s="1" t="s">
        <v>1711</v>
      </c>
      <c r="B301" s="1" t="s">
        <v>1712</v>
      </c>
      <c r="C301" s="1">
        <v>45</v>
      </c>
      <c r="D301" s="1" t="s">
        <v>1713</v>
      </c>
      <c r="E301" s="1" t="s">
        <v>51</v>
      </c>
      <c r="F301" s="1" t="s">
        <v>1714</v>
      </c>
      <c r="G301" s="1" t="s">
        <v>1715</v>
      </c>
      <c r="H301" s="1">
        <v>5</v>
      </c>
      <c r="I301" s="1" t="s">
        <v>52</v>
      </c>
      <c r="J301" s="1" t="s">
        <v>1716</v>
      </c>
      <c r="K301" s="1" t="s">
        <v>1717</v>
      </c>
      <c r="L301" s="1">
        <v>9</v>
      </c>
      <c r="M301" s="1">
        <v>38</v>
      </c>
      <c r="N301" s="1" t="s">
        <v>54</v>
      </c>
      <c r="O301" s="1" t="s">
        <v>116</v>
      </c>
      <c r="P301" s="1" t="s">
        <v>54</v>
      </c>
      <c r="Q301" s="1" t="s">
        <v>69</v>
      </c>
      <c r="R301" s="1">
        <v>97.92</v>
      </c>
      <c r="S301" s="1" t="s">
        <v>33</v>
      </c>
      <c r="T301" s="1" t="s">
        <v>34</v>
      </c>
      <c r="U301" s="1" t="s">
        <v>35</v>
      </c>
      <c r="V301" s="1" t="s">
        <v>36</v>
      </c>
    </row>
    <row r="302" spans="1:22" x14ac:dyDescent="0.3">
      <c r="A302" s="1" t="s">
        <v>1718</v>
      </c>
      <c r="B302" s="1" t="s">
        <v>1719</v>
      </c>
      <c r="C302" s="1">
        <v>19</v>
      </c>
      <c r="D302" s="1" t="s">
        <v>1720</v>
      </c>
      <c r="E302" s="1" t="s">
        <v>25</v>
      </c>
      <c r="F302" s="1" t="s">
        <v>669</v>
      </c>
      <c r="G302" s="2">
        <v>45333</v>
      </c>
      <c r="H302" s="1">
        <v>1</v>
      </c>
      <c r="I302" s="1" t="s">
        <v>27</v>
      </c>
      <c r="J302" s="2">
        <v>45057</v>
      </c>
      <c r="K302" s="1" t="s">
        <v>1721</v>
      </c>
      <c r="L302" s="1">
        <v>1</v>
      </c>
      <c r="M302" s="1">
        <v>25</v>
      </c>
      <c r="N302" s="1" t="s">
        <v>30</v>
      </c>
      <c r="O302" s="1" t="s">
        <v>67</v>
      </c>
      <c r="P302" s="1" t="s">
        <v>68</v>
      </c>
      <c r="Q302" s="1" t="s">
        <v>32</v>
      </c>
      <c r="R302" s="1">
        <v>1226.18</v>
      </c>
      <c r="S302" s="1" t="s">
        <v>46</v>
      </c>
      <c r="T302" s="1" t="s">
        <v>100</v>
      </c>
      <c r="U302" s="1" t="s">
        <v>35</v>
      </c>
      <c r="V302" s="1" t="s">
        <v>36</v>
      </c>
    </row>
    <row r="303" spans="1:22" x14ac:dyDescent="0.3">
      <c r="A303" s="1" t="s">
        <v>1722</v>
      </c>
      <c r="B303" s="1" t="s">
        <v>1723</v>
      </c>
      <c r="C303" s="1">
        <v>65</v>
      </c>
      <c r="D303" s="1" t="s">
        <v>1724</v>
      </c>
      <c r="E303" s="1" t="s">
        <v>40</v>
      </c>
      <c r="F303" s="2">
        <v>45146</v>
      </c>
      <c r="G303" s="1" t="s">
        <v>1725</v>
      </c>
      <c r="H303" s="1">
        <v>2</v>
      </c>
      <c r="I303" s="1" t="s">
        <v>27</v>
      </c>
      <c r="J303" s="1" t="s">
        <v>1726</v>
      </c>
      <c r="K303" s="1" t="s">
        <v>1727</v>
      </c>
      <c r="L303" s="1">
        <v>4</v>
      </c>
      <c r="M303" s="1">
        <v>7</v>
      </c>
      <c r="N303" s="1" t="s">
        <v>54</v>
      </c>
      <c r="O303" s="1" t="s">
        <v>238</v>
      </c>
      <c r="P303" s="1" t="s">
        <v>45</v>
      </c>
      <c r="Q303" s="1" t="s">
        <v>32</v>
      </c>
      <c r="R303" s="1">
        <v>1840.08</v>
      </c>
      <c r="S303" s="1" t="s">
        <v>46</v>
      </c>
      <c r="T303" s="1" t="s">
        <v>232</v>
      </c>
      <c r="U303" s="1" t="s">
        <v>35</v>
      </c>
      <c r="V303" s="1" t="s">
        <v>36</v>
      </c>
    </row>
    <row r="304" spans="1:22" x14ac:dyDescent="0.3">
      <c r="A304" s="1" t="s">
        <v>1728</v>
      </c>
      <c r="B304" s="1" t="s">
        <v>1729</v>
      </c>
      <c r="C304" s="1">
        <v>55</v>
      </c>
      <c r="D304" s="1" t="s">
        <v>1730</v>
      </c>
      <c r="E304" s="1" t="s">
        <v>40</v>
      </c>
      <c r="F304" s="1" t="s">
        <v>963</v>
      </c>
      <c r="G304" s="1" t="s">
        <v>1731</v>
      </c>
      <c r="H304" s="1">
        <v>3</v>
      </c>
      <c r="I304" s="1" t="s">
        <v>64</v>
      </c>
      <c r="J304" s="1" t="s">
        <v>1732</v>
      </c>
      <c r="K304" s="1" t="s">
        <v>1733</v>
      </c>
      <c r="L304" s="1">
        <v>7</v>
      </c>
      <c r="M304" s="1">
        <v>21</v>
      </c>
      <c r="N304" s="1" t="s">
        <v>45</v>
      </c>
      <c r="O304" s="1" t="s">
        <v>169</v>
      </c>
      <c r="P304" s="1" t="s">
        <v>30</v>
      </c>
      <c r="Q304" s="1" t="s">
        <v>32</v>
      </c>
      <c r="R304" s="1">
        <v>1521.1</v>
      </c>
      <c r="S304" s="1" t="s">
        <v>46</v>
      </c>
      <c r="T304" s="1" t="s">
        <v>47</v>
      </c>
      <c r="U304" s="1" t="s">
        <v>35</v>
      </c>
      <c r="V304" s="1" t="s">
        <v>71</v>
      </c>
    </row>
    <row r="305" spans="1:22" x14ac:dyDescent="0.3">
      <c r="A305" s="1" t="s">
        <v>1734</v>
      </c>
      <c r="B305" s="1" t="s">
        <v>1735</v>
      </c>
      <c r="C305" s="1">
        <v>45</v>
      </c>
      <c r="D305" s="1" t="s">
        <v>1736</v>
      </c>
      <c r="E305" s="1" t="s">
        <v>88</v>
      </c>
      <c r="F305" s="2">
        <v>44904</v>
      </c>
      <c r="G305" s="1" t="s">
        <v>615</v>
      </c>
      <c r="H305" s="1">
        <v>1</v>
      </c>
      <c r="I305" s="1" t="s">
        <v>52</v>
      </c>
      <c r="J305" s="1" t="s">
        <v>1737</v>
      </c>
      <c r="K305" s="1" t="s">
        <v>1738</v>
      </c>
      <c r="L305" s="1">
        <v>5</v>
      </c>
      <c r="M305" s="1">
        <v>11</v>
      </c>
      <c r="N305" s="1" t="s">
        <v>54</v>
      </c>
      <c r="O305" s="1" t="s">
        <v>373</v>
      </c>
      <c r="P305" s="1" t="s">
        <v>54</v>
      </c>
      <c r="Q305" s="1" t="s">
        <v>32</v>
      </c>
      <c r="R305" s="1">
        <v>603.1</v>
      </c>
      <c r="S305" s="1" t="s">
        <v>33</v>
      </c>
      <c r="T305" s="1" t="s">
        <v>34</v>
      </c>
      <c r="U305" s="1" t="s">
        <v>35</v>
      </c>
      <c r="V305" s="1" t="s">
        <v>36</v>
      </c>
    </row>
    <row r="306" spans="1:22" x14ac:dyDescent="0.3">
      <c r="A306" s="1" t="s">
        <v>1739</v>
      </c>
      <c r="B306" s="1" t="s">
        <v>1740</v>
      </c>
      <c r="C306" s="1">
        <v>35</v>
      </c>
      <c r="D306" s="1" t="s">
        <v>1741</v>
      </c>
      <c r="E306" s="1" t="s">
        <v>61</v>
      </c>
      <c r="F306" s="1" t="s">
        <v>980</v>
      </c>
      <c r="G306" s="2">
        <v>45144</v>
      </c>
      <c r="H306" s="1">
        <v>5</v>
      </c>
      <c r="I306" s="1" t="s">
        <v>27</v>
      </c>
      <c r="J306" s="1" t="s">
        <v>1742</v>
      </c>
      <c r="K306" s="1" t="s">
        <v>1743</v>
      </c>
      <c r="L306" s="1">
        <v>4</v>
      </c>
      <c r="M306" s="1">
        <v>6</v>
      </c>
      <c r="N306" s="1" t="s">
        <v>54</v>
      </c>
      <c r="O306" s="1" t="s">
        <v>77</v>
      </c>
      <c r="P306" s="1" t="s">
        <v>54</v>
      </c>
      <c r="Q306" s="1" t="s">
        <v>69</v>
      </c>
      <c r="R306" s="1">
        <v>360.92</v>
      </c>
      <c r="S306" s="1" t="s">
        <v>33</v>
      </c>
      <c r="T306" s="1" t="s">
        <v>34</v>
      </c>
      <c r="U306" s="1" t="s">
        <v>101</v>
      </c>
      <c r="V306" s="1" t="s">
        <v>188</v>
      </c>
    </row>
    <row r="307" spans="1:22" x14ac:dyDescent="0.3">
      <c r="A307" s="1" t="s">
        <v>1744</v>
      </c>
      <c r="B307" s="1" t="s">
        <v>1745</v>
      </c>
      <c r="C307" s="1">
        <v>26</v>
      </c>
      <c r="D307" s="1" t="s">
        <v>1746</v>
      </c>
      <c r="E307" s="1" t="s">
        <v>88</v>
      </c>
      <c r="F307" s="1" t="s">
        <v>1747</v>
      </c>
      <c r="G307" s="1" t="s">
        <v>771</v>
      </c>
      <c r="H307" s="1">
        <v>3</v>
      </c>
      <c r="I307" s="1" t="s">
        <v>27</v>
      </c>
      <c r="J307" s="1" t="s">
        <v>1748</v>
      </c>
      <c r="K307" s="1" t="s">
        <v>1749</v>
      </c>
      <c r="L307" s="1">
        <v>2</v>
      </c>
      <c r="M307" s="1">
        <v>31</v>
      </c>
      <c r="N307" s="1" t="s">
        <v>30</v>
      </c>
      <c r="O307" s="1" t="s">
        <v>77</v>
      </c>
      <c r="P307" s="1" t="s">
        <v>54</v>
      </c>
      <c r="Q307" s="1" t="s">
        <v>69</v>
      </c>
      <c r="R307" s="1">
        <v>1475.24</v>
      </c>
      <c r="S307" s="1" t="s">
        <v>46</v>
      </c>
      <c r="T307" s="1" t="s">
        <v>57</v>
      </c>
      <c r="U307" s="1" t="s">
        <v>35</v>
      </c>
      <c r="V307" s="1" t="s">
        <v>36</v>
      </c>
    </row>
    <row r="308" spans="1:22" x14ac:dyDescent="0.3">
      <c r="A308" s="1" t="s">
        <v>1750</v>
      </c>
      <c r="B308" s="1" t="s">
        <v>1751</v>
      </c>
      <c r="C308" s="1">
        <v>56</v>
      </c>
      <c r="D308" s="1" t="s">
        <v>1752</v>
      </c>
      <c r="E308" s="1" t="s">
        <v>40</v>
      </c>
      <c r="F308" s="1" t="s">
        <v>1753</v>
      </c>
      <c r="G308" s="1" t="s">
        <v>1754</v>
      </c>
      <c r="H308" s="1">
        <v>4</v>
      </c>
      <c r="I308" s="1" t="s">
        <v>27</v>
      </c>
      <c r="J308" s="1" t="s">
        <v>1755</v>
      </c>
      <c r="K308" s="1" t="s">
        <v>1756</v>
      </c>
      <c r="L308" s="1">
        <v>2</v>
      </c>
      <c r="M308" s="1">
        <v>47</v>
      </c>
      <c r="N308" s="1" t="s">
        <v>54</v>
      </c>
      <c r="O308" s="1" t="s">
        <v>199</v>
      </c>
      <c r="P308" s="1" t="s">
        <v>54</v>
      </c>
      <c r="Q308" s="1" t="s">
        <v>32</v>
      </c>
      <c r="R308" s="1">
        <v>1317.88</v>
      </c>
      <c r="S308" s="1" t="s">
        <v>33</v>
      </c>
      <c r="T308" s="1" t="s">
        <v>47</v>
      </c>
      <c r="U308" s="1" t="s">
        <v>35</v>
      </c>
      <c r="V308" s="1" t="s">
        <v>188</v>
      </c>
    </row>
    <row r="309" spans="1:22" x14ac:dyDescent="0.3">
      <c r="A309" s="1" t="s">
        <v>1757</v>
      </c>
      <c r="B309" s="1" t="s">
        <v>1758</v>
      </c>
      <c r="C309" s="1">
        <v>40</v>
      </c>
      <c r="D309" s="1" t="s">
        <v>1759</v>
      </c>
      <c r="E309" s="1" t="s">
        <v>25</v>
      </c>
      <c r="F309" s="1" t="s">
        <v>236</v>
      </c>
      <c r="G309" s="2">
        <v>44687</v>
      </c>
      <c r="H309" s="1">
        <v>0</v>
      </c>
      <c r="I309" s="1" t="s">
        <v>64</v>
      </c>
      <c r="J309" s="1" t="s">
        <v>1174</v>
      </c>
      <c r="K309" s="1" t="s">
        <v>1760</v>
      </c>
      <c r="L309" s="1">
        <v>3</v>
      </c>
      <c r="M309" s="1">
        <v>20</v>
      </c>
      <c r="N309" s="1" t="s">
        <v>56</v>
      </c>
      <c r="O309" s="1" t="s">
        <v>157</v>
      </c>
      <c r="P309" s="1" t="s">
        <v>68</v>
      </c>
      <c r="Q309" s="1" t="s">
        <v>69</v>
      </c>
      <c r="R309" s="1">
        <v>363.57</v>
      </c>
      <c r="S309" s="1" t="s">
        <v>46</v>
      </c>
      <c r="T309" s="1" t="s">
        <v>34</v>
      </c>
      <c r="U309" s="1" t="s">
        <v>35</v>
      </c>
      <c r="V309" s="1" t="s">
        <v>71</v>
      </c>
    </row>
    <row r="310" spans="1:22" x14ac:dyDescent="0.3">
      <c r="A310" s="1" t="s">
        <v>1761</v>
      </c>
      <c r="B310" s="1" t="s">
        <v>1762</v>
      </c>
      <c r="C310" s="1">
        <v>57</v>
      </c>
      <c r="D310" s="1" t="s">
        <v>1763</v>
      </c>
      <c r="E310" s="1" t="s">
        <v>88</v>
      </c>
      <c r="F310" s="2">
        <v>44412</v>
      </c>
      <c r="G310" s="1" t="s">
        <v>1764</v>
      </c>
      <c r="H310" s="1">
        <v>4</v>
      </c>
      <c r="I310" s="1" t="s">
        <v>27</v>
      </c>
      <c r="J310" s="2">
        <v>45292</v>
      </c>
      <c r="K310" s="1" t="s">
        <v>1765</v>
      </c>
      <c r="L310" s="1">
        <v>3</v>
      </c>
      <c r="M310" s="1">
        <v>49</v>
      </c>
      <c r="N310" s="1" t="s">
        <v>45</v>
      </c>
      <c r="O310" s="1" t="s">
        <v>122</v>
      </c>
      <c r="P310" s="1" t="s">
        <v>30</v>
      </c>
      <c r="Q310" s="1" t="s">
        <v>69</v>
      </c>
      <c r="R310" s="1">
        <v>1750.23</v>
      </c>
      <c r="S310" s="1" t="s">
        <v>46</v>
      </c>
      <c r="T310" s="1" t="s">
        <v>47</v>
      </c>
      <c r="U310" s="1" t="s">
        <v>35</v>
      </c>
      <c r="V310" s="1" t="s">
        <v>188</v>
      </c>
    </row>
    <row r="311" spans="1:22" x14ac:dyDescent="0.3">
      <c r="A311" s="1" t="s">
        <v>1766</v>
      </c>
      <c r="B311" s="1" t="s">
        <v>1767</v>
      </c>
      <c r="C311" s="1">
        <v>57</v>
      </c>
      <c r="D311" s="1" t="s">
        <v>1768</v>
      </c>
      <c r="E311" s="1" t="s">
        <v>95</v>
      </c>
      <c r="F311" s="1" t="s">
        <v>1769</v>
      </c>
      <c r="G311" s="1" t="s">
        <v>1553</v>
      </c>
      <c r="H311" s="1">
        <v>3</v>
      </c>
      <c r="I311" s="1" t="s">
        <v>27</v>
      </c>
      <c r="J311" s="1" t="s">
        <v>1754</v>
      </c>
      <c r="K311" s="1" t="s">
        <v>1770</v>
      </c>
      <c r="L311" s="1">
        <v>6</v>
      </c>
      <c r="M311" s="1">
        <v>20</v>
      </c>
      <c r="N311" s="1" t="s">
        <v>56</v>
      </c>
      <c r="O311" s="1" t="s">
        <v>169</v>
      </c>
      <c r="P311" s="1" t="s">
        <v>30</v>
      </c>
      <c r="Q311" s="1" t="s">
        <v>32</v>
      </c>
      <c r="R311" s="1">
        <v>1454.34</v>
      </c>
      <c r="S311" s="1" t="s">
        <v>46</v>
      </c>
      <c r="T311" s="1" t="s">
        <v>47</v>
      </c>
      <c r="U311" s="1" t="s">
        <v>35</v>
      </c>
      <c r="V311" s="1" t="s">
        <v>36</v>
      </c>
    </row>
    <row r="312" spans="1:22" x14ac:dyDescent="0.3">
      <c r="A312" s="1" t="s">
        <v>1771</v>
      </c>
      <c r="B312" s="1" t="s">
        <v>1772</v>
      </c>
      <c r="C312" s="1">
        <v>21</v>
      </c>
      <c r="D312" s="1" t="s">
        <v>1773</v>
      </c>
      <c r="E312" s="1" t="s">
        <v>88</v>
      </c>
      <c r="F312" s="1" t="s">
        <v>1774</v>
      </c>
      <c r="G312" s="1" t="s">
        <v>1775</v>
      </c>
      <c r="H312" s="1">
        <v>4</v>
      </c>
      <c r="I312" s="1" t="s">
        <v>52</v>
      </c>
      <c r="J312" s="1" t="s">
        <v>1006</v>
      </c>
      <c r="K312" s="1" t="s">
        <v>1776</v>
      </c>
      <c r="L312" s="1">
        <v>7</v>
      </c>
      <c r="M312" s="1">
        <v>6</v>
      </c>
      <c r="N312" s="1" t="s">
        <v>30</v>
      </c>
      <c r="O312" s="1" t="s">
        <v>116</v>
      </c>
      <c r="P312" s="1" t="s">
        <v>54</v>
      </c>
      <c r="Q312" s="1" t="s">
        <v>32</v>
      </c>
      <c r="R312" s="1">
        <v>593.11</v>
      </c>
      <c r="S312" s="1" t="s">
        <v>46</v>
      </c>
      <c r="T312" s="1" t="s">
        <v>100</v>
      </c>
      <c r="U312" s="1" t="s">
        <v>35</v>
      </c>
      <c r="V312" s="1" t="s">
        <v>36</v>
      </c>
    </row>
    <row r="313" spans="1:22" x14ac:dyDescent="0.3">
      <c r="A313" s="1" t="s">
        <v>1777</v>
      </c>
      <c r="B313" s="1" t="s">
        <v>1778</v>
      </c>
      <c r="C313" s="1">
        <v>31</v>
      </c>
      <c r="D313" s="1" t="s">
        <v>1779</v>
      </c>
      <c r="E313" s="1" t="s">
        <v>88</v>
      </c>
      <c r="F313" s="1" t="s">
        <v>1780</v>
      </c>
      <c r="G313" s="1" t="s">
        <v>589</v>
      </c>
      <c r="H313" s="1">
        <v>3</v>
      </c>
      <c r="I313" s="1" t="s">
        <v>64</v>
      </c>
      <c r="J313" s="1" t="s">
        <v>572</v>
      </c>
      <c r="K313" s="1" t="s">
        <v>1781</v>
      </c>
      <c r="L313" s="1">
        <v>4</v>
      </c>
      <c r="M313" s="1">
        <v>25</v>
      </c>
      <c r="N313" s="1" t="s">
        <v>30</v>
      </c>
      <c r="O313" s="1" t="s">
        <v>169</v>
      </c>
      <c r="P313" s="1" t="s">
        <v>30</v>
      </c>
      <c r="Q313" s="1" t="s">
        <v>32</v>
      </c>
      <c r="R313" s="1">
        <v>1597.28</v>
      </c>
      <c r="S313" s="1" t="s">
        <v>33</v>
      </c>
      <c r="T313" s="1" t="s">
        <v>57</v>
      </c>
      <c r="U313" s="1" t="s">
        <v>35</v>
      </c>
      <c r="V313" s="1" t="s">
        <v>71</v>
      </c>
    </row>
    <row r="314" spans="1:22" x14ac:dyDescent="0.3">
      <c r="A314" s="1" t="s">
        <v>1782</v>
      </c>
      <c r="B314" s="1" t="s">
        <v>1783</v>
      </c>
      <c r="C314" s="1">
        <v>52</v>
      </c>
      <c r="D314" s="1" t="s">
        <v>1784</v>
      </c>
      <c r="E314" s="1" t="s">
        <v>95</v>
      </c>
      <c r="F314" s="2">
        <v>43842</v>
      </c>
      <c r="G314" s="1" t="s">
        <v>180</v>
      </c>
      <c r="H314" s="1">
        <v>0</v>
      </c>
      <c r="I314" s="1" t="s">
        <v>27</v>
      </c>
      <c r="J314" s="2">
        <v>45055</v>
      </c>
      <c r="K314" s="1" t="s">
        <v>1785</v>
      </c>
      <c r="L314" s="1">
        <v>7</v>
      </c>
      <c r="M314" s="1">
        <v>49</v>
      </c>
      <c r="N314" s="1" t="s">
        <v>45</v>
      </c>
      <c r="O314" s="1" t="s">
        <v>855</v>
      </c>
      <c r="P314" s="1" t="s">
        <v>45</v>
      </c>
      <c r="Q314" s="1" t="s">
        <v>32</v>
      </c>
      <c r="R314" s="1">
        <v>675.92</v>
      </c>
      <c r="S314" s="1" t="s">
        <v>33</v>
      </c>
      <c r="T314" s="1" t="s">
        <v>47</v>
      </c>
      <c r="U314" s="1" t="s">
        <v>35</v>
      </c>
      <c r="V314" s="1" t="s">
        <v>36</v>
      </c>
    </row>
    <row r="315" spans="1:22" x14ac:dyDescent="0.3">
      <c r="A315" s="1" t="s">
        <v>1786</v>
      </c>
      <c r="B315" s="1" t="s">
        <v>1787</v>
      </c>
      <c r="C315" s="1">
        <v>27</v>
      </c>
      <c r="D315" s="1" t="s">
        <v>1788</v>
      </c>
      <c r="E315" s="1" t="s">
        <v>51</v>
      </c>
      <c r="F315" s="1" t="s">
        <v>1789</v>
      </c>
      <c r="G315" s="1" t="s">
        <v>1790</v>
      </c>
      <c r="H315" s="1">
        <v>4</v>
      </c>
      <c r="I315" s="1" t="s">
        <v>27</v>
      </c>
      <c r="J315" s="1" t="s">
        <v>1791</v>
      </c>
      <c r="K315" s="1" t="s">
        <v>1792</v>
      </c>
      <c r="L315" s="1">
        <v>6</v>
      </c>
      <c r="M315" s="1">
        <v>30</v>
      </c>
      <c r="N315" s="1" t="s">
        <v>56</v>
      </c>
      <c r="O315" s="1" t="s">
        <v>269</v>
      </c>
      <c r="P315" s="1" t="s">
        <v>56</v>
      </c>
      <c r="Q315" s="1" t="s">
        <v>322</v>
      </c>
      <c r="R315" s="1">
        <v>1270.8599999999999</v>
      </c>
      <c r="S315" s="1" t="s">
        <v>33</v>
      </c>
      <c r="T315" s="1" t="s">
        <v>57</v>
      </c>
      <c r="U315" s="1" t="s">
        <v>35</v>
      </c>
      <c r="V315" s="1" t="s">
        <v>188</v>
      </c>
    </row>
    <row r="316" spans="1:22" x14ac:dyDescent="0.3">
      <c r="A316" s="1" t="s">
        <v>1793</v>
      </c>
      <c r="B316" s="1" t="s">
        <v>1794</v>
      </c>
      <c r="C316" s="1">
        <v>32</v>
      </c>
      <c r="D316" s="1" t="s">
        <v>1795</v>
      </c>
      <c r="E316" s="1" t="s">
        <v>25</v>
      </c>
      <c r="F316" s="2">
        <v>44409</v>
      </c>
      <c r="G316" s="2">
        <v>45718</v>
      </c>
      <c r="H316" s="1">
        <v>1</v>
      </c>
      <c r="I316" s="1" t="s">
        <v>27</v>
      </c>
      <c r="J316" s="1" t="s">
        <v>1796</v>
      </c>
      <c r="K316" s="1" t="s">
        <v>1797</v>
      </c>
      <c r="L316" s="1">
        <v>5</v>
      </c>
      <c r="M316" s="1">
        <v>15</v>
      </c>
      <c r="N316" s="1" t="s">
        <v>56</v>
      </c>
      <c r="O316" s="1" t="s">
        <v>77</v>
      </c>
      <c r="P316" s="1" t="s">
        <v>54</v>
      </c>
      <c r="Q316" s="1" t="s">
        <v>69</v>
      </c>
      <c r="R316" s="1">
        <v>1138.3499999999999</v>
      </c>
      <c r="S316" s="1" t="s">
        <v>46</v>
      </c>
      <c r="T316" s="1" t="s">
        <v>57</v>
      </c>
      <c r="U316" s="1" t="s">
        <v>35</v>
      </c>
      <c r="V316" s="1" t="s">
        <v>36</v>
      </c>
    </row>
    <row r="317" spans="1:22" x14ac:dyDescent="0.3">
      <c r="A317" s="1" t="s">
        <v>1798</v>
      </c>
      <c r="B317" s="1" t="s">
        <v>1799</v>
      </c>
      <c r="C317" s="1">
        <v>55</v>
      </c>
      <c r="D317" s="1" t="s">
        <v>1800</v>
      </c>
      <c r="E317" s="1" t="s">
        <v>51</v>
      </c>
      <c r="F317" s="2">
        <v>44235</v>
      </c>
      <c r="G317" s="1" t="s">
        <v>1801</v>
      </c>
      <c r="H317" s="1">
        <v>5</v>
      </c>
      <c r="I317" s="1" t="s">
        <v>52</v>
      </c>
      <c r="J317" s="1" t="s">
        <v>1210</v>
      </c>
      <c r="K317" s="1" t="s">
        <v>1802</v>
      </c>
      <c r="L317" s="1">
        <v>3</v>
      </c>
      <c r="M317" s="1">
        <v>49</v>
      </c>
      <c r="N317" s="1" t="s">
        <v>56</v>
      </c>
      <c r="O317" s="1" t="s">
        <v>142</v>
      </c>
      <c r="P317" s="1" t="s">
        <v>68</v>
      </c>
      <c r="Q317" s="1" t="s">
        <v>69</v>
      </c>
      <c r="R317" s="1">
        <v>196.08</v>
      </c>
      <c r="S317" s="1" t="s">
        <v>46</v>
      </c>
      <c r="T317" s="1" t="s">
        <v>47</v>
      </c>
      <c r="U317" s="1" t="s">
        <v>35</v>
      </c>
      <c r="V317" s="1" t="s">
        <v>36</v>
      </c>
    </row>
    <row r="318" spans="1:22" x14ac:dyDescent="0.3">
      <c r="A318" s="1" t="s">
        <v>1803</v>
      </c>
      <c r="B318" s="1" t="s">
        <v>1804</v>
      </c>
      <c r="C318" s="1">
        <v>37</v>
      </c>
      <c r="D318" s="1" t="s">
        <v>1805</v>
      </c>
      <c r="E318" s="1" t="s">
        <v>25</v>
      </c>
      <c r="F318" s="2">
        <v>44595</v>
      </c>
      <c r="G318" s="1" t="s">
        <v>1806</v>
      </c>
      <c r="H318" s="1">
        <v>2</v>
      </c>
      <c r="I318" s="1" t="s">
        <v>52</v>
      </c>
      <c r="J318" s="1" t="s">
        <v>968</v>
      </c>
      <c r="K318" s="1" t="s">
        <v>1807</v>
      </c>
      <c r="L318" s="1">
        <v>6</v>
      </c>
      <c r="M318" s="1">
        <v>32</v>
      </c>
      <c r="N318" s="1" t="s">
        <v>30</v>
      </c>
      <c r="O318" s="1" t="s">
        <v>109</v>
      </c>
      <c r="P318" s="1" t="s">
        <v>68</v>
      </c>
      <c r="Q318" s="1" t="s">
        <v>32</v>
      </c>
      <c r="R318" s="1">
        <v>306.12</v>
      </c>
      <c r="S318" s="1" t="s">
        <v>46</v>
      </c>
      <c r="T318" s="1" t="s">
        <v>34</v>
      </c>
      <c r="U318" s="1" t="s">
        <v>35</v>
      </c>
      <c r="V318" s="1" t="s">
        <v>36</v>
      </c>
    </row>
    <row r="319" spans="1:22" x14ac:dyDescent="0.3">
      <c r="A319" s="1" t="s">
        <v>1808</v>
      </c>
      <c r="B319" s="1" t="s">
        <v>1809</v>
      </c>
      <c r="C319" s="1">
        <v>19</v>
      </c>
      <c r="D319" s="1" t="s">
        <v>1810</v>
      </c>
      <c r="E319" s="1" t="s">
        <v>88</v>
      </c>
      <c r="F319" s="2">
        <v>45143</v>
      </c>
      <c r="G319" s="1" t="s">
        <v>1811</v>
      </c>
      <c r="H319" s="1">
        <v>4</v>
      </c>
      <c r="I319" s="1" t="s">
        <v>27</v>
      </c>
      <c r="J319" s="1" t="s">
        <v>1812</v>
      </c>
      <c r="K319" s="1" t="s">
        <v>1813</v>
      </c>
      <c r="L319" s="1">
        <v>2</v>
      </c>
      <c r="M319" s="1">
        <v>6</v>
      </c>
      <c r="N319" s="1" t="s">
        <v>30</v>
      </c>
      <c r="O319" s="1" t="s">
        <v>293</v>
      </c>
      <c r="P319" s="1" t="s">
        <v>45</v>
      </c>
      <c r="Q319" s="1" t="s">
        <v>32</v>
      </c>
      <c r="R319" s="1">
        <v>924.6</v>
      </c>
      <c r="S319" s="1" t="s">
        <v>46</v>
      </c>
      <c r="T319" s="1" t="s">
        <v>100</v>
      </c>
      <c r="U319" s="1" t="s">
        <v>35</v>
      </c>
      <c r="V319" s="1" t="s">
        <v>188</v>
      </c>
    </row>
    <row r="320" spans="1:22" x14ac:dyDescent="0.3">
      <c r="A320" s="1" t="s">
        <v>1814</v>
      </c>
      <c r="B320" s="1" t="s">
        <v>1815</v>
      </c>
      <c r="C320" s="1">
        <v>59</v>
      </c>
      <c r="D320" s="1" t="s">
        <v>1816</v>
      </c>
      <c r="E320" s="1" t="s">
        <v>40</v>
      </c>
      <c r="F320" s="2">
        <v>44877</v>
      </c>
      <c r="G320" s="2">
        <v>45181</v>
      </c>
      <c r="H320" s="1">
        <v>1</v>
      </c>
      <c r="I320" s="1" t="s">
        <v>52</v>
      </c>
      <c r="J320" s="1" t="s">
        <v>1288</v>
      </c>
      <c r="K320" s="1" t="s">
        <v>1817</v>
      </c>
      <c r="L320" s="1">
        <v>9</v>
      </c>
      <c r="M320" s="1">
        <v>48</v>
      </c>
      <c r="N320" s="1" t="s">
        <v>30</v>
      </c>
      <c r="O320" s="1" t="s">
        <v>142</v>
      </c>
      <c r="P320" s="1" t="s">
        <v>68</v>
      </c>
      <c r="Q320" s="1" t="s">
        <v>32</v>
      </c>
      <c r="R320" s="1">
        <v>1138.1400000000001</v>
      </c>
      <c r="S320" s="1" t="s">
        <v>46</v>
      </c>
      <c r="T320" s="1" t="s">
        <v>47</v>
      </c>
      <c r="U320" s="1" t="s">
        <v>35</v>
      </c>
      <c r="V320" s="1" t="s">
        <v>36</v>
      </c>
    </row>
    <row r="321" spans="1:22" x14ac:dyDescent="0.3">
      <c r="A321" s="1" t="s">
        <v>1818</v>
      </c>
      <c r="B321" s="1" t="s">
        <v>1819</v>
      </c>
      <c r="C321" s="1">
        <v>67</v>
      </c>
      <c r="D321" s="1" t="s">
        <v>1820</v>
      </c>
      <c r="E321" s="1" t="s">
        <v>61</v>
      </c>
      <c r="F321" s="1" t="s">
        <v>1298</v>
      </c>
      <c r="G321" s="1" t="s">
        <v>1821</v>
      </c>
      <c r="H321" s="1">
        <v>4</v>
      </c>
      <c r="I321" s="1" t="s">
        <v>52</v>
      </c>
      <c r="J321" s="1" t="s">
        <v>180</v>
      </c>
      <c r="K321" s="1" t="s">
        <v>1822</v>
      </c>
      <c r="L321" s="1">
        <v>5</v>
      </c>
      <c r="M321" s="1">
        <v>32</v>
      </c>
      <c r="N321" s="1" t="s">
        <v>30</v>
      </c>
      <c r="O321" s="1" t="s">
        <v>604</v>
      </c>
      <c r="P321" s="1" t="s">
        <v>45</v>
      </c>
      <c r="Q321" s="1" t="s">
        <v>69</v>
      </c>
      <c r="R321" s="1">
        <v>326</v>
      </c>
      <c r="S321" s="1" t="s">
        <v>46</v>
      </c>
      <c r="T321" s="1" t="s">
        <v>232</v>
      </c>
      <c r="U321" s="1" t="s">
        <v>35</v>
      </c>
      <c r="V321" s="1" t="s">
        <v>36</v>
      </c>
    </row>
    <row r="322" spans="1:22" x14ac:dyDescent="0.3">
      <c r="A322" s="1" t="s">
        <v>1823</v>
      </c>
      <c r="B322" s="1" t="s">
        <v>1824</v>
      </c>
      <c r="C322" s="1">
        <v>31</v>
      </c>
      <c r="D322" s="1" t="s">
        <v>1825</v>
      </c>
      <c r="E322" s="1" t="s">
        <v>88</v>
      </c>
      <c r="F322" s="2">
        <v>45110</v>
      </c>
      <c r="G322" s="1" t="s">
        <v>1826</v>
      </c>
      <c r="H322" s="1">
        <v>2</v>
      </c>
      <c r="I322" s="1" t="s">
        <v>64</v>
      </c>
      <c r="J322" s="1" t="s">
        <v>1827</v>
      </c>
      <c r="K322" s="1" t="s">
        <v>1828</v>
      </c>
      <c r="L322" s="1">
        <v>4</v>
      </c>
      <c r="M322" s="1">
        <v>46</v>
      </c>
      <c r="N322" s="1" t="s">
        <v>56</v>
      </c>
      <c r="O322" s="1" t="s">
        <v>169</v>
      </c>
      <c r="P322" s="1" t="s">
        <v>30</v>
      </c>
      <c r="Q322" s="1" t="s">
        <v>32</v>
      </c>
      <c r="R322" s="1">
        <v>466.56</v>
      </c>
      <c r="S322" s="1" t="s">
        <v>46</v>
      </c>
      <c r="T322" s="1" t="s">
        <v>57</v>
      </c>
      <c r="U322" s="1" t="s">
        <v>35</v>
      </c>
      <c r="V322" s="1" t="s">
        <v>71</v>
      </c>
    </row>
    <row r="323" spans="1:22" x14ac:dyDescent="0.3">
      <c r="A323" s="1" t="s">
        <v>1829</v>
      </c>
      <c r="B323" s="1" t="s">
        <v>1830</v>
      </c>
      <c r="C323" s="1">
        <v>19</v>
      </c>
      <c r="D323" s="1" t="s">
        <v>1831</v>
      </c>
      <c r="E323" s="1" t="s">
        <v>40</v>
      </c>
      <c r="F323" s="2">
        <v>45111</v>
      </c>
      <c r="G323" s="2">
        <v>45422</v>
      </c>
      <c r="H323" s="1">
        <v>0</v>
      </c>
      <c r="I323" s="1" t="s">
        <v>27</v>
      </c>
      <c r="J323" s="2">
        <v>44938</v>
      </c>
      <c r="K323" s="1" t="s">
        <v>1832</v>
      </c>
      <c r="L323" s="1">
        <v>6</v>
      </c>
      <c r="M323" s="1">
        <v>23</v>
      </c>
      <c r="N323" s="1" t="s">
        <v>54</v>
      </c>
      <c r="O323" s="1" t="s">
        <v>855</v>
      </c>
      <c r="P323" s="1" t="s">
        <v>45</v>
      </c>
      <c r="Q323" s="1" t="s">
        <v>69</v>
      </c>
      <c r="R323" s="1">
        <v>843.78</v>
      </c>
      <c r="S323" s="1" t="s">
        <v>46</v>
      </c>
      <c r="T323" s="1" t="s">
        <v>100</v>
      </c>
      <c r="U323" s="1" t="s">
        <v>35</v>
      </c>
      <c r="V323" s="1" t="s">
        <v>36</v>
      </c>
    </row>
    <row r="324" spans="1:22" x14ac:dyDescent="0.3">
      <c r="A324" s="1" t="s">
        <v>1833</v>
      </c>
      <c r="B324" s="1" t="s">
        <v>1834</v>
      </c>
      <c r="C324" s="1">
        <v>41</v>
      </c>
      <c r="D324" s="1" t="s">
        <v>1835</v>
      </c>
      <c r="E324" s="1" t="s">
        <v>61</v>
      </c>
      <c r="F324" s="1" t="s">
        <v>1836</v>
      </c>
      <c r="G324" s="2">
        <v>44663</v>
      </c>
      <c r="H324" s="1">
        <v>5</v>
      </c>
      <c r="I324" s="1" t="s">
        <v>52</v>
      </c>
      <c r="J324" s="2">
        <v>45720</v>
      </c>
      <c r="K324" s="1" t="s">
        <v>1837</v>
      </c>
      <c r="L324" s="1">
        <v>4</v>
      </c>
      <c r="M324" s="1">
        <v>49</v>
      </c>
      <c r="N324" s="1" t="s">
        <v>56</v>
      </c>
      <c r="O324" s="1" t="s">
        <v>366</v>
      </c>
      <c r="P324" s="1" t="s">
        <v>54</v>
      </c>
      <c r="Q324" s="1" t="s">
        <v>32</v>
      </c>
      <c r="R324" s="1">
        <v>610.12</v>
      </c>
      <c r="S324" s="1" t="s">
        <v>46</v>
      </c>
      <c r="T324" s="1" t="s">
        <v>34</v>
      </c>
      <c r="U324" s="1" t="s">
        <v>35</v>
      </c>
      <c r="V324" s="1" t="s">
        <v>36</v>
      </c>
    </row>
    <row r="325" spans="1:22" x14ac:dyDescent="0.3">
      <c r="A325" s="1" t="s">
        <v>1838</v>
      </c>
      <c r="B325" s="1" t="s">
        <v>1839</v>
      </c>
      <c r="C325" s="1">
        <v>59</v>
      </c>
      <c r="D325" s="1" t="s">
        <v>1840</v>
      </c>
      <c r="E325" s="1" t="s">
        <v>51</v>
      </c>
      <c r="F325" s="1" t="s">
        <v>1841</v>
      </c>
      <c r="G325" s="1" t="s">
        <v>1737</v>
      </c>
      <c r="H325" s="1">
        <v>3</v>
      </c>
      <c r="I325" s="1" t="s">
        <v>27</v>
      </c>
      <c r="J325" s="1" t="s">
        <v>1842</v>
      </c>
      <c r="K325" s="1" t="s">
        <v>1843</v>
      </c>
      <c r="L325" s="1">
        <v>7</v>
      </c>
      <c r="M325" s="1">
        <v>46</v>
      </c>
      <c r="N325" s="1" t="s">
        <v>45</v>
      </c>
      <c r="O325" s="1" t="s">
        <v>122</v>
      </c>
      <c r="P325" s="1" t="s">
        <v>30</v>
      </c>
      <c r="Q325" s="1" t="s">
        <v>32</v>
      </c>
      <c r="R325" s="1">
        <v>1998.08</v>
      </c>
      <c r="S325" s="1" t="s">
        <v>46</v>
      </c>
      <c r="T325" s="1" t="s">
        <v>47</v>
      </c>
      <c r="U325" s="1" t="s">
        <v>35</v>
      </c>
      <c r="V325" s="1" t="s">
        <v>36</v>
      </c>
    </row>
    <row r="326" spans="1:22" x14ac:dyDescent="0.3">
      <c r="A326" s="1" t="s">
        <v>1844</v>
      </c>
      <c r="B326" s="1" t="s">
        <v>1845</v>
      </c>
      <c r="C326" s="1">
        <v>61</v>
      </c>
      <c r="D326" s="1" t="s">
        <v>1846</v>
      </c>
      <c r="E326" s="1" t="s">
        <v>61</v>
      </c>
      <c r="F326" s="1" t="s">
        <v>1847</v>
      </c>
      <c r="G326" s="1" t="s">
        <v>1298</v>
      </c>
      <c r="H326" s="1">
        <v>5</v>
      </c>
      <c r="I326" s="1" t="s">
        <v>27</v>
      </c>
      <c r="J326" s="2">
        <v>45597</v>
      </c>
      <c r="K326" s="1" t="s">
        <v>1848</v>
      </c>
      <c r="L326" s="1">
        <v>3</v>
      </c>
      <c r="M326" s="1">
        <v>29</v>
      </c>
      <c r="N326" s="1" t="s">
        <v>68</v>
      </c>
      <c r="O326" s="1" t="s">
        <v>142</v>
      </c>
      <c r="P326" s="1" t="s">
        <v>68</v>
      </c>
      <c r="Q326" s="1" t="s">
        <v>69</v>
      </c>
      <c r="R326" s="1">
        <v>408.9</v>
      </c>
      <c r="S326" s="1" t="s">
        <v>33</v>
      </c>
      <c r="T326" s="1" t="s">
        <v>47</v>
      </c>
      <c r="U326" s="1" t="s">
        <v>35</v>
      </c>
      <c r="V326" s="1" t="s">
        <v>188</v>
      </c>
    </row>
    <row r="327" spans="1:22" x14ac:dyDescent="0.3">
      <c r="A327" s="1" t="s">
        <v>1849</v>
      </c>
      <c r="B327" s="1" t="s">
        <v>1850</v>
      </c>
      <c r="C327" s="1">
        <v>46</v>
      </c>
      <c r="D327" s="1" t="s">
        <v>1851</v>
      </c>
      <c r="E327" s="1" t="s">
        <v>25</v>
      </c>
      <c r="F327" s="2">
        <v>44113</v>
      </c>
      <c r="G327" s="2">
        <v>45301</v>
      </c>
      <c r="H327" s="1">
        <v>4</v>
      </c>
      <c r="I327" s="1" t="s">
        <v>52</v>
      </c>
      <c r="J327" s="1" t="s">
        <v>1852</v>
      </c>
      <c r="K327" s="1" t="s">
        <v>1853</v>
      </c>
      <c r="L327" s="1">
        <v>2</v>
      </c>
      <c r="M327" s="1">
        <v>39</v>
      </c>
      <c r="N327" s="1" t="s">
        <v>56</v>
      </c>
      <c r="O327" s="1" t="s">
        <v>373</v>
      </c>
      <c r="P327" s="1" t="s">
        <v>54</v>
      </c>
      <c r="Q327" s="1" t="s">
        <v>322</v>
      </c>
      <c r="R327" s="1">
        <v>1113.4000000000001</v>
      </c>
      <c r="S327" s="1" t="s">
        <v>46</v>
      </c>
      <c r="T327" s="1" t="s">
        <v>34</v>
      </c>
      <c r="U327" s="1" t="s">
        <v>35</v>
      </c>
      <c r="V327" s="1" t="s">
        <v>36</v>
      </c>
    </row>
    <row r="328" spans="1:22" x14ac:dyDescent="0.3">
      <c r="A328" s="1" t="s">
        <v>1854</v>
      </c>
      <c r="B328" s="1" t="s">
        <v>1855</v>
      </c>
      <c r="C328" s="1">
        <v>19</v>
      </c>
      <c r="D328" s="1" t="s">
        <v>1856</v>
      </c>
      <c r="E328" s="1" t="s">
        <v>95</v>
      </c>
      <c r="F328" s="2">
        <v>44510</v>
      </c>
      <c r="G328" s="1" t="s">
        <v>1553</v>
      </c>
      <c r="H328" s="1">
        <v>2</v>
      </c>
      <c r="I328" s="1" t="s">
        <v>27</v>
      </c>
      <c r="J328" s="2">
        <v>45360</v>
      </c>
      <c r="K328" s="1" t="s">
        <v>1857</v>
      </c>
      <c r="L328" s="1">
        <v>6</v>
      </c>
      <c r="M328" s="1">
        <v>39</v>
      </c>
      <c r="N328" s="1" t="s">
        <v>54</v>
      </c>
      <c r="O328" s="1" t="s">
        <v>418</v>
      </c>
      <c r="P328" s="1" t="s">
        <v>56</v>
      </c>
      <c r="Q328" s="1" t="s">
        <v>32</v>
      </c>
      <c r="R328" s="1">
        <v>1387.5</v>
      </c>
      <c r="S328" s="1" t="s">
        <v>46</v>
      </c>
      <c r="T328" s="1" t="s">
        <v>100</v>
      </c>
      <c r="U328" s="1" t="s">
        <v>35</v>
      </c>
      <c r="V328" s="1" t="s">
        <v>36</v>
      </c>
    </row>
    <row r="329" spans="1:22" x14ac:dyDescent="0.3">
      <c r="A329" s="1" t="s">
        <v>1858</v>
      </c>
      <c r="B329" s="1" t="s">
        <v>1859</v>
      </c>
      <c r="C329" s="1">
        <v>44</v>
      </c>
      <c r="D329" s="1" t="s">
        <v>1860</v>
      </c>
      <c r="E329" s="1" t="s">
        <v>51</v>
      </c>
      <c r="F329" s="2">
        <v>44238</v>
      </c>
      <c r="G329" s="1" t="s">
        <v>1861</v>
      </c>
      <c r="H329" s="1">
        <v>4</v>
      </c>
      <c r="I329" s="1" t="s">
        <v>27</v>
      </c>
      <c r="J329" s="1" t="s">
        <v>1862</v>
      </c>
      <c r="K329" s="1" t="s">
        <v>1863</v>
      </c>
      <c r="L329" s="1">
        <v>6</v>
      </c>
      <c r="M329" s="1">
        <v>15</v>
      </c>
      <c r="N329" s="1" t="s">
        <v>30</v>
      </c>
      <c r="O329" s="1" t="s">
        <v>821</v>
      </c>
      <c r="P329" s="1" t="s">
        <v>68</v>
      </c>
      <c r="Q329" s="1" t="s">
        <v>32</v>
      </c>
      <c r="R329" s="1">
        <v>630.29999999999995</v>
      </c>
      <c r="S329" s="1" t="s">
        <v>46</v>
      </c>
      <c r="T329" s="1" t="s">
        <v>34</v>
      </c>
      <c r="U329" s="1" t="s">
        <v>35</v>
      </c>
      <c r="V329" s="1" t="s">
        <v>188</v>
      </c>
    </row>
    <row r="330" spans="1:22" x14ac:dyDescent="0.3">
      <c r="A330" s="1" t="s">
        <v>1864</v>
      </c>
      <c r="B330" s="1" t="s">
        <v>1865</v>
      </c>
      <c r="C330" s="1">
        <v>64</v>
      </c>
      <c r="D330" s="1" t="s">
        <v>1866</v>
      </c>
      <c r="E330" s="1" t="s">
        <v>51</v>
      </c>
      <c r="F330" s="1" t="s">
        <v>1867</v>
      </c>
      <c r="G330" s="1" t="s">
        <v>1868</v>
      </c>
      <c r="H330" s="1">
        <v>1</v>
      </c>
      <c r="I330" s="1" t="s">
        <v>27</v>
      </c>
      <c r="J330" s="1" t="s">
        <v>82</v>
      </c>
      <c r="K330" s="1" t="s">
        <v>1869</v>
      </c>
      <c r="L330" s="1">
        <v>5</v>
      </c>
      <c r="M330" s="1">
        <v>49</v>
      </c>
      <c r="N330" s="1" t="s">
        <v>45</v>
      </c>
      <c r="O330" s="1" t="s">
        <v>77</v>
      </c>
      <c r="P330" s="1" t="s">
        <v>54</v>
      </c>
      <c r="Q330" s="1" t="s">
        <v>69</v>
      </c>
      <c r="R330" s="1">
        <v>58.65</v>
      </c>
      <c r="S330" s="1" t="s">
        <v>46</v>
      </c>
      <c r="T330" s="1" t="s">
        <v>47</v>
      </c>
      <c r="U330" s="1" t="s">
        <v>35</v>
      </c>
      <c r="V330" s="1" t="s">
        <v>36</v>
      </c>
    </row>
    <row r="331" spans="1:22" x14ac:dyDescent="0.3">
      <c r="A331" s="1" t="s">
        <v>1870</v>
      </c>
      <c r="B331" s="1" t="s">
        <v>1871</v>
      </c>
      <c r="C331" s="1">
        <v>66</v>
      </c>
      <c r="D331" s="1" t="s">
        <v>1872</v>
      </c>
      <c r="E331" s="1" t="s">
        <v>61</v>
      </c>
      <c r="F331" s="2">
        <v>44539</v>
      </c>
      <c r="G331" s="1" t="s">
        <v>1873</v>
      </c>
      <c r="H331" s="1">
        <v>0</v>
      </c>
      <c r="I331" s="1" t="s">
        <v>27</v>
      </c>
      <c r="J331" s="1" t="s">
        <v>1874</v>
      </c>
      <c r="K331" s="1" t="s">
        <v>1875</v>
      </c>
      <c r="L331" s="1">
        <v>8</v>
      </c>
      <c r="M331" s="1">
        <v>9</v>
      </c>
      <c r="N331" s="1" t="s">
        <v>54</v>
      </c>
      <c r="O331" s="1" t="s">
        <v>251</v>
      </c>
      <c r="P331" s="1" t="s">
        <v>30</v>
      </c>
      <c r="Q331" s="1" t="s">
        <v>32</v>
      </c>
      <c r="R331" s="1">
        <v>1844.88</v>
      </c>
      <c r="S331" s="1" t="s">
        <v>46</v>
      </c>
      <c r="T331" s="1" t="s">
        <v>232</v>
      </c>
      <c r="U331" s="1" t="s">
        <v>35</v>
      </c>
      <c r="V331" s="1" t="s">
        <v>36</v>
      </c>
    </row>
    <row r="332" spans="1:22" x14ac:dyDescent="0.3">
      <c r="A332" s="1" t="s">
        <v>1876</v>
      </c>
      <c r="B332" s="1" t="s">
        <v>1877</v>
      </c>
      <c r="C332" s="1">
        <v>60</v>
      </c>
      <c r="D332" s="1" t="s">
        <v>1878</v>
      </c>
      <c r="E332" s="1" t="s">
        <v>88</v>
      </c>
      <c r="F332" s="2">
        <v>44420</v>
      </c>
      <c r="G332" s="2">
        <v>45142</v>
      </c>
      <c r="H332" s="1">
        <v>2</v>
      </c>
      <c r="I332" s="1" t="s">
        <v>27</v>
      </c>
      <c r="J332" s="1" t="s">
        <v>1879</v>
      </c>
      <c r="K332" s="1" t="s">
        <v>1880</v>
      </c>
      <c r="L332" s="1">
        <v>8</v>
      </c>
      <c r="M332" s="1">
        <v>13</v>
      </c>
      <c r="N332" s="1" t="s">
        <v>45</v>
      </c>
      <c r="O332" s="1" t="s">
        <v>91</v>
      </c>
      <c r="P332" s="1" t="s">
        <v>54</v>
      </c>
      <c r="Q332" s="1" t="s">
        <v>32</v>
      </c>
      <c r="R332" s="1">
        <v>1505.84</v>
      </c>
      <c r="S332" s="1" t="s">
        <v>46</v>
      </c>
      <c r="T332" s="1" t="s">
        <v>47</v>
      </c>
      <c r="U332" s="1" t="s">
        <v>35</v>
      </c>
      <c r="V332" s="1" t="s">
        <v>36</v>
      </c>
    </row>
    <row r="333" spans="1:22" x14ac:dyDescent="0.3">
      <c r="A333" s="1" t="s">
        <v>1881</v>
      </c>
      <c r="B333" s="1" t="s">
        <v>1882</v>
      </c>
      <c r="C333" s="1">
        <v>36</v>
      </c>
      <c r="D333" s="1" t="s">
        <v>1883</v>
      </c>
      <c r="E333" s="1" t="s">
        <v>25</v>
      </c>
      <c r="F333" s="1" t="s">
        <v>646</v>
      </c>
      <c r="G333" s="1" t="s">
        <v>1884</v>
      </c>
      <c r="H333" s="1">
        <v>0</v>
      </c>
      <c r="I333" s="1" t="s">
        <v>27</v>
      </c>
      <c r="J333" s="2">
        <v>45547</v>
      </c>
      <c r="K333" s="1" t="s">
        <v>1885</v>
      </c>
      <c r="L333" s="1">
        <v>6</v>
      </c>
      <c r="M333" s="1">
        <v>27</v>
      </c>
      <c r="N333" s="1" t="s">
        <v>56</v>
      </c>
      <c r="O333" s="1" t="s">
        <v>135</v>
      </c>
      <c r="P333" s="1" t="s">
        <v>45</v>
      </c>
      <c r="Q333" s="1" t="s">
        <v>32</v>
      </c>
      <c r="R333" s="1">
        <v>171.9</v>
      </c>
      <c r="S333" s="1" t="s">
        <v>46</v>
      </c>
      <c r="T333" s="1" t="s">
        <v>34</v>
      </c>
      <c r="U333" s="1" t="s">
        <v>35</v>
      </c>
      <c r="V333" s="1" t="s">
        <v>36</v>
      </c>
    </row>
    <row r="334" spans="1:22" x14ac:dyDescent="0.3">
      <c r="A334" s="1" t="s">
        <v>1886</v>
      </c>
      <c r="B334" s="1" t="s">
        <v>1887</v>
      </c>
      <c r="C334" s="1">
        <v>49</v>
      </c>
      <c r="D334" s="1" t="s">
        <v>1888</v>
      </c>
      <c r="E334" s="1" t="s">
        <v>25</v>
      </c>
      <c r="F334" s="2">
        <v>44842</v>
      </c>
      <c r="G334" s="2">
        <v>45516</v>
      </c>
      <c r="H334" s="1">
        <v>2</v>
      </c>
      <c r="I334" s="1" t="s">
        <v>27</v>
      </c>
      <c r="J334" s="1" t="s">
        <v>1889</v>
      </c>
      <c r="K334" s="1" t="s">
        <v>1890</v>
      </c>
      <c r="L334" s="1">
        <v>8</v>
      </c>
      <c r="M334" s="1">
        <v>2</v>
      </c>
      <c r="N334" s="1" t="s">
        <v>45</v>
      </c>
      <c r="O334" s="1" t="s">
        <v>77</v>
      </c>
      <c r="P334" s="1" t="s">
        <v>54</v>
      </c>
      <c r="Q334" s="1" t="s">
        <v>69</v>
      </c>
      <c r="R334" s="1">
        <v>1403.36</v>
      </c>
      <c r="S334" s="1" t="s">
        <v>46</v>
      </c>
      <c r="T334" s="1" t="s">
        <v>34</v>
      </c>
      <c r="U334" s="1" t="s">
        <v>35</v>
      </c>
      <c r="V334" s="1" t="s">
        <v>36</v>
      </c>
    </row>
    <row r="335" spans="1:22" x14ac:dyDescent="0.3">
      <c r="A335" s="1" t="s">
        <v>1891</v>
      </c>
      <c r="B335" s="1" t="s">
        <v>1892</v>
      </c>
      <c r="C335" s="1">
        <v>45</v>
      </c>
      <c r="D335" s="1" t="s">
        <v>1893</v>
      </c>
      <c r="E335" s="1" t="s">
        <v>51</v>
      </c>
      <c r="F335" s="2">
        <v>45237</v>
      </c>
      <c r="G335" s="1" t="s">
        <v>1894</v>
      </c>
      <c r="H335" s="1">
        <v>4</v>
      </c>
      <c r="I335" s="1" t="s">
        <v>27</v>
      </c>
      <c r="J335" s="1" t="s">
        <v>1298</v>
      </c>
      <c r="K335" s="1" t="s">
        <v>1895</v>
      </c>
      <c r="L335" s="1">
        <v>8</v>
      </c>
      <c r="M335" s="1">
        <v>25</v>
      </c>
      <c r="N335" s="1" t="s">
        <v>68</v>
      </c>
      <c r="O335" s="1" t="s">
        <v>536</v>
      </c>
      <c r="P335" s="1" t="s">
        <v>68</v>
      </c>
      <c r="Q335" s="1" t="s">
        <v>32</v>
      </c>
      <c r="R335" s="1">
        <v>1440.72</v>
      </c>
      <c r="S335" s="1" t="s">
        <v>33</v>
      </c>
      <c r="T335" s="1" t="s">
        <v>34</v>
      </c>
      <c r="U335" s="1" t="s">
        <v>35</v>
      </c>
      <c r="V335" s="1" t="s">
        <v>188</v>
      </c>
    </row>
    <row r="336" spans="1:22" x14ac:dyDescent="0.3">
      <c r="A336" s="1" t="s">
        <v>1896</v>
      </c>
      <c r="B336" s="1" t="s">
        <v>1897</v>
      </c>
      <c r="C336" s="1">
        <v>54</v>
      </c>
      <c r="D336" s="1" t="s">
        <v>1898</v>
      </c>
      <c r="E336" s="1" t="s">
        <v>95</v>
      </c>
      <c r="F336" s="2">
        <v>44410</v>
      </c>
      <c r="G336" s="1" t="s">
        <v>1899</v>
      </c>
      <c r="H336" s="1">
        <v>4</v>
      </c>
      <c r="I336" s="1" t="s">
        <v>27</v>
      </c>
      <c r="J336" s="2">
        <v>45813</v>
      </c>
      <c r="K336" s="1" t="s">
        <v>1900</v>
      </c>
      <c r="L336" s="1">
        <v>7</v>
      </c>
      <c r="M336" s="1">
        <v>47</v>
      </c>
      <c r="N336" s="1" t="s">
        <v>45</v>
      </c>
      <c r="O336" s="1" t="s">
        <v>293</v>
      </c>
      <c r="P336" s="1" t="s">
        <v>45</v>
      </c>
      <c r="Q336" s="1" t="s">
        <v>69</v>
      </c>
      <c r="R336" s="1">
        <v>1993.11</v>
      </c>
      <c r="S336" s="1" t="s">
        <v>33</v>
      </c>
      <c r="T336" s="1" t="s">
        <v>47</v>
      </c>
      <c r="U336" s="1" t="s">
        <v>35</v>
      </c>
      <c r="V336" s="1" t="s">
        <v>188</v>
      </c>
    </row>
    <row r="337" spans="1:22" x14ac:dyDescent="0.3">
      <c r="A337" s="1" t="s">
        <v>1901</v>
      </c>
      <c r="B337" s="1" t="s">
        <v>1902</v>
      </c>
      <c r="C337" s="1">
        <v>22</v>
      </c>
      <c r="D337" s="1" t="s">
        <v>1903</v>
      </c>
      <c r="E337" s="1" t="s">
        <v>88</v>
      </c>
      <c r="F337" s="1" t="s">
        <v>114</v>
      </c>
      <c r="G337" s="1" t="s">
        <v>1375</v>
      </c>
      <c r="H337" s="1">
        <v>0</v>
      </c>
      <c r="I337" s="1" t="s">
        <v>52</v>
      </c>
      <c r="J337" s="2">
        <v>45723</v>
      </c>
      <c r="K337" s="1" t="s">
        <v>1904</v>
      </c>
      <c r="L337" s="1">
        <v>3</v>
      </c>
      <c r="M337" s="1">
        <v>38</v>
      </c>
      <c r="N337" s="1" t="s">
        <v>30</v>
      </c>
      <c r="O337" s="1" t="s">
        <v>251</v>
      </c>
      <c r="P337" s="1" t="s">
        <v>30</v>
      </c>
      <c r="Q337" s="1" t="s">
        <v>32</v>
      </c>
      <c r="R337" s="1">
        <v>694.29</v>
      </c>
      <c r="S337" s="1" t="s">
        <v>33</v>
      </c>
      <c r="T337" s="1" t="s">
        <v>100</v>
      </c>
      <c r="U337" s="1" t="s">
        <v>35</v>
      </c>
      <c r="V337" s="1" t="s">
        <v>36</v>
      </c>
    </row>
    <row r="338" spans="1:22" x14ac:dyDescent="0.3">
      <c r="A338" s="1" t="s">
        <v>1905</v>
      </c>
      <c r="B338" s="1" t="s">
        <v>1906</v>
      </c>
      <c r="C338" s="1">
        <v>22</v>
      </c>
      <c r="D338" s="1" t="s">
        <v>1907</v>
      </c>
      <c r="E338" s="1" t="s">
        <v>95</v>
      </c>
      <c r="F338" s="1" t="s">
        <v>1908</v>
      </c>
      <c r="G338" s="2">
        <v>45870</v>
      </c>
      <c r="H338" s="1">
        <v>5</v>
      </c>
      <c r="I338" s="1" t="s">
        <v>27</v>
      </c>
      <c r="J338" s="2">
        <v>45116</v>
      </c>
      <c r="K338" s="1" t="s">
        <v>1909</v>
      </c>
      <c r="L338" s="1">
        <v>7</v>
      </c>
      <c r="M338" s="1">
        <v>2</v>
      </c>
      <c r="N338" s="1" t="s">
        <v>56</v>
      </c>
      <c r="O338" s="1" t="s">
        <v>169</v>
      </c>
      <c r="P338" s="1" t="s">
        <v>30</v>
      </c>
      <c r="Q338" s="1" t="s">
        <v>32</v>
      </c>
      <c r="R338" s="1">
        <v>961.03</v>
      </c>
      <c r="S338" s="1" t="s">
        <v>46</v>
      </c>
      <c r="T338" s="1" t="s">
        <v>100</v>
      </c>
      <c r="U338" s="1" t="s">
        <v>101</v>
      </c>
      <c r="V338" s="1" t="s">
        <v>188</v>
      </c>
    </row>
    <row r="339" spans="1:22" x14ac:dyDescent="0.3">
      <c r="A339" s="1" t="s">
        <v>1910</v>
      </c>
      <c r="B339" s="1" t="s">
        <v>1911</v>
      </c>
      <c r="C339" s="1">
        <v>22</v>
      </c>
      <c r="D339" s="1" t="s">
        <v>1912</v>
      </c>
      <c r="E339" s="1" t="s">
        <v>40</v>
      </c>
      <c r="F339" s="1" t="s">
        <v>872</v>
      </c>
      <c r="G339" s="2">
        <v>45394</v>
      </c>
      <c r="H339" s="1">
        <v>0</v>
      </c>
      <c r="I339" s="1" t="s">
        <v>64</v>
      </c>
      <c r="J339" s="1" t="s">
        <v>691</v>
      </c>
      <c r="K339" s="1" t="s">
        <v>1913</v>
      </c>
      <c r="L339" s="1">
        <v>7</v>
      </c>
      <c r="M339" s="1">
        <v>9</v>
      </c>
      <c r="N339" s="1" t="s">
        <v>45</v>
      </c>
      <c r="O339" s="1" t="s">
        <v>269</v>
      </c>
      <c r="P339" s="1" t="s">
        <v>56</v>
      </c>
      <c r="Q339" s="1" t="s">
        <v>32</v>
      </c>
      <c r="R339" s="1">
        <v>1470.07</v>
      </c>
      <c r="S339" s="1" t="s">
        <v>46</v>
      </c>
      <c r="T339" s="1" t="s">
        <v>100</v>
      </c>
      <c r="U339" s="1" t="s">
        <v>35</v>
      </c>
      <c r="V339" s="1" t="s">
        <v>71</v>
      </c>
    </row>
    <row r="340" spans="1:22" x14ac:dyDescent="0.3">
      <c r="A340" s="1" t="s">
        <v>1914</v>
      </c>
      <c r="B340" s="1" t="s">
        <v>1915</v>
      </c>
      <c r="C340" s="1">
        <v>45</v>
      </c>
      <c r="D340" s="1" t="s">
        <v>1916</v>
      </c>
      <c r="E340" s="1" t="s">
        <v>95</v>
      </c>
      <c r="F340" s="1" t="s">
        <v>1917</v>
      </c>
      <c r="G340" s="1" t="s">
        <v>1918</v>
      </c>
      <c r="H340" s="1">
        <v>3</v>
      </c>
      <c r="I340" s="1" t="s">
        <v>64</v>
      </c>
      <c r="J340" s="2">
        <v>45999</v>
      </c>
      <c r="K340" s="1" t="s">
        <v>1919</v>
      </c>
      <c r="L340" s="1">
        <v>4</v>
      </c>
      <c r="M340" s="1">
        <v>16</v>
      </c>
      <c r="N340" s="1" t="s">
        <v>30</v>
      </c>
      <c r="O340" s="1" t="s">
        <v>373</v>
      </c>
      <c r="P340" s="1" t="s">
        <v>54</v>
      </c>
      <c r="Q340" s="1" t="s">
        <v>32</v>
      </c>
      <c r="R340" s="1">
        <v>1395.04</v>
      </c>
      <c r="S340" s="1" t="s">
        <v>46</v>
      </c>
      <c r="T340" s="1" t="s">
        <v>34</v>
      </c>
      <c r="U340" s="1" t="s">
        <v>35</v>
      </c>
      <c r="V340" s="1" t="s">
        <v>71</v>
      </c>
    </row>
    <row r="341" spans="1:22" x14ac:dyDescent="0.3">
      <c r="A341" s="1" t="s">
        <v>1920</v>
      </c>
      <c r="B341" s="1" t="s">
        <v>1921</v>
      </c>
      <c r="C341" s="1">
        <v>40</v>
      </c>
      <c r="D341" s="1" t="s">
        <v>1922</v>
      </c>
      <c r="E341" s="1" t="s">
        <v>95</v>
      </c>
      <c r="F341" s="1" t="s">
        <v>1923</v>
      </c>
      <c r="G341" s="2">
        <v>45210</v>
      </c>
      <c r="H341" s="1">
        <v>2</v>
      </c>
      <c r="I341" s="1" t="s">
        <v>27</v>
      </c>
      <c r="J341" s="1" t="s">
        <v>1924</v>
      </c>
      <c r="K341" s="1" t="s">
        <v>1925</v>
      </c>
      <c r="L341" s="1">
        <v>4</v>
      </c>
      <c r="M341" s="1">
        <v>23</v>
      </c>
      <c r="N341" s="1" t="s">
        <v>45</v>
      </c>
      <c r="O341" s="1" t="s">
        <v>245</v>
      </c>
      <c r="P341" s="1" t="s">
        <v>54</v>
      </c>
      <c r="Q341" s="1" t="s">
        <v>32</v>
      </c>
      <c r="R341" s="1">
        <v>876.84</v>
      </c>
      <c r="S341" s="1" t="s">
        <v>46</v>
      </c>
      <c r="T341" s="1" t="s">
        <v>34</v>
      </c>
      <c r="U341" s="1" t="s">
        <v>35</v>
      </c>
      <c r="V341" s="1" t="s">
        <v>36</v>
      </c>
    </row>
    <row r="342" spans="1:22" x14ac:dyDescent="0.3">
      <c r="A342" s="1" t="s">
        <v>1926</v>
      </c>
      <c r="B342" s="1" t="s">
        <v>1927</v>
      </c>
      <c r="C342" s="1">
        <v>21</v>
      </c>
      <c r="D342" s="1" t="s">
        <v>1928</v>
      </c>
      <c r="E342" s="1" t="s">
        <v>25</v>
      </c>
      <c r="F342" s="1" t="s">
        <v>1216</v>
      </c>
      <c r="G342" s="1" t="s">
        <v>1929</v>
      </c>
      <c r="H342" s="1">
        <v>1</v>
      </c>
      <c r="I342" s="1" t="s">
        <v>27</v>
      </c>
      <c r="J342" s="2">
        <v>45086</v>
      </c>
      <c r="K342" s="1" t="s">
        <v>1930</v>
      </c>
      <c r="L342" s="1">
        <v>7</v>
      </c>
      <c r="M342" s="1">
        <v>27</v>
      </c>
      <c r="N342" s="1" t="s">
        <v>30</v>
      </c>
      <c r="O342" s="1" t="s">
        <v>135</v>
      </c>
      <c r="P342" s="1" t="s">
        <v>45</v>
      </c>
      <c r="Q342" s="1" t="s">
        <v>32</v>
      </c>
      <c r="R342" s="1">
        <v>728.21</v>
      </c>
      <c r="S342" s="1" t="s">
        <v>46</v>
      </c>
      <c r="T342" s="1" t="s">
        <v>100</v>
      </c>
      <c r="U342" s="1" t="s">
        <v>35</v>
      </c>
      <c r="V342" s="1" t="s">
        <v>36</v>
      </c>
    </row>
    <row r="343" spans="1:22" x14ac:dyDescent="0.3">
      <c r="A343" s="1" t="s">
        <v>1931</v>
      </c>
      <c r="B343" s="1" t="s">
        <v>1932</v>
      </c>
      <c r="C343" s="1">
        <v>27</v>
      </c>
      <c r="D343" s="1" t="s">
        <v>1933</v>
      </c>
      <c r="E343" s="1" t="s">
        <v>51</v>
      </c>
      <c r="F343" s="2">
        <v>44418</v>
      </c>
      <c r="G343" s="1" t="s">
        <v>1408</v>
      </c>
      <c r="H343" s="1">
        <v>2</v>
      </c>
      <c r="I343" s="1" t="s">
        <v>27</v>
      </c>
      <c r="J343" s="1" t="s">
        <v>1934</v>
      </c>
      <c r="K343" s="1" t="s">
        <v>1935</v>
      </c>
      <c r="L343" s="1">
        <v>5</v>
      </c>
      <c r="M343" s="1">
        <v>10</v>
      </c>
      <c r="N343" s="1" t="s">
        <v>68</v>
      </c>
      <c r="O343" s="1" t="s">
        <v>157</v>
      </c>
      <c r="P343" s="1" t="s">
        <v>68</v>
      </c>
      <c r="Q343" s="1" t="s">
        <v>69</v>
      </c>
      <c r="R343" s="1">
        <v>1803.7</v>
      </c>
      <c r="S343" s="1" t="s">
        <v>33</v>
      </c>
      <c r="T343" s="1" t="s">
        <v>57</v>
      </c>
      <c r="U343" s="1" t="s">
        <v>35</v>
      </c>
      <c r="V343" s="1" t="s">
        <v>36</v>
      </c>
    </row>
    <row r="344" spans="1:22" x14ac:dyDescent="0.3">
      <c r="A344" s="1" t="s">
        <v>1936</v>
      </c>
      <c r="B344" s="1" t="s">
        <v>1937</v>
      </c>
      <c r="C344" s="1">
        <v>57</v>
      </c>
      <c r="D344" s="1" t="s">
        <v>1938</v>
      </c>
      <c r="E344" s="1" t="s">
        <v>25</v>
      </c>
      <c r="F344" s="2">
        <v>44440</v>
      </c>
      <c r="G344" s="1" t="s">
        <v>1939</v>
      </c>
      <c r="H344" s="1">
        <v>1</v>
      </c>
      <c r="I344" s="1" t="s">
        <v>27</v>
      </c>
      <c r="J344" s="1" t="s">
        <v>1273</v>
      </c>
      <c r="K344" s="1" t="s">
        <v>1940</v>
      </c>
      <c r="L344" s="1">
        <v>8</v>
      </c>
      <c r="M344" s="1">
        <v>44</v>
      </c>
      <c r="N344" s="1" t="s">
        <v>45</v>
      </c>
      <c r="O344" s="1" t="s">
        <v>293</v>
      </c>
      <c r="P344" s="1" t="s">
        <v>45</v>
      </c>
      <c r="Q344" s="1" t="s">
        <v>69</v>
      </c>
      <c r="R344" s="1">
        <v>1664.08</v>
      </c>
      <c r="S344" s="1" t="s">
        <v>33</v>
      </c>
      <c r="T344" s="1" t="s">
        <v>47</v>
      </c>
      <c r="U344" s="1" t="s">
        <v>35</v>
      </c>
      <c r="V344" s="1" t="s">
        <v>36</v>
      </c>
    </row>
    <row r="345" spans="1:22" x14ac:dyDescent="0.3">
      <c r="A345" s="1" t="s">
        <v>1941</v>
      </c>
      <c r="B345" s="1" t="s">
        <v>1942</v>
      </c>
      <c r="C345" s="1">
        <v>59</v>
      </c>
      <c r="D345" s="1" t="s">
        <v>1943</v>
      </c>
      <c r="E345" s="1" t="s">
        <v>25</v>
      </c>
      <c r="F345" s="1" t="s">
        <v>1944</v>
      </c>
      <c r="G345" s="1" t="s">
        <v>62</v>
      </c>
      <c r="H345" s="1">
        <v>5</v>
      </c>
      <c r="I345" s="1" t="s">
        <v>27</v>
      </c>
      <c r="J345" s="2">
        <v>44991</v>
      </c>
      <c r="K345" s="1" t="s">
        <v>1945</v>
      </c>
      <c r="L345" s="1">
        <v>5</v>
      </c>
      <c r="M345" s="1">
        <v>30</v>
      </c>
      <c r="N345" s="1" t="s">
        <v>68</v>
      </c>
      <c r="O345" s="1" t="s">
        <v>116</v>
      </c>
      <c r="P345" s="1" t="s">
        <v>54</v>
      </c>
      <c r="Q345" s="1" t="s">
        <v>69</v>
      </c>
      <c r="R345" s="1">
        <v>1176.8</v>
      </c>
      <c r="S345" s="1" t="s">
        <v>46</v>
      </c>
      <c r="T345" s="1" t="s">
        <v>47</v>
      </c>
      <c r="U345" s="1" t="s">
        <v>35</v>
      </c>
      <c r="V345" s="1" t="s">
        <v>188</v>
      </c>
    </row>
    <row r="346" spans="1:22" x14ac:dyDescent="0.3">
      <c r="A346" s="1" t="s">
        <v>1946</v>
      </c>
      <c r="B346" s="1" t="s">
        <v>1947</v>
      </c>
      <c r="C346" s="1">
        <v>21</v>
      </c>
      <c r="D346" s="1" t="s">
        <v>1948</v>
      </c>
      <c r="E346" s="1" t="s">
        <v>40</v>
      </c>
      <c r="F346" s="1" t="s">
        <v>1949</v>
      </c>
      <c r="G346" s="1" t="s">
        <v>1950</v>
      </c>
      <c r="H346" s="1">
        <v>0</v>
      </c>
      <c r="I346" s="1" t="s">
        <v>27</v>
      </c>
      <c r="J346" s="1" t="s">
        <v>595</v>
      </c>
      <c r="K346" s="1" t="s">
        <v>1951</v>
      </c>
      <c r="L346" s="1">
        <v>7</v>
      </c>
      <c r="M346" s="1">
        <v>37</v>
      </c>
      <c r="N346" s="1" t="s">
        <v>56</v>
      </c>
      <c r="O346" s="1" t="s">
        <v>67</v>
      </c>
      <c r="P346" s="1" t="s">
        <v>68</v>
      </c>
      <c r="Q346" s="1" t="s">
        <v>69</v>
      </c>
      <c r="R346" s="1">
        <v>45.15</v>
      </c>
      <c r="S346" s="1" t="s">
        <v>46</v>
      </c>
      <c r="T346" s="1" t="s">
        <v>100</v>
      </c>
      <c r="U346" s="1" t="s">
        <v>101</v>
      </c>
      <c r="V346" s="1" t="s">
        <v>36</v>
      </c>
    </row>
    <row r="347" spans="1:22" x14ac:dyDescent="0.3">
      <c r="A347" s="1" t="s">
        <v>1952</v>
      </c>
      <c r="B347" s="1" t="s">
        <v>1953</v>
      </c>
      <c r="C347" s="1">
        <v>35</v>
      </c>
      <c r="D347" s="1" t="s">
        <v>1954</v>
      </c>
      <c r="E347" s="1" t="s">
        <v>95</v>
      </c>
      <c r="F347" s="1" t="s">
        <v>1955</v>
      </c>
      <c r="G347" s="2">
        <v>44816</v>
      </c>
      <c r="H347" s="1">
        <v>4</v>
      </c>
      <c r="I347" s="1" t="s">
        <v>27</v>
      </c>
      <c r="J347" s="1" t="s">
        <v>884</v>
      </c>
      <c r="K347" s="1" t="s">
        <v>1956</v>
      </c>
      <c r="L347" s="1">
        <v>2</v>
      </c>
      <c r="M347" s="1">
        <v>15</v>
      </c>
      <c r="N347" s="1" t="s">
        <v>54</v>
      </c>
      <c r="O347" s="1" t="s">
        <v>245</v>
      </c>
      <c r="P347" s="1" t="s">
        <v>54</v>
      </c>
      <c r="Q347" s="1" t="s">
        <v>69</v>
      </c>
      <c r="R347" s="1">
        <v>411.1</v>
      </c>
      <c r="S347" s="1" t="s">
        <v>33</v>
      </c>
      <c r="T347" s="1" t="s">
        <v>34</v>
      </c>
      <c r="U347" s="1" t="s">
        <v>35</v>
      </c>
      <c r="V347" s="1" t="s">
        <v>188</v>
      </c>
    </row>
    <row r="348" spans="1:22" x14ac:dyDescent="0.3">
      <c r="A348" s="1" t="s">
        <v>1957</v>
      </c>
      <c r="B348" s="1" t="s">
        <v>1958</v>
      </c>
      <c r="C348" s="1">
        <v>37</v>
      </c>
      <c r="D348" s="1" t="s">
        <v>1959</v>
      </c>
      <c r="E348" s="1" t="s">
        <v>88</v>
      </c>
      <c r="F348" s="1" t="s">
        <v>980</v>
      </c>
      <c r="G348" s="2">
        <v>44693</v>
      </c>
      <c r="H348" s="1">
        <v>2</v>
      </c>
      <c r="I348" s="1" t="s">
        <v>27</v>
      </c>
      <c r="J348" s="1" t="s">
        <v>1960</v>
      </c>
      <c r="K348" s="1" t="s">
        <v>1961</v>
      </c>
      <c r="L348" s="1">
        <v>1</v>
      </c>
      <c r="M348" s="1">
        <v>7</v>
      </c>
      <c r="N348" s="1" t="s">
        <v>45</v>
      </c>
      <c r="O348" s="1" t="s">
        <v>77</v>
      </c>
      <c r="P348" s="1" t="s">
        <v>54</v>
      </c>
      <c r="Q348" s="1" t="s">
        <v>32</v>
      </c>
      <c r="R348" s="1">
        <v>224.15</v>
      </c>
      <c r="S348" s="1" t="s">
        <v>46</v>
      </c>
      <c r="T348" s="1" t="s">
        <v>34</v>
      </c>
      <c r="U348" s="1" t="s">
        <v>101</v>
      </c>
      <c r="V348" s="1" t="s">
        <v>36</v>
      </c>
    </row>
    <row r="349" spans="1:22" x14ac:dyDescent="0.3">
      <c r="A349" s="1" t="s">
        <v>1962</v>
      </c>
      <c r="B349" s="1" t="s">
        <v>1963</v>
      </c>
      <c r="C349" s="1">
        <v>26</v>
      </c>
      <c r="D349" s="1" t="s">
        <v>1964</v>
      </c>
      <c r="E349" s="1" t="s">
        <v>51</v>
      </c>
      <c r="F349" s="2">
        <v>44175</v>
      </c>
      <c r="G349" s="2">
        <v>45323</v>
      </c>
      <c r="H349" s="1">
        <v>1</v>
      </c>
      <c r="I349" s="1" t="s">
        <v>27</v>
      </c>
      <c r="J349" s="1" t="s">
        <v>1263</v>
      </c>
      <c r="K349" s="1" t="s">
        <v>1965</v>
      </c>
      <c r="L349" s="1">
        <v>2</v>
      </c>
      <c r="M349" s="1">
        <v>4</v>
      </c>
      <c r="N349" s="1" t="s">
        <v>56</v>
      </c>
      <c r="O349" s="1" t="s">
        <v>293</v>
      </c>
      <c r="P349" s="1" t="s">
        <v>45</v>
      </c>
      <c r="Q349" s="1" t="s">
        <v>32</v>
      </c>
      <c r="R349" s="1">
        <v>231.96</v>
      </c>
      <c r="S349" s="1" t="s">
        <v>46</v>
      </c>
      <c r="T349" s="1" t="s">
        <v>57</v>
      </c>
      <c r="U349" s="1" t="s">
        <v>101</v>
      </c>
      <c r="V349" s="1" t="s">
        <v>36</v>
      </c>
    </row>
    <row r="350" spans="1:22" x14ac:dyDescent="0.3">
      <c r="A350" s="1" t="s">
        <v>1966</v>
      </c>
      <c r="B350" s="1" t="s">
        <v>1967</v>
      </c>
      <c r="C350" s="1">
        <v>41</v>
      </c>
      <c r="D350" s="1" t="s">
        <v>1968</v>
      </c>
      <c r="E350" s="1" t="s">
        <v>88</v>
      </c>
      <c r="F350" s="1" t="s">
        <v>1969</v>
      </c>
      <c r="G350" s="1" t="s">
        <v>1970</v>
      </c>
      <c r="H350" s="1">
        <v>0</v>
      </c>
      <c r="I350" s="1" t="s">
        <v>52</v>
      </c>
      <c r="J350" s="1" t="s">
        <v>1971</v>
      </c>
      <c r="K350" s="1" t="s">
        <v>1972</v>
      </c>
      <c r="L350" s="1">
        <v>1</v>
      </c>
      <c r="M350" s="1">
        <v>11</v>
      </c>
      <c r="N350" s="1" t="s">
        <v>30</v>
      </c>
      <c r="O350" s="1" t="s">
        <v>245</v>
      </c>
      <c r="P350" s="1" t="s">
        <v>54</v>
      </c>
      <c r="Q350" s="1" t="s">
        <v>69</v>
      </c>
      <c r="R350" s="1">
        <v>26.33</v>
      </c>
      <c r="S350" s="1" t="s">
        <v>46</v>
      </c>
      <c r="T350" s="1" t="s">
        <v>34</v>
      </c>
      <c r="U350" s="1" t="s">
        <v>70</v>
      </c>
      <c r="V350" s="1" t="s">
        <v>36</v>
      </c>
    </row>
    <row r="351" spans="1:22" x14ac:dyDescent="0.3">
      <c r="A351" s="1" t="s">
        <v>1973</v>
      </c>
      <c r="B351" s="1" t="s">
        <v>1974</v>
      </c>
      <c r="C351" s="1">
        <v>43</v>
      </c>
      <c r="D351" s="1" t="s">
        <v>1975</v>
      </c>
      <c r="E351" s="1" t="s">
        <v>25</v>
      </c>
      <c r="F351" s="2">
        <v>44931</v>
      </c>
      <c r="G351" s="1" t="s">
        <v>1976</v>
      </c>
      <c r="H351" s="1">
        <v>1</v>
      </c>
      <c r="I351" s="1" t="s">
        <v>27</v>
      </c>
      <c r="J351" s="1" t="s">
        <v>1977</v>
      </c>
      <c r="K351" s="1" t="s">
        <v>1978</v>
      </c>
      <c r="L351" s="1">
        <v>6</v>
      </c>
      <c r="M351" s="1">
        <v>8</v>
      </c>
      <c r="N351" s="1" t="s">
        <v>54</v>
      </c>
      <c r="O351" s="1" t="s">
        <v>251</v>
      </c>
      <c r="P351" s="1" t="s">
        <v>30</v>
      </c>
      <c r="Q351" s="1" t="s">
        <v>69</v>
      </c>
      <c r="R351" s="1">
        <v>1033.8</v>
      </c>
      <c r="S351" s="1" t="s">
        <v>46</v>
      </c>
      <c r="T351" s="1" t="s">
        <v>34</v>
      </c>
      <c r="U351" s="1" t="s">
        <v>35</v>
      </c>
      <c r="V351" s="1" t="s">
        <v>36</v>
      </c>
    </row>
    <row r="352" spans="1:22" x14ac:dyDescent="0.3">
      <c r="A352" s="1" t="s">
        <v>1979</v>
      </c>
      <c r="B352" s="1" t="s">
        <v>1980</v>
      </c>
      <c r="C352" s="1">
        <v>61</v>
      </c>
      <c r="D352" s="1" t="s">
        <v>1981</v>
      </c>
      <c r="E352" s="1" t="s">
        <v>95</v>
      </c>
      <c r="F352" s="1" t="s">
        <v>1982</v>
      </c>
      <c r="G352" s="1" t="s">
        <v>1889</v>
      </c>
      <c r="H352" s="1">
        <v>3</v>
      </c>
      <c r="I352" s="1" t="s">
        <v>27</v>
      </c>
      <c r="J352" s="1" t="s">
        <v>1983</v>
      </c>
      <c r="K352" s="1" t="s">
        <v>1984</v>
      </c>
      <c r="L352" s="1">
        <v>5</v>
      </c>
      <c r="M352" s="1">
        <v>36</v>
      </c>
      <c r="N352" s="1" t="s">
        <v>54</v>
      </c>
      <c r="O352" s="1" t="s">
        <v>293</v>
      </c>
      <c r="P352" s="1" t="s">
        <v>45</v>
      </c>
      <c r="Q352" s="1" t="s">
        <v>32</v>
      </c>
      <c r="R352" s="1">
        <v>1871.85</v>
      </c>
      <c r="S352" s="1" t="s">
        <v>46</v>
      </c>
      <c r="T352" s="1" t="s">
        <v>47</v>
      </c>
      <c r="U352" s="1" t="s">
        <v>35</v>
      </c>
      <c r="V352" s="1" t="s">
        <v>36</v>
      </c>
    </row>
    <row r="353" spans="1:22" x14ac:dyDescent="0.3">
      <c r="A353" s="1" t="s">
        <v>1985</v>
      </c>
      <c r="B353" s="1" t="s">
        <v>1986</v>
      </c>
      <c r="C353" s="1">
        <v>51</v>
      </c>
      <c r="D353" s="1" t="s">
        <v>1987</v>
      </c>
      <c r="E353" s="1" t="s">
        <v>51</v>
      </c>
      <c r="F353" s="1" t="s">
        <v>1988</v>
      </c>
      <c r="G353" s="1" t="s">
        <v>297</v>
      </c>
      <c r="H353" s="1">
        <v>0</v>
      </c>
      <c r="I353" s="1" t="s">
        <v>52</v>
      </c>
      <c r="J353" s="1" t="s">
        <v>1989</v>
      </c>
      <c r="K353" s="1" t="s">
        <v>1990</v>
      </c>
      <c r="L353" s="1">
        <v>6</v>
      </c>
      <c r="M353" s="1">
        <v>2</v>
      </c>
      <c r="N353" s="1" t="s">
        <v>68</v>
      </c>
      <c r="O353" s="1" t="s">
        <v>418</v>
      </c>
      <c r="P353" s="1" t="s">
        <v>56</v>
      </c>
      <c r="Q353" s="1" t="s">
        <v>32</v>
      </c>
      <c r="R353" s="1">
        <v>1780.26</v>
      </c>
      <c r="S353" s="1" t="s">
        <v>46</v>
      </c>
      <c r="T353" s="1" t="s">
        <v>47</v>
      </c>
      <c r="U353" s="1" t="s">
        <v>35</v>
      </c>
      <c r="V353" s="1" t="s">
        <v>36</v>
      </c>
    </row>
    <row r="354" spans="1:22" x14ac:dyDescent="0.3">
      <c r="A354" s="1" t="s">
        <v>1991</v>
      </c>
      <c r="B354" s="1" t="s">
        <v>1992</v>
      </c>
      <c r="C354" s="1">
        <v>57</v>
      </c>
      <c r="D354" s="1" t="s">
        <v>1993</v>
      </c>
      <c r="E354" s="1" t="s">
        <v>40</v>
      </c>
      <c r="F354" s="1" t="s">
        <v>1994</v>
      </c>
      <c r="G354" s="1" t="s">
        <v>1989</v>
      </c>
      <c r="H354" s="1">
        <v>4</v>
      </c>
      <c r="I354" s="1" t="s">
        <v>52</v>
      </c>
      <c r="J354" s="1" t="s">
        <v>113</v>
      </c>
      <c r="K354" s="1" t="s">
        <v>1995</v>
      </c>
      <c r="L354" s="1">
        <v>3</v>
      </c>
      <c r="M354" s="1">
        <v>14</v>
      </c>
      <c r="N354" s="1" t="s">
        <v>56</v>
      </c>
      <c r="O354" s="1" t="s">
        <v>837</v>
      </c>
      <c r="P354" s="1" t="s">
        <v>56</v>
      </c>
      <c r="Q354" s="1" t="s">
        <v>32</v>
      </c>
      <c r="R354" s="1">
        <v>1727.76</v>
      </c>
      <c r="S354" s="1" t="s">
        <v>33</v>
      </c>
      <c r="T354" s="1" t="s">
        <v>47</v>
      </c>
      <c r="U354" s="1" t="s">
        <v>35</v>
      </c>
      <c r="V354" s="1" t="s">
        <v>36</v>
      </c>
    </row>
    <row r="355" spans="1:22" x14ac:dyDescent="0.3">
      <c r="A355" s="1" t="s">
        <v>1996</v>
      </c>
      <c r="B355" s="1" t="s">
        <v>1997</v>
      </c>
      <c r="C355" s="1">
        <v>34</v>
      </c>
      <c r="D355" s="1" t="s">
        <v>1998</v>
      </c>
      <c r="E355" s="1" t="s">
        <v>88</v>
      </c>
      <c r="F355" s="1" t="s">
        <v>1999</v>
      </c>
      <c r="G355" s="2">
        <v>44813</v>
      </c>
      <c r="H355" s="1">
        <v>2</v>
      </c>
      <c r="I355" s="1" t="s">
        <v>52</v>
      </c>
      <c r="J355" s="1" t="s">
        <v>2000</v>
      </c>
      <c r="K355" s="1" t="s">
        <v>2001</v>
      </c>
      <c r="L355" s="1">
        <v>7</v>
      </c>
      <c r="M355" s="1">
        <v>49</v>
      </c>
      <c r="N355" s="1" t="s">
        <v>54</v>
      </c>
      <c r="O355" s="1" t="s">
        <v>91</v>
      </c>
      <c r="P355" s="1" t="s">
        <v>54</v>
      </c>
      <c r="Q355" s="1" t="s">
        <v>32</v>
      </c>
      <c r="R355" s="1">
        <v>1503.11</v>
      </c>
      <c r="S355" s="1" t="s">
        <v>33</v>
      </c>
      <c r="T355" s="1" t="s">
        <v>57</v>
      </c>
      <c r="U355" s="1" t="s">
        <v>35</v>
      </c>
      <c r="V355" s="1" t="s">
        <v>36</v>
      </c>
    </row>
    <row r="356" spans="1:22" x14ac:dyDescent="0.3">
      <c r="A356" s="1" t="s">
        <v>2002</v>
      </c>
      <c r="B356" s="1" t="s">
        <v>2003</v>
      </c>
      <c r="C356" s="1">
        <v>22</v>
      </c>
      <c r="D356" s="1" t="s">
        <v>2004</v>
      </c>
      <c r="E356" s="1" t="s">
        <v>95</v>
      </c>
      <c r="F356" s="1" t="s">
        <v>1459</v>
      </c>
      <c r="G356" s="2">
        <v>45572</v>
      </c>
      <c r="H356" s="1">
        <v>4</v>
      </c>
      <c r="I356" s="1" t="s">
        <v>52</v>
      </c>
      <c r="J356" s="1" t="s">
        <v>2005</v>
      </c>
      <c r="K356" s="1" t="s">
        <v>2006</v>
      </c>
      <c r="L356" s="1">
        <v>3</v>
      </c>
      <c r="M356" s="1">
        <v>8</v>
      </c>
      <c r="N356" s="1" t="s">
        <v>68</v>
      </c>
      <c r="O356" s="1" t="s">
        <v>604</v>
      </c>
      <c r="P356" s="1" t="s">
        <v>45</v>
      </c>
      <c r="Q356" s="1" t="s">
        <v>32</v>
      </c>
      <c r="R356" s="1">
        <v>1248.0899999999999</v>
      </c>
      <c r="S356" s="1" t="s">
        <v>46</v>
      </c>
      <c r="T356" s="1" t="s">
        <v>100</v>
      </c>
      <c r="U356" s="1" t="s">
        <v>35</v>
      </c>
      <c r="V356" s="1" t="s">
        <v>36</v>
      </c>
    </row>
    <row r="357" spans="1:22" x14ac:dyDescent="0.3">
      <c r="A357" s="1" t="s">
        <v>2007</v>
      </c>
      <c r="B357" s="1" t="s">
        <v>2008</v>
      </c>
      <c r="C357" s="1">
        <v>50</v>
      </c>
      <c r="D357" s="1" t="s">
        <v>2009</v>
      </c>
      <c r="E357" s="1" t="s">
        <v>51</v>
      </c>
      <c r="F357" s="1" t="s">
        <v>1080</v>
      </c>
      <c r="G357" s="1" t="s">
        <v>847</v>
      </c>
      <c r="H357" s="1">
        <v>0</v>
      </c>
      <c r="I357" s="1" t="s">
        <v>52</v>
      </c>
      <c r="J357" s="1" t="s">
        <v>2010</v>
      </c>
      <c r="K357" s="1" t="s">
        <v>2011</v>
      </c>
      <c r="L357" s="1">
        <v>6</v>
      </c>
      <c r="M357" s="1">
        <v>38</v>
      </c>
      <c r="N357" s="1" t="s">
        <v>54</v>
      </c>
      <c r="O357" s="1" t="s">
        <v>31</v>
      </c>
      <c r="P357" s="1" t="s">
        <v>30</v>
      </c>
      <c r="Q357" s="1" t="s">
        <v>69</v>
      </c>
      <c r="R357" s="1">
        <v>1316.82</v>
      </c>
      <c r="S357" s="1" t="s">
        <v>46</v>
      </c>
      <c r="T357" s="1" t="s">
        <v>47</v>
      </c>
      <c r="U357" s="1" t="s">
        <v>35</v>
      </c>
      <c r="V357" s="1" t="s">
        <v>36</v>
      </c>
    </row>
    <row r="358" spans="1:22" x14ac:dyDescent="0.3">
      <c r="A358" s="1" t="s">
        <v>2012</v>
      </c>
      <c r="B358" s="1" t="s">
        <v>2013</v>
      </c>
      <c r="C358" s="1">
        <v>66</v>
      </c>
      <c r="D358" s="1" t="s">
        <v>2014</v>
      </c>
      <c r="E358" s="1" t="s">
        <v>95</v>
      </c>
      <c r="F358" s="2">
        <v>43901</v>
      </c>
      <c r="G358" s="2">
        <v>45964</v>
      </c>
      <c r="H358" s="1">
        <v>0</v>
      </c>
      <c r="I358" s="1" t="s">
        <v>27</v>
      </c>
      <c r="J358" s="2">
        <v>45539</v>
      </c>
      <c r="K358" s="1" t="s">
        <v>2015</v>
      </c>
      <c r="L358" s="1">
        <v>7</v>
      </c>
      <c r="M358" s="1">
        <v>29</v>
      </c>
      <c r="N358" s="1" t="s">
        <v>54</v>
      </c>
      <c r="O358" s="1" t="s">
        <v>211</v>
      </c>
      <c r="P358" s="1" t="s">
        <v>68</v>
      </c>
      <c r="Q358" s="1" t="s">
        <v>32</v>
      </c>
      <c r="R358" s="1">
        <v>240.94</v>
      </c>
      <c r="S358" s="1" t="s">
        <v>46</v>
      </c>
      <c r="T358" s="1" t="s">
        <v>232</v>
      </c>
      <c r="U358" s="1" t="s">
        <v>35</v>
      </c>
      <c r="V358" s="1" t="s">
        <v>36</v>
      </c>
    </row>
    <row r="359" spans="1:22" x14ac:dyDescent="0.3">
      <c r="A359" s="1" t="s">
        <v>2016</v>
      </c>
      <c r="B359" s="1" t="s">
        <v>2017</v>
      </c>
      <c r="C359" s="1">
        <v>66</v>
      </c>
      <c r="D359" s="1" t="s">
        <v>2018</v>
      </c>
      <c r="E359" s="1" t="s">
        <v>95</v>
      </c>
      <c r="F359" s="1" t="s">
        <v>2019</v>
      </c>
      <c r="G359" s="1" t="s">
        <v>1063</v>
      </c>
      <c r="H359" s="1">
        <v>3</v>
      </c>
      <c r="I359" s="1" t="s">
        <v>27</v>
      </c>
      <c r="J359" s="1" t="s">
        <v>2020</v>
      </c>
      <c r="K359" s="1" t="s">
        <v>2021</v>
      </c>
      <c r="L359" s="1">
        <v>9</v>
      </c>
      <c r="M359" s="1">
        <v>29</v>
      </c>
      <c r="N359" s="1" t="s">
        <v>68</v>
      </c>
      <c r="O359" s="1" t="s">
        <v>293</v>
      </c>
      <c r="P359" s="1" t="s">
        <v>45</v>
      </c>
      <c r="Q359" s="1" t="s">
        <v>69</v>
      </c>
      <c r="R359" s="1">
        <v>1160.9100000000001</v>
      </c>
      <c r="S359" s="1" t="s">
        <v>46</v>
      </c>
      <c r="T359" s="1" t="s">
        <v>232</v>
      </c>
      <c r="U359" s="1" t="s">
        <v>35</v>
      </c>
      <c r="V359" s="1" t="s">
        <v>36</v>
      </c>
    </row>
    <row r="360" spans="1:22" x14ac:dyDescent="0.3">
      <c r="A360" s="1" t="s">
        <v>2022</v>
      </c>
      <c r="B360" s="1" t="s">
        <v>2023</v>
      </c>
      <c r="C360" s="1">
        <v>47</v>
      </c>
      <c r="D360" s="1" t="s">
        <v>2024</v>
      </c>
      <c r="E360" s="1" t="s">
        <v>25</v>
      </c>
      <c r="F360" s="2">
        <v>44174</v>
      </c>
      <c r="G360" s="1" t="s">
        <v>1253</v>
      </c>
      <c r="H360" s="1">
        <v>0</v>
      </c>
      <c r="I360" s="1" t="s">
        <v>27</v>
      </c>
      <c r="J360" s="1" t="s">
        <v>702</v>
      </c>
      <c r="K360" s="1" t="s">
        <v>2025</v>
      </c>
      <c r="L360" s="1">
        <v>8</v>
      </c>
      <c r="M360" s="1">
        <v>26</v>
      </c>
      <c r="N360" s="1" t="s">
        <v>30</v>
      </c>
      <c r="O360" s="1" t="s">
        <v>194</v>
      </c>
      <c r="P360" s="1" t="s">
        <v>56</v>
      </c>
      <c r="Q360" s="1" t="s">
        <v>32</v>
      </c>
      <c r="R360" s="1">
        <v>1185.52</v>
      </c>
      <c r="S360" s="1" t="s">
        <v>46</v>
      </c>
      <c r="T360" s="1" t="s">
        <v>34</v>
      </c>
      <c r="U360" s="1" t="s">
        <v>35</v>
      </c>
      <c r="V360" s="1" t="s">
        <v>36</v>
      </c>
    </row>
    <row r="361" spans="1:22" x14ac:dyDescent="0.3">
      <c r="A361" s="1" t="s">
        <v>2026</v>
      </c>
      <c r="B361" s="1" t="s">
        <v>2027</v>
      </c>
      <c r="C361" s="1">
        <v>39</v>
      </c>
      <c r="D361" s="1" t="s">
        <v>2028</v>
      </c>
      <c r="E361" s="1" t="s">
        <v>61</v>
      </c>
      <c r="F361" s="2">
        <v>44359</v>
      </c>
      <c r="G361" s="1" t="s">
        <v>382</v>
      </c>
      <c r="H361" s="1">
        <v>5</v>
      </c>
      <c r="I361" s="1" t="s">
        <v>52</v>
      </c>
      <c r="J361" s="1" t="s">
        <v>2029</v>
      </c>
      <c r="K361" s="1" t="s">
        <v>2030</v>
      </c>
      <c r="L361" s="1">
        <v>5</v>
      </c>
      <c r="M361" s="1">
        <v>44</v>
      </c>
      <c r="N361" s="1" t="s">
        <v>68</v>
      </c>
      <c r="O361" s="1" t="s">
        <v>425</v>
      </c>
      <c r="P361" s="1" t="s">
        <v>30</v>
      </c>
      <c r="Q361" s="1" t="s">
        <v>32</v>
      </c>
      <c r="R361" s="1">
        <v>1716.65</v>
      </c>
      <c r="S361" s="1" t="s">
        <v>46</v>
      </c>
      <c r="T361" s="1" t="s">
        <v>34</v>
      </c>
      <c r="U361" s="1" t="s">
        <v>35</v>
      </c>
      <c r="V361" s="1" t="s">
        <v>36</v>
      </c>
    </row>
    <row r="362" spans="1:22" x14ac:dyDescent="0.3">
      <c r="A362" s="1" t="s">
        <v>2031</v>
      </c>
      <c r="B362" s="1" t="s">
        <v>2032</v>
      </c>
      <c r="C362" s="1">
        <v>48</v>
      </c>
      <c r="D362" s="1" t="s">
        <v>2033</v>
      </c>
      <c r="E362" s="1" t="s">
        <v>61</v>
      </c>
      <c r="F362" s="2">
        <v>44934</v>
      </c>
      <c r="G362" s="1" t="s">
        <v>2034</v>
      </c>
      <c r="H362" s="1">
        <v>5</v>
      </c>
      <c r="I362" s="1" t="s">
        <v>27</v>
      </c>
      <c r="J362" s="1" t="s">
        <v>2035</v>
      </c>
      <c r="K362" s="1" t="s">
        <v>2036</v>
      </c>
      <c r="L362" s="1">
        <v>4</v>
      </c>
      <c r="M362" s="1">
        <v>36</v>
      </c>
      <c r="N362" s="1" t="s">
        <v>68</v>
      </c>
      <c r="O362" s="1" t="s">
        <v>175</v>
      </c>
      <c r="P362" s="1" t="s">
        <v>56</v>
      </c>
      <c r="Q362" s="1" t="s">
        <v>32</v>
      </c>
      <c r="R362" s="1">
        <v>585.12</v>
      </c>
      <c r="S362" s="1" t="s">
        <v>46</v>
      </c>
      <c r="T362" s="1" t="s">
        <v>34</v>
      </c>
      <c r="U362" s="1" t="s">
        <v>35</v>
      </c>
      <c r="V362" s="1" t="s">
        <v>188</v>
      </c>
    </row>
    <row r="363" spans="1:22" x14ac:dyDescent="0.3">
      <c r="A363" s="1" t="s">
        <v>2037</v>
      </c>
      <c r="B363" s="1" t="s">
        <v>2038</v>
      </c>
      <c r="C363" s="1">
        <v>23</v>
      </c>
      <c r="D363" s="1" t="s">
        <v>2039</v>
      </c>
      <c r="E363" s="1" t="s">
        <v>61</v>
      </c>
      <c r="F363" s="2">
        <v>44689</v>
      </c>
      <c r="G363" s="1" t="s">
        <v>771</v>
      </c>
      <c r="H363" s="1">
        <v>1</v>
      </c>
      <c r="I363" s="1" t="s">
        <v>52</v>
      </c>
      <c r="J363" s="1" t="s">
        <v>1006</v>
      </c>
      <c r="K363" s="1" t="s">
        <v>2040</v>
      </c>
      <c r="L363" s="1">
        <v>9</v>
      </c>
      <c r="M363" s="1">
        <v>48</v>
      </c>
      <c r="N363" s="1" t="s">
        <v>68</v>
      </c>
      <c r="O363" s="1" t="s">
        <v>175</v>
      </c>
      <c r="P363" s="1" t="s">
        <v>56</v>
      </c>
      <c r="Q363" s="1" t="s">
        <v>69</v>
      </c>
      <c r="R363" s="1">
        <v>1485.54</v>
      </c>
      <c r="S363" s="1" t="s">
        <v>46</v>
      </c>
      <c r="T363" s="1" t="s">
        <v>100</v>
      </c>
      <c r="U363" s="1" t="s">
        <v>35</v>
      </c>
      <c r="V363" s="1" t="s">
        <v>36</v>
      </c>
    </row>
    <row r="364" spans="1:22" x14ac:dyDescent="0.3">
      <c r="A364" s="1" t="s">
        <v>2041</v>
      </c>
      <c r="B364" s="1" t="s">
        <v>2042</v>
      </c>
      <c r="C364" s="1">
        <v>18</v>
      </c>
      <c r="D364" s="1" t="s">
        <v>2043</v>
      </c>
      <c r="E364" s="1" t="s">
        <v>88</v>
      </c>
      <c r="F364" s="2">
        <v>44506</v>
      </c>
      <c r="G364" s="1" t="s">
        <v>2044</v>
      </c>
      <c r="H364" s="1">
        <v>1</v>
      </c>
      <c r="I364" s="1" t="s">
        <v>27</v>
      </c>
      <c r="J364" s="1" t="s">
        <v>215</v>
      </c>
      <c r="K364" s="1" t="s">
        <v>2045</v>
      </c>
      <c r="L364" s="1">
        <v>8</v>
      </c>
      <c r="M364" s="1">
        <v>3</v>
      </c>
      <c r="N364" s="1" t="s">
        <v>54</v>
      </c>
      <c r="O364" s="1" t="s">
        <v>135</v>
      </c>
      <c r="P364" s="1" t="s">
        <v>45</v>
      </c>
      <c r="Q364" s="1" t="s">
        <v>32</v>
      </c>
      <c r="R364" s="1">
        <v>1778.4</v>
      </c>
      <c r="S364" s="1" t="s">
        <v>46</v>
      </c>
      <c r="T364" s="1" t="s">
        <v>100</v>
      </c>
      <c r="U364" s="1" t="s">
        <v>35</v>
      </c>
      <c r="V364" s="1" t="s">
        <v>36</v>
      </c>
    </row>
    <row r="365" spans="1:22" x14ac:dyDescent="0.3">
      <c r="A365" s="1" t="s">
        <v>2046</v>
      </c>
      <c r="B365" s="1" t="s">
        <v>2047</v>
      </c>
      <c r="C365" s="1">
        <v>29</v>
      </c>
      <c r="D365" s="1" t="s">
        <v>2048</v>
      </c>
      <c r="E365" s="1" t="s">
        <v>95</v>
      </c>
      <c r="F365" s="1" t="s">
        <v>633</v>
      </c>
      <c r="G365" s="1" t="s">
        <v>2049</v>
      </c>
      <c r="H365" s="1">
        <v>4</v>
      </c>
      <c r="I365" s="1" t="s">
        <v>52</v>
      </c>
      <c r="J365" s="1" t="s">
        <v>1889</v>
      </c>
      <c r="K365" s="1" t="s">
        <v>2050</v>
      </c>
      <c r="L365" s="1">
        <v>3</v>
      </c>
      <c r="M365" s="1">
        <v>9</v>
      </c>
      <c r="N365" s="1" t="s">
        <v>30</v>
      </c>
      <c r="O365" s="1" t="s">
        <v>135</v>
      </c>
      <c r="P365" s="1" t="s">
        <v>45</v>
      </c>
      <c r="Q365" s="1" t="s">
        <v>32</v>
      </c>
      <c r="R365" s="1">
        <v>1988.67</v>
      </c>
      <c r="S365" s="1" t="s">
        <v>46</v>
      </c>
      <c r="T365" s="1" t="s">
        <v>57</v>
      </c>
      <c r="U365" s="1" t="s">
        <v>35</v>
      </c>
      <c r="V365" s="1" t="s">
        <v>36</v>
      </c>
    </row>
    <row r="366" spans="1:22" x14ac:dyDescent="0.3">
      <c r="A366" s="1" t="s">
        <v>2051</v>
      </c>
      <c r="B366" s="1" t="s">
        <v>2052</v>
      </c>
      <c r="C366" s="1">
        <v>21</v>
      </c>
      <c r="D366" s="1" t="s">
        <v>2053</v>
      </c>
      <c r="E366" s="1" t="s">
        <v>88</v>
      </c>
      <c r="F366" s="1" t="s">
        <v>2054</v>
      </c>
      <c r="G366" s="1" t="s">
        <v>2055</v>
      </c>
      <c r="H366" s="1">
        <v>5</v>
      </c>
      <c r="I366" s="1" t="s">
        <v>52</v>
      </c>
      <c r="J366" s="2">
        <v>44869</v>
      </c>
      <c r="K366" s="1" t="s">
        <v>2056</v>
      </c>
      <c r="L366" s="1">
        <v>9</v>
      </c>
      <c r="M366" s="1">
        <v>41</v>
      </c>
      <c r="N366" s="1" t="s">
        <v>45</v>
      </c>
      <c r="O366" s="1" t="s">
        <v>821</v>
      </c>
      <c r="P366" s="1" t="s">
        <v>68</v>
      </c>
      <c r="Q366" s="1" t="s">
        <v>32</v>
      </c>
      <c r="R366" s="1">
        <v>1207.6199999999999</v>
      </c>
      <c r="S366" s="1" t="s">
        <v>46</v>
      </c>
      <c r="T366" s="1" t="s">
        <v>100</v>
      </c>
      <c r="U366" s="1" t="s">
        <v>35</v>
      </c>
      <c r="V366" s="1" t="s">
        <v>36</v>
      </c>
    </row>
    <row r="367" spans="1:22" x14ac:dyDescent="0.3">
      <c r="A367" s="1" t="s">
        <v>2057</v>
      </c>
      <c r="B367" s="1" t="s">
        <v>2058</v>
      </c>
      <c r="C367" s="1">
        <v>32</v>
      </c>
      <c r="D367" s="1" t="s">
        <v>2059</v>
      </c>
      <c r="E367" s="1" t="s">
        <v>51</v>
      </c>
      <c r="F367" s="2">
        <v>44198</v>
      </c>
      <c r="G367" s="1" t="s">
        <v>2060</v>
      </c>
      <c r="H367" s="1">
        <v>4</v>
      </c>
      <c r="I367" s="1" t="s">
        <v>27</v>
      </c>
      <c r="J367" s="1" t="s">
        <v>2061</v>
      </c>
      <c r="K367" s="1" t="s">
        <v>2062</v>
      </c>
      <c r="L367" s="1">
        <v>4</v>
      </c>
      <c r="M367" s="1">
        <v>21</v>
      </c>
      <c r="N367" s="1" t="s">
        <v>68</v>
      </c>
      <c r="O367" s="1" t="s">
        <v>116</v>
      </c>
      <c r="P367" s="1" t="s">
        <v>54</v>
      </c>
      <c r="Q367" s="1" t="s">
        <v>69</v>
      </c>
      <c r="R367" s="1">
        <v>228.24</v>
      </c>
      <c r="S367" s="1" t="s">
        <v>46</v>
      </c>
      <c r="T367" s="1" t="s">
        <v>57</v>
      </c>
      <c r="U367" s="1" t="s">
        <v>35</v>
      </c>
      <c r="V367" s="1" t="s">
        <v>188</v>
      </c>
    </row>
    <row r="368" spans="1:22" x14ac:dyDescent="0.3">
      <c r="A368" s="1" t="s">
        <v>2063</v>
      </c>
      <c r="B368" s="1" t="s">
        <v>2064</v>
      </c>
      <c r="C368" s="1">
        <v>60</v>
      </c>
      <c r="D368" s="1" t="s">
        <v>2065</v>
      </c>
      <c r="E368" s="1" t="s">
        <v>61</v>
      </c>
      <c r="F368" s="1" t="s">
        <v>2066</v>
      </c>
      <c r="G368" s="1" t="s">
        <v>2067</v>
      </c>
      <c r="H368" s="1">
        <v>3</v>
      </c>
      <c r="I368" s="1" t="s">
        <v>27</v>
      </c>
      <c r="J368" s="2">
        <v>44986</v>
      </c>
      <c r="K368" s="1" t="s">
        <v>2068</v>
      </c>
      <c r="L368" s="1">
        <v>2</v>
      </c>
      <c r="M368" s="1">
        <v>17</v>
      </c>
      <c r="N368" s="1" t="s">
        <v>54</v>
      </c>
      <c r="O368" s="1" t="s">
        <v>199</v>
      </c>
      <c r="P368" s="1" t="s">
        <v>54</v>
      </c>
      <c r="Q368" s="1" t="s">
        <v>32</v>
      </c>
      <c r="R368" s="1">
        <v>1336.08</v>
      </c>
      <c r="S368" s="1" t="s">
        <v>33</v>
      </c>
      <c r="T368" s="1" t="s">
        <v>47</v>
      </c>
      <c r="U368" s="1" t="s">
        <v>35</v>
      </c>
      <c r="V368" s="1" t="s">
        <v>36</v>
      </c>
    </row>
    <row r="369" spans="1:22" x14ac:dyDescent="0.3">
      <c r="A369" s="1" t="s">
        <v>2069</v>
      </c>
      <c r="B369" s="1" t="s">
        <v>2070</v>
      </c>
      <c r="C369" s="1">
        <v>27</v>
      </c>
      <c r="D369" s="1" t="s">
        <v>2071</v>
      </c>
      <c r="E369" s="1" t="s">
        <v>51</v>
      </c>
      <c r="F369" s="2">
        <v>44532</v>
      </c>
      <c r="G369" s="1" t="s">
        <v>702</v>
      </c>
      <c r="H369" s="1">
        <v>3</v>
      </c>
      <c r="I369" s="1" t="s">
        <v>27</v>
      </c>
      <c r="J369" s="1" t="s">
        <v>2072</v>
      </c>
      <c r="K369" s="1" t="s">
        <v>2073</v>
      </c>
      <c r="L369" s="1">
        <v>4</v>
      </c>
      <c r="M369" s="1">
        <v>24</v>
      </c>
      <c r="N369" s="1" t="s">
        <v>68</v>
      </c>
      <c r="O369" s="1" t="s">
        <v>354</v>
      </c>
      <c r="P369" s="1" t="s">
        <v>45</v>
      </c>
      <c r="Q369" s="1" t="s">
        <v>32</v>
      </c>
      <c r="R369" s="1">
        <v>1392.48</v>
      </c>
      <c r="S369" s="1" t="s">
        <v>46</v>
      </c>
      <c r="T369" s="1" t="s">
        <v>57</v>
      </c>
      <c r="U369" s="1" t="s">
        <v>35</v>
      </c>
      <c r="V369" s="1" t="s">
        <v>36</v>
      </c>
    </row>
    <row r="370" spans="1:22" x14ac:dyDescent="0.3">
      <c r="A370" s="1" t="s">
        <v>2074</v>
      </c>
      <c r="B370" s="1" t="s">
        <v>2075</v>
      </c>
      <c r="C370" s="1">
        <v>66</v>
      </c>
      <c r="D370" s="1" t="s">
        <v>2076</v>
      </c>
      <c r="E370" s="1" t="s">
        <v>40</v>
      </c>
      <c r="F370" s="2">
        <v>45082</v>
      </c>
      <c r="G370" s="1" t="s">
        <v>2077</v>
      </c>
      <c r="H370" s="1">
        <v>3</v>
      </c>
      <c r="I370" s="1" t="s">
        <v>52</v>
      </c>
      <c r="J370" s="1" t="s">
        <v>284</v>
      </c>
      <c r="K370" s="1" t="s">
        <v>2078</v>
      </c>
      <c r="L370" s="1">
        <v>7</v>
      </c>
      <c r="M370" s="1">
        <v>7</v>
      </c>
      <c r="N370" s="1" t="s">
        <v>68</v>
      </c>
      <c r="O370" s="1" t="s">
        <v>837</v>
      </c>
      <c r="P370" s="1" t="s">
        <v>56</v>
      </c>
      <c r="Q370" s="1" t="s">
        <v>69</v>
      </c>
      <c r="R370" s="1">
        <v>532.91</v>
      </c>
      <c r="S370" s="1" t="s">
        <v>46</v>
      </c>
      <c r="T370" s="1" t="s">
        <v>232</v>
      </c>
      <c r="U370" s="1" t="s">
        <v>35</v>
      </c>
      <c r="V370" s="1" t="s">
        <v>36</v>
      </c>
    </row>
    <row r="371" spans="1:22" x14ac:dyDescent="0.3">
      <c r="A371" s="1" t="s">
        <v>2079</v>
      </c>
      <c r="B371" s="1" t="s">
        <v>2080</v>
      </c>
      <c r="C371" s="1">
        <v>27</v>
      </c>
      <c r="D371" s="1" t="s">
        <v>2081</v>
      </c>
      <c r="E371" s="1" t="s">
        <v>40</v>
      </c>
      <c r="F371" s="2">
        <v>44444</v>
      </c>
      <c r="G371" s="1" t="s">
        <v>2082</v>
      </c>
      <c r="H371" s="1">
        <v>4</v>
      </c>
      <c r="I371" s="1" t="s">
        <v>27</v>
      </c>
      <c r="J371" s="2">
        <v>45474</v>
      </c>
      <c r="K371" s="1" t="s">
        <v>2083</v>
      </c>
      <c r="L371" s="1">
        <v>7</v>
      </c>
      <c r="M371" s="1">
        <v>22</v>
      </c>
      <c r="N371" s="1" t="s">
        <v>56</v>
      </c>
      <c r="O371" s="1" t="s">
        <v>175</v>
      </c>
      <c r="P371" s="1" t="s">
        <v>56</v>
      </c>
      <c r="Q371" s="1" t="s">
        <v>32</v>
      </c>
      <c r="R371" s="1">
        <v>628.25</v>
      </c>
      <c r="S371" s="1" t="s">
        <v>33</v>
      </c>
      <c r="T371" s="1" t="s">
        <v>57</v>
      </c>
      <c r="U371" s="1" t="s">
        <v>35</v>
      </c>
      <c r="V371" s="1" t="s">
        <v>188</v>
      </c>
    </row>
    <row r="372" spans="1:22" x14ac:dyDescent="0.3">
      <c r="A372" s="1" t="s">
        <v>2084</v>
      </c>
      <c r="B372" s="1" t="s">
        <v>2085</v>
      </c>
      <c r="C372" s="1">
        <v>37</v>
      </c>
      <c r="D372" s="1" t="s">
        <v>2086</v>
      </c>
      <c r="E372" s="1" t="s">
        <v>95</v>
      </c>
      <c r="F372" s="1" t="s">
        <v>2087</v>
      </c>
      <c r="G372" s="1" t="s">
        <v>2088</v>
      </c>
      <c r="H372" s="1">
        <v>1</v>
      </c>
      <c r="I372" s="1" t="s">
        <v>27</v>
      </c>
      <c r="J372" s="2">
        <v>45329</v>
      </c>
      <c r="K372" s="1" t="s">
        <v>2089</v>
      </c>
      <c r="L372" s="1">
        <v>5</v>
      </c>
      <c r="M372" s="1">
        <v>16</v>
      </c>
      <c r="N372" s="1" t="s">
        <v>56</v>
      </c>
      <c r="O372" s="1" t="s">
        <v>251</v>
      </c>
      <c r="P372" s="1" t="s">
        <v>30</v>
      </c>
      <c r="Q372" s="1" t="s">
        <v>69</v>
      </c>
      <c r="R372" s="1">
        <v>1952.65</v>
      </c>
      <c r="S372" s="1" t="s">
        <v>46</v>
      </c>
      <c r="T372" s="1" t="s">
        <v>34</v>
      </c>
      <c r="U372" s="1" t="s">
        <v>35</v>
      </c>
      <c r="V372" s="1" t="s">
        <v>36</v>
      </c>
    </row>
    <row r="373" spans="1:22" x14ac:dyDescent="0.3">
      <c r="A373" s="1" t="s">
        <v>2090</v>
      </c>
      <c r="B373" s="1" t="s">
        <v>2091</v>
      </c>
      <c r="C373" s="1">
        <v>43</v>
      </c>
      <c r="D373" s="1" t="s">
        <v>2092</v>
      </c>
      <c r="E373" s="1" t="s">
        <v>25</v>
      </c>
      <c r="F373" s="1" t="s">
        <v>2093</v>
      </c>
      <c r="G373" s="1" t="s">
        <v>1690</v>
      </c>
      <c r="H373" s="1">
        <v>5</v>
      </c>
      <c r="I373" s="1" t="s">
        <v>27</v>
      </c>
      <c r="J373" s="2">
        <v>45693</v>
      </c>
      <c r="K373" s="1" t="s">
        <v>2094</v>
      </c>
      <c r="L373" s="1">
        <v>2</v>
      </c>
      <c r="M373" s="1">
        <v>24</v>
      </c>
      <c r="N373" s="1" t="s">
        <v>56</v>
      </c>
      <c r="O373" s="1" t="s">
        <v>135</v>
      </c>
      <c r="P373" s="1" t="s">
        <v>45</v>
      </c>
      <c r="Q373" s="1" t="s">
        <v>32</v>
      </c>
      <c r="R373" s="1">
        <v>1451.68</v>
      </c>
      <c r="S373" s="1" t="s">
        <v>46</v>
      </c>
      <c r="T373" s="1" t="s">
        <v>34</v>
      </c>
      <c r="U373" s="1" t="s">
        <v>35</v>
      </c>
      <c r="V373" s="1" t="s">
        <v>188</v>
      </c>
    </row>
    <row r="374" spans="1:22" x14ac:dyDescent="0.3">
      <c r="A374" s="1" t="s">
        <v>2095</v>
      </c>
      <c r="B374" s="1" t="s">
        <v>2096</v>
      </c>
      <c r="C374" s="1">
        <v>63</v>
      </c>
      <c r="D374" s="1" t="s">
        <v>2097</v>
      </c>
      <c r="E374" s="1" t="s">
        <v>88</v>
      </c>
      <c r="F374" s="1" t="s">
        <v>2098</v>
      </c>
      <c r="G374" s="2">
        <v>45334</v>
      </c>
      <c r="H374" s="1">
        <v>4</v>
      </c>
      <c r="I374" s="1" t="s">
        <v>27</v>
      </c>
      <c r="J374" s="1" t="s">
        <v>790</v>
      </c>
      <c r="K374" s="1" t="s">
        <v>2099</v>
      </c>
      <c r="L374" s="1">
        <v>3</v>
      </c>
      <c r="M374" s="1">
        <v>7</v>
      </c>
      <c r="N374" s="1" t="s">
        <v>30</v>
      </c>
      <c r="O374" s="1" t="s">
        <v>116</v>
      </c>
      <c r="P374" s="1" t="s">
        <v>54</v>
      </c>
      <c r="Q374" s="1" t="s">
        <v>69</v>
      </c>
      <c r="R374" s="1">
        <v>1813.56</v>
      </c>
      <c r="S374" s="1" t="s">
        <v>46</v>
      </c>
      <c r="T374" s="1" t="s">
        <v>47</v>
      </c>
      <c r="U374" s="1" t="s">
        <v>35</v>
      </c>
      <c r="V374" s="1" t="s">
        <v>188</v>
      </c>
    </row>
    <row r="375" spans="1:22" x14ac:dyDescent="0.3">
      <c r="A375" s="1" t="s">
        <v>2100</v>
      </c>
      <c r="B375" s="1" t="s">
        <v>2101</v>
      </c>
      <c r="C375" s="1">
        <v>64</v>
      </c>
      <c r="D375" s="1" t="s">
        <v>2102</v>
      </c>
      <c r="E375" s="1" t="s">
        <v>88</v>
      </c>
      <c r="F375" s="1" t="s">
        <v>894</v>
      </c>
      <c r="G375" s="1" t="s">
        <v>2103</v>
      </c>
      <c r="H375" s="1">
        <v>2</v>
      </c>
      <c r="I375" s="1" t="s">
        <v>27</v>
      </c>
      <c r="J375" s="1" t="s">
        <v>2104</v>
      </c>
      <c r="K375" s="1" t="s">
        <v>2105</v>
      </c>
      <c r="L375" s="1">
        <v>6</v>
      </c>
      <c r="M375" s="1">
        <v>37</v>
      </c>
      <c r="N375" s="1" t="s">
        <v>30</v>
      </c>
      <c r="O375" s="1" t="s">
        <v>122</v>
      </c>
      <c r="P375" s="1" t="s">
        <v>30</v>
      </c>
      <c r="Q375" s="1" t="s">
        <v>32</v>
      </c>
      <c r="R375" s="1">
        <v>1898.76</v>
      </c>
      <c r="S375" s="1" t="s">
        <v>33</v>
      </c>
      <c r="T375" s="1" t="s">
        <v>47</v>
      </c>
      <c r="U375" s="1" t="s">
        <v>35</v>
      </c>
      <c r="V375" s="1" t="s">
        <v>36</v>
      </c>
    </row>
    <row r="376" spans="1:22" x14ac:dyDescent="0.3">
      <c r="A376" s="1" t="s">
        <v>2106</v>
      </c>
      <c r="B376" s="1" t="s">
        <v>2107</v>
      </c>
      <c r="C376" s="1">
        <v>19</v>
      </c>
      <c r="D376" s="1" t="s">
        <v>2108</v>
      </c>
      <c r="E376" s="1" t="s">
        <v>61</v>
      </c>
      <c r="F376" s="1" t="s">
        <v>1949</v>
      </c>
      <c r="G376" s="1" t="s">
        <v>1884</v>
      </c>
      <c r="H376" s="1">
        <v>4</v>
      </c>
      <c r="I376" s="1" t="s">
        <v>52</v>
      </c>
      <c r="J376" s="2">
        <v>44327</v>
      </c>
      <c r="K376" s="1" t="s">
        <v>2109</v>
      </c>
      <c r="L376" s="1">
        <v>6</v>
      </c>
      <c r="M376" s="1">
        <v>38</v>
      </c>
      <c r="N376" s="1" t="s">
        <v>56</v>
      </c>
      <c r="O376" s="1" t="s">
        <v>855</v>
      </c>
      <c r="P376" s="1" t="s">
        <v>45</v>
      </c>
      <c r="Q376" s="1" t="s">
        <v>69</v>
      </c>
      <c r="R376" s="1">
        <v>451.26</v>
      </c>
      <c r="S376" s="1" t="s">
        <v>46</v>
      </c>
      <c r="T376" s="1" t="s">
        <v>100</v>
      </c>
      <c r="U376" s="1" t="s">
        <v>35</v>
      </c>
      <c r="V376" s="1" t="s">
        <v>36</v>
      </c>
    </row>
    <row r="377" spans="1:22" x14ac:dyDescent="0.3">
      <c r="A377" s="1" t="s">
        <v>2110</v>
      </c>
      <c r="B377" s="1" t="s">
        <v>2111</v>
      </c>
      <c r="C377" s="1">
        <v>63</v>
      </c>
      <c r="D377" s="1" t="s">
        <v>2112</v>
      </c>
      <c r="E377" s="1" t="s">
        <v>88</v>
      </c>
      <c r="F377" s="1" t="s">
        <v>1599</v>
      </c>
      <c r="G377" s="2">
        <v>44935</v>
      </c>
      <c r="H377" s="1">
        <v>5</v>
      </c>
      <c r="I377" s="1" t="s">
        <v>64</v>
      </c>
      <c r="J377" s="1" t="s">
        <v>2113</v>
      </c>
      <c r="K377" s="1" t="s">
        <v>2114</v>
      </c>
      <c r="L377" s="1">
        <v>4</v>
      </c>
      <c r="M377" s="1">
        <v>17</v>
      </c>
      <c r="N377" s="1" t="s">
        <v>68</v>
      </c>
      <c r="O377" s="1" t="s">
        <v>157</v>
      </c>
      <c r="P377" s="1" t="s">
        <v>68</v>
      </c>
      <c r="Q377" s="1" t="s">
        <v>69</v>
      </c>
      <c r="R377" s="1">
        <v>1598.16</v>
      </c>
      <c r="S377" s="1" t="s">
        <v>33</v>
      </c>
      <c r="T377" s="1" t="s">
        <v>47</v>
      </c>
      <c r="U377" s="1" t="s">
        <v>35</v>
      </c>
      <c r="V377" s="1" t="s">
        <v>71</v>
      </c>
    </row>
    <row r="378" spans="1:22" x14ac:dyDescent="0.3">
      <c r="A378" s="1" t="s">
        <v>2115</v>
      </c>
      <c r="B378" s="1" t="s">
        <v>2116</v>
      </c>
      <c r="C378" s="1">
        <v>56</v>
      </c>
      <c r="D378" s="1" t="s">
        <v>2117</v>
      </c>
      <c r="E378" s="1" t="s">
        <v>88</v>
      </c>
      <c r="F378" s="1" t="s">
        <v>2118</v>
      </c>
      <c r="G378" s="2">
        <v>45475</v>
      </c>
      <c r="H378" s="1">
        <v>5</v>
      </c>
      <c r="I378" s="1" t="s">
        <v>27</v>
      </c>
      <c r="J378" s="2">
        <v>44963</v>
      </c>
      <c r="K378" s="1" t="s">
        <v>2119</v>
      </c>
      <c r="L378" s="1">
        <v>7</v>
      </c>
      <c r="M378" s="1">
        <v>42</v>
      </c>
      <c r="N378" s="1" t="s">
        <v>68</v>
      </c>
      <c r="O378" s="1" t="s">
        <v>223</v>
      </c>
      <c r="P378" s="1" t="s">
        <v>56</v>
      </c>
      <c r="Q378" s="1" t="s">
        <v>32</v>
      </c>
      <c r="R378" s="1">
        <v>84.21</v>
      </c>
      <c r="S378" s="1" t="s">
        <v>46</v>
      </c>
      <c r="T378" s="1" t="s">
        <v>47</v>
      </c>
      <c r="U378" s="1" t="s">
        <v>35</v>
      </c>
      <c r="V378" s="1" t="s">
        <v>188</v>
      </c>
    </row>
    <row r="379" spans="1:22" x14ac:dyDescent="0.3">
      <c r="A379" s="1" t="s">
        <v>2120</v>
      </c>
      <c r="B379" s="1" t="s">
        <v>2121</v>
      </c>
      <c r="C379" s="1">
        <v>33</v>
      </c>
      <c r="D379" s="1" t="s">
        <v>2122</v>
      </c>
      <c r="E379" s="1" t="s">
        <v>88</v>
      </c>
      <c r="F379" s="1" t="s">
        <v>1747</v>
      </c>
      <c r="G379" s="2">
        <v>45514</v>
      </c>
      <c r="H379" s="1">
        <v>3</v>
      </c>
      <c r="I379" s="1" t="s">
        <v>27</v>
      </c>
      <c r="J379" s="1" t="s">
        <v>1674</v>
      </c>
      <c r="K379" s="1" t="s">
        <v>2123</v>
      </c>
      <c r="L379" s="1">
        <v>4</v>
      </c>
      <c r="M379" s="1">
        <v>34</v>
      </c>
      <c r="N379" s="1" t="s">
        <v>30</v>
      </c>
      <c r="O379" s="1" t="s">
        <v>604</v>
      </c>
      <c r="P379" s="1" t="s">
        <v>45</v>
      </c>
      <c r="Q379" s="1" t="s">
        <v>69</v>
      </c>
      <c r="R379" s="1">
        <v>218.88</v>
      </c>
      <c r="S379" s="1" t="s">
        <v>46</v>
      </c>
      <c r="T379" s="1" t="s">
        <v>57</v>
      </c>
      <c r="U379" s="1" t="s">
        <v>35</v>
      </c>
      <c r="V379" s="1" t="s">
        <v>36</v>
      </c>
    </row>
    <row r="380" spans="1:22" x14ac:dyDescent="0.3">
      <c r="A380" s="1" t="s">
        <v>2124</v>
      </c>
      <c r="B380" s="1" t="s">
        <v>2125</v>
      </c>
      <c r="C380" s="1">
        <v>48</v>
      </c>
      <c r="D380" s="1" t="s">
        <v>2126</v>
      </c>
      <c r="E380" s="1" t="s">
        <v>25</v>
      </c>
      <c r="F380" s="2">
        <v>44838</v>
      </c>
      <c r="G380" s="2">
        <v>45363</v>
      </c>
      <c r="H380" s="1">
        <v>1</v>
      </c>
      <c r="I380" s="1" t="s">
        <v>27</v>
      </c>
      <c r="J380" s="2">
        <v>45507</v>
      </c>
      <c r="K380" s="1" t="s">
        <v>2127</v>
      </c>
      <c r="L380" s="1">
        <v>5</v>
      </c>
      <c r="M380" s="1">
        <v>40</v>
      </c>
      <c r="N380" s="1" t="s">
        <v>30</v>
      </c>
      <c r="O380" s="1" t="s">
        <v>91</v>
      </c>
      <c r="P380" s="1" t="s">
        <v>54</v>
      </c>
      <c r="Q380" s="1" t="s">
        <v>69</v>
      </c>
      <c r="R380" s="1">
        <v>613.70000000000005</v>
      </c>
      <c r="S380" s="1" t="s">
        <v>46</v>
      </c>
      <c r="T380" s="1" t="s">
        <v>34</v>
      </c>
      <c r="U380" s="1" t="s">
        <v>35</v>
      </c>
      <c r="V380" s="1" t="s">
        <v>36</v>
      </c>
    </row>
    <row r="381" spans="1:22" x14ac:dyDescent="0.3">
      <c r="A381" s="1" t="s">
        <v>2128</v>
      </c>
      <c r="B381" s="1" t="s">
        <v>2129</v>
      </c>
      <c r="C381" s="1">
        <v>47</v>
      </c>
      <c r="D381" s="1" t="s">
        <v>2130</v>
      </c>
      <c r="E381" s="1" t="s">
        <v>88</v>
      </c>
      <c r="F381" s="1" t="s">
        <v>1764</v>
      </c>
      <c r="G381" s="2">
        <v>44929</v>
      </c>
      <c r="H381" s="1">
        <v>1</v>
      </c>
      <c r="I381" s="1" t="s">
        <v>64</v>
      </c>
      <c r="J381" s="2">
        <v>44778</v>
      </c>
      <c r="K381" s="1" t="s">
        <v>2131</v>
      </c>
      <c r="L381" s="1">
        <v>6</v>
      </c>
      <c r="M381" s="1">
        <v>48</v>
      </c>
      <c r="N381" s="1" t="s">
        <v>54</v>
      </c>
      <c r="O381" s="1" t="s">
        <v>128</v>
      </c>
      <c r="P381" s="1" t="s">
        <v>54</v>
      </c>
      <c r="Q381" s="1" t="s">
        <v>32</v>
      </c>
      <c r="R381" s="1">
        <v>142.19999999999999</v>
      </c>
      <c r="S381" s="1" t="s">
        <v>33</v>
      </c>
      <c r="T381" s="1" t="s">
        <v>34</v>
      </c>
      <c r="U381" s="1" t="s">
        <v>35</v>
      </c>
      <c r="V381" s="1" t="s">
        <v>71</v>
      </c>
    </row>
    <row r="382" spans="1:22" x14ac:dyDescent="0.3">
      <c r="A382" s="1" t="s">
        <v>2132</v>
      </c>
      <c r="B382" s="1" t="s">
        <v>2133</v>
      </c>
      <c r="C382" s="1">
        <v>46</v>
      </c>
      <c r="D382" s="1" t="s">
        <v>2134</v>
      </c>
      <c r="E382" s="1" t="s">
        <v>61</v>
      </c>
      <c r="F382" s="2">
        <v>45206</v>
      </c>
      <c r="G382" s="2">
        <v>45148</v>
      </c>
      <c r="H382" s="1">
        <v>1</v>
      </c>
      <c r="I382" s="1" t="s">
        <v>64</v>
      </c>
      <c r="J382" s="1" t="s">
        <v>2135</v>
      </c>
      <c r="K382" s="1" t="s">
        <v>2136</v>
      </c>
      <c r="L382" s="1">
        <v>3</v>
      </c>
      <c r="M382" s="1">
        <v>20</v>
      </c>
      <c r="N382" s="1" t="s">
        <v>68</v>
      </c>
      <c r="O382" s="1" t="s">
        <v>44</v>
      </c>
      <c r="P382" s="1" t="s">
        <v>45</v>
      </c>
      <c r="Q382" s="1" t="s">
        <v>69</v>
      </c>
      <c r="R382" s="1">
        <v>544.5</v>
      </c>
      <c r="S382" s="1" t="s">
        <v>46</v>
      </c>
      <c r="T382" s="1" t="s">
        <v>34</v>
      </c>
      <c r="U382" s="1" t="s">
        <v>35</v>
      </c>
      <c r="V382" s="1" t="s">
        <v>71</v>
      </c>
    </row>
    <row r="383" spans="1:22" x14ac:dyDescent="0.3">
      <c r="A383" s="1" t="s">
        <v>2137</v>
      </c>
      <c r="B383" s="1" t="s">
        <v>2138</v>
      </c>
      <c r="C383" s="1">
        <v>66</v>
      </c>
      <c r="D383" s="1" t="s">
        <v>2139</v>
      </c>
      <c r="E383" s="1" t="s">
        <v>88</v>
      </c>
      <c r="F383" s="1" t="s">
        <v>256</v>
      </c>
      <c r="G383" s="1" t="s">
        <v>1105</v>
      </c>
      <c r="H383" s="1">
        <v>3</v>
      </c>
      <c r="I383" s="1" t="s">
        <v>27</v>
      </c>
      <c r="J383" s="2">
        <v>45660</v>
      </c>
      <c r="K383" s="1" t="s">
        <v>2140</v>
      </c>
      <c r="L383" s="1">
        <v>2</v>
      </c>
      <c r="M383" s="1">
        <v>45</v>
      </c>
      <c r="N383" s="1" t="s">
        <v>56</v>
      </c>
      <c r="O383" s="1" t="s">
        <v>67</v>
      </c>
      <c r="P383" s="1" t="s">
        <v>68</v>
      </c>
      <c r="Q383" s="1" t="s">
        <v>32</v>
      </c>
      <c r="R383" s="1">
        <v>391.2</v>
      </c>
      <c r="S383" s="1" t="s">
        <v>46</v>
      </c>
      <c r="T383" s="1" t="s">
        <v>232</v>
      </c>
      <c r="U383" s="1" t="s">
        <v>35</v>
      </c>
      <c r="V383" s="1" t="s">
        <v>36</v>
      </c>
    </row>
    <row r="384" spans="1:22" x14ac:dyDescent="0.3">
      <c r="A384" s="1" t="s">
        <v>2141</v>
      </c>
      <c r="B384" s="1" t="s">
        <v>2142</v>
      </c>
      <c r="C384" s="1">
        <v>60</v>
      </c>
      <c r="D384" s="1" t="s">
        <v>2143</v>
      </c>
      <c r="E384" s="1" t="s">
        <v>51</v>
      </c>
      <c r="F384" s="1" t="s">
        <v>1441</v>
      </c>
      <c r="G384" s="1" t="s">
        <v>1258</v>
      </c>
      <c r="H384" s="1">
        <v>5</v>
      </c>
      <c r="I384" s="1" t="s">
        <v>52</v>
      </c>
      <c r="J384" s="2">
        <v>44512</v>
      </c>
      <c r="K384" s="1" t="s">
        <v>2144</v>
      </c>
      <c r="L384" s="1">
        <v>9</v>
      </c>
      <c r="M384" s="1">
        <v>14</v>
      </c>
      <c r="N384" s="1" t="s">
        <v>68</v>
      </c>
      <c r="O384" s="1" t="s">
        <v>211</v>
      </c>
      <c r="P384" s="1" t="s">
        <v>68</v>
      </c>
      <c r="Q384" s="1" t="s">
        <v>32</v>
      </c>
      <c r="R384" s="1">
        <v>971.28</v>
      </c>
      <c r="S384" s="1" t="s">
        <v>33</v>
      </c>
      <c r="T384" s="1" t="s">
        <v>47</v>
      </c>
      <c r="U384" s="1" t="s">
        <v>35</v>
      </c>
      <c r="V384" s="1" t="s">
        <v>36</v>
      </c>
    </row>
    <row r="385" spans="1:22" x14ac:dyDescent="0.3">
      <c r="A385" s="1" t="s">
        <v>2145</v>
      </c>
      <c r="B385" s="1" t="s">
        <v>2146</v>
      </c>
      <c r="C385" s="1">
        <v>39</v>
      </c>
      <c r="D385" s="1" t="s">
        <v>2147</v>
      </c>
      <c r="E385" s="1" t="s">
        <v>95</v>
      </c>
      <c r="F385" s="1" t="s">
        <v>1355</v>
      </c>
      <c r="G385" s="1" t="s">
        <v>924</v>
      </c>
      <c r="H385" s="1">
        <v>2</v>
      </c>
      <c r="I385" s="1" t="s">
        <v>27</v>
      </c>
      <c r="J385" s="2">
        <v>44935</v>
      </c>
      <c r="K385" s="1" t="s">
        <v>2148</v>
      </c>
      <c r="L385" s="1">
        <v>3</v>
      </c>
      <c r="M385" s="1">
        <v>18</v>
      </c>
      <c r="N385" s="1" t="s">
        <v>30</v>
      </c>
      <c r="O385" s="1" t="s">
        <v>116</v>
      </c>
      <c r="P385" s="1" t="s">
        <v>54</v>
      </c>
      <c r="Q385" s="1" t="s">
        <v>32</v>
      </c>
      <c r="R385" s="1">
        <v>1732.98</v>
      </c>
      <c r="S385" s="1" t="s">
        <v>46</v>
      </c>
      <c r="T385" s="1" t="s">
        <v>34</v>
      </c>
      <c r="U385" s="1" t="s">
        <v>35</v>
      </c>
      <c r="V385" s="1" t="s">
        <v>36</v>
      </c>
    </row>
    <row r="386" spans="1:22" x14ac:dyDescent="0.3">
      <c r="A386" s="1" t="s">
        <v>2149</v>
      </c>
      <c r="B386" s="1" t="s">
        <v>2150</v>
      </c>
      <c r="C386" s="1">
        <v>31</v>
      </c>
      <c r="D386" s="1" t="s">
        <v>2151</v>
      </c>
      <c r="E386" s="1" t="s">
        <v>51</v>
      </c>
      <c r="F386" s="1" t="s">
        <v>2152</v>
      </c>
      <c r="G386" s="2">
        <v>45540</v>
      </c>
      <c r="H386" s="1">
        <v>5</v>
      </c>
      <c r="I386" s="1" t="s">
        <v>27</v>
      </c>
      <c r="J386" s="1" t="s">
        <v>1237</v>
      </c>
      <c r="K386" s="1" t="s">
        <v>2153</v>
      </c>
      <c r="L386" s="1">
        <v>7</v>
      </c>
      <c r="M386" s="1">
        <v>41</v>
      </c>
      <c r="N386" s="1" t="s">
        <v>68</v>
      </c>
      <c r="O386" s="1" t="s">
        <v>251</v>
      </c>
      <c r="P386" s="1" t="s">
        <v>30</v>
      </c>
      <c r="Q386" s="1" t="s">
        <v>69</v>
      </c>
      <c r="R386" s="1">
        <v>568.04999999999995</v>
      </c>
      <c r="S386" s="1" t="s">
        <v>46</v>
      </c>
      <c r="T386" s="1" t="s">
        <v>57</v>
      </c>
      <c r="U386" s="1" t="s">
        <v>35</v>
      </c>
      <c r="V386" s="1" t="s">
        <v>188</v>
      </c>
    </row>
    <row r="387" spans="1:22" x14ac:dyDescent="0.3">
      <c r="A387" s="1" t="s">
        <v>2154</v>
      </c>
      <c r="B387" s="1" t="s">
        <v>2155</v>
      </c>
      <c r="C387" s="1">
        <v>26</v>
      </c>
      <c r="D387" s="1" t="s">
        <v>2156</v>
      </c>
      <c r="E387" s="1" t="s">
        <v>95</v>
      </c>
      <c r="F387" s="2">
        <v>45051</v>
      </c>
      <c r="G387" s="2">
        <v>45385</v>
      </c>
      <c r="H387" s="1">
        <v>4</v>
      </c>
      <c r="I387" s="1" t="s">
        <v>64</v>
      </c>
      <c r="J387" s="1" t="s">
        <v>2010</v>
      </c>
      <c r="K387" s="1" t="s">
        <v>2157</v>
      </c>
      <c r="L387" s="1">
        <v>8</v>
      </c>
      <c r="M387" s="1">
        <v>18</v>
      </c>
      <c r="N387" s="1" t="s">
        <v>30</v>
      </c>
      <c r="O387" s="1" t="s">
        <v>373</v>
      </c>
      <c r="P387" s="1" t="s">
        <v>54</v>
      </c>
      <c r="Q387" s="1" t="s">
        <v>32</v>
      </c>
      <c r="R387" s="1">
        <v>548.32000000000005</v>
      </c>
      <c r="S387" s="1" t="s">
        <v>46</v>
      </c>
      <c r="T387" s="1" t="s">
        <v>57</v>
      </c>
      <c r="U387" s="1" t="s">
        <v>35</v>
      </c>
      <c r="V387" s="1" t="s">
        <v>71</v>
      </c>
    </row>
    <row r="388" spans="1:22" x14ac:dyDescent="0.3">
      <c r="A388" s="1" t="s">
        <v>2158</v>
      </c>
      <c r="B388" s="1" t="s">
        <v>2159</v>
      </c>
      <c r="C388" s="1">
        <v>34</v>
      </c>
      <c r="D388" s="1" t="s">
        <v>2160</v>
      </c>
      <c r="E388" s="1" t="s">
        <v>61</v>
      </c>
      <c r="F388" s="1" t="s">
        <v>2161</v>
      </c>
      <c r="G388" s="2">
        <v>44988</v>
      </c>
      <c r="H388" s="1">
        <v>3</v>
      </c>
      <c r="I388" s="1" t="s">
        <v>52</v>
      </c>
      <c r="J388" s="1" t="s">
        <v>2162</v>
      </c>
      <c r="K388" s="1" t="s">
        <v>2163</v>
      </c>
      <c r="L388" s="1">
        <v>8</v>
      </c>
      <c r="M388" s="1">
        <v>23</v>
      </c>
      <c r="N388" s="1" t="s">
        <v>30</v>
      </c>
      <c r="O388" s="1" t="s">
        <v>425</v>
      </c>
      <c r="P388" s="1" t="s">
        <v>30</v>
      </c>
      <c r="Q388" s="1" t="s">
        <v>69</v>
      </c>
      <c r="R388" s="1">
        <v>1547.44</v>
      </c>
      <c r="S388" s="1" t="s">
        <v>33</v>
      </c>
      <c r="T388" s="1" t="s">
        <v>57</v>
      </c>
      <c r="U388" s="1" t="s">
        <v>35</v>
      </c>
      <c r="V388" s="1" t="s">
        <v>36</v>
      </c>
    </row>
    <row r="389" spans="1:22" x14ac:dyDescent="0.3">
      <c r="A389" s="1" t="s">
        <v>2164</v>
      </c>
      <c r="B389" s="1" t="s">
        <v>2165</v>
      </c>
      <c r="C389" s="1">
        <v>44</v>
      </c>
      <c r="D389" s="1" t="s">
        <v>2166</v>
      </c>
      <c r="E389" s="1" t="s">
        <v>95</v>
      </c>
      <c r="F389" s="1" t="s">
        <v>2167</v>
      </c>
      <c r="G389" s="1" t="s">
        <v>1375</v>
      </c>
      <c r="H389" s="1">
        <v>5</v>
      </c>
      <c r="I389" s="1" t="s">
        <v>27</v>
      </c>
      <c r="J389" s="1" t="s">
        <v>2168</v>
      </c>
      <c r="K389" s="1" t="s">
        <v>2169</v>
      </c>
      <c r="L389" s="1">
        <v>6</v>
      </c>
      <c r="M389" s="1">
        <v>22</v>
      </c>
      <c r="N389" s="1" t="s">
        <v>45</v>
      </c>
      <c r="O389" s="1" t="s">
        <v>293</v>
      </c>
      <c r="P389" s="1" t="s">
        <v>45</v>
      </c>
      <c r="Q389" s="1" t="s">
        <v>69</v>
      </c>
      <c r="R389" s="1">
        <v>1660.2</v>
      </c>
      <c r="S389" s="1" t="s">
        <v>33</v>
      </c>
      <c r="T389" s="1" t="s">
        <v>34</v>
      </c>
      <c r="U389" s="1" t="s">
        <v>35</v>
      </c>
      <c r="V389" s="1" t="s">
        <v>188</v>
      </c>
    </row>
    <row r="390" spans="1:22" x14ac:dyDescent="0.3">
      <c r="A390" s="1" t="s">
        <v>2170</v>
      </c>
      <c r="B390" s="1" t="s">
        <v>2171</v>
      </c>
      <c r="C390" s="1">
        <v>61</v>
      </c>
      <c r="D390" s="1" t="s">
        <v>2172</v>
      </c>
      <c r="E390" s="1" t="s">
        <v>88</v>
      </c>
      <c r="F390" s="1" t="s">
        <v>153</v>
      </c>
      <c r="G390" s="1" t="s">
        <v>2173</v>
      </c>
      <c r="H390" s="1">
        <v>0</v>
      </c>
      <c r="I390" s="1" t="s">
        <v>52</v>
      </c>
      <c r="J390" s="1" t="s">
        <v>2174</v>
      </c>
      <c r="K390" s="1" t="s">
        <v>2175</v>
      </c>
      <c r="L390" s="1">
        <v>2</v>
      </c>
      <c r="M390" s="1">
        <v>12</v>
      </c>
      <c r="N390" s="1" t="s">
        <v>54</v>
      </c>
      <c r="O390" s="1" t="s">
        <v>251</v>
      </c>
      <c r="P390" s="1" t="s">
        <v>30</v>
      </c>
      <c r="Q390" s="1" t="s">
        <v>69</v>
      </c>
      <c r="R390" s="1">
        <v>103.66</v>
      </c>
      <c r="S390" s="1" t="s">
        <v>46</v>
      </c>
      <c r="T390" s="1" t="s">
        <v>47</v>
      </c>
      <c r="U390" s="1" t="s">
        <v>101</v>
      </c>
      <c r="V390" s="1" t="s">
        <v>36</v>
      </c>
    </row>
    <row r="391" spans="1:22" x14ac:dyDescent="0.3">
      <c r="A391" s="1" t="s">
        <v>2176</v>
      </c>
      <c r="B391" s="1" t="s">
        <v>2177</v>
      </c>
      <c r="C391" s="1">
        <v>46</v>
      </c>
      <c r="D391" s="1" t="s">
        <v>2178</v>
      </c>
      <c r="E391" s="1" t="s">
        <v>95</v>
      </c>
      <c r="F391" s="1" t="s">
        <v>2179</v>
      </c>
      <c r="G391" s="1" t="s">
        <v>639</v>
      </c>
      <c r="H391" s="1">
        <v>1</v>
      </c>
      <c r="I391" s="1" t="s">
        <v>27</v>
      </c>
      <c r="J391" s="1" t="s">
        <v>973</v>
      </c>
      <c r="K391" s="1" t="s">
        <v>2180</v>
      </c>
      <c r="L391" s="1">
        <v>8</v>
      </c>
      <c r="M391" s="1">
        <v>33</v>
      </c>
      <c r="N391" s="1" t="s">
        <v>30</v>
      </c>
      <c r="O391" s="1" t="s">
        <v>135</v>
      </c>
      <c r="P391" s="1" t="s">
        <v>45</v>
      </c>
      <c r="Q391" s="1" t="s">
        <v>32</v>
      </c>
      <c r="R391" s="1">
        <v>1069.8399999999999</v>
      </c>
      <c r="S391" s="1" t="s">
        <v>46</v>
      </c>
      <c r="T391" s="1" t="s">
        <v>34</v>
      </c>
      <c r="U391" s="1" t="s">
        <v>35</v>
      </c>
      <c r="V391" s="1" t="s">
        <v>36</v>
      </c>
    </row>
    <row r="392" spans="1:22" x14ac:dyDescent="0.3">
      <c r="A392" s="1" t="s">
        <v>2181</v>
      </c>
      <c r="B392" s="1" t="s">
        <v>2182</v>
      </c>
      <c r="C392" s="1">
        <v>64</v>
      </c>
      <c r="D392" s="1" t="s">
        <v>2183</v>
      </c>
      <c r="E392" s="1" t="s">
        <v>95</v>
      </c>
      <c r="F392" s="2">
        <v>44774</v>
      </c>
      <c r="G392" s="2">
        <v>45783</v>
      </c>
      <c r="H392" s="1">
        <v>4</v>
      </c>
      <c r="I392" s="1" t="s">
        <v>64</v>
      </c>
      <c r="J392" s="2">
        <v>45241</v>
      </c>
      <c r="K392" s="1" t="s">
        <v>2184</v>
      </c>
      <c r="L392" s="1">
        <v>4</v>
      </c>
      <c r="M392" s="1">
        <v>34</v>
      </c>
      <c r="N392" s="1" t="s">
        <v>56</v>
      </c>
      <c r="O392" s="1" t="s">
        <v>199</v>
      </c>
      <c r="P392" s="1" t="s">
        <v>54</v>
      </c>
      <c r="Q392" s="1" t="s">
        <v>69</v>
      </c>
      <c r="R392" s="1">
        <v>209.76</v>
      </c>
      <c r="S392" s="1" t="s">
        <v>46</v>
      </c>
      <c r="T392" s="1" t="s">
        <v>47</v>
      </c>
      <c r="U392" s="1" t="s">
        <v>35</v>
      </c>
      <c r="V392" s="1" t="s">
        <v>71</v>
      </c>
    </row>
    <row r="393" spans="1:22" x14ac:dyDescent="0.3">
      <c r="A393" s="1" t="s">
        <v>2185</v>
      </c>
      <c r="B393" s="1" t="s">
        <v>2186</v>
      </c>
      <c r="C393" s="1">
        <v>60</v>
      </c>
      <c r="D393" s="1" t="s">
        <v>2187</v>
      </c>
      <c r="E393" s="1" t="s">
        <v>61</v>
      </c>
      <c r="F393" s="1" t="s">
        <v>2188</v>
      </c>
      <c r="G393" s="2">
        <v>45413</v>
      </c>
      <c r="H393" s="1">
        <v>0</v>
      </c>
      <c r="I393" s="1" t="s">
        <v>27</v>
      </c>
      <c r="J393" s="2">
        <v>45206</v>
      </c>
      <c r="K393" s="1" t="s">
        <v>2189</v>
      </c>
      <c r="L393" s="1">
        <v>1</v>
      </c>
      <c r="M393" s="1">
        <v>29</v>
      </c>
      <c r="N393" s="1" t="s">
        <v>56</v>
      </c>
      <c r="O393" s="1" t="s">
        <v>169</v>
      </c>
      <c r="P393" s="1" t="s">
        <v>30</v>
      </c>
      <c r="Q393" s="1" t="s">
        <v>32</v>
      </c>
      <c r="R393" s="1">
        <v>1499.71</v>
      </c>
      <c r="S393" s="1" t="s">
        <v>46</v>
      </c>
      <c r="T393" s="1" t="s">
        <v>47</v>
      </c>
      <c r="U393" s="1" t="s">
        <v>35</v>
      </c>
      <c r="V393" s="1" t="s">
        <v>36</v>
      </c>
    </row>
    <row r="394" spans="1:22" x14ac:dyDescent="0.3">
      <c r="A394" s="1" t="s">
        <v>2190</v>
      </c>
      <c r="B394" s="1" t="s">
        <v>2191</v>
      </c>
      <c r="C394" s="1">
        <v>66</v>
      </c>
      <c r="D394" s="1" t="s">
        <v>2192</v>
      </c>
      <c r="E394" s="1" t="s">
        <v>25</v>
      </c>
      <c r="F394" s="2">
        <v>44776</v>
      </c>
      <c r="G394" s="1" t="s">
        <v>393</v>
      </c>
      <c r="H394" s="1">
        <v>1</v>
      </c>
      <c r="I394" s="1" t="s">
        <v>64</v>
      </c>
      <c r="J394" s="1" t="s">
        <v>873</v>
      </c>
      <c r="K394" s="1" t="s">
        <v>2193</v>
      </c>
      <c r="L394" s="1">
        <v>3</v>
      </c>
      <c r="M394" s="1">
        <v>26</v>
      </c>
      <c r="N394" s="1" t="s">
        <v>68</v>
      </c>
      <c r="O394" s="1" t="s">
        <v>536</v>
      </c>
      <c r="P394" s="1" t="s">
        <v>68</v>
      </c>
      <c r="Q394" s="1" t="s">
        <v>69</v>
      </c>
      <c r="R394" s="1">
        <v>1688.52</v>
      </c>
      <c r="S394" s="1" t="s">
        <v>33</v>
      </c>
      <c r="T394" s="1" t="s">
        <v>232</v>
      </c>
      <c r="U394" s="1" t="s">
        <v>35</v>
      </c>
      <c r="V394" s="1" t="s">
        <v>71</v>
      </c>
    </row>
    <row r="395" spans="1:22" x14ac:dyDescent="0.3">
      <c r="A395" s="1" t="s">
        <v>2194</v>
      </c>
      <c r="B395" s="1" t="s">
        <v>2195</v>
      </c>
      <c r="C395" s="1">
        <v>62</v>
      </c>
      <c r="D395" s="1" t="s">
        <v>2196</v>
      </c>
      <c r="E395" s="1" t="s">
        <v>61</v>
      </c>
      <c r="F395" s="2">
        <v>44231</v>
      </c>
      <c r="G395" s="1" t="s">
        <v>249</v>
      </c>
      <c r="H395" s="1">
        <v>0</v>
      </c>
      <c r="I395" s="1" t="s">
        <v>27</v>
      </c>
      <c r="J395" s="1" t="s">
        <v>659</v>
      </c>
      <c r="K395" s="1" t="s">
        <v>2197</v>
      </c>
      <c r="L395" s="1">
        <v>1</v>
      </c>
      <c r="M395" s="1">
        <v>45</v>
      </c>
      <c r="N395" s="1" t="s">
        <v>68</v>
      </c>
      <c r="O395" s="1" t="s">
        <v>354</v>
      </c>
      <c r="P395" s="1" t="s">
        <v>45</v>
      </c>
      <c r="Q395" s="1" t="s">
        <v>32</v>
      </c>
      <c r="R395" s="1">
        <v>1366.86</v>
      </c>
      <c r="S395" s="1" t="s">
        <v>46</v>
      </c>
      <c r="T395" s="1" t="s">
        <v>47</v>
      </c>
      <c r="U395" s="1" t="s">
        <v>35</v>
      </c>
      <c r="V395" s="1" t="s">
        <v>36</v>
      </c>
    </row>
    <row r="396" spans="1:22" x14ac:dyDescent="0.3">
      <c r="A396" s="1" t="s">
        <v>2198</v>
      </c>
      <c r="B396" s="1" t="s">
        <v>2199</v>
      </c>
      <c r="C396" s="1">
        <v>43</v>
      </c>
      <c r="D396" s="1" t="s">
        <v>2200</v>
      </c>
      <c r="E396" s="1" t="s">
        <v>40</v>
      </c>
      <c r="F396" s="1" t="s">
        <v>2201</v>
      </c>
      <c r="G396" s="1" t="s">
        <v>646</v>
      </c>
      <c r="H396" s="1">
        <v>3</v>
      </c>
      <c r="I396" s="1" t="s">
        <v>27</v>
      </c>
      <c r="J396" s="1" t="s">
        <v>2202</v>
      </c>
      <c r="K396" s="1" t="s">
        <v>2203</v>
      </c>
      <c r="L396" s="1">
        <v>6</v>
      </c>
      <c r="M396" s="1">
        <v>38</v>
      </c>
      <c r="N396" s="1" t="s">
        <v>30</v>
      </c>
      <c r="O396" s="1" t="s">
        <v>199</v>
      </c>
      <c r="P396" s="1" t="s">
        <v>54</v>
      </c>
      <c r="Q396" s="1" t="s">
        <v>32</v>
      </c>
      <c r="R396" s="1">
        <v>1741.68</v>
      </c>
      <c r="S396" s="1" t="s">
        <v>46</v>
      </c>
      <c r="T396" s="1" t="s">
        <v>34</v>
      </c>
      <c r="U396" s="1" t="s">
        <v>35</v>
      </c>
      <c r="V396" s="1" t="s">
        <v>36</v>
      </c>
    </row>
    <row r="397" spans="1:22" x14ac:dyDescent="0.3">
      <c r="A397" s="1" t="s">
        <v>2204</v>
      </c>
      <c r="B397" s="1" t="s">
        <v>2205</v>
      </c>
      <c r="C397" s="1">
        <v>60</v>
      </c>
      <c r="D397" s="1" t="s">
        <v>2206</v>
      </c>
      <c r="E397" s="1" t="s">
        <v>61</v>
      </c>
      <c r="F397" s="1" t="s">
        <v>2207</v>
      </c>
      <c r="G397" s="1" t="s">
        <v>2208</v>
      </c>
      <c r="H397" s="1">
        <v>1</v>
      </c>
      <c r="I397" s="1" t="s">
        <v>27</v>
      </c>
      <c r="J397" s="2">
        <v>45326</v>
      </c>
      <c r="K397" s="1" t="s">
        <v>2209</v>
      </c>
      <c r="L397" s="1">
        <v>9</v>
      </c>
      <c r="M397" s="1">
        <v>45</v>
      </c>
      <c r="N397" s="1" t="s">
        <v>54</v>
      </c>
      <c r="O397" s="1" t="s">
        <v>122</v>
      </c>
      <c r="P397" s="1" t="s">
        <v>30</v>
      </c>
      <c r="Q397" s="1" t="s">
        <v>69</v>
      </c>
      <c r="R397" s="1">
        <v>1210.77</v>
      </c>
      <c r="S397" s="1" t="s">
        <v>46</v>
      </c>
      <c r="T397" s="1" t="s">
        <v>47</v>
      </c>
      <c r="U397" s="1" t="s">
        <v>35</v>
      </c>
      <c r="V397" s="1" t="s">
        <v>36</v>
      </c>
    </row>
    <row r="398" spans="1:22" x14ac:dyDescent="0.3">
      <c r="A398" s="1" t="s">
        <v>2210</v>
      </c>
      <c r="B398" s="1" t="s">
        <v>2211</v>
      </c>
      <c r="C398" s="1">
        <v>52</v>
      </c>
      <c r="D398" s="1" t="s">
        <v>2212</v>
      </c>
      <c r="E398" s="1" t="s">
        <v>61</v>
      </c>
      <c r="F398" s="1" t="s">
        <v>2213</v>
      </c>
      <c r="G398" s="1" t="s">
        <v>1232</v>
      </c>
      <c r="H398" s="1">
        <v>0</v>
      </c>
      <c r="I398" s="1" t="s">
        <v>27</v>
      </c>
      <c r="J398" s="1" t="s">
        <v>1397</v>
      </c>
      <c r="K398" s="1" t="s">
        <v>2214</v>
      </c>
      <c r="L398" s="1">
        <v>2</v>
      </c>
      <c r="M398" s="1">
        <v>43</v>
      </c>
      <c r="N398" s="1" t="s">
        <v>30</v>
      </c>
      <c r="O398" s="1" t="s">
        <v>122</v>
      </c>
      <c r="P398" s="1" t="s">
        <v>30</v>
      </c>
      <c r="Q398" s="1" t="s">
        <v>32</v>
      </c>
      <c r="R398" s="1">
        <v>868.32</v>
      </c>
      <c r="S398" s="1" t="s">
        <v>33</v>
      </c>
      <c r="T398" s="1" t="s">
        <v>47</v>
      </c>
      <c r="U398" s="1" t="s">
        <v>35</v>
      </c>
      <c r="V398" s="1" t="s">
        <v>36</v>
      </c>
    </row>
    <row r="399" spans="1:22" x14ac:dyDescent="0.3">
      <c r="A399" s="1" t="s">
        <v>2215</v>
      </c>
      <c r="B399" s="1" t="s">
        <v>2216</v>
      </c>
      <c r="C399" s="1">
        <v>55</v>
      </c>
      <c r="D399" s="1" t="s">
        <v>2217</v>
      </c>
      <c r="E399" s="1" t="s">
        <v>25</v>
      </c>
      <c r="F399" s="1" t="s">
        <v>1031</v>
      </c>
      <c r="G399" s="1" t="s">
        <v>2218</v>
      </c>
      <c r="H399" s="1">
        <v>0</v>
      </c>
      <c r="I399" s="1" t="s">
        <v>64</v>
      </c>
      <c r="J399" s="1" t="s">
        <v>2219</v>
      </c>
      <c r="K399" s="1" t="s">
        <v>2220</v>
      </c>
      <c r="L399" s="1">
        <v>7</v>
      </c>
      <c r="M399" s="1">
        <v>2</v>
      </c>
      <c r="N399" s="1" t="s">
        <v>56</v>
      </c>
      <c r="O399" s="1" t="s">
        <v>142</v>
      </c>
      <c r="P399" s="1" t="s">
        <v>68</v>
      </c>
      <c r="Q399" s="1" t="s">
        <v>32</v>
      </c>
      <c r="R399" s="1">
        <v>314.23</v>
      </c>
      <c r="S399" s="1" t="s">
        <v>46</v>
      </c>
      <c r="T399" s="1" t="s">
        <v>47</v>
      </c>
      <c r="U399" s="1" t="s">
        <v>70</v>
      </c>
      <c r="V399" s="1" t="s">
        <v>71</v>
      </c>
    </row>
    <row r="400" spans="1:22" x14ac:dyDescent="0.3">
      <c r="A400" s="1" t="s">
        <v>2221</v>
      </c>
      <c r="B400" s="1" t="s">
        <v>2222</v>
      </c>
      <c r="C400" s="1">
        <v>63</v>
      </c>
      <c r="D400" s="1" t="s">
        <v>2223</v>
      </c>
      <c r="E400" s="1" t="s">
        <v>51</v>
      </c>
      <c r="F400" s="1" t="s">
        <v>2224</v>
      </c>
      <c r="G400" s="1" t="s">
        <v>2225</v>
      </c>
      <c r="H400" s="1">
        <v>0</v>
      </c>
      <c r="I400" s="1" t="s">
        <v>64</v>
      </c>
      <c r="J400" s="1" t="s">
        <v>2226</v>
      </c>
      <c r="K400" s="1" t="s">
        <v>2227</v>
      </c>
      <c r="L400" s="1">
        <v>7</v>
      </c>
      <c r="M400" s="1">
        <v>15</v>
      </c>
      <c r="N400" s="1" t="s">
        <v>56</v>
      </c>
      <c r="O400" s="1" t="s">
        <v>157</v>
      </c>
      <c r="P400" s="1" t="s">
        <v>68</v>
      </c>
      <c r="Q400" s="1" t="s">
        <v>322</v>
      </c>
      <c r="R400" s="1">
        <v>1107.33</v>
      </c>
      <c r="S400" s="1" t="s">
        <v>46</v>
      </c>
      <c r="T400" s="1" t="s">
        <v>47</v>
      </c>
      <c r="U400" s="1" t="s">
        <v>35</v>
      </c>
      <c r="V400" s="1" t="s">
        <v>71</v>
      </c>
    </row>
    <row r="401" spans="1:22" x14ac:dyDescent="0.3">
      <c r="A401" s="1" t="s">
        <v>2228</v>
      </c>
      <c r="B401" s="1" t="s">
        <v>2229</v>
      </c>
      <c r="C401" s="1">
        <v>43</v>
      </c>
      <c r="D401" s="1" t="s">
        <v>2230</v>
      </c>
      <c r="E401" s="1" t="s">
        <v>51</v>
      </c>
      <c r="F401" s="2">
        <v>44630</v>
      </c>
      <c r="G401" s="1" t="s">
        <v>186</v>
      </c>
      <c r="H401" s="1">
        <v>3</v>
      </c>
      <c r="I401" s="1" t="s">
        <v>52</v>
      </c>
      <c r="J401" s="1" t="s">
        <v>2231</v>
      </c>
      <c r="K401" s="1" t="s">
        <v>2232</v>
      </c>
      <c r="L401" s="1">
        <v>7</v>
      </c>
      <c r="M401" s="1">
        <v>17</v>
      </c>
      <c r="N401" s="1" t="s">
        <v>30</v>
      </c>
      <c r="O401" s="1" t="s">
        <v>624</v>
      </c>
      <c r="P401" s="1" t="s">
        <v>30</v>
      </c>
      <c r="Q401" s="1" t="s">
        <v>32</v>
      </c>
      <c r="R401" s="1">
        <v>913.22</v>
      </c>
      <c r="S401" s="1" t="s">
        <v>33</v>
      </c>
      <c r="T401" s="1" t="s">
        <v>34</v>
      </c>
      <c r="U401" s="1" t="s">
        <v>35</v>
      </c>
      <c r="V401" s="1" t="s">
        <v>36</v>
      </c>
    </row>
    <row r="402" spans="1:22" x14ac:dyDescent="0.3">
      <c r="A402" s="1" t="s">
        <v>2233</v>
      </c>
      <c r="B402" s="1" t="s">
        <v>2234</v>
      </c>
      <c r="C402" s="1">
        <v>68</v>
      </c>
      <c r="D402" s="1" t="s">
        <v>2235</v>
      </c>
      <c r="E402" s="1" t="s">
        <v>88</v>
      </c>
      <c r="F402" s="2">
        <v>44267</v>
      </c>
      <c r="G402" s="1" t="s">
        <v>2236</v>
      </c>
      <c r="H402" s="1">
        <v>5</v>
      </c>
      <c r="I402" s="1" t="s">
        <v>27</v>
      </c>
      <c r="J402" s="1" t="s">
        <v>1732</v>
      </c>
      <c r="K402" s="1" t="s">
        <v>2237</v>
      </c>
      <c r="L402" s="1">
        <v>4</v>
      </c>
      <c r="M402" s="1">
        <v>32</v>
      </c>
      <c r="N402" s="1" t="s">
        <v>68</v>
      </c>
      <c r="O402" s="1" t="s">
        <v>373</v>
      </c>
      <c r="P402" s="1" t="s">
        <v>54</v>
      </c>
      <c r="Q402" s="1" t="s">
        <v>32</v>
      </c>
      <c r="R402" s="1">
        <v>362</v>
      </c>
      <c r="S402" s="1" t="s">
        <v>46</v>
      </c>
      <c r="T402" s="1" t="s">
        <v>232</v>
      </c>
      <c r="U402" s="1" t="s">
        <v>35</v>
      </c>
      <c r="V402" s="1" t="s">
        <v>188</v>
      </c>
    </row>
    <row r="403" spans="1:22" x14ac:dyDescent="0.3">
      <c r="A403" s="1" t="s">
        <v>2238</v>
      </c>
      <c r="B403" s="1" t="s">
        <v>2239</v>
      </c>
      <c r="C403" s="1">
        <v>60</v>
      </c>
      <c r="D403" s="1" t="s">
        <v>2240</v>
      </c>
      <c r="E403" s="1" t="s">
        <v>51</v>
      </c>
      <c r="F403" s="2">
        <v>45268</v>
      </c>
      <c r="G403" s="1" t="s">
        <v>2241</v>
      </c>
      <c r="H403" s="1">
        <v>0</v>
      </c>
      <c r="I403" s="1" t="s">
        <v>52</v>
      </c>
      <c r="J403" s="2">
        <v>45755</v>
      </c>
      <c r="K403" s="1" t="s">
        <v>2242</v>
      </c>
      <c r="L403" s="1">
        <v>3</v>
      </c>
      <c r="M403" s="1">
        <v>25</v>
      </c>
      <c r="N403" s="1" t="s">
        <v>30</v>
      </c>
      <c r="O403" s="1" t="s">
        <v>175</v>
      </c>
      <c r="P403" s="1" t="s">
        <v>56</v>
      </c>
      <c r="Q403" s="1" t="s">
        <v>69</v>
      </c>
      <c r="R403" s="1">
        <v>397.65</v>
      </c>
      <c r="S403" s="1" t="s">
        <v>46</v>
      </c>
      <c r="T403" s="1" t="s">
        <v>47</v>
      </c>
      <c r="U403" s="1" t="s">
        <v>35</v>
      </c>
      <c r="V403" s="1" t="s">
        <v>36</v>
      </c>
    </row>
    <row r="404" spans="1:22" x14ac:dyDescent="0.3">
      <c r="A404" s="1" t="s">
        <v>2243</v>
      </c>
      <c r="B404" s="1" t="s">
        <v>2244</v>
      </c>
      <c r="C404" s="1">
        <v>27</v>
      </c>
      <c r="D404" s="1" t="s">
        <v>2245</v>
      </c>
      <c r="E404" s="1" t="s">
        <v>88</v>
      </c>
      <c r="F404" s="2">
        <v>44535</v>
      </c>
      <c r="G404" s="2">
        <v>45115</v>
      </c>
      <c r="H404" s="1">
        <v>2</v>
      </c>
      <c r="I404" s="1" t="s">
        <v>52</v>
      </c>
      <c r="J404" s="1" t="s">
        <v>961</v>
      </c>
      <c r="K404" s="1" t="s">
        <v>2246</v>
      </c>
      <c r="L404" s="1">
        <v>2</v>
      </c>
      <c r="M404" s="1">
        <v>25</v>
      </c>
      <c r="N404" s="1" t="s">
        <v>68</v>
      </c>
      <c r="O404" s="1" t="s">
        <v>245</v>
      </c>
      <c r="P404" s="1" t="s">
        <v>54</v>
      </c>
      <c r="Q404" s="1" t="s">
        <v>32</v>
      </c>
      <c r="R404" s="1">
        <v>630</v>
      </c>
      <c r="S404" s="1" t="s">
        <v>46</v>
      </c>
      <c r="T404" s="1" t="s">
        <v>57</v>
      </c>
      <c r="U404" s="1" t="s">
        <v>35</v>
      </c>
      <c r="V404" s="1" t="s">
        <v>36</v>
      </c>
    </row>
    <row r="405" spans="1:22" x14ac:dyDescent="0.3">
      <c r="A405" s="1" t="s">
        <v>2247</v>
      </c>
      <c r="B405" s="1" t="s">
        <v>2248</v>
      </c>
      <c r="C405" s="1">
        <v>31</v>
      </c>
      <c r="D405" s="1" t="s">
        <v>2249</v>
      </c>
      <c r="E405" s="1" t="s">
        <v>61</v>
      </c>
      <c r="F405" s="1" t="s">
        <v>2250</v>
      </c>
      <c r="G405" s="2">
        <v>44906</v>
      </c>
      <c r="H405" s="1">
        <v>0</v>
      </c>
      <c r="I405" s="1" t="s">
        <v>27</v>
      </c>
      <c r="J405" s="2">
        <v>45515</v>
      </c>
      <c r="K405" s="1" t="s">
        <v>2251</v>
      </c>
      <c r="L405" s="1">
        <v>6</v>
      </c>
      <c r="M405" s="1">
        <v>14</v>
      </c>
      <c r="N405" s="1" t="s">
        <v>54</v>
      </c>
      <c r="O405" s="1" t="s">
        <v>855</v>
      </c>
      <c r="P405" s="1" t="s">
        <v>45</v>
      </c>
      <c r="Q405" s="1" t="s">
        <v>69</v>
      </c>
      <c r="R405" s="1">
        <v>117</v>
      </c>
      <c r="S405" s="1" t="s">
        <v>46</v>
      </c>
      <c r="T405" s="1" t="s">
        <v>57</v>
      </c>
      <c r="U405" s="1" t="s">
        <v>101</v>
      </c>
      <c r="V405" s="1" t="s">
        <v>36</v>
      </c>
    </row>
    <row r="406" spans="1:22" x14ac:dyDescent="0.3">
      <c r="A406" s="1" t="s">
        <v>2252</v>
      </c>
      <c r="B406" s="1" t="s">
        <v>2253</v>
      </c>
      <c r="C406" s="1">
        <v>52</v>
      </c>
      <c r="D406" s="1" t="s">
        <v>2254</v>
      </c>
      <c r="E406" s="1" t="s">
        <v>61</v>
      </c>
      <c r="F406" s="2">
        <v>44875</v>
      </c>
      <c r="G406" s="1" t="s">
        <v>1200</v>
      </c>
      <c r="H406" s="1">
        <v>5</v>
      </c>
      <c r="I406" s="1" t="s">
        <v>27</v>
      </c>
      <c r="J406" s="1" t="s">
        <v>1132</v>
      </c>
      <c r="K406" s="1" t="s">
        <v>2255</v>
      </c>
      <c r="L406" s="1">
        <v>7</v>
      </c>
      <c r="M406" s="1">
        <v>4</v>
      </c>
      <c r="N406" s="1" t="s">
        <v>45</v>
      </c>
      <c r="O406" s="1" t="s">
        <v>128</v>
      </c>
      <c r="P406" s="1" t="s">
        <v>54</v>
      </c>
      <c r="Q406" s="1" t="s">
        <v>32</v>
      </c>
      <c r="R406" s="1">
        <v>521.42999999999995</v>
      </c>
      <c r="S406" s="1" t="s">
        <v>46</v>
      </c>
      <c r="T406" s="1" t="s">
        <v>47</v>
      </c>
      <c r="U406" s="1" t="s">
        <v>101</v>
      </c>
      <c r="V406" s="1" t="s">
        <v>188</v>
      </c>
    </row>
    <row r="407" spans="1:22" x14ac:dyDescent="0.3">
      <c r="A407" s="1" t="s">
        <v>2256</v>
      </c>
      <c r="B407" s="1" t="s">
        <v>2257</v>
      </c>
      <c r="C407" s="1">
        <v>40</v>
      </c>
      <c r="D407" s="1" t="s">
        <v>2258</v>
      </c>
      <c r="E407" s="1" t="s">
        <v>61</v>
      </c>
      <c r="F407" s="2">
        <v>43960</v>
      </c>
      <c r="G407" s="1" t="s">
        <v>900</v>
      </c>
      <c r="H407" s="1">
        <v>0</v>
      </c>
      <c r="I407" s="1" t="s">
        <v>64</v>
      </c>
      <c r="J407" s="1" t="s">
        <v>819</v>
      </c>
      <c r="K407" s="1" t="s">
        <v>2259</v>
      </c>
      <c r="L407" s="1">
        <v>3</v>
      </c>
      <c r="M407" s="1">
        <v>33</v>
      </c>
      <c r="N407" s="1" t="s">
        <v>56</v>
      </c>
      <c r="O407" s="1" t="s">
        <v>837</v>
      </c>
      <c r="P407" s="1" t="s">
        <v>56</v>
      </c>
      <c r="Q407" s="1" t="s">
        <v>69</v>
      </c>
      <c r="R407" s="1">
        <v>1618.23</v>
      </c>
      <c r="S407" s="1" t="s">
        <v>33</v>
      </c>
      <c r="T407" s="1" t="s">
        <v>34</v>
      </c>
      <c r="U407" s="1" t="s">
        <v>35</v>
      </c>
      <c r="V407" s="1" t="s">
        <v>71</v>
      </c>
    </row>
    <row r="408" spans="1:22" x14ac:dyDescent="0.3">
      <c r="A408" s="1" t="s">
        <v>2260</v>
      </c>
      <c r="B408" s="1" t="s">
        <v>2261</v>
      </c>
      <c r="C408" s="1">
        <v>66</v>
      </c>
      <c r="D408" s="1" t="s">
        <v>2262</v>
      </c>
      <c r="E408" s="1" t="s">
        <v>40</v>
      </c>
      <c r="F408" s="2">
        <v>45238</v>
      </c>
      <c r="G408" s="2">
        <v>45750</v>
      </c>
      <c r="H408" s="1">
        <v>2</v>
      </c>
      <c r="I408" s="1" t="s">
        <v>27</v>
      </c>
      <c r="J408" s="2">
        <v>45600</v>
      </c>
      <c r="K408" s="1" t="s">
        <v>2263</v>
      </c>
      <c r="L408" s="1">
        <v>7</v>
      </c>
      <c r="M408" s="1">
        <v>19</v>
      </c>
      <c r="N408" s="1" t="s">
        <v>45</v>
      </c>
      <c r="O408" s="1" t="s">
        <v>223</v>
      </c>
      <c r="P408" s="1" t="s">
        <v>56</v>
      </c>
      <c r="Q408" s="1" t="s">
        <v>32</v>
      </c>
      <c r="R408" s="1">
        <v>707.14</v>
      </c>
      <c r="S408" s="1" t="s">
        <v>46</v>
      </c>
      <c r="T408" s="1" t="s">
        <v>232</v>
      </c>
      <c r="U408" s="1" t="s">
        <v>35</v>
      </c>
      <c r="V408" s="1" t="s">
        <v>36</v>
      </c>
    </row>
    <row r="409" spans="1:22" x14ac:dyDescent="0.3">
      <c r="A409" s="1" t="s">
        <v>2264</v>
      </c>
      <c r="B409" s="1" t="s">
        <v>2265</v>
      </c>
      <c r="C409" s="1">
        <v>22</v>
      </c>
      <c r="D409" s="1" t="s">
        <v>2266</v>
      </c>
      <c r="E409" s="1" t="s">
        <v>95</v>
      </c>
      <c r="F409" s="2">
        <v>44868</v>
      </c>
      <c r="G409" s="1" t="s">
        <v>2267</v>
      </c>
      <c r="H409" s="1">
        <v>2</v>
      </c>
      <c r="I409" s="1" t="s">
        <v>52</v>
      </c>
      <c r="J409" s="1" t="s">
        <v>797</v>
      </c>
      <c r="K409" s="1" t="s">
        <v>2268</v>
      </c>
      <c r="L409" s="1">
        <v>1</v>
      </c>
      <c r="M409" s="1">
        <v>6</v>
      </c>
      <c r="N409" s="1" t="s">
        <v>68</v>
      </c>
      <c r="O409" s="1" t="s">
        <v>211</v>
      </c>
      <c r="P409" s="1" t="s">
        <v>68</v>
      </c>
      <c r="Q409" s="1" t="s">
        <v>32</v>
      </c>
      <c r="R409" s="1">
        <v>1263.8</v>
      </c>
      <c r="S409" s="1" t="s">
        <v>33</v>
      </c>
      <c r="T409" s="1" t="s">
        <v>100</v>
      </c>
      <c r="U409" s="1" t="s">
        <v>35</v>
      </c>
      <c r="V409" s="1" t="s">
        <v>36</v>
      </c>
    </row>
    <row r="410" spans="1:22" x14ac:dyDescent="0.3">
      <c r="A410" s="1" t="s">
        <v>2269</v>
      </c>
      <c r="B410" s="1" t="s">
        <v>2270</v>
      </c>
      <c r="C410" s="1">
        <v>56</v>
      </c>
      <c r="D410" s="1" t="s">
        <v>2271</v>
      </c>
      <c r="E410" s="1" t="s">
        <v>40</v>
      </c>
      <c r="F410" s="2">
        <v>45080</v>
      </c>
      <c r="G410" s="1" t="s">
        <v>1268</v>
      </c>
      <c r="H410" s="1">
        <v>0</v>
      </c>
      <c r="I410" s="1" t="s">
        <v>27</v>
      </c>
      <c r="J410" s="1" t="s">
        <v>1696</v>
      </c>
      <c r="K410" s="1" t="s">
        <v>2272</v>
      </c>
      <c r="L410" s="1">
        <v>3</v>
      </c>
      <c r="M410" s="1">
        <v>44</v>
      </c>
      <c r="N410" s="1" t="s">
        <v>45</v>
      </c>
      <c r="O410" s="1" t="s">
        <v>157</v>
      </c>
      <c r="P410" s="1" t="s">
        <v>68</v>
      </c>
      <c r="Q410" s="1" t="s">
        <v>69</v>
      </c>
      <c r="R410" s="1">
        <v>1929.72</v>
      </c>
      <c r="S410" s="1" t="s">
        <v>46</v>
      </c>
      <c r="T410" s="1" t="s">
        <v>47</v>
      </c>
      <c r="U410" s="1" t="s">
        <v>35</v>
      </c>
      <c r="V410" s="1" t="s">
        <v>36</v>
      </c>
    </row>
    <row r="411" spans="1:22" x14ac:dyDescent="0.3">
      <c r="A411" s="1" t="s">
        <v>2273</v>
      </c>
      <c r="B411" s="1" t="s">
        <v>2274</v>
      </c>
      <c r="C411" s="1">
        <v>61</v>
      </c>
      <c r="D411" s="1" t="s">
        <v>2275</v>
      </c>
      <c r="E411" s="1" t="s">
        <v>40</v>
      </c>
      <c r="F411" s="1" t="s">
        <v>2276</v>
      </c>
      <c r="G411" s="2">
        <v>45840</v>
      </c>
      <c r="H411" s="1">
        <v>5</v>
      </c>
      <c r="I411" s="1" t="s">
        <v>64</v>
      </c>
      <c r="J411" s="1" t="s">
        <v>467</v>
      </c>
      <c r="K411" s="1" t="s">
        <v>2277</v>
      </c>
      <c r="L411" s="1">
        <v>8</v>
      </c>
      <c r="M411" s="1">
        <v>7</v>
      </c>
      <c r="N411" s="1" t="s">
        <v>54</v>
      </c>
      <c r="O411" s="1" t="s">
        <v>354</v>
      </c>
      <c r="P411" s="1" t="s">
        <v>45</v>
      </c>
      <c r="Q411" s="1" t="s">
        <v>32</v>
      </c>
      <c r="R411" s="1">
        <v>1738.32</v>
      </c>
      <c r="S411" s="1" t="s">
        <v>46</v>
      </c>
      <c r="T411" s="1" t="s">
        <v>47</v>
      </c>
      <c r="U411" s="1" t="s">
        <v>35</v>
      </c>
      <c r="V411" s="1" t="s">
        <v>71</v>
      </c>
    </row>
    <row r="412" spans="1:22" x14ac:dyDescent="0.3">
      <c r="A412" s="1" t="s">
        <v>2278</v>
      </c>
      <c r="B412" s="1" t="s">
        <v>2279</v>
      </c>
      <c r="C412" s="1">
        <v>61</v>
      </c>
      <c r="D412" s="1" t="s">
        <v>2280</v>
      </c>
      <c r="E412" s="1" t="s">
        <v>88</v>
      </c>
      <c r="F412" s="1" t="s">
        <v>1635</v>
      </c>
      <c r="G412" s="2">
        <v>44571</v>
      </c>
      <c r="H412" s="1">
        <v>5</v>
      </c>
      <c r="I412" s="1" t="s">
        <v>27</v>
      </c>
      <c r="J412" s="1" t="s">
        <v>2281</v>
      </c>
      <c r="K412" s="1" t="s">
        <v>2282</v>
      </c>
      <c r="L412" s="1">
        <v>8</v>
      </c>
      <c r="M412" s="1">
        <v>1</v>
      </c>
      <c r="N412" s="1" t="s">
        <v>30</v>
      </c>
      <c r="O412" s="1" t="s">
        <v>610</v>
      </c>
      <c r="P412" s="1" t="s">
        <v>68</v>
      </c>
      <c r="Q412" s="1" t="s">
        <v>69</v>
      </c>
      <c r="R412" s="1">
        <v>758.32</v>
      </c>
      <c r="S412" s="1" t="s">
        <v>46</v>
      </c>
      <c r="T412" s="1" t="s">
        <v>47</v>
      </c>
      <c r="U412" s="1" t="s">
        <v>101</v>
      </c>
      <c r="V412" s="1" t="s">
        <v>188</v>
      </c>
    </row>
    <row r="413" spans="1:22" x14ac:dyDescent="0.3">
      <c r="A413" s="1" t="s">
        <v>2283</v>
      </c>
      <c r="B413" s="1" t="s">
        <v>2284</v>
      </c>
      <c r="C413" s="1">
        <v>64</v>
      </c>
      <c r="D413" s="1" t="s">
        <v>2285</v>
      </c>
      <c r="E413" s="1" t="s">
        <v>88</v>
      </c>
      <c r="F413" s="1" t="s">
        <v>383</v>
      </c>
      <c r="G413" s="2">
        <v>45999</v>
      </c>
      <c r="H413" s="1">
        <v>0</v>
      </c>
      <c r="I413" s="1" t="s">
        <v>27</v>
      </c>
      <c r="J413" s="2">
        <v>45604</v>
      </c>
      <c r="K413" s="1" t="s">
        <v>2286</v>
      </c>
      <c r="L413" s="1">
        <v>5</v>
      </c>
      <c r="M413" s="1">
        <v>23</v>
      </c>
      <c r="N413" s="1" t="s">
        <v>68</v>
      </c>
      <c r="O413" s="1" t="s">
        <v>91</v>
      </c>
      <c r="P413" s="1" t="s">
        <v>54</v>
      </c>
      <c r="Q413" s="1" t="s">
        <v>32</v>
      </c>
      <c r="R413" s="1">
        <v>1529</v>
      </c>
      <c r="S413" s="1" t="s">
        <v>46</v>
      </c>
      <c r="T413" s="1" t="s">
        <v>47</v>
      </c>
      <c r="U413" s="1" t="s">
        <v>35</v>
      </c>
      <c r="V413" s="1" t="s">
        <v>36</v>
      </c>
    </row>
    <row r="414" spans="1:22" x14ac:dyDescent="0.3">
      <c r="A414" s="1" t="s">
        <v>2287</v>
      </c>
      <c r="B414" s="1" t="s">
        <v>2288</v>
      </c>
      <c r="C414" s="1">
        <v>65</v>
      </c>
      <c r="D414" s="1" t="s">
        <v>2289</v>
      </c>
      <c r="E414" s="1" t="s">
        <v>51</v>
      </c>
      <c r="F414" s="2">
        <v>44144</v>
      </c>
      <c r="G414" s="2">
        <v>45846</v>
      </c>
      <c r="H414" s="1">
        <v>3</v>
      </c>
      <c r="I414" s="1" t="s">
        <v>27</v>
      </c>
      <c r="J414" s="1" t="s">
        <v>415</v>
      </c>
      <c r="K414" s="1" t="s">
        <v>2290</v>
      </c>
      <c r="L414" s="1">
        <v>4</v>
      </c>
      <c r="M414" s="1">
        <v>18</v>
      </c>
      <c r="N414" s="1" t="s">
        <v>30</v>
      </c>
      <c r="O414" s="1" t="s">
        <v>128</v>
      </c>
      <c r="P414" s="1" t="s">
        <v>54</v>
      </c>
      <c r="Q414" s="1" t="s">
        <v>32</v>
      </c>
      <c r="R414" s="1">
        <v>164.32</v>
      </c>
      <c r="S414" s="1" t="s">
        <v>46</v>
      </c>
      <c r="T414" s="1" t="s">
        <v>232</v>
      </c>
      <c r="U414" s="1" t="s">
        <v>35</v>
      </c>
      <c r="V414" s="1" t="s">
        <v>36</v>
      </c>
    </row>
    <row r="415" spans="1:22" x14ac:dyDescent="0.3">
      <c r="A415" s="1" t="s">
        <v>2291</v>
      </c>
      <c r="B415" s="1" t="s">
        <v>2292</v>
      </c>
      <c r="C415" s="1">
        <v>58</v>
      </c>
      <c r="D415" s="1" t="s">
        <v>2293</v>
      </c>
      <c r="E415" s="1" t="s">
        <v>61</v>
      </c>
      <c r="F415" s="1" t="s">
        <v>2294</v>
      </c>
      <c r="G415" s="2">
        <v>45393</v>
      </c>
      <c r="H415" s="1">
        <v>1</v>
      </c>
      <c r="I415" s="1" t="s">
        <v>27</v>
      </c>
      <c r="J415" s="2">
        <v>45234</v>
      </c>
      <c r="K415" s="1" t="s">
        <v>2295</v>
      </c>
      <c r="L415" s="1">
        <v>8</v>
      </c>
      <c r="M415" s="1">
        <v>29</v>
      </c>
      <c r="N415" s="1" t="s">
        <v>30</v>
      </c>
      <c r="O415" s="1" t="s">
        <v>231</v>
      </c>
      <c r="P415" s="1" t="s">
        <v>30</v>
      </c>
      <c r="Q415" s="1" t="s">
        <v>69</v>
      </c>
      <c r="R415" s="1">
        <v>1246.72</v>
      </c>
      <c r="S415" s="1" t="s">
        <v>33</v>
      </c>
      <c r="T415" s="1" t="s">
        <v>47</v>
      </c>
      <c r="U415" s="1" t="s">
        <v>35</v>
      </c>
      <c r="V415" s="1" t="s">
        <v>36</v>
      </c>
    </row>
    <row r="416" spans="1:22" x14ac:dyDescent="0.3">
      <c r="A416" s="1" t="s">
        <v>2296</v>
      </c>
      <c r="B416" s="1" t="s">
        <v>2297</v>
      </c>
      <c r="C416" s="1">
        <v>33</v>
      </c>
      <c r="D416" s="1" t="s">
        <v>2298</v>
      </c>
      <c r="E416" s="1" t="s">
        <v>95</v>
      </c>
      <c r="F416" s="2">
        <v>45175</v>
      </c>
      <c r="G416" s="1" t="s">
        <v>2299</v>
      </c>
      <c r="H416" s="1">
        <v>2</v>
      </c>
      <c r="I416" s="1" t="s">
        <v>27</v>
      </c>
      <c r="J416" s="1" t="s">
        <v>2300</v>
      </c>
      <c r="K416" s="1" t="s">
        <v>2301</v>
      </c>
      <c r="L416" s="1">
        <v>3</v>
      </c>
      <c r="M416" s="1">
        <v>31</v>
      </c>
      <c r="N416" s="1" t="s">
        <v>54</v>
      </c>
      <c r="O416" s="1" t="s">
        <v>99</v>
      </c>
      <c r="P416" s="1" t="s">
        <v>56</v>
      </c>
      <c r="Q416" s="1" t="s">
        <v>69</v>
      </c>
      <c r="R416" s="1">
        <v>1230.48</v>
      </c>
      <c r="S416" s="1" t="s">
        <v>46</v>
      </c>
      <c r="T416" s="1" t="s">
        <v>57</v>
      </c>
      <c r="U416" s="1" t="s">
        <v>35</v>
      </c>
      <c r="V416" s="1" t="s">
        <v>36</v>
      </c>
    </row>
    <row r="417" spans="1:22" x14ac:dyDescent="0.3">
      <c r="A417" s="1" t="s">
        <v>2302</v>
      </c>
      <c r="B417" s="1" t="s">
        <v>2303</v>
      </c>
      <c r="C417" s="1">
        <v>24</v>
      </c>
      <c r="D417" s="1" t="s">
        <v>2304</v>
      </c>
      <c r="E417" s="1" t="s">
        <v>88</v>
      </c>
      <c r="F417" s="2">
        <v>44839</v>
      </c>
      <c r="G417" s="2">
        <v>45602</v>
      </c>
      <c r="H417" s="1">
        <v>1</v>
      </c>
      <c r="I417" s="1" t="s">
        <v>27</v>
      </c>
      <c r="J417" s="2">
        <v>45211</v>
      </c>
      <c r="K417" s="1" t="s">
        <v>2305</v>
      </c>
      <c r="L417" s="1">
        <v>3</v>
      </c>
      <c r="M417" s="1">
        <v>32</v>
      </c>
      <c r="N417" s="1" t="s">
        <v>56</v>
      </c>
      <c r="O417" s="1" t="s">
        <v>175</v>
      </c>
      <c r="P417" s="1" t="s">
        <v>56</v>
      </c>
      <c r="Q417" s="1" t="s">
        <v>32</v>
      </c>
      <c r="R417" s="1">
        <v>1051.44</v>
      </c>
      <c r="S417" s="1" t="s">
        <v>33</v>
      </c>
      <c r="T417" s="1" t="s">
        <v>100</v>
      </c>
      <c r="U417" s="1" t="s">
        <v>35</v>
      </c>
      <c r="V417" s="1" t="s">
        <v>36</v>
      </c>
    </row>
    <row r="418" spans="1:22" x14ac:dyDescent="0.3">
      <c r="A418" s="1" t="s">
        <v>2306</v>
      </c>
      <c r="B418" s="1" t="s">
        <v>2307</v>
      </c>
      <c r="C418" s="1">
        <v>62</v>
      </c>
      <c r="D418" s="1" t="s">
        <v>2308</v>
      </c>
      <c r="E418" s="1" t="s">
        <v>51</v>
      </c>
      <c r="F418" s="1" t="s">
        <v>1036</v>
      </c>
      <c r="G418" s="2">
        <v>45566</v>
      </c>
      <c r="H418" s="1">
        <v>0</v>
      </c>
      <c r="I418" s="1" t="s">
        <v>27</v>
      </c>
      <c r="J418" s="2">
        <v>45141</v>
      </c>
      <c r="K418" s="1" t="s">
        <v>2309</v>
      </c>
      <c r="L418" s="1">
        <v>8</v>
      </c>
      <c r="M418" s="1">
        <v>32</v>
      </c>
      <c r="N418" s="1" t="s">
        <v>56</v>
      </c>
      <c r="O418" s="1" t="s">
        <v>157</v>
      </c>
      <c r="P418" s="1" t="s">
        <v>68</v>
      </c>
      <c r="Q418" s="1" t="s">
        <v>69</v>
      </c>
      <c r="R418" s="1">
        <v>1733.12</v>
      </c>
      <c r="S418" s="1" t="s">
        <v>46</v>
      </c>
      <c r="T418" s="1" t="s">
        <v>47</v>
      </c>
      <c r="U418" s="1" t="s">
        <v>35</v>
      </c>
      <c r="V418" s="1" t="s">
        <v>36</v>
      </c>
    </row>
    <row r="419" spans="1:22" x14ac:dyDescent="0.3">
      <c r="A419" s="1" t="s">
        <v>2310</v>
      </c>
      <c r="B419" s="1" t="s">
        <v>2311</v>
      </c>
      <c r="C419" s="1">
        <v>42</v>
      </c>
      <c r="D419" s="1" t="s">
        <v>2312</v>
      </c>
      <c r="E419" s="1" t="s">
        <v>61</v>
      </c>
      <c r="F419" s="1" t="s">
        <v>2313</v>
      </c>
      <c r="G419" s="2">
        <v>45907</v>
      </c>
      <c r="H419" s="1">
        <v>4</v>
      </c>
      <c r="I419" s="1" t="s">
        <v>27</v>
      </c>
      <c r="J419" s="1" t="s">
        <v>2314</v>
      </c>
      <c r="K419" s="1" t="s">
        <v>2315</v>
      </c>
      <c r="L419" s="1">
        <v>6</v>
      </c>
      <c r="M419" s="1">
        <v>11</v>
      </c>
      <c r="N419" s="1" t="s">
        <v>68</v>
      </c>
      <c r="O419" s="1" t="s">
        <v>142</v>
      </c>
      <c r="P419" s="1" t="s">
        <v>68</v>
      </c>
      <c r="Q419" s="1" t="s">
        <v>69</v>
      </c>
      <c r="R419" s="1">
        <v>451.2</v>
      </c>
      <c r="S419" s="1" t="s">
        <v>33</v>
      </c>
      <c r="T419" s="1" t="s">
        <v>34</v>
      </c>
      <c r="U419" s="1" t="s">
        <v>35</v>
      </c>
      <c r="V419" s="1" t="s">
        <v>188</v>
      </c>
    </row>
    <row r="420" spans="1:22" x14ac:dyDescent="0.3">
      <c r="A420" s="1" t="s">
        <v>2316</v>
      </c>
      <c r="B420" s="1" t="s">
        <v>2317</v>
      </c>
      <c r="C420" s="1">
        <v>22</v>
      </c>
      <c r="D420" s="1" t="s">
        <v>2318</v>
      </c>
      <c r="E420" s="1" t="s">
        <v>95</v>
      </c>
      <c r="F420" s="2">
        <v>45111</v>
      </c>
      <c r="G420" s="2">
        <v>45876</v>
      </c>
      <c r="H420" s="1">
        <v>3</v>
      </c>
      <c r="I420" s="1" t="s">
        <v>27</v>
      </c>
      <c r="J420" s="2">
        <v>45394</v>
      </c>
      <c r="K420" s="1" t="s">
        <v>2319</v>
      </c>
      <c r="L420" s="1">
        <v>7</v>
      </c>
      <c r="M420" s="1">
        <v>4</v>
      </c>
      <c r="N420" s="1" t="s">
        <v>45</v>
      </c>
      <c r="O420" s="1" t="s">
        <v>821</v>
      </c>
      <c r="P420" s="1" t="s">
        <v>68</v>
      </c>
      <c r="Q420" s="1" t="s">
        <v>32</v>
      </c>
      <c r="R420" s="1">
        <v>119.63</v>
      </c>
      <c r="S420" s="1" t="s">
        <v>46</v>
      </c>
      <c r="T420" s="1" t="s">
        <v>100</v>
      </c>
      <c r="U420" s="1" t="s">
        <v>70</v>
      </c>
      <c r="V420" s="1" t="s">
        <v>36</v>
      </c>
    </row>
    <row r="421" spans="1:22" x14ac:dyDescent="0.3">
      <c r="A421" s="1" t="s">
        <v>2320</v>
      </c>
      <c r="B421" s="1" t="s">
        <v>2321</v>
      </c>
      <c r="C421" s="1">
        <v>65</v>
      </c>
      <c r="D421" s="1" t="s">
        <v>2322</v>
      </c>
      <c r="E421" s="1" t="s">
        <v>25</v>
      </c>
      <c r="F421" s="2">
        <v>44715</v>
      </c>
      <c r="G421" s="1" t="s">
        <v>2323</v>
      </c>
      <c r="H421" s="1">
        <v>1</v>
      </c>
      <c r="I421" s="1" t="s">
        <v>64</v>
      </c>
      <c r="J421" s="2">
        <v>45872</v>
      </c>
      <c r="K421" s="1" t="s">
        <v>2324</v>
      </c>
      <c r="L421" s="1">
        <v>9</v>
      </c>
      <c r="M421" s="1">
        <v>31</v>
      </c>
      <c r="N421" s="1" t="s">
        <v>45</v>
      </c>
      <c r="O421" s="1" t="s">
        <v>175</v>
      </c>
      <c r="P421" s="1" t="s">
        <v>56</v>
      </c>
      <c r="Q421" s="1" t="s">
        <v>32</v>
      </c>
      <c r="R421" s="1">
        <v>37.979999999999997</v>
      </c>
      <c r="S421" s="1" t="s">
        <v>46</v>
      </c>
      <c r="T421" s="1" t="s">
        <v>232</v>
      </c>
      <c r="U421" s="1" t="s">
        <v>101</v>
      </c>
      <c r="V421" s="1" t="s">
        <v>71</v>
      </c>
    </row>
    <row r="422" spans="1:22" x14ac:dyDescent="0.3">
      <c r="A422" s="1" t="s">
        <v>2325</v>
      </c>
      <c r="B422" s="1" t="s">
        <v>2326</v>
      </c>
      <c r="C422" s="1">
        <v>39</v>
      </c>
      <c r="D422" s="1" t="s">
        <v>2327</v>
      </c>
      <c r="E422" s="1" t="s">
        <v>25</v>
      </c>
      <c r="F422" s="2">
        <v>44288</v>
      </c>
      <c r="G422" s="1" t="s">
        <v>1552</v>
      </c>
      <c r="H422" s="1">
        <v>4</v>
      </c>
      <c r="I422" s="1" t="s">
        <v>64</v>
      </c>
      <c r="J422" s="1" t="s">
        <v>2294</v>
      </c>
      <c r="K422" s="1" t="s">
        <v>2328</v>
      </c>
      <c r="L422" s="1">
        <v>2</v>
      </c>
      <c r="M422" s="1">
        <v>35</v>
      </c>
      <c r="N422" s="1" t="s">
        <v>56</v>
      </c>
      <c r="O422" s="1" t="s">
        <v>211</v>
      </c>
      <c r="P422" s="1" t="s">
        <v>68</v>
      </c>
      <c r="Q422" s="1" t="s">
        <v>322</v>
      </c>
      <c r="R422" s="1">
        <v>179.34</v>
      </c>
      <c r="S422" s="1" t="s">
        <v>46</v>
      </c>
      <c r="T422" s="1" t="s">
        <v>34</v>
      </c>
      <c r="U422" s="1" t="s">
        <v>35</v>
      </c>
      <c r="V422" s="1" t="s">
        <v>71</v>
      </c>
    </row>
    <row r="423" spans="1:22" x14ac:dyDescent="0.3">
      <c r="A423" s="1" t="s">
        <v>2329</v>
      </c>
      <c r="B423" s="1" t="s">
        <v>2330</v>
      </c>
      <c r="C423" s="1">
        <v>37</v>
      </c>
      <c r="D423" s="1" t="s">
        <v>2331</v>
      </c>
      <c r="E423" s="1" t="s">
        <v>40</v>
      </c>
      <c r="F423" s="1" t="s">
        <v>1375</v>
      </c>
      <c r="G423" s="1" t="s">
        <v>2332</v>
      </c>
      <c r="H423" s="1">
        <v>2</v>
      </c>
      <c r="I423" s="1" t="s">
        <v>27</v>
      </c>
      <c r="J423" s="1" t="s">
        <v>42</v>
      </c>
      <c r="K423" s="1" t="s">
        <v>2333</v>
      </c>
      <c r="L423" s="1">
        <v>4</v>
      </c>
      <c r="M423" s="1">
        <v>11</v>
      </c>
      <c r="N423" s="1" t="s">
        <v>68</v>
      </c>
      <c r="O423" s="1" t="s">
        <v>135</v>
      </c>
      <c r="P423" s="1" t="s">
        <v>45</v>
      </c>
      <c r="Q423" s="1" t="s">
        <v>69</v>
      </c>
      <c r="R423" s="1">
        <v>230.88</v>
      </c>
      <c r="S423" s="1" t="s">
        <v>46</v>
      </c>
      <c r="T423" s="1" t="s">
        <v>34</v>
      </c>
      <c r="U423" s="1" t="s">
        <v>35</v>
      </c>
      <c r="V423" s="1" t="s">
        <v>36</v>
      </c>
    </row>
    <row r="424" spans="1:22" x14ac:dyDescent="0.3">
      <c r="A424" s="1" t="s">
        <v>2334</v>
      </c>
      <c r="B424" s="1" t="s">
        <v>2335</v>
      </c>
      <c r="C424" s="1">
        <v>40</v>
      </c>
      <c r="D424" s="1" t="s">
        <v>2336</v>
      </c>
      <c r="E424" s="1" t="s">
        <v>88</v>
      </c>
      <c r="F424" s="2">
        <v>44748</v>
      </c>
      <c r="G424" s="1" t="s">
        <v>2337</v>
      </c>
      <c r="H424" s="1">
        <v>1</v>
      </c>
      <c r="I424" s="1" t="s">
        <v>27</v>
      </c>
      <c r="J424" s="2">
        <v>45179</v>
      </c>
      <c r="K424" s="1" t="s">
        <v>2338</v>
      </c>
      <c r="L424" s="1">
        <v>5</v>
      </c>
      <c r="M424" s="1">
        <v>32</v>
      </c>
      <c r="N424" s="1" t="s">
        <v>56</v>
      </c>
      <c r="O424" s="1" t="s">
        <v>99</v>
      </c>
      <c r="P424" s="1" t="s">
        <v>56</v>
      </c>
      <c r="Q424" s="1" t="s">
        <v>32</v>
      </c>
      <c r="R424" s="1">
        <v>1441.3</v>
      </c>
      <c r="S424" s="1" t="s">
        <v>33</v>
      </c>
      <c r="T424" s="1" t="s">
        <v>34</v>
      </c>
      <c r="U424" s="1" t="s">
        <v>35</v>
      </c>
      <c r="V424" s="1" t="s">
        <v>36</v>
      </c>
    </row>
    <row r="425" spans="1:22" x14ac:dyDescent="0.3">
      <c r="A425" s="1" t="s">
        <v>2339</v>
      </c>
      <c r="B425" s="1" t="s">
        <v>2340</v>
      </c>
      <c r="C425" s="1">
        <v>21</v>
      </c>
      <c r="D425" s="1" t="s">
        <v>2341</v>
      </c>
      <c r="E425" s="1" t="s">
        <v>51</v>
      </c>
      <c r="F425" s="2">
        <v>45145</v>
      </c>
      <c r="G425" s="1" t="s">
        <v>2342</v>
      </c>
      <c r="H425" s="1">
        <v>2</v>
      </c>
      <c r="I425" s="1" t="s">
        <v>27</v>
      </c>
      <c r="J425" s="1" t="s">
        <v>1929</v>
      </c>
      <c r="K425" s="1" t="s">
        <v>2343</v>
      </c>
      <c r="L425" s="1">
        <v>8</v>
      </c>
      <c r="M425" s="1">
        <v>9</v>
      </c>
      <c r="N425" s="1" t="s">
        <v>68</v>
      </c>
      <c r="O425" s="1" t="s">
        <v>837</v>
      </c>
      <c r="P425" s="1" t="s">
        <v>56</v>
      </c>
      <c r="Q425" s="1" t="s">
        <v>69</v>
      </c>
      <c r="R425" s="1">
        <v>297.04000000000002</v>
      </c>
      <c r="S425" s="1" t="s">
        <v>46</v>
      </c>
      <c r="T425" s="1" t="s">
        <v>100</v>
      </c>
      <c r="U425" s="1" t="s">
        <v>35</v>
      </c>
      <c r="V425" s="1" t="s">
        <v>36</v>
      </c>
    </row>
    <row r="426" spans="1:22" x14ac:dyDescent="0.3">
      <c r="A426" s="1" t="s">
        <v>2344</v>
      </c>
      <c r="B426" s="1" t="s">
        <v>2345</v>
      </c>
      <c r="C426" s="1">
        <v>55</v>
      </c>
      <c r="D426" s="1" t="s">
        <v>2346</v>
      </c>
      <c r="E426" s="1" t="s">
        <v>25</v>
      </c>
      <c r="F426" s="2">
        <v>44447</v>
      </c>
      <c r="G426" s="1" t="s">
        <v>285</v>
      </c>
      <c r="H426" s="1">
        <v>5</v>
      </c>
      <c r="I426" s="1" t="s">
        <v>52</v>
      </c>
      <c r="J426" s="1" t="s">
        <v>2347</v>
      </c>
      <c r="K426" s="1" t="s">
        <v>2348</v>
      </c>
      <c r="L426" s="1">
        <v>1</v>
      </c>
      <c r="M426" s="1">
        <v>39</v>
      </c>
      <c r="N426" s="1" t="s">
        <v>30</v>
      </c>
      <c r="O426" s="1" t="s">
        <v>199</v>
      </c>
      <c r="P426" s="1" t="s">
        <v>54</v>
      </c>
      <c r="Q426" s="1" t="s">
        <v>32</v>
      </c>
      <c r="R426" s="1">
        <v>1799.69</v>
      </c>
      <c r="S426" s="1" t="s">
        <v>46</v>
      </c>
      <c r="T426" s="1" t="s">
        <v>47</v>
      </c>
      <c r="U426" s="1" t="s">
        <v>35</v>
      </c>
      <c r="V426" s="1" t="s">
        <v>36</v>
      </c>
    </row>
    <row r="427" spans="1:22" x14ac:dyDescent="0.3">
      <c r="A427" s="1" t="s">
        <v>2349</v>
      </c>
      <c r="B427" s="1" t="s">
        <v>2350</v>
      </c>
      <c r="C427" s="1">
        <v>26</v>
      </c>
      <c r="D427" s="1" t="s">
        <v>2351</v>
      </c>
      <c r="E427" s="1" t="s">
        <v>25</v>
      </c>
      <c r="F427" s="1" t="s">
        <v>2352</v>
      </c>
      <c r="G427" s="1" t="s">
        <v>2353</v>
      </c>
      <c r="H427" s="1">
        <v>1</v>
      </c>
      <c r="I427" s="1" t="s">
        <v>27</v>
      </c>
      <c r="J427" s="1" t="s">
        <v>2354</v>
      </c>
      <c r="K427" s="1" t="s">
        <v>2355</v>
      </c>
      <c r="L427" s="1">
        <v>3</v>
      </c>
      <c r="M427" s="1">
        <v>49</v>
      </c>
      <c r="N427" s="1" t="s">
        <v>45</v>
      </c>
      <c r="O427" s="1" t="s">
        <v>128</v>
      </c>
      <c r="P427" s="1" t="s">
        <v>54</v>
      </c>
      <c r="Q427" s="1" t="s">
        <v>69</v>
      </c>
      <c r="R427" s="1">
        <v>1101.57</v>
      </c>
      <c r="S427" s="1" t="s">
        <v>46</v>
      </c>
      <c r="T427" s="1" t="s">
        <v>57</v>
      </c>
      <c r="U427" s="1" t="s">
        <v>35</v>
      </c>
      <c r="V427" s="1" t="s">
        <v>36</v>
      </c>
    </row>
    <row r="428" spans="1:22" x14ac:dyDescent="0.3">
      <c r="A428" s="1" t="s">
        <v>2356</v>
      </c>
      <c r="B428" s="1" t="s">
        <v>2357</v>
      </c>
      <c r="C428" s="1">
        <v>27</v>
      </c>
      <c r="D428" s="1" t="s">
        <v>2358</v>
      </c>
      <c r="E428" s="1" t="s">
        <v>95</v>
      </c>
      <c r="F428" s="2">
        <v>45143</v>
      </c>
      <c r="G428" s="1" t="s">
        <v>1546</v>
      </c>
      <c r="H428" s="1">
        <v>4</v>
      </c>
      <c r="I428" s="1" t="s">
        <v>64</v>
      </c>
      <c r="J428" s="2">
        <v>45604</v>
      </c>
      <c r="K428" s="1" t="s">
        <v>2359</v>
      </c>
      <c r="L428" s="1">
        <v>7</v>
      </c>
      <c r="M428" s="1">
        <v>40</v>
      </c>
      <c r="N428" s="1" t="s">
        <v>45</v>
      </c>
      <c r="O428" s="1" t="s">
        <v>269</v>
      </c>
      <c r="P428" s="1" t="s">
        <v>56</v>
      </c>
      <c r="Q428" s="1" t="s">
        <v>32</v>
      </c>
      <c r="R428" s="1">
        <v>1218.7</v>
      </c>
      <c r="S428" s="1" t="s">
        <v>46</v>
      </c>
      <c r="T428" s="1" t="s">
        <v>57</v>
      </c>
      <c r="U428" s="1" t="s">
        <v>35</v>
      </c>
      <c r="V428" s="1" t="s">
        <v>71</v>
      </c>
    </row>
    <row r="429" spans="1:22" x14ac:dyDescent="0.3">
      <c r="A429" s="1" t="s">
        <v>2360</v>
      </c>
      <c r="B429" s="1" t="s">
        <v>2361</v>
      </c>
      <c r="C429" s="1">
        <v>35</v>
      </c>
      <c r="D429" s="1" t="s">
        <v>2362</v>
      </c>
      <c r="E429" s="1" t="s">
        <v>40</v>
      </c>
      <c r="F429" s="2">
        <v>44872</v>
      </c>
      <c r="G429" s="1" t="s">
        <v>2363</v>
      </c>
      <c r="H429" s="1">
        <v>3</v>
      </c>
      <c r="I429" s="1" t="s">
        <v>52</v>
      </c>
      <c r="J429" s="1" t="s">
        <v>1801</v>
      </c>
      <c r="K429" s="1" t="s">
        <v>2364</v>
      </c>
      <c r="L429" s="1">
        <v>7</v>
      </c>
      <c r="M429" s="1">
        <v>3</v>
      </c>
      <c r="N429" s="1" t="s">
        <v>45</v>
      </c>
      <c r="O429" s="1" t="s">
        <v>245</v>
      </c>
      <c r="P429" s="1" t="s">
        <v>54</v>
      </c>
      <c r="Q429" s="1" t="s">
        <v>32</v>
      </c>
      <c r="R429" s="1">
        <v>1457.61</v>
      </c>
      <c r="S429" s="1" t="s">
        <v>46</v>
      </c>
      <c r="T429" s="1" t="s">
        <v>34</v>
      </c>
      <c r="U429" s="1" t="s">
        <v>35</v>
      </c>
      <c r="V429" s="1" t="s">
        <v>36</v>
      </c>
    </row>
    <row r="430" spans="1:22" x14ac:dyDescent="0.3">
      <c r="A430" s="1" t="s">
        <v>2365</v>
      </c>
      <c r="B430" s="1" t="s">
        <v>2366</v>
      </c>
      <c r="C430" s="1">
        <v>19</v>
      </c>
      <c r="D430" s="1" t="s">
        <v>2367</v>
      </c>
      <c r="E430" s="1" t="s">
        <v>40</v>
      </c>
      <c r="F430" s="2">
        <v>44658</v>
      </c>
      <c r="G430" s="1" t="s">
        <v>2368</v>
      </c>
      <c r="H430" s="1">
        <v>2</v>
      </c>
      <c r="I430" s="1" t="s">
        <v>27</v>
      </c>
      <c r="J430" s="1" t="s">
        <v>2369</v>
      </c>
      <c r="K430" s="1" t="s">
        <v>2370</v>
      </c>
      <c r="L430" s="1">
        <v>8</v>
      </c>
      <c r="M430" s="1">
        <v>40</v>
      </c>
      <c r="N430" s="1" t="s">
        <v>68</v>
      </c>
      <c r="O430" s="1" t="s">
        <v>67</v>
      </c>
      <c r="P430" s="1" t="s">
        <v>68</v>
      </c>
      <c r="Q430" s="1" t="s">
        <v>69</v>
      </c>
      <c r="R430" s="1">
        <v>849.68</v>
      </c>
      <c r="S430" s="1" t="s">
        <v>33</v>
      </c>
      <c r="T430" s="1" t="s">
        <v>100</v>
      </c>
      <c r="U430" s="1" t="s">
        <v>35</v>
      </c>
      <c r="V430" s="1" t="s">
        <v>36</v>
      </c>
    </row>
    <row r="431" spans="1:22" x14ac:dyDescent="0.3">
      <c r="A431" s="1" t="s">
        <v>2371</v>
      </c>
      <c r="B431" s="1" t="s">
        <v>2372</v>
      </c>
      <c r="C431" s="1">
        <v>54</v>
      </c>
      <c r="D431" s="1" t="s">
        <v>2373</v>
      </c>
      <c r="E431" s="1" t="s">
        <v>88</v>
      </c>
      <c r="F431" s="2">
        <v>45081</v>
      </c>
      <c r="G431" s="2">
        <v>45566</v>
      </c>
      <c r="H431" s="1">
        <v>5</v>
      </c>
      <c r="I431" s="1" t="s">
        <v>52</v>
      </c>
      <c r="J431" s="1" t="s">
        <v>2374</v>
      </c>
      <c r="K431" s="1" t="s">
        <v>2375</v>
      </c>
      <c r="L431" s="1">
        <v>9</v>
      </c>
      <c r="M431" s="1">
        <v>19</v>
      </c>
      <c r="N431" s="1" t="s">
        <v>68</v>
      </c>
      <c r="O431" s="1" t="s">
        <v>610</v>
      </c>
      <c r="P431" s="1" t="s">
        <v>68</v>
      </c>
      <c r="Q431" s="1" t="s">
        <v>32</v>
      </c>
      <c r="R431" s="1">
        <v>841.59</v>
      </c>
      <c r="S431" s="1" t="s">
        <v>33</v>
      </c>
      <c r="T431" s="1" t="s">
        <v>47</v>
      </c>
      <c r="U431" s="1" t="s">
        <v>35</v>
      </c>
      <c r="V431" s="1" t="s">
        <v>36</v>
      </c>
    </row>
    <row r="432" spans="1:22" x14ac:dyDescent="0.3">
      <c r="A432" s="1" t="s">
        <v>2376</v>
      </c>
      <c r="B432" s="1" t="s">
        <v>2377</v>
      </c>
      <c r="C432" s="1">
        <v>57</v>
      </c>
      <c r="D432" s="1" t="s">
        <v>2378</v>
      </c>
      <c r="E432" s="1" t="s">
        <v>61</v>
      </c>
      <c r="F432" s="1" t="s">
        <v>2379</v>
      </c>
      <c r="G432" s="1" t="s">
        <v>303</v>
      </c>
      <c r="H432" s="1">
        <v>0</v>
      </c>
      <c r="I432" s="1" t="s">
        <v>52</v>
      </c>
      <c r="J432" s="1" t="s">
        <v>2066</v>
      </c>
      <c r="K432" s="1" t="s">
        <v>2380</v>
      </c>
      <c r="L432" s="1">
        <v>3</v>
      </c>
      <c r="M432" s="1">
        <v>41</v>
      </c>
      <c r="N432" s="1" t="s">
        <v>45</v>
      </c>
      <c r="O432" s="1" t="s">
        <v>251</v>
      </c>
      <c r="P432" s="1" t="s">
        <v>30</v>
      </c>
      <c r="Q432" s="1" t="s">
        <v>32</v>
      </c>
      <c r="R432" s="1">
        <v>1228.83</v>
      </c>
      <c r="S432" s="1" t="s">
        <v>46</v>
      </c>
      <c r="T432" s="1" t="s">
        <v>47</v>
      </c>
      <c r="U432" s="1" t="s">
        <v>35</v>
      </c>
      <c r="V432" s="1" t="s">
        <v>36</v>
      </c>
    </row>
    <row r="433" spans="1:22" x14ac:dyDescent="0.3">
      <c r="A433" s="1" t="s">
        <v>2381</v>
      </c>
      <c r="B433" s="1" t="s">
        <v>2382</v>
      </c>
      <c r="C433" s="1">
        <v>41</v>
      </c>
      <c r="D433" s="1" t="s">
        <v>2383</v>
      </c>
      <c r="E433" s="1" t="s">
        <v>95</v>
      </c>
      <c r="F433" s="1" t="s">
        <v>917</v>
      </c>
      <c r="G433" s="1" t="s">
        <v>2353</v>
      </c>
      <c r="H433" s="1">
        <v>5</v>
      </c>
      <c r="I433" s="1" t="s">
        <v>27</v>
      </c>
      <c r="J433" s="2">
        <v>44929</v>
      </c>
      <c r="K433" s="1" t="s">
        <v>2384</v>
      </c>
      <c r="L433" s="1">
        <v>2</v>
      </c>
      <c r="M433" s="1">
        <v>23</v>
      </c>
      <c r="N433" s="1" t="s">
        <v>30</v>
      </c>
      <c r="O433" s="1" t="s">
        <v>610</v>
      </c>
      <c r="P433" s="1" t="s">
        <v>68</v>
      </c>
      <c r="Q433" s="1" t="s">
        <v>32</v>
      </c>
      <c r="R433" s="1">
        <v>795</v>
      </c>
      <c r="S433" s="1" t="s">
        <v>46</v>
      </c>
      <c r="T433" s="1" t="s">
        <v>34</v>
      </c>
      <c r="U433" s="1" t="s">
        <v>35</v>
      </c>
      <c r="V433" s="1" t="s">
        <v>188</v>
      </c>
    </row>
    <row r="434" spans="1:22" x14ac:dyDescent="0.3">
      <c r="A434" s="1" t="s">
        <v>2385</v>
      </c>
      <c r="B434" s="1" t="s">
        <v>2386</v>
      </c>
      <c r="C434" s="1">
        <v>25</v>
      </c>
      <c r="D434" s="1" t="s">
        <v>2387</v>
      </c>
      <c r="E434" s="1" t="s">
        <v>61</v>
      </c>
      <c r="F434" s="1" t="s">
        <v>2388</v>
      </c>
      <c r="G434" s="2">
        <v>45113</v>
      </c>
      <c r="H434" s="1">
        <v>4</v>
      </c>
      <c r="I434" s="1" t="s">
        <v>52</v>
      </c>
      <c r="J434" s="2">
        <v>45630</v>
      </c>
      <c r="K434" s="1" t="s">
        <v>2389</v>
      </c>
      <c r="L434" s="1">
        <v>6</v>
      </c>
      <c r="M434" s="1">
        <v>15</v>
      </c>
      <c r="N434" s="1" t="s">
        <v>54</v>
      </c>
      <c r="O434" s="1" t="s">
        <v>269</v>
      </c>
      <c r="P434" s="1" t="s">
        <v>56</v>
      </c>
      <c r="Q434" s="1" t="s">
        <v>69</v>
      </c>
      <c r="R434" s="1">
        <v>391.98</v>
      </c>
      <c r="S434" s="1" t="s">
        <v>46</v>
      </c>
      <c r="T434" s="1" t="s">
        <v>57</v>
      </c>
      <c r="U434" s="1" t="s">
        <v>35</v>
      </c>
      <c r="V434" s="1" t="s">
        <v>36</v>
      </c>
    </row>
    <row r="435" spans="1:22" x14ac:dyDescent="0.3">
      <c r="A435" s="1" t="s">
        <v>2390</v>
      </c>
      <c r="B435" s="1" t="s">
        <v>2391</v>
      </c>
      <c r="C435" s="1">
        <v>48</v>
      </c>
      <c r="D435" s="1" t="s">
        <v>2392</v>
      </c>
      <c r="E435" s="1" t="s">
        <v>51</v>
      </c>
      <c r="F435" s="2">
        <v>44774</v>
      </c>
      <c r="G435" s="2">
        <v>44632</v>
      </c>
      <c r="H435" s="1">
        <v>3</v>
      </c>
      <c r="I435" s="1" t="s">
        <v>27</v>
      </c>
      <c r="J435" s="1" t="s">
        <v>2035</v>
      </c>
      <c r="K435" s="1" t="s">
        <v>2393</v>
      </c>
      <c r="L435" s="1">
        <v>5</v>
      </c>
      <c r="M435" s="1">
        <v>40</v>
      </c>
      <c r="N435" s="1" t="s">
        <v>54</v>
      </c>
      <c r="O435" s="1" t="s">
        <v>122</v>
      </c>
      <c r="P435" s="1" t="s">
        <v>30</v>
      </c>
      <c r="Q435" s="1" t="s">
        <v>32</v>
      </c>
      <c r="R435" s="1">
        <v>418.6</v>
      </c>
      <c r="S435" s="1" t="s">
        <v>46</v>
      </c>
      <c r="T435" s="1" t="s">
        <v>34</v>
      </c>
      <c r="U435" s="1" t="s">
        <v>35</v>
      </c>
      <c r="V435" s="1" t="s">
        <v>36</v>
      </c>
    </row>
    <row r="436" spans="1:22" x14ac:dyDescent="0.3">
      <c r="A436" s="1" t="s">
        <v>2394</v>
      </c>
      <c r="B436" s="1" t="s">
        <v>2395</v>
      </c>
      <c r="C436" s="1">
        <v>43</v>
      </c>
      <c r="D436" s="1" t="s">
        <v>2396</v>
      </c>
      <c r="E436" s="1" t="s">
        <v>88</v>
      </c>
      <c r="F436" s="1" t="s">
        <v>1452</v>
      </c>
      <c r="G436" s="1" t="s">
        <v>2397</v>
      </c>
      <c r="H436" s="1">
        <v>0</v>
      </c>
      <c r="I436" s="1" t="s">
        <v>52</v>
      </c>
      <c r="J436" s="2">
        <v>45658</v>
      </c>
      <c r="K436" s="1" t="s">
        <v>2398</v>
      </c>
      <c r="L436" s="1">
        <v>3</v>
      </c>
      <c r="M436" s="1">
        <v>5</v>
      </c>
      <c r="N436" s="1" t="s">
        <v>30</v>
      </c>
      <c r="O436" s="1" t="s">
        <v>597</v>
      </c>
      <c r="P436" s="1" t="s">
        <v>45</v>
      </c>
      <c r="Q436" s="1" t="s">
        <v>69</v>
      </c>
      <c r="R436" s="1">
        <v>1106.19</v>
      </c>
      <c r="S436" s="1" t="s">
        <v>46</v>
      </c>
      <c r="T436" s="1" t="s">
        <v>34</v>
      </c>
      <c r="U436" s="1" t="s">
        <v>35</v>
      </c>
      <c r="V436" s="1" t="s">
        <v>36</v>
      </c>
    </row>
    <row r="437" spans="1:22" x14ac:dyDescent="0.3">
      <c r="A437" s="1" t="s">
        <v>2399</v>
      </c>
      <c r="B437" s="1" t="s">
        <v>2400</v>
      </c>
      <c r="C437" s="1">
        <v>54</v>
      </c>
      <c r="D437" s="1" t="s">
        <v>2401</v>
      </c>
      <c r="E437" s="1" t="s">
        <v>88</v>
      </c>
      <c r="F437" s="1" t="s">
        <v>2402</v>
      </c>
      <c r="G437" s="1" t="s">
        <v>2403</v>
      </c>
      <c r="H437" s="1">
        <v>5</v>
      </c>
      <c r="I437" s="1" t="s">
        <v>64</v>
      </c>
      <c r="J437" s="1" t="s">
        <v>96</v>
      </c>
      <c r="K437" s="1" t="s">
        <v>2404</v>
      </c>
      <c r="L437" s="1">
        <v>9</v>
      </c>
      <c r="M437" s="1">
        <v>48</v>
      </c>
      <c r="N437" s="1" t="s">
        <v>68</v>
      </c>
      <c r="O437" s="1" t="s">
        <v>175</v>
      </c>
      <c r="P437" s="1" t="s">
        <v>56</v>
      </c>
      <c r="Q437" s="1" t="s">
        <v>69</v>
      </c>
      <c r="R437" s="1">
        <v>1338.93</v>
      </c>
      <c r="S437" s="1" t="s">
        <v>46</v>
      </c>
      <c r="T437" s="1" t="s">
        <v>47</v>
      </c>
      <c r="U437" s="1" t="s">
        <v>35</v>
      </c>
      <c r="V437" s="1" t="s">
        <v>71</v>
      </c>
    </row>
    <row r="438" spans="1:22" x14ac:dyDescent="0.3">
      <c r="A438" s="1" t="s">
        <v>2405</v>
      </c>
      <c r="B438" s="1" t="s">
        <v>2406</v>
      </c>
      <c r="C438" s="1">
        <v>50</v>
      </c>
      <c r="D438" s="1" t="s">
        <v>2407</v>
      </c>
      <c r="E438" s="1" t="s">
        <v>51</v>
      </c>
      <c r="F438" s="1" t="s">
        <v>2408</v>
      </c>
      <c r="G438" s="2">
        <v>45326</v>
      </c>
      <c r="H438" s="1">
        <v>1</v>
      </c>
      <c r="I438" s="1" t="s">
        <v>27</v>
      </c>
      <c r="J438" s="2">
        <v>45019</v>
      </c>
      <c r="K438" s="1" t="s">
        <v>2409</v>
      </c>
      <c r="L438" s="1">
        <v>6</v>
      </c>
      <c r="M438" s="1">
        <v>37</v>
      </c>
      <c r="N438" s="1" t="s">
        <v>68</v>
      </c>
      <c r="O438" s="1" t="s">
        <v>821</v>
      </c>
      <c r="P438" s="1" t="s">
        <v>68</v>
      </c>
      <c r="Q438" s="1" t="s">
        <v>69</v>
      </c>
      <c r="R438" s="1">
        <v>1815.48</v>
      </c>
      <c r="S438" s="1" t="s">
        <v>33</v>
      </c>
      <c r="T438" s="1" t="s">
        <v>47</v>
      </c>
      <c r="U438" s="1" t="s">
        <v>35</v>
      </c>
      <c r="V438" s="1" t="s">
        <v>36</v>
      </c>
    </row>
    <row r="439" spans="1:22" x14ac:dyDescent="0.3">
      <c r="A439" s="1" t="s">
        <v>2410</v>
      </c>
      <c r="B439" s="1" t="s">
        <v>2411</v>
      </c>
      <c r="C439" s="1">
        <v>54</v>
      </c>
      <c r="D439" s="1" t="s">
        <v>2412</v>
      </c>
      <c r="E439" s="1" t="s">
        <v>51</v>
      </c>
      <c r="F439" s="2">
        <v>44624</v>
      </c>
      <c r="G439" s="2">
        <v>45572</v>
      </c>
      <c r="H439" s="1">
        <v>0</v>
      </c>
      <c r="I439" s="1" t="s">
        <v>27</v>
      </c>
      <c r="J439" s="1" t="s">
        <v>2236</v>
      </c>
      <c r="K439" s="1" t="s">
        <v>2413</v>
      </c>
      <c r="L439" s="1">
        <v>8</v>
      </c>
      <c r="M439" s="1">
        <v>13</v>
      </c>
      <c r="N439" s="1" t="s">
        <v>68</v>
      </c>
      <c r="O439" s="1" t="s">
        <v>837</v>
      </c>
      <c r="P439" s="1" t="s">
        <v>56</v>
      </c>
      <c r="Q439" s="1" t="s">
        <v>32</v>
      </c>
      <c r="R439" s="1">
        <v>278.08</v>
      </c>
      <c r="S439" s="1" t="s">
        <v>46</v>
      </c>
      <c r="T439" s="1" t="s">
        <v>47</v>
      </c>
      <c r="U439" s="1" t="s">
        <v>35</v>
      </c>
      <c r="V439" s="1" t="s">
        <v>36</v>
      </c>
    </row>
    <row r="440" spans="1:22" x14ac:dyDescent="0.3">
      <c r="A440" s="1" t="s">
        <v>2414</v>
      </c>
      <c r="B440" s="1" t="s">
        <v>2415</v>
      </c>
      <c r="C440" s="1">
        <v>59</v>
      </c>
      <c r="D440" s="1" t="s">
        <v>2416</v>
      </c>
      <c r="E440" s="1" t="s">
        <v>51</v>
      </c>
      <c r="F440" s="1" t="s">
        <v>1063</v>
      </c>
      <c r="G440" s="2">
        <v>45415</v>
      </c>
      <c r="H440" s="1">
        <v>3</v>
      </c>
      <c r="I440" s="1" t="s">
        <v>52</v>
      </c>
      <c r="J440" s="1" t="s">
        <v>1174</v>
      </c>
      <c r="K440" s="1" t="s">
        <v>2417</v>
      </c>
      <c r="L440" s="1">
        <v>4</v>
      </c>
      <c r="M440" s="1">
        <v>11</v>
      </c>
      <c r="N440" s="1" t="s">
        <v>68</v>
      </c>
      <c r="O440" s="1" t="s">
        <v>610</v>
      </c>
      <c r="P440" s="1" t="s">
        <v>68</v>
      </c>
      <c r="Q440" s="1" t="s">
        <v>322</v>
      </c>
      <c r="R440" s="1">
        <v>1390.32</v>
      </c>
      <c r="S440" s="1" t="s">
        <v>33</v>
      </c>
      <c r="T440" s="1" t="s">
        <v>47</v>
      </c>
      <c r="U440" s="1" t="s">
        <v>35</v>
      </c>
      <c r="V440" s="1" t="s">
        <v>36</v>
      </c>
    </row>
    <row r="441" spans="1:22" x14ac:dyDescent="0.3">
      <c r="A441" s="1" t="s">
        <v>2418</v>
      </c>
      <c r="B441" s="1" t="s">
        <v>2419</v>
      </c>
      <c r="C441" s="1">
        <v>32</v>
      </c>
      <c r="D441" s="1" t="s">
        <v>2420</v>
      </c>
      <c r="E441" s="1" t="s">
        <v>40</v>
      </c>
      <c r="F441" s="1" t="s">
        <v>1386</v>
      </c>
      <c r="G441" s="1" t="s">
        <v>2072</v>
      </c>
      <c r="H441" s="1">
        <v>1</v>
      </c>
      <c r="I441" s="1" t="s">
        <v>27</v>
      </c>
      <c r="J441" s="1" t="s">
        <v>2421</v>
      </c>
      <c r="K441" s="1" t="s">
        <v>2422</v>
      </c>
      <c r="L441" s="1">
        <v>4</v>
      </c>
      <c r="M441" s="1">
        <v>31</v>
      </c>
      <c r="N441" s="1" t="s">
        <v>45</v>
      </c>
      <c r="O441" s="1" t="s">
        <v>604</v>
      </c>
      <c r="P441" s="1" t="s">
        <v>45</v>
      </c>
      <c r="Q441" s="1" t="s">
        <v>69</v>
      </c>
      <c r="R441" s="1">
        <v>174.96</v>
      </c>
      <c r="S441" s="1" t="s">
        <v>33</v>
      </c>
      <c r="T441" s="1" t="s">
        <v>57</v>
      </c>
      <c r="U441" s="1" t="s">
        <v>35</v>
      </c>
      <c r="V441" s="1" t="s">
        <v>36</v>
      </c>
    </row>
    <row r="442" spans="1:22" x14ac:dyDescent="0.3">
      <c r="A442" s="1" t="s">
        <v>2423</v>
      </c>
      <c r="B442" s="1" t="s">
        <v>2424</v>
      </c>
      <c r="C442" s="1">
        <v>34</v>
      </c>
      <c r="D442" s="1" t="s">
        <v>2425</v>
      </c>
      <c r="E442" s="1" t="s">
        <v>40</v>
      </c>
      <c r="F442" s="1" t="s">
        <v>1375</v>
      </c>
      <c r="G442" s="2">
        <v>45992</v>
      </c>
      <c r="H442" s="1">
        <v>5</v>
      </c>
      <c r="I442" s="1" t="s">
        <v>27</v>
      </c>
      <c r="J442" s="2">
        <v>45394</v>
      </c>
      <c r="K442" s="1" t="s">
        <v>2426</v>
      </c>
      <c r="L442" s="1">
        <v>1</v>
      </c>
      <c r="M442" s="1">
        <v>36</v>
      </c>
      <c r="N442" s="1" t="s">
        <v>45</v>
      </c>
      <c r="O442" s="1" t="s">
        <v>837</v>
      </c>
      <c r="P442" s="1" t="s">
        <v>56</v>
      </c>
      <c r="Q442" s="1" t="s">
        <v>32</v>
      </c>
      <c r="R442" s="1">
        <v>123.64</v>
      </c>
      <c r="S442" s="1" t="s">
        <v>46</v>
      </c>
      <c r="T442" s="1" t="s">
        <v>57</v>
      </c>
      <c r="U442" s="1" t="s">
        <v>35</v>
      </c>
      <c r="V442" s="1" t="s">
        <v>188</v>
      </c>
    </row>
    <row r="443" spans="1:22" x14ac:dyDescent="0.3">
      <c r="A443" s="1" t="s">
        <v>2427</v>
      </c>
      <c r="B443" s="1" t="s">
        <v>2428</v>
      </c>
      <c r="C443" s="1">
        <v>67</v>
      </c>
      <c r="D443" s="1" t="s">
        <v>2429</v>
      </c>
      <c r="E443" s="1" t="s">
        <v>61</v>
      </c>
      <c r="F443" s="1" t="s">
        <v>2430</v>
      </c>
      <c r="G443" s="1" t="s">
        <v>1063</v>
      </c>
      <c r="H443" s="1">
        <v>1</v>
      </c>
      <c r="I443" s="1" t="s">
        <v>27</v>
      </c>
      <c r="J443" s="1" t="s">
        <v>2431</v>
      </c>
      <c r="K443" s="1" t="s">
        <v>2432</v>
      </c>
      <c r="L443" s="1">
        <v>6</v>
      </c>
      <c r="M443" s="1">
        <v>18</v>
      </c>
      <c r="N443" s="1" t="s">
        <v>68</v>
      </c>
      <c r="O443" s="1" t="s">
        <v>128</v>
      </c>
      <c r="P443" s="1" t="s">
        <v>54</v>
      </c>
      <c r="Q443" s="1" t="s">
        <v>69</v>
      </c>
      <c r="R443" s="1">
        <v>580.79999999999995</v>
      </c>
      <c r="S443" s="1" t="s">
        <v>46</v>
      </c>
      <c r="T443" s="1" t="s">
        <v>232</v>
      </c>
      <c r="U443" s="1" t="s">
        <v>35</v>
      </c>
      <c r="V443" s="1" t="s">
        <v>36</v>
      </c>
    </row>
    <row r="444" spans="1:22" x14ac:dyDescent="0.3">
      <c r="A444" s="1" t="s">
        <v>2433</v>
      </c>
      <c r="B444" s="1" t="s">
        <v>2434</v>
      </c>
      <c r="C444" s="1">
        <v>67</v>
      </c>
      <c r="D444" s="1" t="s">
        <v>2435</v>
      </c>
      <c r="E444" s="1" t="s">
        <v>51</v>
      </c>
      <c r="F444" s="1" t="s">
        <v>2436</v>
      </c>
      <c r="G444" s="2">
        <v>45902</v>
      </c>
      <c r="H444" s="1">
        <v>2</v>
      </c>
      <c r="I444" s="1" t="s">
        <v>27</v>
      </c>
      <c r="J444" s="2">
        <v>45081</v>
      </c>
      <c r="K444" s="1" t="s">
        <v>2437</v>
      </c>
      <c r="L444" s="1">
        <v>3</v>
      </c>
      <c r="M444" s="1">
        <v>10</v>
      </c>
      <c r="N444" s="1" t="s">
        <v>56</v>
      </c>
      <c r="O444" s="1" t="s">
        <v>128</v>
      </c>
      <c r="P444" s="1" t="s">
        <v>54</v>
      </c>
      <c r="Q444" s="1" t="s">
        <v>32</v>
      </c>
      <c r="R444" s="1">
        <v>192.54</v>
      </c>
      <c r="S444" s="1" t="s">
        <v>46</v>
      </c>
      <c r="T444" s="1" t="s">
        <v>232</v>
      </c>
      <c r="U444" s="1" t="s">
        <v>101</v>
      </c>
      <c r="V444" s="1" t="s">
        <v>36</v>
      </c>
    </row>
    <row r="445" spans="1:22" x14ac:dyDescent="0.3">
      <c r="A445" s="1" t="s">
        <v>2438</v>
      </c>
      <c r="B445" s="1" t="s">
        <v>2439</v>
      </c>
      <c r="C445" s="1">
        <v>39</v>
      </c>
      <c r="D445" s="1" t="s">
        <v>2440</v>
      </c>
      <c r="E445" s="1" t="s">
        <v>95</v>
      </c>
      <c r="F445" s="2">
        <v>44931</v>
      </c>
      <c r="G445" s="1" t="s">
        <v>1243</v>
      </c>
      <c r="H445" s="1">
        <v>2</v>
      </c>
      <c r="I445" s="1" t="s">
        <v>27</v>
      </c>
      <c r="J445" s="1" t="s">
        <v>2441</v>
      </c>
      <c r="K445" s="1" t="s">
        <v>2442</v>
      </c>
      <c r="L445" s="1">
        <v>1</v>
      </c>
      <c r="M445" s="1">
        <v>20</v>
      </c>
      <c r="N445" s="1" t="s">
        <v>68</v>
      </c>
      <c r="O445" s="1" t="s">
        <v>425</v>
      </c>
      <c r="P445" s="1" t="s">
        <v>30</v>
      </c>
      <c r="Q445" s="1" t="s">
        <v>32</v>
      </c>
      <c r="R445" s="1">
        <v>1409.68</v>
      </c>
      <c r="S445" s="1" t="s">
        <v>46</v>
      </c>
      <c r="T445" s="1" t="s">
        <v>34</v>
      </c>
      <c r="U445" s="1" t="s">
        <v>35</v>
      </c>
      <c r="V445" s="1" t="s">
        <v>36</v>
      </c>
    </row>
    <row r="446" spans="1:22" x14ac:dyDescent="0.3">
      <c r="A446" s="1" t="s">
        <v>2443</v>
      </c>
      <c r="B446" s="1" t="s">
        <v>2444</v>
      </c>
      <c r="C446" s="1">
        <v>31</v>
      </c>
      <c r="D446" s="1" t="s">
        <v>2445</v>
      </c>
      <c r="E446" s="1" t="s">
        <v>61</v>
      </c>
      <c r="F446" s="2">
        <v>44988</v>
      </c>
      <c r="G446" s="2">
        <v>45931</v>
      </c>
      <c r="H446" s="1">
        <v>5</v>
      </c>
      <c r="I446" s="1" t="s">
        <v>27</v>
      </c>
      <c r="J446" s="1" t="s">
        <v>2446</v>
      </c>
      <c r="K446" s="1" t="s">
        <v>2447</v>
      </c>
      <c r="L446" s="1">
        <v>6</v>
      </c>
      <c r="M446" s="1">
        <v>19</v>
      </c>
      <c r="N446" s="1" t="s">
        <v>45</v>
      </c>
      <c r="O446" s="1" t="s">
        <v>238</v>
      </c>
      <c r="P446" s="1" t="s">
        <v>45</v>
      </c>
      <c r="Q446" s="1" t="s">
        <v>69</v>
      </c>
      <c r="R446" s="1">
        <v>1656.36</v>
      </c>
      <c r="S446" s="1" t="s">
        <v>33</v>
      </c>
      <c r="T446" s="1" t="s">
        <v>57</v>
      </c>
      <c r="U446" s="1" t="s">
        <v>35</v>
      </c>
      <c r="V446" s="1" t="s">
        <v>188</v>
      </c>
    </row>
    <row r="447" spans="1:22" x14ac:dyDescent="0.3">
      <c r="A447" s="1" t="s">
        <v>2448</v>
      </c>
      <c r="B447" s="1" t="s">
        <v>2449</v>
      </c>
      <c r="C447" s="1">
        <v>56</v>
      </c>
      <c r="D447" s="1" t="s">
        <v>2450</v>
      </c>
      <c r="E447" s="1" t="s">
        <v>95</v>
      </c>
      <c r="F447" s="1" t="s">
        <v>1572</v>
      </c>
      <c r="G447" s="2">
        <v>45478</v>
      </c>
      <c r="H447" s="1">
        <v>0</v>
      </c>
      <c r="I447" s="1" t="s">
        <v>27</v>
      </c>
      <c r="J447" s="2">
        <v>45238</v>
      </c>
      <c r="K447" s="1" t="s">
        <v>2451</v>
      </c>
      <c r="L447" s="1">
        <v>8</v>
      </c>
      <c r="M447" s="1">
        <v>49</v>
      </c>
      <c r="N447" s="1" t="s">
        <v>30</v>
      </c>
      <c r="O447" s="1" t="s">
        <v>116</v>
      </c>
      <c r="P447" s="1" t="s">
        <v>54</v>
      </c>
      <c r="Q447" s="1" t="s">
        <v>69</v>
      </c>
      <c r="R447" s="1">
        <v>839.04</v>
      </c>
      <c r="S447" s="1" t="s">
        <v>46</v>
      </c>
      <c r="T447" s="1" t="s">
        <v>47</v>
      </c>
      <c r="U447" s="1" t="s">
        <v>35</v>
      </c>
      <c r="V447" s="1" t="s">
        <v>36</v>
      </c>
    </row>
    <row r="448" spans="1:22" x14ac:dyDescent="0.3">
      <c r="A448" s="1" t="s">
        <v>2452</v>
      </c>
      <c r="B448" s="1" t="s">
        <v>2453</v>
      </c>
      <c r="C448" s="1">
        <v>39</v>
      </c>
      <c r="D448" s="1" t="s">
        <v>2454</v>
      </c>
      <c r="E448" s="1" t="s">
        <v>51</v>
      </c>
      <c r="F448" s="2">
        <v>44934</v>
      </c>
      <c r="G448" s="2">
        <v>45116</v>
      </c>
      <c r="H448" s="1">
        <v>0</v>
      </c>
      <c r="I448" s="1" t="s">
        <v>52</v>
      </c>
      <c r="J448" s="1" t="s">
        <v>2455</v>
      </c>
      <c r="K448" s="1" t="s">
        <v>2456</v>
      </c>
      <c r="L448" s="1">
        <v>1</v>
      </c>
      <c r="M448" s="1">
        <v>18</v>
      </c>
      <c r="N448" s="1" t="s">
        <v>68</v>
      </c>
      <c r="O448" s="1" t="s">
        <v>116</v>
      </c>
      <c r="P448" s="1" t="s">
        <v>54</v>
      </c>
      <c r="Q448" s="1" t="s">
        <v>32</v>
      </c>
      <c r="R448" s="1">
        <v>552.26</v>
      </c>
      <c r="S448" s="1" t="s">
        <v>46</v>
      </c>
      <c r="T448" s="1" t="s">
        <v>34</v>
      </c>
      <c r="U448" s="1" t="s">
        <v>35</v>
      </c>
      <c r="V448" s="1" t="s">
        <v>36</v>
      </c>
    </row>
    <row r="449" spans="1:22" x14ac:dyDescent="0.3">
      <c r="A449" s="1" t="s">
        <v>2457</v>
      </c>
      <c r="B449" s="1" t="s">
        <v>2458</v>
      </c>
      <c r="C449" s="1">
        <v>61</v>
      </c>
      <c r="D449" s="1" t="s">
        <v>2459</v>
      </c>
      <c r="E449" s="1" t="s">
        <v>51</v>
      </c>
      <c r="F449" s="2">
        <v>44840</v>
      </c>
      <c r="G449" s="1" t="s">
        <v>711</v>
      </c>
      <c r="H449" s="1">
        <v>0</v>
      </c>
      <c r="I449" s="1" t="s">
        <v>27</v>
      </c>
      <c r="J449" s="2">
        <v>45172</v>
      </c>
      <c r="K449" s="1" t="s">
        <v>2460</v>
      </c>
      <c r="L449" s="1">
        <v>1</v>
      </c>
      <c r="M449" s="1">
        <v>30</v>
      </c>
      <c r="N449" s="1" t="s">
        <v>45</v>
      </c>
      <c r="O449" s="1" t="s">
        <v>293</v>
      </c>
      <c r="P449" s="1" t="s">
        <v>45</v>
      </c>
      <c r="Q449" s="1" t="s">
        <v>32</v>
      </c>
      <c r="R449" s="1">
        <v>1510.04</v>
      </c>
      <c r="S449" s="1" t="s">
        <v>33</v>
      </c>
      <c r="T449" s="1" t="s">
        <v>47</v>
      </c>
      <c r="U449" s="1" t="s">
        <v>35</v>
      </c>
      <c r="V449" s="1" t="s">
        <v>36</v>
      </c>
    </row>
    <row r="450" spans="1:22" x14ac:dyDescent="0.3">
      <c r="A450" s="1" t="s">
        <v>2461</v>
      </c>
      <c r="B450" s="1" t="s">
        <v>2462</v>
      </c>
      <c r="C450" s="1">
        <v>29</v>
      </c>
      <c r="D450" s="1" t="s">
        <v>2463</v>
      </c>
      <c r="E450" s="1" t="s">
        <v>88</v>
      </c>
      <c r="F450" s="1" t="s">
        <v>2464</v>
      </c>
      <c r="G450" s="2">
        <v>45454</v>
      </c>
      <c r="H450" s="1">
        <v>5</v>
      </c>
      <c r="I450" s="1" t="s">
        <v>27</v>
      </c>
      <c r="J450" s="1" t="s">
        <v>1143</v>
      </c>
      <c r="K450" s="1" t="s">
        <v>2465</v>
      </c>
      <c r="L450" s="1">
        <v>3</v>
      </c>
      <c r="M450" s="1">
        <v>4</v>
      </c>
      <c r="N450" s="1" t="s">
        <v>30</v>
      </c>
      <c r="O450" s="1" t="s">
        <v>77</v>
      </c>
      <c r="P450" s="1" t="s">
        <v>54</v>
      </c>
      <c r="Q450" s="1" t="s">
        <v>32</v>
      </c>
      <c r="R450" s="1">
        <v>900.57</v>
      </c>
      <c r="S450" s="1" t="s">
        <v>46</v>
      </c>
      <c r="T450" s="1" t="s">
        <v>57</v>
      </c>
      <c r="U450" s="1" t="s">
        <v>35</v>
      </c>
      <c r="V450" s="1" t="s">
        <v>188</v>
      </c>
    </row>
    <row r="451" spans="1:22" x14ac:dyDescent="0.3">
      <c r="A451" s="1" t="s">
        <v>2466</v>
      </c>
      <c r="B451" s="1" t="s">
        <v>2467</v>
      </c>
      <c r="C451" s="1">
        <v>38</v>
      </c>
      <c r="D451" s="1" t="s">
        <v>2468</v>
      </c>
      <c r="E451" s="1" t="s">
        <v>95</v>
      </c>
      <c r="F451" s="1" t="s">
        <v>2469</v>
      </c>
      <c r="G451" s="2">
        <v>45569</v>
      </c>
      <c r="H451" s="1">
        <v>3</v>
      </c>
      <c r="I451" s="1" t="s">
        <v>64</v>
      </c>
      <c r="J451" s="1" t="s">
        <v>2470</v>
      </c>
      <c r="K451" s="1" t="s">
        <v>2471</v>
      </c>
      <c r="L451" s="1">
        <v>9</v>
      </c>
      <c r="M451" s="1">
        <v>32</v>
      </c>
      <c r="N451" s="1" t="s">
        <v>54</v>
      </c>
      <c r="O451" s="1" t="s">
        <v>169</v>
      </c>
      <c r="P451" s="1" t="s">
        <v>30</v>
      </c>
      <c r="Q451" s="1" t="s">
        <v>69</v>
      </c>
      <c r="R451" s="1">
        <v>818.01</v>
      </c>
      <c r="S451" s="1" t="s">
        <v>46</v>
      </c>
      <c r="T451" s="1" t="s">
        <v>34</v>
      </c>
      <c r="U451" s="1" t="s">
        <v>35</v>
      </c>
      <c r="V451" s="1" t="s">
        <v>71</v>
      </c>
    </row>
    <row r="452" spans="1:22" x14ac:dyDescent="0.3">
      <c r="A452" s="1" t="s">
        <v>2472</v>
      </c>
      <c r="B452" s="1" t="s">
        <v>2473</v>
      </c>
      <c r="C452" s="1">
        <v>34</v>
      </c>
      <c r="D452" s="1" t="s">
        <v>2474</v>
      </c>
      <c r="E452" s="1" t="s">
        <v>88</v>
      </c>
      <c r="F452" s="2">
        <v>44719</v>
      </c>
      <c r="G452" s="2">
        <v>44905</v>
      </c>
      <c r="H452" s="1">
        <v>0</v>
      </c>
      <c r="I452" s="1" t="s">
        <v>27</v>
      </c>
      <c r="J452" s="1" t="s">
        <v>1283</v>
      </c>
      <c r="K452" s="1" t="s">
        <v>2475</v>
      </c>
      <c r="L452" s="1">
        <v>1</v>
      </c>
      <c r="M452" s="1">
        <v>45</v>
      </c>
      <c r="N452" s="1" t="s">
        <v>56</v>
      </c>
      <c r="O452" s="1" t="s">
        <v>418</v>
      </c>
      <c r="P452" s="1" t="s">
        <v>56</v>
      </c>
      <c r="Q452" s="1" t="s">
        <v>69</v>
      </c>
      <c r="R452" s="1">
        <v>260.14999999999998</v>
      </c>
      <c r="S452" s="1" t="s">
        <v>33</v>
      </c>
      <c r="T452" s="1" t="s">
        <v>57</v>
      </c>
      <c r="U452" s="1" t="s">
        <v>35</v>
      </c>
      <c r="V452" s="1" t="s">
        <v>36</v>
      </c>
    </row>
    <row r="453" spans="1:22" x14ac:dyDescent="0.3">
      <c r="A453" s="1" t="s">
        <v>2476</v>
      </c>
      <c r="B453" s="1" t="s">
        <v>2477</v>
      </c>
      <c r="C453" s="1">
        <v>25</v>
      </c>
      <c r="D453" s="1" t="s">
        <v>2478</v>
      </c>
      <c r="E453" s="1" t="s">
        <v>51</v>
      </c>
      <c r="F453" s="2">
        <v>45266</v>
      </c>
      <c r="G453" s="1" t="s">
        <v>2479</v>
      </c>
      <c r="H453" s="1">
        <v>1</v>
      </c>
      <c r="I453" s="1" t="s">
        <v>27</v>
      </c>
      <c r="J453" s="1" t="s">
        <v>956</v>
      </c>
      <c r="K453" s="1" t="s">
        <v>2480</v>
      </c>
      <c r="L453" s="1">
        <v>8</v>
      </c>
      <c r="M453" s="1">
        <v>32</v>
      </c>
      <c r="N453" s="1" t="s">
        <v>54</v>
      </c>
      <c r="O453" s="1" t="s">
        <v>821</v>
      </c>
      <c r="P453" s="1" t="s">
        <v>68</v>
      </c>
      <c r="Q453" s="1" t="s">
        <v>69</v>
      </c>
      <c r="R453" s="1">
        <v>309.76</v>
      </c>
      <c r="S453" s="1" t="s">
        <v>46</v>
      </c>
      <c r="T453" s="1" t="s">
        <v>57</v>
      </c>
      <c r="U453" s="1" t="s">
        <v>35</v>
      </c>
      <c r="V453" s="1" t="s">
        <v>36</v>
      </c>
    </row>
    <row r="454" spans="1:22" x14ac:dyDescent="0.3">
      <c r="A454" s="1" t="s">
        <v>2481</v>
      </c>
      <c r="B454" s="1" t="s">
        <v>2482</v>
      </c>
      <c r="C454" s="1">
        <v>22</v>
      </c>
      <c r="D454" s="1" t="s">
        <v>2483</v>
      </c>
      <c r="E454" s="1" t="s">
        <v>61</v>
      </c>
      <c r="F454" s="1" t="s">
        <v>2484</v>
      </c>
      <c r="G454" s="1" t="s">
        <v>2485</v>
      </c>
      <c r="H454" s="1">
        <v>4</v>
      </c>
      <c r="I454" s="1" t="s">
        <v>64</v>
      </c>
      <c r="J454" s="1" t="s">
        <v>2486</v>
      </c>
      <c r="K454" s="1" t="s">
        <v>2487</v>
      </c>
      <c r="L454" s="1">
        <v>6</v>
      </c>
      <c r="M454" s="1">
        <v>48</v>
      </c>
      <c r="N454" s="1" t="s">
        <v>56</v>
      </c>
      <c r="O454" s="1" t="s">
        <v>597</v>
      </c>
      <c r="P454" s="1" t="s">
        <v>45</v>
      </c>
      <c r="Q454" s="1" t="s">
        <v>69</v>
      </c>
      <c r="R454" s="1">
        <v>1068.1199999999999</v>
      </c>
      <c r="S454" s="1" t="s">
        <v>46</v>
      </c>
      <c r="T454" s="1" t="s">
        <v>100</v>
      </c>
      <c r="U454" s="1" t="s">
        <v>35</v>
      </c>
      <c r="V454" s="1" t="s">
        <v>71</v>
      </c>
    </row>
    <row r="455" spans="1:22" x14ac:dyDescent="0.3">
      <c r="A455" s="1" t="s">
        <v>2488</v>
      </c>
      <c r="B455" s="1" t="s">
        <v>2489</v>
      </c>
      <c r="C455" s="1">
        <v>44</v>
      </c>
      <c r="D455" s="1" t="s">
        <v>2490</v>
      </c>
      <c r="E455" s="1" t="s">
        <v>88</v>
      </c>
      <c r="F455" s="2">
        <v>44661</v>
      </c>
      <c r="G455" s="2">
        <v>45603</v>
      </c>
      <c r="H455" s="1">
        <v>4</v>
      </c>
      <c r="I455" s="1" t="s">
        <v>64</v>
      </c>
      <c r="J455" s="1" t="s">
        <v>2353</v>
      </c>
      <c r="K455" s="1" t="s">
        <v>2491</v>
      </c>
      <c r="L455" s="1">
        <v>2</v>
      </c>
      <c r="M455" s="1">
        <v>32</v>
      </c>
      <c r="N455" s="1" t="s">
        <v>68</v>
      </c>
      <c r="O455" s="1" t="s">
        <v>122</v>
      </c>
      <c r="P455" s="1" t="s">
        <v>30</v>
      </c>
      <c r="Q455" s="1" t="s">
        <v>32</v>
      </c>
      <c r="R455" s="1">
        <v>777.02</v>
      </c>
      <c r="S455" s="1" t="s">
        <v>46</v>
      </c>
      <c r="T455" s="1" t="s">
        <v>34</v>
      </c>
      <c r="U455" s="1" t="s">
        <v>35</v>
      </c>
      <c r="V455" s="1" t="s">
        <v>71</v>
      </c>
    </row>
    <row r="456" spans="1:22" x14ac:dyDescent="0.3">
      <c r="A456" s="1" t="s">
        <v>2492</v>
      </c>
      <c r="B456" s="1" t="s">
        <v>2493</v>
      </c>
      <c r="C456" s="1">
        <v>45</v>
      </c>
      <c r="D456" s="1" t="s">
        <v>2494</v>
      </c>
      <c r="E456" s="1" t="s">
        <v>51</v>
      </c>
      <c r="F456" s="2">
        <v>44928</v>
      </c>
      <c r="G456" s="1" t="s">
        <v>1355</v>
      </c>
      <c r="H456" s="1">
        <v>2</v>
      </c>
      <c r="I456" s="1" t="s">
        <v>52</v>
      </c>
      <c r="J456" s="2">
        <v>45846</v>
      </c>
      <c r="K456" s="1" t="s">
        <v>2495</v>
      </c>
      <c r="L456" s="1">
        <v>9</v>
      </c>
      <c r="M456" s="1">
        <v>40</v>
      </c>
      <c r="N456" s="1" t="s">
        <v>56</v>
      </c>
      <c r="O456" s="1" t="s">
        <v>293</v>
      </c>
      <c r="P456" s="1" t="s">
        <v>45</v>
      </c>
      <c r="Q456" s="1" t="s">
        <v>32</v>
      </c>
      <c r="R456" s="1">
        <v>1727.46</v>
      </c>
      <c r="S456" s="1" t="s">
        <v>46</v>
      </c>
      <c r="T456" s="1" t="s">
        <v>34</v>
      </c>
      <c r="U456" s="1" t="s">
        <v>35</v>
      </c>
      <c r="V456" s="1" t="s">
        <v>36</v>
      </c>
    </row>
    <row r="457" spans="1:22" x14ac:dyDescent="0.3">
      <c r="A457" s="1" t="s">
        <v>2496</v>
      </c>
      <c r="B457" s="1" t="s">
        <v>2497</v>
      </c>
      <c r="C457" s="1">
        <v>65</v>
      </c>
      <c r="D457" s="1" t="s">
        <v>2498</v>
      </c>
      <c r="E457" s="1" t="s">
        <v>61</v>
      </c>
      <c r="F457" s="1" t="s">
        <v>640</v>
      </c>
      <c r="G457" s="2">
        <v>45422</v>
      </c>
      <c r="H457" s="1">
        <v>4</v>
      </c>
      <c r="I457" s="1" t="s">
        <v>27</v>
      </c>
      <c r="J457" s="1" t="s">
        <v>2499</v>
      </c>
      <c r="K457" s="1" t="s">
        <v>2500</v>
      </c>
      <c r="L457" s="1">
        <v>9</v>
      </c>
      <c r="M457" s="1">
        <v>32</v>
      </c>
      <c r="N457" s="1" t="s">
        <v>54</v>
      </c>
      <c r="O457" s="1" t="s">
        <v>269</v>
      </c>
      <c r="P457" s="1" t="s">
        <v>56</v>
      </c>
      <c r="Q457" s="1" t="s">
        <v>32</v>
      </c>
      <c r="R457" s="1">
        <v>433.8</v>
      </c>
      <c r="S457" s="1" t="s">
        <v>46</v>
      </c>
      <c r="T457" s="1" t="s">
        <v>232</v>
      </c>
      <c r="U457" s="1" t="s">
        <v>35</v>
      </c>
      <c r="V457" s="1" t="s">
        <v>188</v>
      </c>
    </row>
    <row r="458" spans="1:22" x14ac:dyDescent="0.3">
      <c r="A458" s="1" t="s">
        <v>2501</v>
      </c>
      <c r="B458" s="1" t="s">
        <v>2502</v>
      </c>
      <c r="C458" s="1">
        <v>64</v>
      </c>
      <c r="D458" s="1" t="s">
        <v>2503</v>
      </c>
      <c r="E458" s="1" t="s">
        <v>61</v>
      </c>
      <c r="F458" s="1" t="s">
        <v>409</v>
      </c>
      <c r="G458" s="2">
        <v>45600</v>
      </c>
      <c r="H458" s="1">
        <v>2</v>
      </c>
      <c r="I458" s="1" t="s">
        <v>27</v>
      </c>
      <c r="J458" s="1" t="s">
        <v>712</v>
      </c>
      <c r="K458" s="1" t="s">
        <v>2504</v>
      </c>
      <c r="L458" s="1">
        <v>6</v>
      </c>
      <c r="M458" s="1">
        <v>44</v>
      </c>
      <c r="N458" s="1" t="s">
        <v>56</v>
      </c>
      <c r="O458" s="1" t="s">
        <v>604</v>
      </c>
      <c r="P458" s="1" t="s">
        <v>45</v>
      </c>
      <c r="Q458" s="1" t="s">
        <v>32</v>
      </c>
      <c r="R458" s="1">
        <v>155.88</v>
      </c>
      <c r="S458" s="1" t="s">
        <v>46</v>
      </c>
      <c r="T458" s="1" t="s">
        <v>47</v>
      </c>
      <c r="U458" s="1" t="s">
        <v>35</v>
      </c>
      <c r="V458" s="1" t="s">
        <v>36</v>
      </c>
    </row>
    <row r="459" spans="1:22" x14ac:dyDescent="0.3">
      <c r="A459" s="1" t="s">
        <v>2505</v>
      </c>
      <c r="B459" s="1" t="s">
        <v>2506</v>
      </c>
      <c r="C459" s="1">
        <v>52</v>
      </c>
      <c r="D459" s="1" t="s">
        <v>2507</v>
      </c>
      <c r="E459" s="1" t="s">
        <v>40</v>
      </c>
      <c r="F459" s="2">
        <v>44657</v>
      </c>
      <c r="G459" s="2">
        <v>45571</v>
      </c>
      <c r="H459" s="1">
        <v>2</v>
      </c>
      <c r="I459" s="1" t="s">
        <v>27</v>
      </c>
      <c r="J459" s="1" t="s">
        <v>1918</v>
      </c>
      <c r="K459" s="1" t="s">
        <v>2508</v>
      </c>
      <c r="L459" s="1">
        <v>3</v>
      </c>
      <c r="M459" s="1">
        <v>2</v>
      </c>
      <c r="N459" s="1" t="s">
        <v>45</v>
      </c>
      <c r="O459" s="1" t="s">
        <v>109</v>
      </c>
      <c r="P459" s="1" t="s">
        <v>68</v>
      </c>
      <c r="Q459" s="1" t="s">
        <v>69</v>
      </c>
      <c r="R459" s="1">
        <v>1174.5899999999999</v>
      </c>
      <c r="S459" s="1" t="s">
        <v>46</v>
      </c>
      <c r="T459" s="1" t="s">
        <v>47</v>
      </c>
      <c r="U459" s="1" t="s">
        <v>101</v>
      </c>
      <c r="V459" s="1" t="s">
        <v>36</v>
      </c>
    </row>
    <row r="460" spans="1:22" x14ac:dyDescent="0.3">
      <c r="A460" s="1" t="s">
        <v>2509</v>
      </c>
      <c r="B460" s="1" t="s">
        <v>2510</v>
      </c>
      <c r="C460" s="1">
        <v>25</v>
      </c>
      <c r="D460" s="1" t="s">
        <v>2511</v>
      </c>
      <c r="E460" s="1" t="s">
        <v>51</v>
      </c>
      <c r="F460" s="1" t="s">
        <v>1026</v>
      </c>
      <c r="G460" s="1" t="s">
        <v>2512</v>
      </c>
      <c r="H460" s="1">
        <v>1</v>
      </c>
      <c r="I460" s="1" t="s">
        <v>27</v>
      </c>
      <c r="J460" s="2">
        <v>45570</v>
      </c>
      <c r="K460" s="1" t="s">
        <v>2513</v>
      </c>
      <c r="L460" s="1">
        <v>3</v>
      </c>
      <c r="M460" s="1">
        <v>41</v>
      </c>
      <c r="N460" s="1" t="s">
        <v>68</v>
      </c>
      <c r="O460" s="1" t="s">
        <v>122</v>
      </c>
      <c r="P460" s="1" t="s">
        <v>30</v>
      </c>
      <c r="Q460" s="1" t="s">
        <v>32</v>
      </c>
      <c r="R460" s="1">
        <v>1365.87</v>
      </c>
      <c r="S460" s="1" t="s">
        <v>46</v>
      </c>
      <c r="T460" s="1" t="s">
        <v>57</v>
      </c>
      <c r="U460" s="1" t="s">
        <v>35</v>
      </c>
      <c r="V460" s="1" t="s">
        <v>36</v>
      </c>
    </row>
    <row r="461" spans="1:22" x14ac:dyDescent="0.3">
      <c r="A461" s="1" t="s">
        <v>2514</v>
      </c>
      <c r="B461" s="1" t="s">
        <v>2515</v>
      </c>
      <c r="C461" s="1">
        <v>50</v>
      </c>
      <c r="D461" s="1" t="s">
        <v>2516</v>
      </c>
      <c r="E461" s="1" t="s">
        <v>51</v>
      </c>
      <c r="F461" s="2">
        <v>44475</v>
      </c>
      <c r="G461" s="1" t="s">
        <v>2517</v>
      </c>
      <c r="H461" s="1">
        <v>2</v>
      </c>
      <c r="I461" s="1" t="s">
        <v>27</v>
      </c>
      <c r="J461" s="2">
        <v>45201</v>
      </c>
      <c r="K461" s="1" t="s">
        <v>2518</v>
      </c>
      <c r="L461" s="1">
        <v>1</v>
      </c>
      <c r="M461" s="1">
        <v>16</v>
      </c>
      <c r="N461" s="1" t="s">
        <v>68</v>
      </c>
      <c r="O461" s="1" t="s">
        <v>354</v>
      </c>
      <c r="P461" s="1" t="s">
        <v>45</v>
      </c>
      <c r="Q461" s="1" t="s">
        <v>32</v>
      </c>
      <c r="R461" s="1">
        <v>1137.99</v>
      </c>
      <c r="S461" s="1" t="s">
        <v>46</v>
      </c>
      <c r="T461" s="1" t="s">
        <v>47</v>
      </c>
      <c r="U461" s="1" t="s">
        <v>35</v>
      </c>
      <c r="V461" s="1" t="s">
        <v>36</v>
      </c>
    </row>
    <row r="462" spans="1:22" x14ac:dyDescent="0.3">
      <c r="A462" s="1" t="s">
        <v>2519</v>
      </c>
      <c r="B462" s="1" t="s">
        <v>2520</v>
      </c>
      <c r="C462" s="1">
        <v>66</v>
      </c>
      <c r="D462" s="1" t="s">
        <v>2521</v>
      </c>
      <c r="E462" s="1" t="s">
        <v>61</v>
      </c>
      <c r="F462" s="1" t="s">
        <v>2522</v>
      </c>
      <c r="G462" s="2">
        <v>45415</v>
      </c>
      <c r="H462" s="1">
        <v>4</v>
      </c>
      <c r="I462" s="1" t="s">
        <v>27</v>
      </c>
      <c r="J462" s="1" t="s">
        <v>2523</v>
      </c>
      <c r="K462" s="1" t="s">
        <v>2524</v>
      </c>
      <c r="L462" s="1">
        <v>8</v>
      </c>
      <c r="M462" s="1">
        <v>14</v>
      </c>
      <c r="N462" s="1" t="s">
        <v>68</v>
      </c>
      <c r="O462" s="1" t="s">
        <v>536</v>
      </c>
      <c r="P462" s="1" t="s">
        <v>68</v>
      </c>
      <c r="Q462" s="1" t="s">
        <v>32</v>
      </c>
      <c r="R462" s="1">
        <v>1658.24</v>
      </c>
      <c r="S462" s="1" t="s">
        <v>33</v>
      </c>
      <c r="T462" s="1" t="s">
        <v>232</v>
      </c>
      <c r="U462" s="1" t="s">
        <v>35</v>
      </c>
      <c r="V462" s="1" t="s">
        <v>188</v>
      </c>
    </row>
    <row r="463" spans="1:22" x14ac:dyDescent="0.3">
      <c r="A463" s="1" t="s">
        <v>2525</v>
      </c>
      <c r="B463" s="1" t="s">
        <v>2526</v>
      </c>
      <c r="C463" s="1">
        <v>66</v>
      </c>
      <c r="D463" s="1" t="s">
        <v>2527</v>
      </c>
      <c r="E463" s="1" t="s">
        <v>61</v>
      </c>
      <c r="F463" s="1" t="s">
        <v>1874</v>
      </c>
      <c r="G463" s="1" t="s">
        <v>746</v>
      </c>
      <c r="H463" s="1">
        <v>5</v>
      </c>
      <c r="I463" s="1" t="s">
        <v>52</v>
      </c>
      <c r="J463" s="2">
        <v>45145</v>
      </c>
      <c r="K463" s="1" t="s">
        <v>2528</v>
      </c>
      <c r="L463" s="1">
        <v>6</v>
      </c>
      <c r="M463" s="1">
        <v>40</v>
      </c>
      <c r="N463" s="1" t="s">
        <v>54</v>
      </c>
      <c r="O463" s="1" t="s">
        <v>44</v>
      </c>
      <c r="P463" s="1" t="s">
        <v>45</v>
      </c>
      <c r="Q463" s="1" t="s">
        <v>32</v>
      </c>
      <c r="R463" s="1">
        <v>1947.24</v>
      </c>
      <c r="S463" s="1" t="s">
        <v>46</v>
      </c>
      <c r="T463" s="1" t="s">
        <v>232</v>
      </c>
      <c r="U463" s="1" t="s">
        <v>35</v>
      </c>
      <c r="V463" s="1" t="s">
        <v>36</v>
      </c>
    </row>
    <row r="464" spans="1:22" x14ac:dyDescent="0.3">
      <c r="A464" s="1" t="s">
        <v>2529</v>
      </c>
      <c r="B464" s="1" t="s">
        <v>2530</v>
      </c>
      <c r="C464" s="1">
        <v>24</v>
      </c>
      <c r="D464" s="1" t="s">
        <v>2531</v>
      </c>
      <c r="E464" s="1" t="s">
        <v>25</v>
      </c>
      <c r="F464" s="1" t="s">
        <v>2532</v>
      </c>
      <c r="G464" s="1" t="s">
        <v>2533</v>
      </c>
      <c r="H464" s="1">
        <v>0</v>
      </c>
      <c r="I464" s="1" t="s">
        <v>27</v>
      </c>
      <c r="J464" s="1" t="s">
        <v>382</v>
      </c>
      <c r="K464" s="1" t="s">
        <v>2534</v>
      </c>
      <c r="L464" s="1">
        <v>5</v>
      </c>
      <c r="M464" s="1">
        <v>10</v>
      </c>
      <c r="N464" s="1" t="s">
        <v>54</v>
      </c>
      <c r="O464" s="1" t="s">
        <v>821</v>
      </c>
      <c r="P464" s="1" t="s">
        <v>68</v>
      </c>
      <c r="Q464" s="1" t="s">
        <v>32</v>
      </c>
      <c r="R464" s="1">
        <v>1030.75</v>
      </c>
      <c r="S464" s="1" t="s">
        <v>46</v>
      </c>
      <c r="T464" s="1" t="s">
        <v>100</v>
      </c>
      <c r="U464" s="1" t="s">
        <v>35</v>
      </c>
      <c r="V464" s="1" t="s">
        <v>36</v>
      </c>
    </row>
    <row r="465" spans="1:22" x14ac:dyDescent="0.3">
      <c r="A465" s="1" t="s">
        <v>2535</v>
      </c>
      <c r="B465" s="1" t="s">
        <v>2536</v>
      </c>
      <c r="C465" s="1">
        <v>46</v>
      </c>
      <c r="D465" s="1" t="s">
        <v>2537</v>
      </c>
      <c r="E465" s="1" t="s">
        <v>25</v>
      </c>
      <c r="F465" s="1" t="s">
        <v>2538</v>
      </c>
      <c r="G465" s="2">
        <v>45052</v>
      </c>
      <c r="H465" s="1">
        <v>1</v>
      </c>
      <c r="I465" s="1" t="s">
        <v>64</v>
      </c>
      <c r="J465" s="1" t="s">
        <v>120</v>
      </c>
      <c r="K465" s="1" t="s">
        <v>2539</v>
      </c>
      <c r="L465" s="1">
        <v>1</v>
      </c>
      <c r="M465" s="1">
        <v>21</v>
      </c>
      <c r="N465" s="1" t="s">
        <v>68</v>
      </c>
      <c r="O465" s="1" t="s">
        <v>199</v>
      </c>
      <c r="P465" s="1" t="s">
        <v>54</v>
      </c>
      <c r="Q465" s="1" t="s">
        <v>69</v>
      </c>
      <c r="R465" s="1">
        <v>1493.98</v>
      </c>
      <c r="S465" s="1" t="s">
        <v>46</v>
      </c>
      <c r="T465" s="1" t="s">
        <v>34</v>
      </c>
      <c r="U465" s="1" t="s">
        <v>35</v>
      </c>
      <c r="V465" s="1" t="s">
        <v>71</v>
      </c>
    </row>
    <row r="466" spans="1:22" x14ac:dyDescent="0.3">
      <c r="A466" s="1" t="s">
        <v>2540</v>
      </c>
      <c r="B466" s="1" t="s">
        <v>2541</v>
      </c>
      <c r="C466" s="1">
        <v>39</v>
      </c>
      <c r="D466" s="1" t="s">
        <v>2542</v>
      </c>
      <c r="E466" s="1" t="s">
        <v>61</v>
      </c>
      <c r="F466" s="1" t="s">
        <v>2543</v>
      </c>
      <c r="G466" s="2">
        <v>45843</v>
      </c>
      <c r="H466" s="1">
        <v>5</v>
      </c>
      <c r="I466" s="1" t="s">
        <v>64</v>
      </c>
      <c r="J466" s="1" t="s">
        <v>2544</v>
      </c>
      <c r="K466" s="1" t="s">
        <v>2545</v>
      </c>
      <c r="L466" s="1">
        <v>2</v>
      </c>
      <c r="M466" s="1">
        <v>10</v>
      </c>
      <c r="N466" s="1" t="s">
        <v>68</v>
      </c>
      <c r="O466" s="1" t="s">
        <v>175</v>
      </c>
      <c r="P466" s="1" t="s">
        <v>56</v>
      </c>
      <c r="Q466" s="1" t="s">
        <v>69</v>
      </c>
      <c r="R466" s="1">
        <v>1106.72</v>
      </c>
      <c r="S466" s="1" t="s">
        <v>46</v>
      </c>
      <c r="T466" s="1" t="s">
        <v>34</v>
      </c>
      <c r="U466" s="1" t="s">
        <v>35</v>
      </c>
      <c r="V466" s="1" t="s">
        <v>71</v>
      </c>
    </row>
    <row r="467" spans="1:22" x14ac:dyDescent="0.3">
      <c r="A467" s="1" t="s">
        <v>2546</v>
      </c>
      <c r="B467" s="1" t="s">
        <v>2547</v>
      </c>
      <c r="C467" s="1">
        <v>26</v>
      </c>
      <c r="D467" s="1" t="s">
        <v>2548</v>
      </c>
      <c r="E467" s="1" t="s">
        <v>51</v>
      </c>
      <c r="F467" s="1" t="s">
        <v>2549</v>
      </c>
      <c r="G467" s="2">
        <v>44744</v>
      </c>
      <c r="H467" s="1">
        <v>3</v>
      </c>
      <c r="I467" s="1" t="s">
        <v>27</v>
      </c>
      <c r="J467" s="1" t="s">
        <v>2550</v>
      </c>
      <c r="K467" s="1" t="s">
        <v>2551</v>
      </c>
      <c r="L467" s="1">
        <v>6</v>
      </c>
      <c r="M467" s="1">
        <v>41</v>
      </c>
      <c r="N467" s="1" t="s">
        <v>54</v>
      </c>
      <c r="O467" s="1" t="s">
        <v>135</v>
      </c>
      <c r="P467" s="1" t="s">
        <v>45</v>
      </c>
      <c r="Q467" s="1" t="s">
        <v>32</v>
      </c>
      <c r="R467" s="1">
        <v>1069.68</v>
      </c>
      <c r="S467" s="1" t="s">
        <v>46</v>
      </c>
      <c r="T467" s="1" t="s">
        <v>57</v>
      </c>
      <c r="U467" s="1" t="s">
        <v>35</v>
      </c>
      <c r="V467" s="1" t="s">
        <v>36</v>
      </c>
    </row>
    <row r="468" spans="1:22" x14ac:dyDescent="0.3">
      <c r="A468" s="1" t="s">
        <v>2552</v>
      </c>
      <c r="B468" s="1" t="s">
        <v>2553</v>
      </c>
      <c r="C468" s="1">
        <v>36</v>
      </c>
      <c r="D468" s="1" t="s">
        <v>2554</v>
      </c>
      <c r="E468" s="1" t="s">
        <v>61</v>
      </c>
      <c r="F468" s="2">
        <v>45233</v>
      </c>
      <c r="G468" s="1" t="s">
        <v>590</v>
      </c>
      <c r="H468" s="1">
        <v>5</v>
      </c>
      <c r="I468" s="1" t="s">
        <v>52</v>
      </c>
      <c r="J468" s="1" t="s">
        <v>853</v>
      </c>
      <c r="K468" s="1" t="s">
        <v>2555</v>
      </c>
      <c r="L468" s="1">
        <v>1</v>
      </c>
      <c r="M468" s="1">
        <v>25</v>
      </c>
      <c r="N468" s="1" t="s">
        <v>54</v>
      </c>
      <c r="O468" s="1" t="s">
        <v>91</v>
      </c>
      <c r="P468" s="1" t="s">
        <v>54</v>
      </c>
      <c r="Q468" s="1" t="s">
        <v>32</v>
      </c>
      <c r="R468" s="1">
        <v>638.11</v>
      </c>
      <c r="S468" s="1" t="s">
        <v>33</v>
      </c>
      <c r="T468" s="1" t="s">
        <v>34</v>
      </c>
      <c r="U468" s="1" t="s">
        <v>35</v>
      </c>
      <c r="V468" s="1" t="s">
        <v>36</v>
      </c>
    </row>
    <row r="469" spans="1:22" x14ac:dyDescent="0.3">
      <c r="A469" s="1" t="s">
        <v>2556</v>
      </c>
      <c r="B469" s="1" t="s">
        <v>2557</v>
      </c>
      <c r="C469" s="1">
        <v>37</v>
      </c>
      <c r="D469" s="1" t="s">
        <v>2558</v>
      </c>
      <c r="E469" s="1" t="s">
        <v>61</v>
      </c>
      <c r="F469" s="1" t="s">
        <v>2559</v>
      </c>
      <c r="G469" s="1" t="s">
        <v>1764</v>
      </c>
      <c r="H469" s="1">
        <v>1</v>
      </c>
      <c r="I469" s="1" t="s">
        <v>27</v>
      </c>
      <c r="J469" s="1" t="s">
        <v>2560</v>
      </c>
      <c r="K469" s="1" t="s">
        <v>2561</v>
      </c>
      <c r="L469" s="1">
        <v>8</v>
      </c>
      <c r="M469" s="1">
        <v>34</v>
      </c>
      <c r="N469" s="1" t="s">
        <v>68</v>
      </c>
      <c r="O469" s="1" t="s">
        <v>293</v>
      </c>
      <c r="P469" s="1" t="s">
        <v>45</v>
      </c>
      <c r="Q469" s="1" t="s">
        <v>32</v>
      </c>
      <c r="R469" s="1">
        <v>1802.56</v>
      </c>
      <c r="S469" s="1" t="s">
        <v>46</v>
      </c>
      <c r="T469" s="1" t="s">
        <v>34</v>
      </c>
      <c r="U469" s="1" t="s">
        <v>35</v>
      </c>
      <c r="V469" s="1" t="s">
        <v>36</v>
      </c>
    </row>
    <row r="470" spans="1:22" x14ac:dyDescent="0.3">
      <c r="A470" s="1" t="s">
        <v>2562</v>
      </c>
      <c r="B470" s="1" t="s">
        <v>2563</v>
      </c>
      <c r="C470" s="1">
        <v>35</v>
      </c>
      <c r="D470" s="1" t="s">
        <v>2564</v>
      </c>
      <c r="E470" s="1" t="s">
        <v>25</v>
      </c>
      <c r="F470" s="1" t="s">
        <v>934</v>
      </c>
      <c r="G470" s="2">
        <v>45171</v>
      </c>
      <c r="H470" s="1">
        <v>2</v>
      </c>
      <c r="I470" s="1" t="s">
        <v>27</v>
      </c>
      <c r="J470" s="1" t="s">
        <v>634</v>
      </c>
      <c r="K470" s="1" t="s">
        <v>2565</v>
      </c>
      <c r="L470" s="1">
        <v>9</v>
      </c>
      <c r="M470" s="1">
        <v>49</v>
      </c>
      <c r="N470" s="1" t="s">
        <v>68</v>
      </c>
      <c r="O470" s="1" t="s">
        <v>251</v>
      </c>
      <c r="P470" s="1" t="s">
        <v>30</v>
      </c>
      <c r="Q470" s="1" t="s">
        <v>32</v>
      </c>
      <c r="R470" s="1">
        <v>1201.5</v>
      </c>
      <c r="S470" s="1" t="s">
        <v>46</v>
      </c>
      <c r="T470" s="1" t="s">
        <v>34</v>
      </c>
      <c r="U470" s="1" t="s">
        <v>35</v>
      </c>
      <c r="V470" s="1" t="s">
        <v>36</v>
      </c>
    </row>
    <row r="471" spans="1:22" x14ac:dyDescent="0.3">
      <c r="A471" s="1" t="s">
        <v>2566</v>
      </c>
      <c r="B471" s="1" t="s">
        <v>2567</v>
      </c>
      <c r="C471" s="1">
        <v>44</v>
      </c>
      <c r="D471" s="1" t="s">
        <v>2568</v>
      </c>
      <c r="E471" s="1" t="s">
        <v>88</v>
      </c>
      <c r="F471" s="2">
        <v>45262</v>
      </c>
      <c r="G471" s="1" t="s">
        <v>2569</v>
      </c>
      <c r="H471" s="1">
        <v>2</v>
      </c>
      <c r="I471" s="1" t="s">
        <v>52</v>
      </c>
      <c r="J471" s="1" t="s">
        <v>2082</v>
      </c>
      <c r="K471" s="1" t="s">
        <v>2570</v>
      </c>
      <c r="L471" s="1">
        <v>6</v>
      </c>
      <c r="M471" s="1">
        <v>19</v>
      </c>
      <c r="N471" s="1" t="s">
        <v>45</v>
      </c>
      <c r="O471" s="1" t="s">
        <v>31</v>
      </c>
      <c r="P471" s="1" t="s">
        <v>30</v>
      </c>
      <c r="Q471" s="1" t="s">
        <v>69</v>
      </c>
      <c r="R471" s="1">
        <v>1281.06</v>
      </c>
      <c r="S471" s="1" t="s">
        <v>46</v>
      </c>
      <c r="T471" s="1" t="s">
        <v>34</v>
      </c>
      <c r="U471" s="1" t="s">
        <v>35</v>
      </c>
      <c r="V471" s="1" t="s">
        <v>36</v>
      </c>
    </row>
    <row r="472" spans="1:22" x14ac:dyDescent="0.3">
      <c r="A472" s="1" t="s">
        <v>2571</v>
      </c>
      <c r="B472" s="1" t="s">
        <v>2572</v>
      </c>
      <c r="C472" s="1">
        <v>51</v>
      </c>
      <c r="D472" s="1" t="s">
        <v>2573</v>
      </c>
      <c r="E472" s="1" t="s">
        <v>88</v>
      </c>
      <c r="F472" s="1" t="s">
        <v>2522</v>
      </c>
      <c r="G472" s="1" t="s">
        <v>1577</v>
      </c>
      <c r="H472" s="1">
        <v>0</v>
      </c>
      <c r="I472" s="1" t="s">
        <v>27</v>
      </c>
      <c r="J472" s="1" t="s">
        <v>2512</v>
      </c>
      <c r="K472" s="1" t="s">
        <v>2574</v>
      </c>
      <c r="L472" s="1">
        <v>8</v>
      </c>
      <c r="M472" s="1">
        <v>36</v>
      </c>
      <c r="N472" s="1" t="s">
        <v>56</v>
      </c>
      <c r="O472" s="1" t="s">
        <v>67</v>
      </c>
      <c r="P472" s="1" t="s">
        <v>68</v>
      </c>
      <c r="Q472" s="1" t="s">
        <v>32</v>
      </c>
      <c r="R472" s="1">
        <v>1482.96</v>
      </c>
      <c r="S472" s="1" t="s">
        <v>46</v>
      </c>
      <c r="T472" s="1" t="s">
        <v>47</v>
      </c>
      <c r="U472" s="1" t="s">
        <v>35</v>
      </c>
      <c r="V472" s="1" t="s">
        <v>36</v>
      </c>
    </row>
    <row r="473" spans="1:22" x14ac:dyDescent="0.3">
      <c r="A473" s="1" t="s">
        <v>2575</v>
      </c>
      <c r="B473" s="1" t="s">
        <v>2576</v>
      </c>
      <c r="C473" s="1">
        <v>35</v>
      </c>
      <c r="D473" s="1" t="s">
        <v>2577</v>
      </c>
      <c r="E473" s="1" t="s">
        <v>40</v>
      </c>
      <c r="F473" s="1" t="s">
        <v>2578</v>
      </c>
      <c r="G473" s="1" t="s">
        <v>2579</v>
      </c>
      <c r="H473" s="1">
        <v>0</v>
      </c>
      <c r="I473" s="1" t="s">
        <v>52</v>
      </c>
      <c r="J473" s="2">
        <v>45386</v>
      </c>
      <c r="K473" s="1" t="s">
        <v>2580</v>
      </c>
      <c r="L473" s="1">
        <v>8</v>
      </c>
      <c r="M473" s="1">
        <v>4</v>
      </c>
      <c r="N473" s="1" t="s">
        <v>45</v>
      </c>
      <c r="O473" s="1" t="s">
        <v>837</v>
      </c>
      <c r="P473" s="1" t="s">
        <v>56</v>
      </c>
      <c r="Q473" s="1" t="s">
        <v>32</v>
      </c>
      <c r="R473" s="1">
        <v>702.4</v>
      </c>
      <c r="S473" s="1" t="s">
        <v>46</v>
      </c>
      <c r="T473" s="1" t="s">
        <v>34</v>
      </c>
      <c r="U473" s="1" t="s">
        <v>35</v>
      </c>
      <c r="V473" s="1" t="s">
        <v>36</v>
      </c>
    </row>
    <row r="474" spans="1:22" x14ac:dyDescent="0.3">
      <c r="A474" s="1" t="s">
        <v>2581</v>
      </c>
      <c r="B474" s="1" t="s">
        <v>2582</v>
      </c>
      <c r="C474" s="1">
        <v>51</v>
      </c>
      <c r="D474" s="1" t="s">
        <v>2583</v>
      </c>
      <c r="E474" s="1" t="s">
        <v>95</v>
      </c>
      <c r="F474" s="1" t="s">
        <v>1205</v>
      </c>
      <c r="G474" s="1" t="s">
        <v>345</v>
      </c>
      <c r="H474" s="1">
        <v>0</v>
      </c>
      <c r="I474" s="1" t="s">
        <v>52</v>
      </c>
      <c r="J474" s="1" t="s">
        <v>1546</v>
      </c>
      <c r="K474" s="1" t="s">
        <v>2584</v>
      </c>
      <c r="L474" s="1">
        <v>4</v>
      </c>
      <c r="M474" s="1">
        <v>29</v>
      </c>
      <c r="N474" s="1" t="s">
        <v>45</v>
      </c>
      <c r="O474" s="1" t="s">
        <v>142</v>
      </c>
      <c r="P474" s="1" t="s">
        <v>68</v>
      </c>
      <c r="Q474" s="1" t="s">
        <v>69</v>
      </c>
      <c r="R474" s="1">
        <v>391.12</v>
      </c>
      <c r="S474" s="1" t="s">
        <v>46</v>
      </c>
      <c r="T474" s="1" t="s">
        <v>47</v>
      </c>
      <c r="U474" s="1" t="s">
        <v>35</v>
      </c>
      <c r="V474" s="1" t="s">
        <v>36</v>
      </c>
    </row>
    <row r="475" spans="1:22" x14ac:dyDescent="0.3">
      <c r="A475" s="1" t="s">
        <v>2585</v>
      </c>
      <c r="B475" s="1" t="s">
        <v>2586</v>
      </c>
      <c r="C475" s="1">
        <v>56</v>
      </c>
      <c r="D475" s="1" t="s">
        <v>2587</v>
      </c>
      <c r="E475" s="1" t="s">
        <v>51</v>
      </c>
      <c r="F475" s="1" t="s">
        <v>797</v>
      </c>
      <c r="G475" s="2">
        <v>44963</v>
      </c>
      <c r="H475" s="1">
        <v>2</v>
      </c>
      <c r="I475" s="1" t="s">
        <v>27</v>
      </c>
      <c r="J475" s="1" t="s">
        <v>2588</v>
      </c>
      <c r="K475" s="1" t="s">
        <v>2589</v>
      </c>
      <c r="L475" s="1">
        <v>9</v>
      </c>
      <c r="M475" s="1">
        <v>38</v>
      </c>
      <c r="N475" s="1" t="s">
        <v>56</v>
      </c>
      <c r="O475" s="1" t="s">
        <v>194</v>
      </c>
      <c r="P475" s="1" t="s">
        <v>56</v>
      </c>
      <c r="Q475" s="1" t="s">
        <v>69</v>
      </c>
      <c r="R475" s="1">
        <v>1778.4</v>
      </c>
      <c r="S475" s="1" t="s">
        <v>33</v>
      </c>
      <c r="T475" s="1" t="s">
        <v>47</v>
      </c>
      <c r="U475" s="1" t="s">
        <v>35</v>
      </c>
      <c r="V475" s="1" t="s">
        <v>36</v>
      </c>
    </row>
    <row r="476" spans="1:22" x14ac:dyDescent="0.3">
      <c r="A476" s="1" t="s">
        <v>2590</v>
      </c>
      <c r="B476" s="1" t="s">
        <v>2591</v>
      </c>
      <c r="C476" s="1">
        <v>37</v>
      </c>
      <c r="D476" s="1" t="s">
        <v>2592</v>
      </c>
      <c r="E476" s="1" t="s">
        <v>40</v>
      </c>
      <c r="F476" s="2">
        <v>44294</v>
      </c>
      <c r="G476" s="1" t="s">
        <v>2593</v>
      </c>
      <c r="H476" s="1">
        <v>0</v>
      </c>
      <c r="I476" s="1" t="s">
        <v>27</v>
      </c>
      <c r="J476" s="2">
        <v>45444</v>
      </c>
      <c r="K476" s="1" t="s">
        <v>2594</v>
      </c>
      <c r="L476" s="1">
        <v>2</v>
      </c>
      <c r="M476" s="1">
        <v>46</v>
      </c>
      <c r="N476" s="1" t="s">
        <v>68</v>
      </c>
      <c r="O476" s="1" t="s">
        <v>604</v>
      </c>
      <c r="P476" s="1" t="s">
        <v>45</v>
      </c>
      <c r="Q476" s="1" t="s">
        <v>32</v>
      </c>
      <c r="R476" s="1">
        <v>1064.18</v>
      </c>
      <c r="S476" s="1" t="s">
        <v>46</v>
      </c>
      <c r="T476" s="1" t="s">
        <v>34</v>
      </c>
      <c r="U476" s="1" t="s">
        <v>35</v>
      </c>
      <c r="V476" s="1" t="s">
        <v>36</v>
      </c>
    </row>
    <row r="477" spans="1:22" x14ac:dyDescent="0.3">
      <c r="A477" s="1" t="s">
        <v>2595</v>
      </c>
      <c r="B477" s="1" t="s">
        <v>2596</v>
      </c>
      <c r="C477" s="1">
        <v>40</v>
      </c>
      <c r="D477" s="1" t="s">
        <v>2597</v>
      </c>
      <c r="E477" s="1" t="s">
        <v>25</v>
      </c>
      <c r="F477" s="2">
        <v>44086</v>
      </c>
      <c r="G477" s="1" t="s">
        <v>2598</v>
      </c>
      <c r="H477" s="1">
        <v>1</v>
      </c>
      <c r="I477" s="1" t="s">
        <v>52</v>
      </c>
      <c r="J477" s="2">
        <v>45573</v>
      </c>
      <c r="K477" s="1" t="s">
        <v>2599</v>
      </c>
      <c r="L477" s="1">
        <v>5</v>
      </c>
      <c r="M477" s="1">
        <v>7</v>
      </c>
      <c r="N477" s="1" t="s">
        <v>68</v>
      </c>
      <c r="O477" s="1" t="s">
        <v>269</v>
      </c>
      <c r="P477" s="1" t="s">
        <v>56</v>
      </c>
      <c r="Q477" s="1" t="s">
        <v>32</v>
      </c>
      <c r="R477" s="1">
        <v>980.6</v>
      </c>
      <c r="S477" s="1" t="s">
        <v>46</v>
      </c>
      <c r="T477" s="1" t="s">
        <v>34</v>
      </c>
      <c r="U477" s="1" t="s">
        <v>35</v>
      </c>
      <c r="V477" s="1" t="s">
        <v>36</v>
      </c>
    </row>
    <row r="478" spans="1:22" x14ac:dyDescent="0.3">
      <c r="A478" s="1" t="s">
        <v>2600</v>
      </c>
      <c r="B478" s="1" t="s">
        <v>2601</v>
      </c>
      <c r="C478" s="1">
        <v>40</v>
      </c>
      <c r="D478" s="1" t="s">
        <v>2602</v>
      </c>
      <c r="E478" s="1" t="s">
        <v>51</v>
      </c>
      <c r="F478" s="1" t="s">
        <v>2603</v>
      </c>
      <c r="G478" s="1" t="s">
        <v>2010</v>
      </c>
      <c r="H478" s="1">
        <v>5</v>
      </c>
      <c r="I478" s="1" t="s">
        <v>52</v>
      </c>
      <c r="J478" s="1" t="s">
        <v>2604</v>
      </c>
      <c r="K478" s="1" t="s">
        <v>2605</v>
      </c>
      <c r="L478" s="1">
        <v>6</v>
      </c>
      <c r="M478" s="1">
        <v>12</v>
      </c>
      <c r="N478" s="1" t="s">
        <v>30</v>
      </c>
      <c r="O478" s="1" t="s">
        <v>122</v>
      </c>
      <c r="P478" s="1" t="s">
        <v>30</v>
      </c>
      <c r="Q478" s="1" t="s">
        <v>32</v>
      </c>
      <c r="R478" s="1">
        <v>1883.16</v>
      </c>
      <c r="S478" s="1" t="s">
        <v>33</v>
      </c>
      <c r="T478" s="1" t="s">
        <v>34</v>
      </c>
      <c r="U478" s="1" t="s">
        <v>35</v>
      </c>
      <c r="V478" s="1" t="s">
        <v>36</v>
      </c>
    </row>
    <row r="479" spans="1:22" x14ac:dyDescent="0.3">
      <c r="A479" s="1" t="s">
        <v>2606</v>
      </c>
      <c r="B479" s="1" t="s">
        <v>2607</v>
      </c>
      <c r="C479" s="1">
        <v>31</v>
      </c>
      <c r="D479" s="1" t="s">
        <v>2608</v>
      </c>
      <c r="E479" s="1" t="s">
        <v>88</v>
      </c>
      <c r="F479" s="1" t="s">
        <v>1111</v>
      </c>
      <c r="G479" s="1" t="s">
        <v>2609</v>
      </c>
      <c r="H479" s="1">
        <v>1</v>
      </c>
      <c r="I479" s="1" t="s">
        <v>52</v>
      </c>
      <c r="J479" s="1" t="s">
        <v>1899</v>
      </c>
      <c r="K479" s="1" t="s">
        <v>2610</v>
      </c>
      <c r="L479" s="1">
        <v>2</v>
      </c>
      <c r="M479" s="1">
        <v>34</v>
      </c>
      <c r="N479" s="1" t="s">
        <v>30</v>
      </c>
      <c r="O479" s="1" t="s">
        <v>223</v>
      </c>
      <c r="P479" s="1" t="s">
        <v>56</v>
      </c>
      <c r="Q479" s="1" t="s">
        <v>32</v>
      </c>
      <c r="R479" s="1">
        <v>835.04</v>
      </c>
      <c r="S479" s="1" t="s">
        <v>46</v>
      </c>
      <c r="T479" s="1" t="s">
        <v>57</v>
      </c>
      <c r="U479" s="1" t="s">
        <v>35</v>
      </c>
      <c r="V479" s="1" t="s">
        <v>36</v>
      </c>
    </row>
    <row r="480" spans="1:22" x14ac:dyDescent="0.3">
      <c r="A480" s="1" t="s">
        <v>2611</v>
      </c>
      <c r="B480" s="1" t="s">
        <v>2612</v>
      </c>
      <c r="C480" s="1">
        <v>23</v>
      </c>
      <c r="D480" s="1" t="s">
        <v>2613</v>
      </c>
      <c r="E480" s="1" t="s">
        <v>61</v>
      </c>
      <c r="F480" s="1" t="s">
        <v>2614</v>
      </c>
      <c r="G480" s="1" t="s">
        <v>2615</v>
      </c>
      <c r="H480" s="1">
        <v>3</v>
      </c>
      <c r="I480" s="1" t="s">
        <v>27</v>
      </c>
      <c r="J480" s="2">
        <v>45508</v>
      </c>
      <c r="K480" s="1" t="s">
        <v>2616</v>
      </c>
      <c r="L480" s="1">
        <v>8</v>
      </c>
      <c r="M480" s="1">
        <v>27</v>
      </c>
      <c r="N480" s="1" t="s">
        <v>45</v>
      </c>
      <c r="O480" s="1" t="s">
        <v>418</v>
      </c>
      <c r="P480" s="1" t="s">
        <v>56</v>
      </c>
      <c r="Q480" s="1" t="s">
        <v>32</v>
      </c>
      <c r="R480" s="1">
        <v>998.08</v>
      </c>
      <c r="S480" s="1" t="s">
        <v>46</v>
      </c>
      <c r="T480" s="1" t="s">
        <v>100</v>
      </c>
      <c r="U480" s="1" t="s">
        <v>35</v>
      </c>
      <c r="V480" s="1" t="s">
        <v>36</v>
      </c>
    </row>
    <row r="481" spans="1:22" x14ac:dyDescent="0.3">
      <c r="A481" s="1" t="s">
        <v>2617</v>
      </c>
      <c r="B481" s="1" t="s">
        <v>2618</v>
      </c>
      <c r="C481" s="1">
        <v>32</v>
      </c>
      <c r="D481" s="1" t="s">
        <v>2619</v>
      </c>
      <c r="E481" s="1" t="s">
        <v>61</v>
      </c>
      <c r="F481" s="1" t="s">
        <v>2620</v>
      </c>
      <c r="G481" s="2">
        <v>45780</v>
      </c>
      <c r="H481" s="1">
        <v>2</v>
      </c>
      <c r="I481" s="1" t="s">
        <v>52</v>
      </c>
      <c r="J481" s="1" t="s">
        <v>83</v>
      </c>
      <c r="K481" s="1" t="s">
        <v>2621</v>
      </c>
      <c r="L481" s="1">
        <v>6</v>
      </c>
      <c r="M481" s="1">
        <v>2</v>
      </c>
      <c r="N481" s="1" t="s">
        <v>56</v>
      </c>
      <c r="O481" s="1" t="s">
        <v>77</v>
      </c>
      <c r="P481" s="1" t="s">
        <v>54</v>
      </c>
      <c r="Q481" s="1" t="s">
        <v>32</v>
      </c>
      <c r="R481" s="1">
        <v>541.26</v>
      </c>
      <c r="S481" s="1" t="s">
        <v>46</v>
      </c>
      <c r="T481" s="1" t="s">
        <v>57</v>
      </c>
      <c r="U481" s="1" t="s">
        <v>101</v>
      </c>
      <c r="V481" s="1" t="s">
        <v>36</v>
      </c>
    </row>
    <row r="482" spans="1:22" x14ac:dyDescent="0.3">
      <c r="A482" s="1" t="s">
        <v>2622</v>
      </c>
      <c r="B482" s="1" t="s">
        <v>2623</v>
      </c>
      <c r="C482" s="1">
        <v>46</v>
      </c>
      <c r="D482" s="1" t="s">
        <v>2624</v>
      </c>
      <c r="E482" s="1" t="s">
        <v>51</v>
      </c>
      <c r="F482" s="2">
        <v>44540</v>
      </c>
      <c r="G482" s="1" t="s">
        <v>2625</v>
      </c>
      <c r="H482" s="1">
        <v>4</v>
      </c>
      <c r="I482" s="1" t="s">
        <v>64</v>
      </c>
      <c r="J482" s="1" t="s">
        <v>2626</v>
      </c>
      <c r="K482" s="1" t="s">
        <v>2627</v>
      </c>
      <c r="L482" s="1">
        <v>4</v>
      </c>
      <c r="M482" s="1">
        <v>7</v>
      </c>
      <c r="N482" s="1" t="s">
        <v>68</v>
      </c>
      <c r="O482" s="1" t="s">
        <v>175</v>
      </c>
      <c r="P482" s="1" t="s">
        <v>56</v>
      </c>
      <c r="Q482" s="1" t="s">
        <v>322</v>
      </c>
      <c r="R482" s="1">
        <v>1109.8800000000001</v>
      </c>
      <c r="S482" s="1" t="s">
        <v>46</v>
      </c>
      <c r="T482" s="1" t="s">
        <v>34</v>
      </c>
      <c r="U482" s="1" t="s">
        <v>35</v>
      </c>
      <c r="V482" s="1" t="s">
        <v>71</v>
      </c>
    </row>
    <row r="483" spans="1:22" x14ac:dyDescent="0.3">
      <c r="A483" s="1" t="s">
        <v>2628</v>
      </c>
      <c r="B483" s="1" t="s">
        <v>2629</v>
      </c>
      <c r="C483" s="1">
        <v>65</v>
      </c>
      <c r="D483" s="1" t="s">
        <v>2630</v>
      </c>
      <c r="E483" s="1" t="s">
        <v>40</v>
      </c>
      <c r="F483" s="1" t="s">
        <v>1205</v>
      </c>
      <c r="G483" s="1" t="s">
        <v>2276</v>
      </c>
      <c r="H483" s="1">
        <v>0</v>
      </c>
      <c r="I483" s="1" t="s">
        <v>52</v>
      </c>
      <c r="J483" s="2">
        <v>45811</v>
      </c>
      <c r="K483" s="1" t="s">
        <v>2631</v>
      </c>
      <c r="L483" s="1">
        <v>5</v>
      </c>
      <c r="M483" s="1">
        <v>2</v>
      </c>
      <c r="N483" s="1" t="s">
        <v>54</v>
      </c>
      <c r="O483" s="1" t="s">
        <v>245</v>
      </c>
      <c r="P483" s="1" t="s">
        <v>54</v>
      </c>
      <c r="Q483" s="1" t="s">
        <v>69</v>
      </c>
      <c r="R483" s="1">
        <v>664.35</v>
      </c>
      <c r="S483" s="1" t="s">
        <v>33</v>
      </c>
      <c r="T483" s="1" t="s">
        <v>232</v>
      </c>
      <c r="U483" s="1" t="s">
        <v>101</v>
      </c>
      <c r="V483" s="1" t="s">
        <v>36</v>
      </c>
    </row>
    <row r="484" spans="1:22" x14ac:dyDescent="0.3">
      <c r="A484" s="1" t="s">
        <v>2632</v>
      </c>
      <c r="B484" s="1" t="s">
        <v>2633</v>
      </c>
      <c r="C484" s="1">
        <v>19</v>
      </c>
      <c r="D484" s="1" t="s">
        <v>2634</v>
      </c>
      <c r="E484" s="1" t="s">
        <v>51</v>
      </c>
      <c r="F484" s="1" t="s">
        <v>2402</v>
      </c>
      <c r="G484" s="2">
        <v>44992</v>
      </c>
      <c r="H484" s="1">
        <v>3</v>
      </c>
      <c r="I484" s="1" t="s">
        <v>27</v>
      </c>
      <c r="J484" s="1" t="s">
        <v>1293</v>
      </c>
      <c r="K484" s="1" t="s">
        <v>2635</v>
      </c>
      <c r="L484" s="1">
        <v>8</v>
      </c>
      <c r="M484" s="1">
        <v>10</v>
      </c>
      <c r="N484" s="1" t="s">
        <v>56</v>
      </c>
      <c r="O484" s="1" t="s">
        <v>175</v>
      </c>
      <c r="P484" s="1" t="s">
        <v>56</v>
      </c>
      <c r="Q484" s="1" t="s">
        <v>32</v>
      </c>
      <c r="R484" s="1">
        <v>1062.56</v>
      </c>
      <c r="S484" s="1" t="s">
        <v>33</v>
      </c>
      <c r="T484" s="1" t="s">
        <v>100</v>
      </c>
      <c r="U484" s="1" t="s">
        <v>35</v>
      </c>
      <c r="V484" s="1" t="s">
        <v>36</v>
      </c>
    </row>
    <row r="485" spans="1:22" x14ac:dyDescent="0.3">
      <c r="A485" s="1" t="s">
        <v>2636</v>
      </c>
      <c r="B485" s="1" t="s">
        <v>2637</v>
      </c>
      <c r="C485" s="1">
        <v>21</v>
      </c>
      <c r="D485" s="1" t="s">
        <v>2638</v>
      </c>
      <c r="E485" s="1" t="s">
        <v>95</v>
      </c>
      <c r="F485" s="2">
        <v>44663</v>
      </c>
      <c r="G485" s="1" t="s">
        <v>1005</v>
      </c>
      <c r="H485" s="1">
        <v>2</v>
      </c>
      <c r="I485" s="1" t="s">
        <v>52</v>
      </c>
      <c r="J485" s="2">
        <v>45386</v>
      </c>
      <c r="K485" s="1" t="s">
        <v>2639</v>
      </c>
      <c r="L485" s="1">
        <v>1</v>
      </c>
      <c r="M485" s="1">
        <v>47</v>
      </c>
      <c r="N485" s="1" t="s">
        <v>56</v>
      </c>
      <c r="O485" s="1" t="s">
        <v>597</v>
      </c>
      <c r="P485" s="1" t="s">
        <v>45</v>
      </c>
      <c r="Q485" s="1" t="s">
        <v>69</v>
      </c>
      <c r="R485" s="1">
        <v>554.08000000000004</v>
      </c>
      <c r="S485" s="1" t="s">
        <v>46</v>
      </c>
      <c r="T485" s="1" t="s">
        <v>100</v>
      </c>
      <c r="U485" s="1" t="s">
        <v>35</v>
      </c>
      <c r="V485" s="1" t="s">
        <v>36</v>
      </c>
    </row>
    <row r="486" spans="1:22" x14ac:dyDescent="0.3">
      <c r="A486" s="1" t="s">
        <v>2640</v>
      </c>
      <c r="B486" s="1" t="s">
        <v>2641</v>
      </c>
      <c r="C486" s="1">
        <v>23</v>
      </c>
      <c r="D486" s="1" t="s">
        <v>2642</v>
      </c>
      <c r="E486" s="1" t="s">
        <v>40</v>
      </c>
      <c r="F486" s="2">
        <v>45085</v>
      </c>
      <c r="G486" s="1" t="s">
        <v>579</v>
      </c>
      <c r="H486" s="1">
        <v>1</v>
      </c>
      <c r="I486" s="1" t="s">
        <v>27</v>
      </c>
      <c r="J486" s="1" t="s">
        <v>2643</v>
      </c>
      <c r="K486" s="1" t="s">
        <v>2644</v>
      </c>
      <c r="L486" s="1">
        <v>5</v>
      </c>
      <c r="M486" s="1">
        <v>2</v>
      </c>
      <c r="N486" s="1" t="s">
        <v>45</v>
      </c>
      <c r="O486" s="1" t="s">
        <v>821</v>
      </c>
      <c r="P486" s="1" t="s">
        <v>68</v>
      </c>
      <c r="Q486" s="1" t="s">
        <v>69</v>
      </c>
      <c r="R486" s="1">
        <v>952.15</v>
      </c>
      <c r="S486" s="1" t="s">
        <v>46</v>
      </c>
      <c r="T486" s="1" t="s">
        <v>100</v>
      </c>
      <c r="U486" s="1" t="s">
        <v>101</v>
      </c>
      <c r="V486" s="1" t="s">
        <v>36</v>
      </c>
    </row>
    <row r="487" spans="1:22" x14ac:dyDescent="0.3">
      <c r="A487" s="1" t="s">
        <v>2645</v>
      </c>
      <c r="B487" s="1" t="s">
        <v>2646</v>
      </c>
      <c r="C487" s="1">
        <v>59</v>
      </c>
      <c r="D487" s="1" t="s">
        <v>2647</v>
      </c>
      <c r="E487" s="1" t="s">
        <v>25</v>
      </c>
      <c r="F487" s="1" t="s">
        <v>2648</v>
      </c>
      <c r="G487" s="1" t="s">
        <v>2649</v>
      </c>
      <c r="H487" s="1">
        <v>0</v>
      </c>
      <c r="I487" s="1" t="s">
        <v>27</v>
      </c>
      <c r="J487" s="1" t="s">
        <v>186</v>
      </c>
      <c r="K487" s="1" t="s">
        <v>2650</v>
      </c>
      <c r="L487" s="1">
        <v>7</v>
      </c>
      <c r="M487" s="1">
        <v>16</v>
      </c>
      <c r="N487" s="1" t="s">
        <v>68</v>
      </c>
      <c r="O487" s="1" t="s">
        <v>91</v>
      </c>
      <c r="P487" s="1" t="s">
        <v>54</v>
      </c>
      <c r="Q487" s="1" t="s">
        <v>32</v>
      </c>
      <c r="R487" s="1">
        <v>1598.38</v>
      </c>
      <c r="S487" s="1" t="s">
        <v>46</v>
      </c>
      <c r="T487" s="1" t="s">
        <v>47</v>
      </c>
      <c r="U487" s="1" t="s">
        <v>35</v>
      </c>
      <c r="V487" s="1" t="s">
        <v>36</v>
      </c>
    </row>
    <row r="488" spans="1:22" x14ac:dyDescent="0.3">
      <c r="A488" s="1" t="s">
        <v>2651</v>
      </c>
      <c r="B488" s="1" t="s">
        <v>2652</v>
      </c>
      <c r="C488" s="1">
        <v>28</v>
      </c>
      <c r="D488" s="1" t="s">
        <v>2653</v>
      </c>
      <c r="E488" s="1" t="s">
        <v>88</v>
      </c>
      <c r="F488" s="1" t="s">
        <v>1988</v>
      </c>
      <c r="G488" s="1" t="s">
        <v>2207</v>
      </c>
      <c r="H488" s="1">
        <v>3</v>
      </c>
      <c r="I488" s="1" t="s">
        <v>27</v>
      </c>
      <c r="J488" s="1" t="s">
        <v>1339</v>
      </c>
      <c r="K488" s="1" t="s">
        <v>2654</v>
      </c>
      <c r="L488" s="1">
        <v>1</v>
      </c>
      <c r="M488" s="1">
        <v>4</v>
      </c>
      <c r="N488" s="1" t="s">
        <v>56</v>
      </c>
      <c r="O488" s="1" t="s">
        <v>231</v>
      </c>
      <c r="P488" s="1" t="s">
        <v>30</v>
      </c>
      <c r="Q488" s="1" t="s">
        <v>69</v>
      </c>
      <c r="R488" s="1">
        <v>975.01</v>
      </c>
      <c r="S488" s="1" t="s">
        <v>46</v>
      </c>
      <c r="T488" s="1" t="s">
        <v>57</v>
      </c>
      <c r="U488" s="1" t="s">
        <v>35</v>
      </c>
      <c r="V488" s="1" t="s">
        <v>36</v>
      </c>
    </row>
    <row r="489" spans="1:22" x14ac:dyDescent="0.3">
      <c r="A489" s="1" t="s">
        <v>2655</v>
      </c>
      <c r="B489" s="1" t="s">
        <v>2656</v>
      </c>
      <c r="C489" s="1">
        <v>40</v>
      </c>
      <c r="D489" s="1" t="s">
        <v>2657</v>
      </c>
      <c r="E489" s="1" t="s">
        <v>61</v>
      </c>
      <c r="F489" s="1" t="s">
        <v>1323</v>
      </c>
      <c r="G489" s="1" t="s">
        <v>2658</v>
      </c>
      <c r="H489" s="1">
        <v>3</v>
      </c>
      <c r="I489" s="1" t="s">
        <v>27</v>
      </c>
      <c r="J489" s="1" t="s">
        <v>2659</v>
      </c>
      <c r="K489" s="1" t="s">
        <v>2660</v>
      </c>
      <c r="L489" s="1">
        <v>3</v>
      </c>
      <c r="M489" s="1">
        <v>31</v>
      </c>
      <c r="N489" s="1" t="s">
        <v>54</v>
      </c>
      <c r="O489" s="1" t="s">
        <v>67</v>
      </c>
      <c r="P489" s="1" t="s">
        <v>68</v>
      </c>
      <c r="Q489" s="1" t="s">
        <v>69</v>
      </c>
      <c r="R489" s="1">
        <v>186.45</v>
      </c>
      <c r="S489" s="1" t="s">
        <v>46</v>
      </c>
      <c r="T489" s="1" t="s">
        <v>34</v>
      </c>
      <c r="U489" s="1" t="s">
        <v>35</v>
      </c>
      <c r="V489" s="1" t="s">
        <v>36</v>
      </c>
    </row>
    <row r="490" spans="1:22" x14ac:dyDescent="0.3">
      <c r="A490" s="1" t="s">
        <v>2661</v>
      </c>
      <c r="B490" s="1" t="s">
        <v>2662</v>
      </c>
      <c r="C490" s="1">
        <v>49</v>
      </c>
      <c r="D490" s="1" t="s">
        <v>2663</v>
      </c>
      <c r="E490" s="1" t="s">
        <v>25</v>
      </c>
      <c r="F490" s="1" t="s">
        <v>2664</v>
      </c>
      <c r="G490" s="1" t="s">
        <v>946</v>
      </c>
      <c r="H490" s="1">
        <v>1</v>
      </c>
      <c r="I490" s="1" t="s">
        <v>27</v>
      </c>
      <c r="J490" s="1" t="s">
        <v>326</v>
      </c>
      <c r="K490" s="1" t="s">
        <v>2665</v>
      </c>
      <c r="L490" s="1">
        <v>2</v>
      </c>
      <c r="M490" s="1">
        <v>11</v>
      </c>
      <c r="N490" s="1" t="s">
        <v>68</v>
      </c>
      <c r="O490" s="1" t="s">
        <v>269</v>
      </c>
      <c r="P490" s="1" t="s">
        <v>56</v>
      </c>
      <c r="Q490" s="1" t="s">
        <v>32</v>
      </c>
      <c r="R490" s="1">
        <v>1075.1199999999999</v>
      </c>
      <c r="S490" s="1" t="s">
        <v>46</v>
      </c>
      <c r="T490" s="1" t="s">
        <v>34</v>
      </c>
      <c r="U490" s="1" t="s">
        <v>35</v>
      </c>
      <c r="V490" s="1" t="s">
        <v>36</v>
      </c>
    </row>
    <row r="491" spans="1:22" x14ac:dyDescent="0.3">
      <c r="A491" s="1" t="s">
        <v>2666</v>
      </c>
      <c r="B491" s="1" t="s">
        <v>2667</v>
      </c>
      <c r="C491" s="1">
        <v>46</v>
      </c>
      <c r="D491" s="1" t="s">
        <v>2668</v>
      </c>
      <c r="E491" s="1" t="s">
        <v>88</v>
      </c>
      <c r="F491" s="2">
        <v>45111</v>
      </c>
      <c r="G491" s="1" t="s">
        <v>1716</v>
      </c>
      <c r="H491" s="1">
        <v>2</v>
      </c>
      <c r="I491" s="1" t="s">
        <v>27</v>
      </c>
      <c r="J491" s="1" t="s">
        <v>2455</v>
      </c>
      <c r="K491" s="1" t="s">
        <v>2669</v>
      </c>
      <c r="L491" s="1">
        <v>4</v>
      </c>
      <c r="M491" s="1">
        <v>11</v>
      </c>
      <c r="N491" s="1" t="s">
        <v>30</v>
      </c>
      <c r="O491" s="1" t="s">
        <v>354</v>
      </c>
      <c r="P491" s="1" t="s">
        <v>45</v>
      </c>
      <c r="Q491" s="1" t="s">
        <v>32</v>
      </c>
      <c r="R491" s="1">
        <v>1890.6</v>
      </c>
      <c r="S491" s="1" t="s">
        <v>46</v>
      </c>
      <c r="T491" s="1" t="s">
        <v>34</v>
      </c>
      <c r="U491" s="1" t="s">
        <v>35</v>
      </c>
      <c r="V491" s="1" t="s">
        <v>36</v>
      </c>
    </row>
    <row r="492" spans="1:22" x14ac:dyDescent="0.3">
      <c r="A492" s="1" t="s">
        <v>2670</v>
      </c>
      <c r="B492" s="1" t="s">
        <v>2671</v>
      </c>
      <c r="C492" s="1">
        <v>44</v>
      </c>
      <c r="D492" s="1" t="s">
        <v>2672</v>
      </c>
      <c r="E492" s="1" t="s">
        <v>88</v>
      </c>
      <c r="F492" s="1" t="s">
        <v>1026</v>
      </c>
      <c r="G492" s="1" t="s">
        <v>2673</v>
      </c>
      <c r="H492" s="1">
        <v>1</v>
      </c>
      <c r="I492" s="1" t="s">
        <v>52</v>
      </c>
      <c r="J492" s="2">
        <v>45721</v>
      </c>
      <c r="K492" s="1" t="s">
        <v>2674</v>
      </c>
      <c r="L492" s="1">
        <v>8</v>
      </c>
      <c r="M492" s="1">
        <v>31</v>
      </c>
      <c r="N492" s="1" t="s">
        <v>56</v>
      </c>
      <c r="O492" s="1" t="s">
        <v>116</v>
      </c>
      <c r="P492" s="1" t="s">
        <v>54</v>
      </c>
      <c r="Q492" s="1" t="s">
        <v>32</v>
      </c>
      <c r="R492" s="1">
        <v>873.28</v>
      </c>
      <c r="S492" s="1" t="s">
        <v>46</v>
      </c>
      <c r="T492" s="1" t="s">
        <v>34</v>
      </c>
      <c r="U492" s="1" t="s">
        <v>35</v>
      </c>
      <c r="V492" s="1" t="s">
        <v>36</v>
      </c>
    </row>
    <row r="493" spans="1:22" x14ac:dyDescent="0.3">
      <c r="A493" s="1" t="s">
        <v>2675</v>
      </c>
      <c r="B493" s="1" t="s">
        <v>2676</v>
      </c>
      <c r="C493" s="1">
        <v>50</v>
      </c>
      <c r="D493" s="1" t="s">
        <v>2677</v>
      </c>
      <c r="E493" s="1" t="s">
        <v>40</v>
      </c>
      <c r="F493" s="1" t="s">
        <v>2678</v>
      </c>
      <c r="G493" s="1" t="s">
        <v>2679</v>
      </c>
      <c r="H493" s="1">
        <v>3</v>
      </c>
      <c r="I493" s="1" t="s">
        <v>64</v>
      </c>
      <c r="J493" s="1" t="s">
        <v>2680</v>
      </c>
      <c r="K493" s="1" t="s">
        <v>2681</v>
      </c>
      <c r="L493" s="1">
        <v>5</v>
      </c>
      <c r="M493" s="1">
        <v>25</v>
      </c>
      <c r="N493" s="1" t="s">
        <v>30</v>
      </c>
      <c r="O493" s="1" t="s">
        <v>366</v>
      </c>
      <c r="P493" s="1" t="s">
        <v>54</v>
      </c>
      <c r="Q493" s="1" t="s">
        <v>69</v>
      </c>
      <c r="R493" s="1">
        <v>1307.45</v>
      </c>
      <c r="S493" s="1" t="s">
        <v>46</v>
      </c>
      <c r="T493" s="1" t="s">
        <v>47</v>
      </c>
      <c r="U493" s="1" t="s">
        <v>35</v>
      </c>
      <c r="V493" s="1" t="s">
        <v>71</v>
      </c>
    </row>
    <row r="494" spans="1:22" x14ac:dyDescent="0.3">
      <c r="A494" s="1" t="s">
        <v>2682</v>
      </c>
      <c r="B494" s="1" t="s">
        <v>2683</v>
      </c>
      <c r="C494" s="1">
        <v>49</v>
      </c>
      <c r="D494" s="1" t="s">
        <v>2684</v>
      </c>
      <c r="E494" s="1" t="s">
        <v>95</v>
      </c>
      <c r="F494" s="1" t="s">
        <v>1000</v>
      </c>
      <c r="G494" s="1" t="s">
        <v>2685</v>
      </c>
      <c r="H494" s="1">
        <v>5</v>
      </c>
      <c r="I494" s="1" t="s">
        <v>27</v>
      </c>
      <c r="J494" s="1" t="s">
        <v>1386</v>
      </c>
      <c r="K494" s="1" t="s">
        <v>2686</v>
      </c>
      <c r="L494" s="1">
        <v>7</v>
      </c>
      <c r="M494" s="1">
        <v>41</v>
      </c>
      <c r="N494" s="1" t="s">
        <v>45</v>
      </c>
      <c r="O494" s="1" t="s">
        <v>169</v>
      </c>
      <c r="P494" s="1" t="s">
        <v>30</v>
      </c>
      <c r="Q494" s="1" t="s">
        <v>32</v>
      </c>
      <c r="R494" s="1">
        <v>486.36</v>
      </c>
      <c r="S494" s="1" t="s">
        <v>46</v>
      </c>
      <c r="T494" s="1" t="s">
        <v>34</v>
      </c>
      <c r="U494" s="1" t="s">
        <v>35</v>
      </c>
      <c r="V494" s="1" t="s">
        <v>188</v>
      </c>
    </row>
    <row r="495" spans="1:22" x14ac:dyDescent="0.3">
      <c r="A495" s="1" t="s">
        <v>2687</v>
      </c>
      <c r="B495" s="1" t="s">
        <v>2688</v>
      </c>
      <c r="C495" s="1">
        <v>38</v>
      </c>
      <c r="D495" s="1" t="s">
        <v>2689</v>
      </c>
      <c r="E495" s="1" t="s">
        <v>25</v>
      </c>
      <c r="F495" s="1" t="s">
        <v>2276</v>
      </c>
      <c r="G495" s="1" t="s">
        <v>2690</v>
      </c>
      <c r="H495" s="1">
        <v>2</v>
      </c>
      <c r="I495" s="1" t="s">
        <v>27</v>
      </c>
      <c r="J495" s="1" t="s">
        <v>2691</v>
      </c>
      <c r="K495" s="1" t="s">
        <v>2692</v>
      </c>
      <c r="L495" s="1">
        <v>1</v>
      </c>
      <c r="M495" s="1">
        <v>37</v>
      </c>
      <c r="N495" s="1" t="s">
        <v>56</v>
      </c>
      <c r="O495" s="1" t="s">
        <v>269</v>
      </c>
      <c r="P495" s="1" t="s">
        <v>56</v>
      </c>
      <c r="Q495" s="1" t="s">
        <v>32</v>
      </c>
      <c r="R495" s="1">
        <v>1481.71</v>
      </c>
      <c r="S495" s="1" t="s">
        <v>33</v>
      </c>
      <c r="T495" s="1" t="s">
        <v>34</v>
      </c>
      <c r="U495" s="1" t="s">
        <v>35</v>
      </c>
      <c r="V495" s="1" t="s">
        <v>36</v>
      </c>
    </row>
    <row r="496" spans="1:22" x14ac:dyDescent="0.3">
      <c r="A496" s="1" t="s">
        <v>2693</v>
      </c>
      <c r="B496" s="1" t="s">
        <v>2694</v>
      </c>
      <c r="C496" s="1">
        <v>25</v>
      </c>
      <c r="D496" s="1" t="s">
        <v>2695</v>
      </c>
      <c r="E496" s="1" t="s">
        <v>25</v>
      </c>
      <c r="F496" s="1" t="s">
        <v>1397</v>
      </c>
      <c r="G496" s="1" t="s">
        <v>2696</v>
      </c>
      <c r="H496" s="1">
        <v>0</v>
      </c>
      <c r="I496" s="1" t="s">
        <v>52</v>
      </c>
      <c r="J496" s="1" t="s">
        <v>2697</v>
      </c>
      <c r="K496" s="1" t="s">
        <v>2698</v>
      </c>
      <c r="L496" s="1">
        <v>9</v>
      </c>
      <c r="M496" s="1">
        <v>30</v>
      </c>
      <c r="N496" s="1" t="s">
        <v>56</v>
      </c>
      <c r="O496" s="1" t="s">
        <v>55</v>
      </c>
      <c r="P496" s="1" t="s">
        <v>56</v>
      </c>
      <c r="Q496" s="1" t="s">
        <v>69</v>
      </c>
      <c r="R496" s="1">
        <v>1702.89</v>
      </c>
      <c r="S496" s="1" t="s">
        <v>33</v>
      </c>
      <c r="T496" s="1" t="s">
        <v>57</v>
      </c>
      <c r="U496" s="1" t="s">
        <v>35</v>
      </c>
      <c r="V496" s="1" t="s">
        <v>36</v>
      </c>
    </row>
    <row r="497" spans="1:22" x14ac:dyDescent="0.3">
      <c r="A497" s="1" t="s">
        <v>2699</v>
      </c>
      <c r="B497" s="1" t="s">
        <v>2700</v>
      </c>
      <c r="C497" s="1">
        <v>62</v>
      </c>
      <c r="D497" s="1" t="s">
        <v>2701</v>
      </c>
      <c r="E497" s="1" t="s">
        <v>61</v>
      </c>
      <c r="F497" s="2">
        <v>44386</v>
      </c>
      <c r="G497" s="2">
        <v>44512</v>
      </c>
      <c r="H497" s="1">
        <v>3</v>
      </c>
      <c r="I497" s="1" t="s">
        <v>27</v>
      </c>
      <c r="J497" s="2">
        <v>45083</v>
      </c>
      <c r="K497" s="1" t="s">
        <v>2702</v>
      </c>
      <c r="L497" s="1">
        <v>4</v>
      </c>
      <c r="M497" s="1">
        <v>42</v>
      </c>
      <c r="N497" s="1" t="s">
        <v>30</v>
      </c>
      <c r="O497" s="1" t="s">
        <v>157</v>
      </c>
      <c r="P497" s="1" t="s">
        <v>68</v>
      </c>
      <c r="Q497" s="1" t="s">
        <v>32</v>
      </c>
      <c r="R497" s="1">
        <v>1084.56</v>
      </c>
      <c r="S497" s="1" t="s">
        <v>46</v>
      </c>
      <c r="T497" s="1" t="s">
        <v>47</v>
      </c>
      <c r="U497" s="1" t="s">
        <v>35</v>
      </c>
      <c r="V497" s="1" t="s">
        <v>36</v>
      </c>
    </row>
    <row r="498" spans="1:22" x14ac:dyDescent="0.3">
      <c r="A498" s="1" t="s">
        <v>2703</v>
      </c>
      <c r="B498" s="1" t="s">
        <v>2704</v>
      </c>
      <c r="C498" s="1">
        <v>33</v>
      </c>
      <c r="D498" s="1" t="s">
        <v>2705</v>
      </c>
      <c r="E498" s="1" t="s">
        <v>25</v>
      </c>
      <c r="F498" s="1" t="s">
        <v>1563</v>
      </c>
      <c r="G498" s="2">
        <v>45231</v>
      </c>
      <c r="H498" s="1">
        <v>5</v>
      </c>
      <c r="I498" s="1" t="s">
        <v>27</v>
      </c>
      <c r="J498" s="1" t="s">
        <v>1732</v>
      </c>
      <c r="K498" s="1" t="s">
        <v>2706</v>
      </c>
      <c r="L498" s="1">
        <v>5</v>
      </c>
      <c r="M498" s="1">
        <v>20</v>
      </c>
      <c r="N498" s="1" t="s">
        <v>56</v>
      </c>
      <c r="O498" s="1" t="s">
        <v>116</v>
      </c>
      <c r="P498" s="1" t="s">
        <v>54</v>
      </c>
      <c r="Q498" s="1" t="s">
        <v>32</v>
      </c>
      <c r="R498" s="1">
        <v>1984.05</v>
      </c>
      <c r="S498" s="1" t="s">
        <v>46</v>
      </c>
      <c r="T498" s="1" t="s">
        <v>57</v>
      </c>
      <c r="U498" s="1" t="s">
        <v>35</v>
      </c>
      <c r="V498" s="1" t="s">
        <v>188</v>
      </c>
    </row>
    <row r="499" spans="1:22" x14ac:dyDescent="0.3">
      <c r="A499" s="1" t="s">
        <v>2707</v>
      </c>
      <c r="B499" s="1" t="s">
        <v>2708</v>
      </c>
      <c r="C499" s="1">
        <v>20</v>
      </c>
      <c r="D499" s="1" t="s">
        <v>2709</v>
      </c>
      <c r="E499" s="1" t="s">
        <v>95</v>
      </c>
      <c r="F499" s="1" t="s">
        <v>2224</v>
      </c>
      <c r="G499" s="1" t="s">
        <v>962</v>
      </c>
      <c r="H499" s="1">
        <v>0</v>
      </c>
      <c r="I499" s="1" t="s">
        <v>52</v>
      </c>
      <c r="J499" s="2">
        <v>45267</v>
      </c>
      <c r="K499" s="1" t="s">
        <v>2710</v>
      </c>
      <c r="L499" s="1">
        <v>2</v>
      </c>
      <c r="M499" s="1">
        <v>47</v>
      </c>
      <c r="N499" s="1" t="s">
        <v>68</v>
      </c>
      <c r="O499" s="1" t="s">
        <v>837</v>
      </c>
      <c r="P499" s="1" t="s">
        <v>56</v>
      </c>
      <c r="Q499" s="1" t="s">
        <v>69</v>
      </c>
      <c r="R499" s="1">
        <v>1673.52</v>
      </c>
      <c r="S499" s="1" t="s">
        <v>46</v>
      </c>
      <c r="T499" s="1" t="s">
        <v>100</v>
      </c>
      <c r="U499" s="1" t="s">
        <v>35</v>
      </c>
      <c r="V499" s="1" t="s">
        <v>36</v>
      </c>
    </row>
    <row r="500" spans="1:22" x14ac:dyDescent="0.3">
      <c r="A500" s="1" t="s">
        <v>2711</v>
      </c>
      <c r="B500" s="1" t="s">
        <v>2712</v>
      </c>
      <c r="C500" s="1">
        <v>29</v>
      </c>
      <c r="D500" s="1" t="s">
        <v>2713</v>
      </c>
      <c r="E500" s="1" t="s">
        <v>25</v>
      </c>
      <c r="F500" s="1" t="s">
        <v>2313</v>
      </c>
      <c r="G500" s="2">
        <v>44715</v>
      </c>
      <c r="H500" s="1">
        <v>1</v>
      </c>
      <c r="I500" s="1" t="s">
        <v>27</v>
      </c>
      <c r="J500" s="1" t="s">
        <v>403</v>
      </c>
      <c r="K500" s="1" t="s">
        <v>2714</v>
      </c>
      <c r="L500" s="1">
        <v>2</v>
      </c>
      <c r="M500" s="1">
        <v>7</v>
      </c>
      <c r="N500" s="1" t="s">
        <v>68</v>
      </c>
      <c r="O500" s="1" t="s">
        <v>211</v>
      </c>
      <c r="P500" s="1" t="s">
        <v>68</v>
      </c>
      <c r="Q500" s="1" t="s">
        <v>69</v>
      </c>
      <c r="R500" s="1">
        <v>143.91999999999999</v>
      </c>
      <c r="S500" s="1" t="s">
        <v>33</v>
      </c>
      <c r="T500" s="1" t="s">
        <v>57</v>
      </c>
      <c r="U500" s="1" t="s">
        <v>101</v>
      </c>
      <c r="V500" s="1" t="s">
        <v>36</v>
      </c>
    </row>
    <row r="501" spans="1:22" x14ac:dyDescent="0.3">
      <c r="A501" s="1" t="s">
        <v>2715</v>
      </c>
      <c r="B501" s="1" t="s">
        <v>2716</v>
      </c>
      <c r="C501" s="1">
        <v>45</v>
      </c>
      <c r="D501" s="1" t="s">
        <v>2717</v>
      </c>
      <c r="E501" s="1" t="s">
        <v>51</v>
      </c>
      <c r="F501" s="1" t="s">
        <v>2118</v>
      </c>
      <c r="G501" s="1" t="s">
        <v>2485</v>
      </c>
      <c r="H501" s="1">
        <v>3</v>
      </c>
      <c r="I501" s="1" t="s">
        <v>27</v>
      </c>
      <c r="J501" s="2">
        <v>44625</v>
      </c>
      <c r="K501" s="1" t="s">
        <v>2718</v>
      </c>
      <c r="L501" s="1">
        <v>1</v>
      </c>
      <c r="M501" s="1">
        <v>33</v>
      </c>
      <c r="N501" s="1" t="s">
        <v>68</v>
      </c>
      <c r="O501" s="1" t="s">
        <v>269</v>
      </c>
      <c r="P501" s="1" t="s">
        <v>56</v>
      </c>
      <c r="Q501" s="1" t="s">
        <v>69</v>
      </c>
      <c r="R501" s="1">
        <v>1601.28</v>
      </c>
      <c r="S501" s="1" t="s">
        <v>46</v>
      </c>
      <c r="T501" s="1" t="s">
        <v>34</v>
      </c>
      <c r="U501" s="1" t="s">
        <v>35</v>
      </c>
      <c r="V501" s="1" t="s">
        <v>36</v>
      </c>
    </row>
    <row r="502" spans="1:22" x14ac:dyDescent="0.3">
      <c r="A502" s="1" t="s">
        <v>2719</v>
      </c>
      <c r="B502" s="1" t="s">
        <v>2720</v>
      </c>
      <c r="C502" s="1">
        <v>49</v>
      </c>
      <c r="D502" s="1" t="s">
        <v>2721</v>
      </c>
      <c r="E502" s="1" t="s">
        <v>25</v>
      </c>
      <c r="F502" s="2">
        <v>44232</v>
      </c>
      <c r="G502" s="1" t="s">
        <v>2722</v>
      </c>
      <c r="H502" s="1">
        <v>3</v>
      </c>
      <c r="I502" s="1" t="s">
        <v>64</v>
      </c>
      <c r="J502" s="1" t="s">
        <v>1742</v>
      </c>
      <c r="K502" s="1" t="s">
        <v>2723</v>
      </c>
      <c r="L502" s="1">
        <v>3</v>
      </c>
      <c r="M502" s="1">
        <v>3</v>
      </c>
      <c r="N502" s="1" t="s">
        <v>56</v>
      </c>
      <c r="O502" s="1" t="s">
        <v>142</v>
      </c>
      <c r="P502" s="1" t="s">
        <v>68</v>
      </c>
      <c r="Q502" s="1" t="s">
        <v>32</v>
      </c>
      <c r="R502" s="1">
        <v>1748.97</v>
      </c>
      <c r="S502" s="1" t="s">
        <v>46</v>
      </c>
      <c r="T502" s="1" t="s">
        <v>34</v>
      </c>
      <c r="U502" s="1" t="s">
        <v>35</v>
      </c>
      <c r="V502" s="1" t="s">
        <v>71</v>
      </c>
    </row>
    <row r="503" spans="1:22" x14ac:dyDescent="0.3">
      <c r="A503" s="1" t="s">
        <v>2724</v>
      </c>
      <c r="B503" s="1" t="s">
        <v>2725</v>
      </c>
      <c r="C503" s="1">
        <v>51</v>
      </c>
      <c r="D503" s="1" t="s">
        <v>2726</v>
      </c>
      <c r="E503" s="1" t="s">
        <v>51</v>
      </c>
      <c r="F503" s="2">
        <v>44571</v>
      </c>
      <c r="G503" s="1" t="s">
        <v>473</v>
      </c>
      <c r="H503" s="1">
        <v>3</v>
      </c>
      <c r="I503" s="1" t="s">
        <v>64</v>
      </c>
      <c r="J503" s="1" t="s">
        <v>2727</v>
      </c>
      <c r="K503" s="1" t="s">
        <v>2728</v>
      </c>
      <c r="L503" s="1">
        <v>2</v>
      </c>
      <c r="M503" s="1">
        <v>34</v>
      </c>
      <c r="N503" s="1" t="s">
        <v>45</v>
      </c>
      <c r="O503" s="1" t="s">
        <v>251</v>
      </c>
      <c r="P503" s="1" t="s">
        <v>30</v>
      </c>
      <c r="Q503" s="1" t="s">
        <v>322</v>
      </c>
      <c r="R503" s="1">
        <v>614.28</v>
      </c>
      <c r="S503" s="1" t="s">
        <v>46</v>
      </c>
      <c r="T503" s="1" t="s">
        <v>47</v>
      </c>
      <c r="U503" s="1" t="s">
        <v>35</v>
      </c>
      <c r="V503" s="1" t="s">
        <v>71</v>
      </c>
    </row>
    <row r="504" spans="1:22" x14ac:dyDescent="0.3">
      <c r="A504" s="1" t="s">
        <v>2729</v>
      </c>
      <c r="B504" s="1" t="s">
        <v>2730</v>
      </c>
      <c r="C504" s="1">
        <v>66</v>
      </c>
      <c r="D504" s="1" t="s">
        <v>2731</v>
      </c>
      <c r="E504" s="1" t="s">
        <v>40</v>
      </c>
      <c r="F504" s="2">
        <v>44419</v>
      </c>
      <c r="G504" s="1" t="s">
        <v>2368</v>
      </c>
      <c r="H504" s="1">
        <v>4</v>
      </c>
      <c r="I504" s="1" t="s">
        <v>64</v>
      </c>
      <c r="J504" s="1" t="s">
        <v>2732</v>
      </c>
      <c r="K504" s="1" t="s">
        <v>2733</v>
      </c>
      <c r="L504" s="1">
        <v>8</v>
      </c>
      <c r="M504" s="1">
        <v>32</v>
      </c>
      <c r="N504" s="1" t="s">
        <v>68</v>
      </c>
      <c r="O504" s="1" t="s">
        <v>269</v>
      </c>
      <c r="P504" s="1" t="s">
        <v>56</v>
      </c>
      <c r="Q504" s="1" t="s">
        <v>69</v>
      </c>
      <c r="R504" s="1">
        <v>1545.76</v>
      </c>
      <c r="S504" s="1" t="s">
        <v>46</v>
      </c>
      <c r="T504" s="1" t="s">
        <v>232</v>
      </c>
      <c r="U504" s="1" t="s">
        <v>35</v>
      </c>
      <c r="V504" s="1" t="s">
        <v>71</v>
      </c>
    </row>
    <row r="505" spans="1:22" x14ac:dyDescent="0.3">
      <c r="A505" s="1" t="s">
        <v>2734</v>
      </c>
      <c r="B505" s="1" t="s">
        <v>2735</v>
      </c>
      <c r="C505" s="1">
        <v>58</v>
      </c>
      <c r="D505" s="1" t="s">
        <v>2736</v>
      </c>
      <c r="E505" s="1" t="s">
        <v>40</v>
      </c>
      <c r="F505" s="2">
        <v>44655</v>
      </c>
      <c r="G505" s="1" t="s">
        <v>2737</v>
      </c>
      <c r="H505" s="1">
        <v>1</v>
      </c>
      <c r="I505" s="1" t="s">
        <v>52</v>
      </c>
      <c r="J505" s="1" t="s">
        <v>2738</v>
      </c>
      <c r="K505" s="1" t="s">
        <v>2739</v>
      </c>
      <c r="L505" s="1">
        <v>2</v>
      </c>
      <c r="M505" s="1">
        <v>32</v>
      </c>
      <c r="N505" s="1" t="s">
        <v>68</v>
      </c>
      <c r="O505" s="1" t="s">
        <v>116</v>
      </c>
      <c r="P505" s="1" t="s">
        <v>54</v>
      </c>
      <c r="Q505" s="1" t="s">
        <v>69</v>
      </c>
      <c r="R505" s="1">
        <v>1993.12</v>
      </c>
      <c r="S505" s="1" t="s">
        <v>46</v>
      </c>
      <c r="T505" s="1" t="s">
        <v>47</v>
      </c>
      <c r="U505" s="1" t="s">
        <v>35</v>
      </c>
      <c r="V505" s="1" t="s">
        <v>36</v>
      </c>
    </row>
    <row r="506" spans="1:22" x14ac:dyDescent="0.3">
      <c r="A506" s="1" t="s">
        <v>2740</v>
      </c>
      <c r="B506" s="1" t="s">
        <v>2741</v>
      </c>
      <c r="C506" s="1">
        <v>31</v>
      </c>
      <c r="D506" s="1" t="s">
        <v>2742</v>
      </c>
      <c r="E506" s="1" t="s">
        <v>51</v>
      </c>
      <c r="F506" s="2">
        <v>45081</v>
      </c>
      <c r="G506" s="1" t="s">
        <v>2743</v>
      </c>
      <c r="H506" s="1">
        <v>0</v>
      </c>
      <c r="I506" s="1" t="s">
        <v>27</v>
      </c>
      <c r="J506" s="1" t="s">
        <v>2744</v>
      </c>
      <c r="K506" s="1" t="s">
        <v>2745</v>
      </c>
      <c r="L506" s="1">
        <v>2</v>
      </c>
      <c r="M506" s="1">
        <v>42</v>
      </c>
      <c r="N506" s="1" t="s">
        <v>56</v>
      </c>
      <c r="O506" s="1" t="s">
        <v>855</v>
      </c>
      <c r="P506" s="1" t="s">
        <v>45</v>
      </c>
      <c r="Q506" s="1" t="s">
        <v>32</v>
      </c>
      <c r="R506" s="1">
        <v>1931.34</v>
      </c>
      <c r="S506" s="1" t="s">
        <v>46</v>
      </c>
      <c r="T506" s="1" t="s">
        <v>57</v>
      </c>
      <c r="U506" s="1" t="s">
        <v>35</v>
      </c>
      <c r="V506" s="1" t="s">
        <v>36</v>
      </c>
    </row>
    <row r="507" spans="1:22" x14ac:dyDescent="0.3">
      <c r="A507" s="1" t="s">
        <v>2746</v>
      </c>
      <c r="B507" s="1" t="s">
        <v>2747</v>
      </c>
      <c r="C507" s="1">
        <v>35</v>
      </c>
      <c r="D507" s="1" t="s">
        <v>2748</v>
      </c>
      <c r="E507" s="1" t="s">
        <v>25</v>
      </c>
      <c r="F507" s="1" t="s">
        <v>256</v>
      </c>
      <c r="G507" s="2">
        <v>45694</v>
      </c>
      <c r="H507" s="1">
        <v>4</v>
      </c>
      <c r="I507" s="1" t="s">
        <v>27</v>
      </c>
      <c r="J507" s="1" t="s">
        <v>285</v>
      </c>
      <c r="K507" s="1" t="s">
        <v>2749</v>
      </c>
      <c r="L507" s="1">
        <v>9</v>
      </c>
      <c r="M507" s="1">
        <v>7</v>
      </c>
      <c r="N507" s="1" t="s">
        <v>54</v>
      </c>
      <c r="O507" s="1" t="s">
        <v>194</v>
      </c>
      <c r="P507" s="1" t="s">
        <v>56</v>
      </c>
      <c r="Q507" s="1" t="s">
        <v>69</v>
      </c>
      <c r="R507" s="1">
        <v>1213.74</v>
      </c>
      <c r="S507" s="1" t="s">
        <v>46</v>
      </c>
      <c r="T507" s="1" t="s">
        <v>34</v>
      </c>
      <c r="U507" s="1" t="s">
        <v>35</v>
      </c>
      <c r="V507" s="1" t="s">
        <v>188</v>
      </c>
    </row>
    <row r="508" spans="1:22" x14ac:dyDescent="0.3">
      <c r="A508" s="1" t="s">
        <v>2750</v>
      </c>
      <c r="B508" s="1" t="s">
        <v>2751</v>
      </c>
      <c r="C508" s="1">
        <v>48</v>
      </c>
      <c r="D508" s="1" t="s">
        <v>2752</v>
      </c>
      <c r="E508" s="1" t="s">
        <v>51</v>
      </c>
      <c r="F508" s="1" t="s">
        <v>1529</v>
      </c>
      <c r="G508" s="2">
        <v>44718</v>
      </c>
      <c r="H508" s="1">
        <v>2</v>
      </c>
      <c r="I508" s="1" t="s">
        <v>27</v>
      </c>
      <c r="J508" s="1" t="s">
        <v>2479</v>
      </c>
      <c r="K508" s="1" t="s">
        <v>2753</v>
      </c>
      <c r="L508" s="1">
        <v>8</v>
      </c>
      <c r="M508" s="1">
        <v>27</v>
      </c>
      <c r="N508" s="1" t="s">
        <v>56</v>
      </c>
      <c r="O508" s="1" t="s">
        <v>223</v>
      </c>
      <c r="P508" s="1" t="s">
        <v>56</v>
      </c>
      <c r="Q508" s="1" t="s">
        <v>32</v>
      </c>
      <c r="R508" s="1">
        <v>472.48</v>
      </c>
      <c r="S508" s="1" t="s">
        <v>33</v>
      </c>
      <c r="T508" s="1" t="s">
        <v>34</v>
      </c>
      <c r="U508" s="1" t="s">
        <v>35</v>
      </c>
      <c r="V508" s="1" t="s">
        <v>36</v>
      </c>
    </row>
    <row r="509" spans="1:22" x14ac:dyDescent="0.3">
      <c r="A509" s="1" t="s">
        <v>2754</v>
      </c>
      <c r="B509" s="1" t="s">
        <v>2755</v>
      </c>
      <c r="C509" s="1">
        <v>34</v>
      </c>
      <c r="D509" s="1" t="s">
        <v>2756</v>
      </c>
      <c r="E509" s="1" t="s">
        <v>51</v>
      </c>
      <c r="F509" s="1" t="s">
        <v>2757</v>
      </c>
      <c r="G509" s="1" t="s">
        <v>2758</v>
      </c>
      <c r="H509" s="1">
        <v>0</v>
      </c>
      <c r="I509" s="1" t="s">
        <v>52</v>
      </c>
      <c r="J509" s="2">
        <v>44237</v>
      </c>
      <c r="K509" s="1" t="s">
        <v>2759</v>
      </c>
      <c r="L509" s="1">
        <v>5</v>
      </c>
      <c r="M509" s="1">
        <v>14</v>
      </c>
      <c r="N509" s="1" t="s">
        <v>54</v>
      </c>
      <c r="O509" s="1" t="s">
        <v>373</v>
      </c>
      <c r="P509" s="1" t="s">
        <v>54</v>
      </c>
      <c r="Q509" s="1" t="s">
        <v>69</v>
      </c>
      <c r="R509" s="1">
        <v>818.9</v>
      </c>
      <c r="S509" s="1" t="s">
        <v>33</v>
      </c>
      <c r="T509" s="1" t="s">
        <v>57</v>
      </c>
      <c r="U509" s="1" t="s">
        <v>35</v>
      </c>
      <c r="V509" s="1" t="s">
        <v>36</v>
      </c>
    </row>
    <row r="510" spans="1:22" x14ac:dyDescent="0.3">
      <c r="A510" s="1" t="s">
        <v>2760</v>
      </c>
      <c r="B510" s="1" t="s">
        <v>2761</v>
      </c>
      <c r="C510" s="1">
        <v>57</v>
      </c>
      <c r="D510" s="1" t="s">
        <v>2762</v>
      </c>
      <c r="E510" s="1" t="s">
        <v>61</v>
      </c>
      <c r="F510" s="2">
        <v>44417</v>
      </c>
      <c r="G510" s="2">
        <v>45383</v>
      </c>
      <c r="H510" s="1">
        <v>3</v>
      </c>
      <c r="I510" s="1" t="s">
        <v>64</v>
      </c>
      <c r="J510" s="1" t="s">
        <v>2763</v>
      </c>
      <c r="K510" s="1" t="s">
        <v>2764</v>
      </c>
      <c r="L510" s="1">
        <v>9</v>
      </c>
      <c r="M510" s="1">
        <v>38</v>
      </c>
      <c r="N510" s="1" t="s">
        <v>68</v>
      </c>
      <c r="O510" s="1" t="s">
        <v>604</v>
      </c>
      <c r="P510" s="1" t="s">
        <v>45</v>
      </c>
      <c r="Q510" s="1" t="s">
        <v>32</v>
      </c>
      <c r="R510" s="1">
        <v>1838.34</v>
      </c>
      <c r="S510" s="1" t="s">
        <v>46</v>
      </c>
      <c r="T510" s="1" t="s">
        <v>47</v>
      </c>
      <c r="U510" s="1" t="s">
        <v>35</v>
      </c>
      <c r="V510" s="1" t="s">
        <v>71</v>
      </c>
    </row>
    <row r="511" spans="1:22" x14ac:dyDescent="0.3">
      <c r="A511" s="1" t="s">
        <v>2765</v>
      </c>
      <c r="B511" s="1" t="s">
        <v>2766</v>
      </c>
      <c r="C511" s="1">
        <v>42</v>
      </c>
      <c r="D511" s="1" t="s">
        <v>2767</v>
      </c>
      <c r="E511" s="1" t="s">
        <v>88</v>
      </c>
      <c r="F511" s="1" t="s">
        <v>2768</v>
      </c>
      <c r="G511" s="2">
        <v>45481</v>
      </c>
      <c r="H511" s="1">
        <v>3</v>
      </c>
      <c r="I511" s="1" t="s">
        <v>27</v>
      </c>
      <c r="J511" s="1" t="s">
        <v>2486</v>
      </c>
      <c r="K511" s="1" t="s">
        <v>2769</v>
      </c>
      <c r="L511" s="1">
        <v>9</v>
      </c>
      <c r="M511" s="1">
        <v>32</v>
      </c>
      <c r="N511" s="1" t="s">
        <v>54</v>
      </c>
      <c r="O511" s="1" t="s">
        <v>135</v>
      </c>
      <c r="P511" s="1" t="s">
        <v>45</v>
      </c>
      <c r="Q511" s="1" t="s">
        <v>69</v>
      </c>
      <c r="R511" s="1">
        <v>1458.45</v>
      </c>
      <c r="S511" s="1" t="s">
        <v>46</v>
      </c>
      <c r="T511" s="1" t="s">
        <v>34</v>
      </c>
      <c r="U511" s="1" t="s">
        <v>35</v>
      </c>
      <c r="V511" s="1" t="s">
        <v>36</v>
      </c>
    </row>
    <row r="512" spans="1:22" x14ac:dyDescent="0.3">
      <c r="A512" s="1" t="s">
        <v>2770</v>
      </c>
      <c r="B512" s="1" t="s">
        <v>2771</v>
      </c>
      <c r="C512" s="1">
        <v>60</v>
      </c>
      <c r="D512" s="1" t="s">
        <v>2772</v>
      </c>
      <c r="E512" s="1" t="s">
        <v>88</v>
      </c>
      <c r="F512" s="1" t="s">
        <v>1154</v>
      </c>
      <c r="G512" s="1" t="s">
        <v>919</v>
      </c>
      <c r="H512" s="1">
        <v>3</v>
      </c>
      <c r="I512" s="1" t="s">
        <v>52</v>
      </c>
      <c r="J512" s="1" t="s">
        <v>140</v>
      </c>
      <c r="K512" s="1" t="s">
        <v>2773</v>
      </c>
      <c r="L512" s="1">
        <v>6</v>
      </c>
      <c r="M512" s="1">
        <v>43</v>
      </c>
      <c r="N512" s="1" t="s">
        <v>45</v>
      </c>
      <c r="O512" s="1" t="s">
        <v>175</v>
      </c>
      <c r="P512" s="1" t="s">
        <v>56</v>
      </c>
      <c r="Q512" s="1" t="s">
        <v>32</v>
      </c>
      <c r="R512" s="1">
        <v>748.92</v>
      </c>
      <c r="S512" s="1" t="s">
        <v>46</v>
      </c>
      <c r="T512" s="1" t="s">
        <v>47</v>
      </c>
      <c r="U512" s="1" t="s">
        <v>35</v>
      </c>
      <c r="V512" s="1" t="s">
        <v>36</v>
      </c>
    </row>
    <row r="513" spans="1:22" x14ac:dyDescent="0.3">
      <c r="A513" s="1" t="s">
        <v>2774</v>
      </c>
      <c r="B513" s="1" t="s">
        <v>2775</v>
      </c>
      <c r="C513" s="1">
        <v>28</v>
      </c>
      <c r="D513" s="1" t="s">
        <v>2776</v>
      </c>
      <c r="E513" s="1" t="s">
        <v>25</v>
      </c>
      <c r="F513" s="2">
        <v>44812</v>
      </c>
      <c r="G513" s="2">
        <v>45331</v>
      </c>
      <c r="H513" s="1">
        <v>1</v>
      </c>
      <c r="I513" s="1" t="s">
        <v>64</v>
      </c>
      <c r="J513" s="2">
        <v>45476</v>
      </c>
      <c r="K513" s="1" t="s">
        <v>2777</v>
      </c>
      <c r="L513" s="1">
        <v>7</v>
      </c>
      <c r="M513" s="1">
        <v>32</v>
      </c>
      <c r="N513" s="1" t="s">
        <v>68</v>
      </c>
      <c r="O513" s="1" t="s">
        <v>135</v>
      </c>
      <c r="P513" s="1" t="s">
        <v>45</v>
      </c>
      <c r="Q513" s="1" t="s">
        <v>32</v>
      </c>
      <c r="R513" s="1">
        <v>570.42999999999995</v>
      </c>
      <c r="S513" s="1" t="s">
        <v>46</v>
      </c>
      <c r="T513" s="1" t="s">
        <v>57</v>
      </c>
      <c r="U513" s="1" t="s">
        <v>35</v>
      </c>
      <c r="V513" s="1" t="s">
        <v>71</v>
      </c>
    </row>
    <row r="514" spans="1:22" x14ac:dyDescent="0.3">
      <c r="A514" s="1" t="s">
        <v>2778</v>
      </c>
      <c r="B514" s="1" t="s">
        <v>2779</v>
      </c>
      <c r="C514" s="1">
        <v>34</v>
      </c>
      <c r="D514" s="1" t="s">
        <v>2780</v>
      </c>
      <c r="E514" s="1" t="s">
        <v>25</v>
      </c>
      <c r="F514" s="2">
        <v>44507</v>
      </c>
      <c r="G514" s="1" t="s">
        <v>2781</v>
      </c>
      <c r="H514" s="1">
        <v>0</v>
      </c>
      <c r="I514" s="1" t="s">
        <v>64</v>
      </c>
      <c r="J514" s="1" t="s">
        <v>808</v>
      </c>
      <c r="K514" s="1" t="s">
        <v>2782</v>
      </c>
      <c r="L514" s="1">
        <v>3</v>
      </c>
      <c r="M514" s="1">
        <v>23</v>
      </c>
      <c r="N514" s="1" t="s">
        <v>56</v>
      </c>
      <c r="O514" s="1" t="s">
        <v>157</v>
      </c>
      <c r="P514" s="1" t="s">
        <v>68</v>
      </c>
      <c r="Q514" s="1" t="s">
        <v>69</v>
      </c>
      <c r="R514" s="1">
        <v>108.12</v>
      </c>
      <c r="S514" s="1" t="s">
        <v>46</v>
      </c>
      <c r="T514" s="1" t="s">
        <v>57</v>
      </c>
      <c r="U514" s="1" t="s">
        <v>101</v>
      </c>
      <c r="V514" s="1" t="s">
        <v>71</v>
      </c>
    </row>
    <row r="515" spans="1:22" x14ac:dyDescent="0.3">
      <c r="A515" s="1" t="s">
        <v>2783</v>
      </c>
      <c r="B515" s="1" t="s">
        <v>2784</v>
      </c>
      <c r="C515" s="1">
        <v>44</v>
      </c>
      <c r="D515" s="1" t="s">
        <v>2785</v>
      </c>
      <c r="E515" s="1" t="s">
        <v>88</v>
      </c>
      <c r="F515" s="2">
        <v>44846</v>
      </c>
      <c r="G515" s="1" t="s">
        <v>1338</v>
      </c>
      <c r="H515" s="1">
        <v>4</v>
      </c>
      <c r="I515" s="1" t="s">
        <v>52</v>
      </c>
      <c r="J515" s="2">
        <v>45413</v>
      </c>
      <c r="K515" s="1" t="s">
        <v>2786</v>
      </c>
      <c r="L515" s="1">
        <v>7</v>
      </c>
      <c r="M515" s="1">
        <v>26</v>
      </c>
      <c r="N515" s="1" t="s">
        <v>68</v>
      </c>
      <c r="O515" s="1" t="s">
        <v>418</v>
      </c>
      <c r="P515" s="1" t="s">
        <v>56</v>
      </c>
      <c r="Q515" s="1" t="s">
        <v>69</v>
      </c>
      <c r="R515" s="1">
        <v>1704.85</v>
      </c>
      <c r="S515" s="1" t="s">
        <v>46</v>
      </c>
      <c r="T515" s="1" t="s">
        <v>34</v>
      </c>
      <c r="U515" s="1" t="s">
        <v>35</v>
      </c>
      <c r="V515" s="1" t="s">
        <v>36</v>
      </c>
    </row>
    <row r="516" spans="1:22" x14ac:dyDescent="0.3">
      <c r="A516" s="1" t="s">
        <v>2787</v>
      </c>
      <c r="B516" s="1" t="s">
        <v>2788</v>
      </c>
      <c r="C516" s="1">
        <v>57</v>
      </c>
      <c r="D516" s="1" t="s">
        <v>2789</v>
      </c>
      <c r="E516" s="1" t="s">
        <v>61</v>
      </c>
      <c r="F516" s="1" t="s">
        <v>1999</v>
      </c>
      <c r="G516" s="2">
        <v>45139</v>
      </c>
      <c r="H516" s="1">
        <v>1</v>
      </c>
      <c r="I516" s="1" t="s">
        <v>27</v>
      </c>
      <c r="J516" s="1" t="s">
        <v>2790</v>
      </c>
      <c r="K516" s="1" t="s">
        <v>2791</v>
      </c>
      <c r="L516" s="1">
        <v>3</v>
      </c>
      <c r="M516" s="1">
        <v>33</v>
      </c>
      <c r="N516" s="1" t="s">
        <v>45</v>
      </c>
      <c r="O516" s="1" t="s">
        <v>91</v>
      </c>
      <c r="P516" s="1" t="s">
        <v>54</v>
      </c>
      <c r="Q516" s="1" t="s">
        <v>69</v>
      </c>
      <c r="R516" s="1">
        <v>1285.6199999999999</v>
      </c>
      <c r="S516" s="1" t="s">
        <v>46</v>
      </c>
      <c r="T516" s="1" t="s">
        <v>47</v>
      </c>
      <c r="U516" s="1" t="s">
        <v>35</v>
      </c>
      <c r="V516" s="1" t="s">
        <v>36</v>
      </c>
    </row>
    <row r="517" spans="1:22" x14ac:dyDescent="0.3">
      <c r="A517" s="1" t="s">
        <v>2792</v>
      </c>
      <c r="B517" s="1" t="s">
        <v>2793</v>
      </c>
      <c r="C517" s="1">
        <v>54</v>
      </c>
      <c r="D517" s="1" t="s">
        <v>2794</v>
      </c>
      <c r="E517" s="1" t="s">
        <v>61</v>
      </c>
      <c r="F517" s="1" t="s">
        <v>2795</v>
      </c>
      <c r="G517" s="2">
        <v>45263</v>
      </c>
      <c r="H517" s="1">
        <v>5</v>
      </c>
      <c r="I517" s="1" t="s">
        <v>27</v>
      </c>
      <c r="J517" s="2">
        <v>45904</v>
      </c>
      <c r="K517" s="1" t="s">
        <v>2796</v>
      </c>
      <c r="L517" s="1">
        <v>3</v>
      </c>
      <c r="M517" s="1">
        <v>8</v>
      </c>
      <c r="N517" s="1" t="s">
        <v>45</v>
      </c>
      <c r="O517" s="1" t="s">
        <v>366</v>
      </c>
      <c r="P517" s="1" t="s">
        <v>54</v>
      </c>
      <c r="Q517" s="1" t="s">
        <v>69</v>
      </c>
      <c r="R517" s="1">
        <v>704.01</v>
      </c>
      <c r="S517" s="1" t="s">
        <v>46</v>
      </c>
      <c r="T517" s="1" t="s">
        <v>47</v>
      </c>
      <c r="U517" s="1" t="s">
        <v>35</v>
      </c>
      <c r="V517" s="1" t="s">
        <v>188</v>
      </c>
    </row>
    <row r="518" spans="1:22" x14ac:dyDescent="0.3">
      <c r="A518" s="1" t="s">
        <v>2797</v>
      </c>
      <c r="B518" s="1" t="s">
        <v>2798</v>
      </c>
      <c r="C518" s="1">
        <v>51</v>
      </c>
      <c r="D518" s="1" t="s">
        <v>2799</v>
      </c>
      <c r="E518" s="1" t="s">
        <v>61</v>
      </c>
      <c r="F518" s="2">
        <v>44289</v>
      </c>
      <c r="G518" s="1" t="s">
        <v>2768</v>
      </c>
      <c r="H518" s="1">
        <v>1</v>
      </c>
      <c r="I518" s="1" t="s">
        <v>52</v>
      </c>
      <c r="J518" s="1" t="s">
        <v>2800</v>
      </c>
      <c r="K518" s="1" t="s">
        <v>2801</v>
      </c>
      <c r="L518" s="1">
        <v>9</v>
      </c>
      <c r="M518" s="1">
        <v>40</v>
      </c>
      <c r="N518" s="1" t="s">
        <v>45</v>
      </c>
      <c r="O518" s="1" t="s">
        <v>604</v>
      </c>
      <c r="P518" s="1" t="s">
        <v>45</v>
      </c>
      <c r="Q518" s="1" t="s">
        <v>69</v>
      </c>
      <c r="R518" s="1">
        <v>1280.25</v>
      </c>
      <c r="S518" s="1" t="s">
        <v>33</v>
      </c>
      <c r="T518" s="1" t="s">
        <v>47</v>
      </c>
      <c r="U518" s="1" t="s">
        <v>35</v>
      </c>
      <c r="V518" s="1" t="s">
        <v>36</v>
      </c>
    </row>
    <row r="519" spans="1:22" x14ac:dyDescent="0.3">
      <c r="A519" s="1" t="s">
        <v>2802</v>
      </c>
      <c r="B519" s="1" t="s">
        <v>2803</v>
      </c>
      <c r="C519" s="1">
        <v>41</v>
      </c>
      <c r="D519" s="1" t="s">
        <v>2804</v>
      </c>
      <c r="E519" s="1" t="s">
        <v>40</v>
      </c>
      <c r="F519" s="2">
        <v>45263</v>
      </c>
      <c r="G519" s="2">
        <v>45055</v>
      </c>
      <c r="H519" s="1">
        <v>3</v>
      </c>
      <c r="I519" s="1" t="s">
        <v>52</v>
      </c>
      <c r="J519" s="1" t="s">
        <v>809</v>
      </c>
      <c r="K519" s="1" t="s">
        <v>2805</v>
      </c>
      <c r="L519" s="1">
        <v>6</v>
      </c>
      <c r="M519" s="1">
        <v>20</v>
      </c>
      <c r="N519" s="1" t="s">
        <v>68</v>
      </c>
      <c r="O519" s="1" t="s">
        <v>194</v>
      </c>
      <c r="P519" s="1" t="s">
        <v>56</v>
      </c>
      <c r="Q519" s="1" t="s">
        <v>69</v>
      </c>
      <c r="R519" s="1">
        <v>697.08</v>
      </c>
      <c r="S519" s="1" t="s">
        <v>46</v>
      </c>
      <c r="T519" s="1" t="s">
        <v>34</v>
      </c>
      <c r="U519" s="1" t="s">
        <v>35</v>
      </c>
      <c r="V519" s="1" t="s">
        <v>36</v>
      </c>
    </row>
    <row r="520" spans="1:22" x14ac:dyDescent="0.3">
      <c r="A520" s="1" t="s">
        <v>2806</v>
      </c>
      <c r="B520" s="1" t="s">
        <v>2807</v>
      </c>
      <c r="C520" s="1">
        <v>47</v>
      </c>
      <c r="D520" s="1" t="s">
        <v>2808</v>
      </c>
      <c r="E520" s="1" t="s">
        <v>95</v>
      </c>
      <c r="F520" s="1" t="s">
        <v>2809</v>
      </c>
      <c r="G520" s="1" t="s">
        <v>2810</v>
      </c>
      <c r="H520" s="1">
        <v>5</v>
      </c>
      <c r="I520" s="1" t="s">
        <v>27</v>
      </c>
      <c r="J520" s="1" t="s">
        <v>1153</v>
      </c>
      <c r="K520" s="1" t="s">
        <v>2811</v>
      </c>
      <c r="L520" s="1">
        <v>6</v>
      </c>
      <c r="M520" s="1">
        <v>15</v>
      </c>
      <c r="N520" s="1" t="s">
        <v>56</v>
      </c>
      <c r="O520" s="1" t="s">
        <v>175</v>
      </c>
      <c r="P520" s="1" t="s">
        <v>56</v>
      </c>
      <c r="Q520" s="1" t="s">
        <v>69</v>
      </c>
      <c r="R520" s="1">
        <v>1930.44</v>
      </c>
      <c r="S520" s="1" t="s">
        <v>33</v>
      </c>
      <c r="T520" s="1" t="s">
        <v>34</v>
      </c>
      <c r="U520" s="1" t="s">
        <v>35</v>
      </c>
      <c r="V520" s="1" t="s">
        <v>188</v>
      </c>
    </row>
    <row r="521" spans="1:22" x14ac:dyDescent="0.3">
      <c r="A521" s="1" t="s">
        <v>2812</v>
      </c>
      <c r="B521" s="1" t="s">
        <v>2813</v>
      </c>
      <c r="C521" s="1">
        <v>26</v>
      </c>
      <c r="D521" s="1" t="s">
        <v>2814</v>
      </c>
      <c r="E521" s="1" t="s">
        <v>40</v>
      </c>
      <c r="F521" s="2">
        <v>43839</v>
      </c>
      <c r="G521" s="1" t="s">
        <v>338</v>
      </c>
      <c r="H521" s="1">
        <v>1</v>
      </c>
      <c r="I521" s="1" t="s">
        <v>27</v>
      </c>
      <c r="J521" s="2">
        <v>45263</v>
      </c>
      <c r="K521" s="1" t="s">
        <v>2815</v>
      </c>
      <c r="L521" s="1">
        <v>5</v>
      </c>
      <c r="M521" s="1">
        <v>9</v>
      </c>
      <c r="N521" s="1" t="s">
        <v>68</v>
      </c>
      <c r="O521" s="1" t="s">
        <v>199</v>
      </c>
      <c r="P521" s="1" t="s">
        <v>54</v>
      </c>
      <c r="Q521" s="1" t="s">
        <v>32</v>
      </c>
      <c r="R521" s="1">
        <v>1334.85</v>
      </c>
      <c r="S521" s="1" t="s">
        <v>46</v>
      </c>
      <c r="T521" s="1" t="s">
        <v>57</v>
      </c>
      <c r="U521" s="1" t="s">
        <v>35</v>
      </c>
      <c r="V521" s="1" t="s">
        <v>36</v>
      </c>
    </row>
    <row r="522" spans="1:22" x14ac:dyDescent="0.3">
      <c r="A522" s="1" t="s">
        <v>2816</v>
      </c>
      <c r="B522" s="1" t="s">
        <v>2817</v>
      </c>
      <c r="C522" s="1">
        <v>40</v>
      </c>
      <c r="D522" s="1" t="s">
        <v>2818</v>
      </c>
      <c r="E522" s="1" t="s">
        <v>25</v>
      </c>
      <c r="F522" s="1" t="s">
        <v>1142</v>
      </c>
      <c r="G522" s="2">
        <v>45078</v>
      </c>
      <c r="H522" s="1">
        <v>1</v>
      </c>
      <c r="I522" s="1" t="s">
        <v>27</v>
      </c>
      <c r="J522" s="1" t="s">
        <v>2819</v>
      </c>
      <c r="K522" s="1" t="s">
        <v>2820</v>
      </c>
      <c r="L522" s="1">
        <v>5</v>
      </c>
      <c r="M522" s="1">
        <v>36</v>
      </c>
      <c r="N522" s="1" t="s">
        <v>45</v>
      </c>
      <c r="O522" s="1" t="s">
        <v>366</v>
      </c>
      <c r="P522" s="1" t="s">
        <v>54</v>
      </c>
      <c r="Q522" s="1" t="s">
        <v>32</v>
      </c>
      <c r="R522" s="1">
        <v>1419.8</v>
      </c>
      <c r="S522" s="1" t="s">
        <v>46</v>
      </c>
      <c r="T522" s="1" t="s">
        <v>34</v>
      </c>
      <c r="U522" s="1" t="s">
        <v>35</v>
      </c>
      <c r="V522" s="1" t="s">
        <v>36</v>
      </c>
    </row>
    <row r="523" spans="1:22" x14ac:dyDescent="0.3">
      <c r="A523" s="1" t="s">
        <v>2821</v>
      </c>
      <c r="B523" s="1" t="s">
        <v>2822</v>
      </c>
      <c r="C523" s="1">
        <v>43</v>
      </c>
      <c r="D523" s="1" t="s">
        <v>2823</v>
      </c>
      <c r="E523" s="1" t="s">
        <v>61</v>
      </c>
      <c r="F523" s="1" t="s">
        <v>146</v>
      </c>
      <c r="G523" s="1" t="s">
        <v>519</v>
      </c>
      <c r="H523" s="1">
        <v>2</v>
      </c>
      <c r="I523" s="1" t="s">
        <v>27</v>
      </c>
      <c r="J523" s="2">
        <v>45814</v>
      </c>
      <c r="K523" s="1" t="s">
        <v>2824</v>
      </c>
      <c r="L523" s="1">
        <v>4</v>
      </c>
      <c r="M523" s="1">
        <v>47</v>
      </c>
      <c r="N523" s="1" t="s">
        <v>30</v>
      </c>
      <c r="O523" s="1" t="s">
        <v>194</v>
      </c>
      <c r="P523" s="1" t="s">
        <v>56</v>
      </c>
      <c r="Q523" s="1" t="s">
        <v>69</v>
      </c>
      <c r="R523" s="1">
        <v>1529.12</v>
      </c>
      <c r="S523" s="1" t="s">
        <v>46</v>
      </c>
      <c r="T523" s="1" t="s">
        <v>34</v>
      </c>
      <c r="U523" s="1" t="s">
        <v>35</v>
      </c>
      <c r="V523" s="1" t="s">
        <v>36</v>
      </c>
    </row>
    <row r="524" spans="1:22" x14ac:dyDescent="0.3">
      <c r="A524" s="1" t="s">
        <v>2825</v>
      </c>
      <c r="B524" s="1" t="s">
        <v>2826</v>
      </c>
      <c r="C524" s="1">
        <v>53</v>
      </c>
      <c r="D524" s="1" t="s">
        <v>2827</v>
      </c>
      <c r="E524" s="1" t="s">
        <v>40</v>
      </c>
      <c r="F524" s="1" t="s">
        <v>2828</v>
      </c>
      <c r="G524" s="1" t="s">
        <v>2829</v>
      </c>
      <c r="H524" s="1">
        <v>2</v>
      </c>
      <c r="I524" s="1" t="s">
        <v>64</v>
      </c>
      <c r="J524" s="2">
        <v>45542</v>
      </c>
      <c r="K524" s="1" t="s">
        <v>2830</v>
      </c>
      <c r="L524" s="1">
        <v>4</v>
      </c>
      <c r="M524" s="1">
        <v>43</v>
      </c>
      <c r="N524" s="1" t="s">
        <v>45</v>
      </c>
      <c r="O524" s="1" t="s">
        <v>149</v>
      </c>
      <c r="P524" s="1" t="s">
        <v>30</v>
      </c>
      <c r="Q524" s="1" t="s">
        <v>69</v>
      </c>
      <c r="R524" s="1">
        <v>869.68</v>
      </c>
      <c r="S524" s="1" t="s">
        <v>46</v>
      </c>
      <c r="T524" s="1" t="s">
        <v>47</v>
      </c>
      <c r="U524" s="1" t="s">
        <v>35</v>
      </c>
      <c r="V524" s="1" t="s">
        <v>71</v>
      </c>
    </row>
    <row r="525" spans="1:22" x14ac:dyDescent="0.3">
      <c r="A525" s="1" t="s">
        <v>2831</v>
      </c>
      <c r="B525" s="1" t="s">
        <v>2832</v>
      </c>
      <c r="C525" s="1">
        <v>63</v>
      </c>
      <c r="D525" s="1" t="s">
        <v>2833</v>
      </c>
      <c r="E525" s="1" t="s">
        <v>25</v>
      </c>
      <c r="F525" s="1" t="s">
        <v>2722</v>
      </c>
      <c r="G525" s="1" t="s">
        <v>185</v>
      </c>
      <c r="H525" s="1">
        <v>3</v>
      </c>
      <c r="I525" s="1" t="s">
        <v>27</v>
      </c>
      <c r="J525" s="1" t="s">
        <v>2834</v>
      </c>
      <c r="K525" s="1" t="s">
        <v>2835</v>
      </c>
      <c r="L525" s="1">
        <v>8</v>
      </c>
      <c r="M525" s="1">
        <v>5</v>
      </c>
      <c r="N525" s="1" t="s">
        <v>68</v>
      </c>
      <c r="O525" s="1" t="s">
        <v>211</v>
      </c>
      <c r="P525" s="1" t="s">
        <v>68</v>
      </c>
      <c r="Q525" s="1" t="s">
        <v>69</v>
      </c>
      <c r="R525" s="1">
        <v>462</v>
      </c>
      <c r="S525" s="1" t="s">
        <v>33</v>
      </c>
      <c r="T525" s="1" t="s">
        <v>47</v>
      </c>
      <c r="U525" s="1" t="s">
        <v>101</v>
      </c>
      <c r="V525" s="1" t="s">
        <v>36</v>
      </c>
    </row>
    <row r="526" spans="1:22" x14ac:dyDescent="0.3">
      <c r="A526" s="1" t="s">
        <v>2836</v>
      </c>
      <c r="B526" s="1" t="s">
        <v>2837</v>
      </c>
      <c r="C526" s="1">
        <v>43</v>
      </c>
      <c r="D526" s="1" t="s">
        <v>2838</v>
      </c>
      <c r="E526" s="1" t="s">
        <v>40</v>
      </c>
      <c r="F526" s="2">
        <v>44289</v>
      </c>
      <c r="G526" s="2">
        <v>44780</v>
      </c>
      <c r="H526" s="1">
        <v>5</v>
      </c>
      <c r="I526" s="1" t="s">
        <v>27</v>
      </c>
      <c r="J526" s="2">
        <v>45660</v>
      </c>
      <c r="K526" s="1" t="s">
        <v>2839</v>
      </c>
      <c r="L526" s="1">
        <v>4</v>
      </c>
      <c r="M526" s="1">
        <v>29</v>
      </c>
      <c r="N526" s="1" t="s">
        <v>45</v>
      </c>
      <c r="O526" s="1" t="s">
        <v>116</v>
      </c>
      <c r="P526" s="1" t="s">
        <v>54</v>
      </c>
      <c r="Q526" s="1" t="s">
        <v>32</v>
      </c>
      <c r="R526" s="1">
        <v>1025.8</v>
      </c>
      <c r="S526" s="1" t="s">
        <v>46</v>
      </c>
      <c r="T526" s="1" t="s">
        <v>34</v>
      </c>
      <c r="U526" s="1" t="s">
        <v>35</v>
      </c>
      <c r="V526" s="1" t="s">
        <v>188</v>
      </c>
    </row>
    <row r="527" spans="1:22" x14ac:dyDescent="0.3">
      <c r="A527" s="1" t="s">
        <v>2840</v>
      </c>
      <c r="B527" s="1" t="s">
        <v>2841</v>
      </c>
      <c r="C527" s="1">
        <v>66</v>
      </c>
      <c r="D527" s="1" t="s">
        <v>2842</v>
      </c>
      <c r="E527" s="1" t="s">
        <v>95</v>
      </c>
      <c r="F527" s="2">
        <v>45113</v>
      </c>
      <c r="G527" s="2">
        <v>45632</v>
      </c>
      <c r="H527" s="1">
        <v>5</v>
      </c>
      <c r="I527" s="1" t="s">
        <v>64</v>
      </c>
      <c r="J527" s="1" t="s">
        <v>2843</v>
      </c>
      <c r="K527" s="1" t="s">
        <v>2844</v>
      </c>
      <c r="L527" s="1">
        <v>6</v>
      </c>
      <c r="M527" s="1">
        <v>18</v>
      </c>
      <c r="N527" s="1" t="s">
        <v>54</v>
      </c>
      <c r="O527" s="1" t="s">
        <v>91</v>
      </c>
      <c r="P527" s="1" t="s">
        <v>54</v>
      </c>
      <c r="Q527" s="1" t="s">
        <v>69</v>
      </c>
      <c r="R527" s="1">
        <v>1803.3</v>
      </c>
      <c r="S527" s="1" t="s">
        <v>33</v>
      </c>
      <c r="T527" s="1" t="s">
        <v>232</v>
      </c>
      <c r="U527" s="1" t="s">
        <v>35</v>
      </c>
      <c r="V527" s="1" t="s">
        <v>71</v>
      </c>
    </row>
    <row r="528" spans="1:22" x14ac:dyDescent="0.3">
      <c r="A528" s="1" t="s">
        <v>2845</v>
      </c>
      <c r="B528" s="1" t="s">
        <v>2846</v>
      </c>
      <c r="C528" s="1">
        <v>54</v>
      </c>
      <c r="D528" s="1" t="s">
        <v>2847</v>
      </c>
      <c r="E528" s="1" t="s">
        <v>61</v>
      </c>
      <c r="F528" s="1" t="s">
        <v>2848</v>
      </c>
      <c r="G528" s="1" t="s">
        <v>2848</v>
      </c>
      <c r="H528" s="1">
        <v>3</v>
      </c>
      <c r="I528" s="1" t="s">
        <v>64</v>
      </c>
      <c r="J528" s="1" t="s">
        <v>2849</v>
      </c>
      <c r="K528" s="1" t="s">
        <v>2850</v>
      </c>
      <c r="L528" s="1">
        <v>8</v>
      </c>
      <c r="M528" s="1">
        <v>26</v>
      </c>
      <c r="N528" s="1" t="s">
        <v>30</v>
      </c>
      <c r="O528" s="1" t="s">
        <v>199</v>
      </c>
      <c r="P528" s="1" t="s">
        <v>54</v>
      </c>
      <c r="Q528" s="1" t="s">
        <v>69</v>
      </c>
      <c r="R528" s="1">
        <v>604.79999999999995</v>
      </c>
      <c r="S528" s="1" t="s">
        <v>46</v>
      </c>
      <c r="T528" s="1" t="s">
        <v>47</v>
      </c>
      <c r="U528" s="1" t="s">
        <v>35</v>
      </c>
      <c r="V528" s="1" t="s">
        <v>71</v>
      </c>
    </row>
    <row r="529" spans="1:22" x14ac:dyDescent="0.3">
      <c r="A529" s="1" t="s">
        <v>2851</v>
      </c>
      <c r="B529" s="1" t="s">
        <v>2852</v>
      </c>
      <c r="C529" s="1">
        <v>30</v>
      </c>
      <c r="D529" s="1" t="s">
        <v>2853</v>
      </c>
      <c r="E529" s="1" t="s">
        <v>61</v>
      </c>
      <c r="F529" s="1" t="s">
        <v>337</v>
      </c>
      <c r="G529" s="2">
        <v>45419</v>
      </c>
      <c r="H529" s="1">
        <v>4</v>
      </c>
      <c r="I529" s="1" t="s">
        <v>52</v>
      </c>
      <c r="J529" s="1" t="s">
        <v>1536</v>
      </c>
      <c r="K529" s="1" t="s">
        <v>2854</v>
      </c>
      <c r="L529" s="1">
        <v>1</v>
      </c>
      <c r="M529" s="1">
        <v>39</v>
      </c>
      <c r="N529" s="1" t="s">
        <v>68</v>
      </c>
      <c r="O529" s="1" t="s">
        <v>238</v>
      </c>
      <c r="P529" s="1" t="s">
        <v>45</v>
      </c>
      <c r="Q529" s="1" t="s">
        <v>69</v>
      </c>
      <c r="R529" s="1">
        <v>1582.47</v>
      </c>
      <c r="S529" s="1" t="s">
        <v>46</v>
      </c>
      <c r="T529" s="1" t="s">
        <v>57</v>
      </c>
      <c r="U529" s="1" t="s">
        <v>35</v>
      </c>
      <c r="V529" s="1" t="s">
        <v>36</v>
      </c>
    </row>
    <row r="530" spans="1:22" x14ac:dyDescent="0.3">
      <c r="A530" s="1" t="s">
        <v>2855</v>
      </c>
      <c r="B530" s="1" t="s">
        <v>2856</v>
      </c>
      <c r="C530" s="1">
        <v>24</v>
      </c>
      <c r="D530" s="1" t="s">
        <v>2857</v>
      </c>
      <c r="E530" s="1" t="s">
        <v>40</v>
      </c>
      <c r="F530" s="1" t="s">
        <v>2858</v>
      </c>
      <c r="G530" s="2">
        <v>45141</v>
      </c>
      <c r="H530" s="1">
        <v>5</v>
      </c>
      <c r="I530" s="1" t="s">
        <v>27</v>
      </c>
      <c r="J530" s="2">
        <v>45053</v>
      </c>
      <c r="K530" s="1" t="s">
        <v>2859</v>
      </c>
      <c r="L530" s="1">
        <v>6</v>
      </c>
      <c r="M530" s="1">
        <v>30</v>
      </c>
      <c r="N530" s="1" t="s">
        <v>68</v>
      </c>
      <c r="O530" s="1" t="s">
        <v>855</v>
      </c>
      <c r="P530" s="1" t="s">
        <v>45</v>
      </c>
      <c r="Q530" s="1" t="s">
        <v>32</v>
      </c>
      <c r="R530" s="1">
        <v>1197.6600000000001</v>
      </c>
      <c r="S530" s="1" t="s">
        <v>46</v>
      </c>
      <c r="T530" s="1" t="s">
        <v>100</v>
      </c>
      <c r="U530" s="1" t="s">
        <v>35</v>
      </c>
      <c r="V530" s="1" t="s">
        <v>188</v>
      </c>
    </row>
    <row r="531" spans="1:22" x14ac:dyDescent="0.3">
      <c r="A531" s="1" t="s">
        <v>2860</v>
      </c>
      <c r="B531" s="1" t="s">
        <v>2861</v>
      </c>
      <c r="C531" s="1">
        <v>50</v>
      </c>
      <c r="D531" s="1" t="s">
        <v>2862</v>
      </c>
      <c r="E531" s="1" t="s">
        <v>95</v>
      </c>
      <c r="F531" s="1" t="s">
        <v>2757</v>
      </c>
      <c r="G531" s="2">
        <v>45839</v>
      </c>
      <c r="H531" s="1">
        <v>3</v>
      </c>
      <c r="I531" s="1" t="s">
        <v>27</v>
      </c>
      <c r="J531" s="2">
        <v>44685</v>
      </c>
      <c r="K531" s="1" t="s">
        <v>2863</v>
      </c>
      <c r="L531" s="1">
        <v>9</v>
      </c>
      <c r="M531" s="1">
        <v>7</v>
      </c>
      <c r="N531" s="1" t="s">
        <v>54</v>
      </c>
      <c r="O531" s="1" t="s">
        <v>610</v>
      </c>
      <c r="P531" s="1" t="s">
        <v>68</v>
      </c>
      <c r="Q531" s="1" t="s">
        <v>69</v>
      </c>
      <c r="R531" s="1">
        <v>681.84</v>
      </c>
      <c r="S531" s="1" t="s">
        <v>46</v>
      </c>
      <c r="T531" s="1" t="s">
        <v>47</v>
      </c>
      <c r="U531" s="1" t="s">
        <v>35</v>
      </c>
      <c r="V531" s="1" t="s">
        <v>36</v>
      </c>
    </row>
    <row r="532" spans="1:22" x14ac:dyDescent="0.3">
      <c r="A532" s="1" t="s">
        <v>2864</v>
      </c>
      <c r="B532" s="1" t="s">
        <v>2865</v>
      </c>
      <c r="C532" s="1">
        <v>26</v>
      </c>
      <c r="D532" s="1" t="s">
        <v>2866</v>
      </c>
      <c r="E532" s="1" t="s">
        <v>25</v>
      </c>
      <c r="F532" s="1" t="s">
        <v>266</v>
      </c>
      <c r="G532" s="1" t="s">
        <v>209</v>
      </c>
      <c r="H532" s="1">
        <v>1</v>
      </c>
      <c r="I532" s="1" t="s">
        <v>27</v>
      </c>
      <c r="J532" s="1" t="s">
        <v>2218</v>
      </c>
      <c r="K532" s="1" t="s">
        <v>2867</v>
      </c>
      <c r="L532" s="1">
        <v>3</v>
      </c>
      <c r="M532" s="1">
        <v>19</v>
      </c>
      <c r="N532" s="1" t="s">
        <v>68</v>
      </c>
      <c r="O532" s="1" t="s">
        <v>354</v>
      </c>
      <c r="P532" s="1" t="s">
        <v>45</v>
      </c>
      <c r="Q532" s="1" t="s">
        <v>69</v>
      </c>
      <c r="R532" s="1">
        <v>507.99</v>
      </c>
      <c r="S532" s="1" t="s">
        <v>46</v>
      </c>
      <c r="T532" s="1" t="s">
        <v>57</v>
      </c>
      <c r="U532" s="1" t="s">
        <v>35</v>
      </c>
      <c r="V532" s="1" t="s">
        <v>36</v>
      </c>
    </row>
    <row r="533" spans="1:22" x14ac:dyDescent="0.3">
      <c r="A533" s="1" t="s">
        <v>2868</v>
      </c>
      <c r="B533" s="1" t="s">
        <v>2869</v>
      </c>
      <c r="C533" s="1">
        <v>44</v>
      </c>
      <c r="D533" s="1" t="s">
        <v>2870</v>
      </c>
      <c r="E533" s="1" t="s">
        <v>25</v>
      </c>
      <c r="F533" s="2">
        <v>44809</v>
      </c>
      <c r="G533" s="1" t="s">
        <v>1841</v>
      </c>
      <c r="H533" s="1">
        <v>5</v>
      </c>
      <c r="I533" s="1" t="s">
        <v>27</v>
      </c>
      <c r="J533" s="1" t="s">
        <v>2871</v>
      </c>
      <c r="K533" s="1" t="s">
        <v>2872</v>
      </c>
      <c r="L533" s="1">
        <v>5</v>
      </c>
      <c r="M533" s="1">
        <v>32</v>
      </c>
      <c r="N533" s="1" t="s">
        <v>45</v>
      </c>
      <c r="O533" s="1" t="s">
        <v>169</v>
      </c>
      <c r="P533" s="1" t="s">
        <v>30</v>
      </c>
      <c r="Q533" s="1" t="s">
        <v>32</v>
      </c>
      <c r="R533" s="1">
        <v>1398.95</v>
      </c>
      <c r="S533" s="1" t="s">
        <v>46</v>
      </c>
      <c r="T533" s="1" t="s">
        <v>34</v>
      </c>
      <c r="U533" s="1" t="s">
        <v>35</v>
      </c>
      <c r="V533" s="1" t="s">
        <v>188</v>
      </c>
    </row>
    <row r="534" spans="1:22" x14ac:dyDescent="0.3">
      <c r="A534" s="1" t="s">
        <v>2873</v>
      </c>
      <c r="B534" s="1" t="s">
        <v>2874</v>
      </c>
      <c r="C534" s="1">
        <v>40</v>
      </c>
      <c r="D534" s="1" t="s">
        <v>2875</v>
      </c>
      <c r="E534" s="1" t="s">
        <v>40</v>
      </c>
      <c r="F534" s="1" t="s">
        <v>2876</v>
      </c>
      <c r="G534" s="2">
        <v>45264</v>
      </c>
      <c r="H534" s="1">
        <v>3</v>
      </c>
      <c r="I534" s="1" t="s">
        <v>27</v>
      </c>
      <c r="J534" s="1" t="s">
        <v>1812</v>
      </c>
      <c r="K534" s="1" t="s">
        <v>2877</v>
      </c>
      <c r="L534" s="1">
        <v>4</v>
      </c>
      <c r="M534" s="1">
        <v>45</v>
      </c>
      <c r="N534" s="1" t="s">
        <v>54</v>
      </c>
      <c r="O534" s="1" t="s">
        <v>293</v>
      </c>
      <c r="P534" s="1" t="s">
        <v>45</v>
      </c>
      <c r="Q534" s="1" t="s">
        <v>69</v>
      </c>
      <c r="R534" s="1">
        <v>75.72</v>
      </c>
      <c r="S534" s="1" t="s">
        <v>46</v>
      </c>
      <c r="T534" s="1" t="s">
        <v>34</v>
      </c>
      <c r="U534" s="1" t="s">
        <v>35</v>
      </c>
      <c r="V534" s="1" t="s">
        <v>36</v>
      </c>
    </row>
    <row r="535" spans="1:22" x14ac:dyDescent="0.3">
      <c r="A535" s="1" t="s">
        <v>2878</v>
      </c>
      <c r="B535" s="1" t="s">
        <v>2879</v>
      </c>
      <c r="C535" s="1">
        <v>41</v>
      </c>
      <c r="D535" s="1" t="s">
        <v>2880</v>
      </c>
      <c r="E535" s="1" t="s">
        <v>61</v>
      </c>
      <c r="F535" s="1" t="s">
        <v>658</v>
      </c>
      <c r="G535" s="2">
        <v>45449</v>
      </c>
      <c r="H535" s="1">
        <v>2</v>
      </c>
      <c r="I535" s="1" t="s">
        <v>27</v>
      </c>
      <c r="J535" s="1" t="s">
        <v>645</v>
      </c>
      <c r="K535" s="1" t="s">
        <v>2881</v>
      </c>
      <c r="L535" s="1">
        <v>8</v>
      </c>
      <c r="M535" s="1">
        <v>32</v>
      </c>
      <c r="N535" s="1" t="s">
        <v>45</v>
      </c>
      <c r="O535" s="1" t="s">
        <v>354</v>
      </c>
      <c r="P535" s="1" t="s">
        <v>45</v>
      </c>
      <c r="Q535" s="1" t="s">
        <v>69</v>
      </c>
      <c r="R535" s="1">
        <v>1180.4000000000001</v>
      </c>
      <c r="S535" s="1" t="s">
        <v>33</v>
      </c>
      <c r="T535" s="1" t="s">
        <v>34</v>
      </c>
      <c r="U535" s="1" t="s">
        <v>35</v>
      </c>
      <c r="V535" s="1" t="s">
        <v>36</v>
      </c>
    </row>
    <row r="536" spans="1:22" x14ac:dyDescent="0.3">
      <c r="A536" s="1" t="s">
        <v>2882</v>
      </c>
      <c r="B536" s="1" t="s">
        <v>2883</v>
      </c>
      <c r="C536" s="1">
        <v>54</v>
      </c>
      <c r="D536" s="1" t="s">
        <v>2884</v>
      </c>
      <c r="E536" s="1" t="s">
        <v>95</v>
      </c>
      <c r="F536" s="1" t="s">
        <v>2885</v>
      </c>
      <c r="G536" s="1" t="s">
        <v>809</v>
      </c>
      <c r="H536" s="1">
        <v>4</v>
      </c>
      <c r="I536" s="1" t="s">
        <v>27</v>
      </c>
      <c r="J536" s="2">
        <v>45206</v>
      </c>
      <c r="K536" s="1" t="s">
        <v>2886</v>
      </c>
      <c r="L536" s="1">
        <v>9</v>
      </c>
      <c r="M536" s="1">
        <v>2</v>
      </c>
      <c r="N536" s="1" t="s">
        <v>56</v>
      </c>
      <c r="O536" s="1" t="s">
        <v>128</v>
      </c>
      <c r="P536" s="1" t="s">
        <v>54</v>
      </c>
      <c r="Q536" s="1" t="s">
        <v>69</v>
      </c>
      <c r="R536" s="1">
        <v>744.12</v>
      </c>
      <c r="S536" s="1" t="s">
        <v>46</v>
      </c>
      <c r="T536" s="1" t="s">
        <v>47</v>
      </c>
      <c r="U536" s="1" t="s">
        <v>101</v>
      </c>
      <c r="V536" s="1" t="s">
        <v>188</v>
      </c>
    </row>
    <row r="537" spans="1:22" x14ac:dyDescent="0.3">
      <c r="A537" s="1" t="s">
        <v>2887</v>
      </c>
      <c r="B537" s="1" t="s">
        <v>2888</v>
      </c>
      <c r="C537" s="1">
        <v>29</v>
      </c>
      <c r="D537" s="1" t="s">
        <v>2889</v>
      </c>
      <c r="E537" s="1" t="s">
        <v>51</v>
      </c>
      <c r="F537" s="1" t="s">
        <v>1775</v>
      </c>
      <c r="G537" s="1" t="s">
        <v>2323</v>
      </c>
      <c r="H537" s="1">
        <v>4</v>
      </c>
      <c r="I537" s="1" t="s">
        <v>52</v>
      </c>
      <c r="J537" s="2">
        <v>45087</v>
      </c>
      <c r="K537" s="1" t="s">
        <v>2890</v>
      </c>
      <c r="L537" s="1">
        <v>9</v>
      </c>
      <c r="M537" s="1">
        <v>15</v>
      </c>
      <c r="N537" s="1" t="s">
        <v>68</v>
      </c>
      <c r="O537" s="1" t="s">
        <v>135</v>
      </c>
      <c r="P537" s="1" t="s">
        <v>45</v>
      </c>
      <c r="Q537" s="1" t="s">
        <v>32</v>
      </c>
      <c r="R537" s="1">
        <v>1607.67</v>
      </c>
      <c r="S537" s="1" t="s">
        <v>46</v>
      </c>
      <c r="T537" s="1" t="s">
        <v>57</v>
      </c>
      <c r="U537" s="1" t="s">
        <v>35</v>
      </c>
      <c r="V537" s="1" t="s">
        <v>36</v>
      </c>
    </row>
    <row r="538" spans="1:22" x14ac:dyDescent="0.3">
      <c r="A538" s="1" t="s">
        <v>2891</v>
      </c>
      <c r="B538" s="1" t="s">
        <v>2892</v>
      </c>
      <c r="C538" s="1">
        <v>20</v>
      </c>
      <c r="D538" s="1" t="s">
        <v>2893</v>
      </c>
      <c r="E538" s="1" t="s">
        <v>51</v>
      </c>
      <c r="F538" s="1" t="s">
        <v>1695</v>
      </c>
      <c r="G538" s="1" t="s">
        <v>1253</v>
      </c>
      <c r="H538" s="1">
        <v>3</v>
      </c>
      <c r="I538" s="1" t="s">
        <v>27</v>
      </c>
      <c r="J538" s="2">
        <v>45361</v>
      </c>
      <c r="K538" s="1" t="s">
        <v>2894</v>
      </c>
      <c r="L538" s="1">
        <v>8</v>
      </c>
      <c r="M538" s="1">
        <v>21</v>
      </c>
      <c r="N538" s="1" t="s">
        <v>45</v>
      </c>
      <c r="O538" s="1" t="s">
        <v>269</v>
      </c>
      <c r="P538" s="1" t="s">
        <v>56</v>
      </c>
      <c r="Q538" s="1" t="s">
        <v>32</v>
      </c>
      <c r="R538" s="1">
        <v>179.52</v>
      </c>
      <c r="S538" s="1" t="s">
        <v>46</v>
      </c>
      <c r="T538" s="1" t="s">
        <v>100</v>
      </c>
      <c r="U538" s="1" t="s">
        <v>35</v>
      </c>
      <c r="V538" s="1" t="s">
        <v>36</v>
      </c>
    </row>
    <row r="539" spans="1:22" x14ac:dyDescent="0.3">
      <c r="A539" s="1" t="s">
        <v>2895</v>
      </c>
      <c r="B539" s="1" t="s">
        <v>2896</v>
      </c>
      <c r="C539" s="1">
        <v>59</v>
      </c>
      <c r="D539" s="1" t="s">
        <v>2897</v>
      </c>
      <c r="E539" s="1" t="s">
        <v>61</v>
      </c>
      <c r="F539" s="1" t="s">
        <v>1408</v>
      </c>
      <c r="G539" s="2">
        <v>45545</v>
      </c>
      <c r="H539" s="1">
        <v>0</v>
      </c>
      <c r="I539" s="1" t="s">
        <v>27</v>
      </c>
      <c r="J539" s="2">
        <v>45515</v>
      </c>
      <c r="K539" s="1" t="s">
        <v>2898</v>
      </c>
      <c r="L539" s="1">
        <v>4</v>
      </c>
      <c r="M539" s="1">
        <v>8</v>
      </c>
      <c r="N539" s="1" t="s">
        <v>30</v>
      </c>
      <c r="O539" s="1" t="s">
        <v>128</v>
      </c>
      <c r="P539" s="1" t="s">
        <v>54</v>
      </c>
      <c r="Q539" s="1" t="s">
        <v>32</v>
      </c>
      <c r="R539" s="1">
        <v>1773.52</v>
      </c>
      <c r="S539" s="1" t="s">
        <v>46</v>
      </c>
      <c r="T539" s="1" t="s">
        <v>47</v>
      </c>
      <c r="U539" s="1" t="s">
        <v>35</v>
      </c>
      <c r="V539" s="1" t="s">
        <v>36</v>
      </c>
    </row>
    <row r="540" spans="1:22" x14ac:dyDescent="0.3">
      <c r="A540" s="1" t="s">
        <v>2899</v>
      </c>
      <c r="B540" s="1" t="s">
        <v>2900</v>
      </c>
      <c r="C540" s="1">
        <v>37</v>
      </c>
      <c r="D540" s="1" t="s">
        <v>2901</v>
      </c>
      <c r="E540" s="1" t="s">
        <v>25</v>
      </c>
      <c r="F540" s="2">
        <v>44841</v>
      </c>
      <c r="G540" s="1" t="s">
        <v>2902</v>
      </c>
      <c r="H540" s="1">
        <v>0</v>
      </c>
      <c r="I540" s="1" t="s">
        <v>27</v>
      </c>
      <c r="J540" s="1" t="s">
        <v>1190</v>
      </c>
      <c r="K540" s="1" t="s">
        <v>574</v>
      </c>
      <c r="L540" s="1">
        <v>8</v>
      </c>
      <c r="M540" s="1">
        <v>46</v>
      </c>
      <c r="N540" s="1" t="s">
        <v>54</v>
      </c>
      <c r="O540" s="1" t="s">
        <v>624</v>
      </c>
      <c r="P540" s="1" t="s">
        <v>30</v>
      </c>
      <c r="Q540" s="1" t="s">
        <v>69</v>
      </c>
      <c r="R540" s="1">
        <v>1515.28</v>
      </c>
      <c r="S540" s="1" t="s">
        <v>46</v>
      </c>
      <c r="T540" s="1" t="s">
        <v>34</v>
      </c>
      <c r="U540" s="1" t="s">
        <v>35</v>
      </c>
      <c r="V540" s="1" t="s">
        <v>36</v>
      </c>
    </row>
    <row r="541" spans="1:22" x14ac:dyDescent="0.3">
      <c r="A541" s="1" t="s">
        <v>2903</v>
      </c>
      <c r="B541" s="1" t="s">
        <v>2904</v>
      </c>
      <c r="C541" s="1">
        <v>61</v>
      </c>
      <c r="D541" s="1" t="s">
        <v>2905</v>
      </c>
      <c r="E541" s="1" t="s">
        <v>25</v>
      </c>
      <c r="F541" s="2">
        <v>44753</v>
      </c>
      <c r="G541" s="1" t="s">
        <v>2906</v>
      </c>
      <c r="H541" s="1">
        <v>4</v>
      </c>
      <c r="I541" s="1" t="s">
        <v>27</v>
      </c>
      <c r="J541" s="1" t="s">
        <v>2907</v>
      </c>
      <c r="K541" s="1" t="s">
        <v>2908</v>
      </c>
      <c r="L541" s="1">
        <v>3</v>
      </c>
      <c r="M541" s="1">
        <v>33</v>
      </c>
      <c r="N541" s="1" t="s">
        <v>54</v>
      </c>
      <c r="O541" s="1" t="s">
        <v>142</v>
      </c>
      <c r="P541" s="1" t="s">
        <v>68</v>
      </c>
      <c r="Q541" s="1" t="s">
        <v>32</v>
      </c>
      <c r="R541" s="1">
        <v>1322.73</v>
      </c>
      <c r="S541" s="1" t="s">
        <v>46</v>
      </c>
      <c r="T541" s="1" t="s">
        <v>47</v>
      </c>
      <c r="U541" s="1" t="s">
        <v>35</v>
      </c>
      <c r="V541" s="1" t="s">
        <v>188</v>
      </c>
    </row>
    <row r="542" spans="1:22" x14ac:dyDescent="0.3">
      <c r="A542" s="1" t="s">
        <v>2909</v>
      </c>
      <c r="B542" s="1" t="s">
        <v>2910</v>
      </c>
      <c r="C542" s="1">
        <v>50</v>
      </c>
      <c r="D542" s="1" t="s">
        <v>2911</v>
      </c>
      <c r="E542" s="1" t="s">
        <v>25</v>
      </c>
      <c r="F542" s="2">
        <v>43872</v>
      </c>
      <c r="G542" s="1" t="s">
        <v>1742</v>
      </c>
      <c r="H542" s="1">
        <v>5</v>
      </c>
      <c r="I542" s="1" t="s">
        <v>27</v>
      </c>
      <c r="J542" s="2">
        <v>44318</v>
      </c>
      <c r="K542" s="1" t="s">
        <v>2912</v>
      </c>
      <c r="L542" s="1">
        <v>2</v>
      </c>
      <c r="M542" s="1">
        <v>29</v>
      </c>
      <c r="N542" s="1" t="s">
        <v>68</v>
      </c>
      <c r="O542" s="1" t="s">
        <v>77</v>
      </c>
      <c r="P542" s="1" t="s">
        <v>54</v>
      </c>
      <c r="Q542" s="1" t="s">
        <v>32</v>
      </c>
      <c r="R542" s="1">
        <v>1889.64</v>
      </c>
      <c r="S542" s="1" t="s">
        <v>46</v>
      </c>
      <c r="T542" s="1" t="s">
        <v>47</v>
      </c>
      <c r="U542" s="1" t="s">
        <v>35</v>
      </c>
      <c r="V542" s="1" t="s">
        <v>188</v>
      </c>
    </row>
    <row r="543" spans="1:22" x14ac:dyDescent="0.3">
      <c r="A543" s="1" t="s">
        <v>2913</v>
      </c>
      <c r="B543" s="1" t="s">
        <v>2914</v>
      </c>
      <c r="C543" s="1">
        <v>67</v>
      </c>
      <c r="D543" s="1" t="s">
        <v>2915</v>
      </c>
      <c r="E543" s="1" t="s">
        <v>51</v>
      </c>
      <c r="F543" s="1" t="s">
        <v>1283</v>
      </c>
      <c r="G543" s="1" t="s">
        <v>2615</v>
      </c>
      <c r="H543" s="1">
        <v>0</v>
      </c>
      <c r="I543" s="1" t="s">
        <v>64</v>
      </c>
      <c r="J543" s="2">
        <v>45418</v>
      </c>
      <c r="K543" s="1" t="s">
        <v>2916</v>
      </c>
      <c r="L543" s="1">
        <v>2</v>
      </c>
      <c r="M543" s="1">
        <v>49</v>
      </c>
      <c r="N543" s="1" t="s">
        <v>54</v>
      </c>
      <c r="O543" s="1" t="s">
        <v>293</v>
      </c>
      <c r="P543" s="1" t="s">
        <v>45</v>
      </c>
      <c r="Q543" s="1" t="s">
        <v>69</v>
      </c>
      <c r="R543" s="1">
        <v>1785.48</v>
      </c>
      <c r="S543" s="1" t="s">
        <v>46</v>
      </c>
      <c r="T543" s="1" t="s">
        <v>232</v>
      </c>
      <c r="U543" s="1" t="s">
        <v>35</v>
      </c>
      <c r="V543" s="1" t="s">
        <v>71</v>
      </c>
    </row>
    <row r="544" spans="1:22" x14ac:dyDescent="0.3">
      <c r="A544" s="1" t="s">
        <v>2917</v>
      </c>
      <c r="B544" s="1" t="s">
        <v>2918</v>
      </c>
      <c r="C544" s="1">
        <v>39</v>
      </c>
      <c r="D544" s="1" t="s">
        <v>2919</v>
      </c>
      <c r="E544" s="1" t="s">
        <v>95</v>
      </c>
      <c r="F544" s="1" t="s">
        <v>1861</v>
      </c>
      <c r="G544" s="2">
        <v>45088</v>
      </c>
      <c r="H544" s="1">
        <v>4</v>
      </c>
      <c r="I544" s="1" t="s">
        <v>52</v>
      </c>
      <c r="J544" s="1" t="s">
        <v>783</v>
      </c>
      <c r="K544" s="1" t="s">
        <v>2920</v>
      </c>
      <c r="L544" s="1">
        <v>3</v>
      </c>
      <c r="M544" s="1">
        <v>9</v>
      </c>
      <c r="N544" s="1" t="s">
        <v>45</v>
      </c>
      <c r="O544" s="1" t="s">
        <v>293</v>
      </c>
      <c r="P544" s="1" t="s">
        <v>45</v>
      </c>
      <c r="Q544" s="1" t="s">
        <v>32</v>
      </c>
      <c r="R544" s="1">
        <v>1767.84</v>
      </c>
      <c r="S544" s="1" t="s">
        <v>33</v>
      </c>
      <c r="T544" s="1" t="s">
        <v>34</v>
      </c>
      <c r="U544" s="1" t="s">
        <v>35</v>
      </c>
      <c r="V544" s="1" t="s">
        <v>36</v>
      </c>
    </row>
    <row r="545" spans="1:22" x14ac:dyDescent="0.3">
      <c r="A545" s="1" t="s">
        <v>2921</v>
      </c>
      <c r="B545" s="1" t="s">
        <v>2922</v>
      </c>
      <c r="C545" s="1">
        <v>64</v>
      </c>
      <c r="D545" s="1" t="s">
        <v>2923</v>
      </c>
      <c r="E545" s="1" t="s">
        <v>51</v>
      </c>
      <c r="F545" s="1" t="s">
        <v>1680</v>
      </c>
      <c r="G545" s="2">
        <v>44743</v>
      </c>
      <c r="H545" s="1">
        <v>5</v>
      </c>
      <c r="I545" s="1" t="s">
        <v>64</v>
      </c>
      <c r="J545" s="2">
        <v>45110</v>
      </c>
      <c r="K545" s="1" t="s">
        <v>2924</v>
      </c>
      <c r="L545" s="1">
        <v>3</v>
      </c>
      <c r="M545" s="1">
        <v>38</v>
      </c>
      <c r="N545" s="1" t="s">
        <v>56</v>
      </c>
      <c r="O545" s="1" t="s">
        <v>99</v>
      </c>
      <c r="P545" s="1" t="s">
        <v>56</v>
      </c>
      <c r="Q545" s="1" t="s">
        <v>69</v>
      </c>
      <c r="R545" s="1">
        <v>699.99</v>
      </c>
      <c r="S545" s="1" t="s">
        <v>33</v>
      </c>
      <c r="T545" s="1" t="s">
        <v>47</v>
      </c>
      <c r="U545" s="1" t="s">
        <v>35</v>
      </c>
      <c r="V545" s="1" t="s">
        <v>71</v>
      </c>
    </row>
    <row r="546" spans="1:22" x14ac:dyDescent="0.3">
      <c r="A546" s="1" t="s">
        <v>2925</v>
      </c>
      <c r="B546" s="1" t="s">
        <v>2926</v>
      </c>
      <c r="C546" s="1">
        <v>59</v>
      </c>
      <c r="D546" s="1" t="s">
        <v>2927</v>
      </c>
      <c r="E546" s="1" t="s">
        <v>95</v>
      </c>
      <c r="F546" s="2">
        <v>44782</v>
      </c>
      <c r="G546" s="1" t="s">
        <v>2928</v>
      </c>
      <c r="H546" s="1">
        <v>2</v>
      </c>
      <c r="I546" s="1" t="s">
        <v>27</v>
      </c>
      <c r="J546" s="2">
        <v>45966</v>
      </c>
      <c r="K546" s="1" t="s">
        <v>2929</v>
      </c>
      <c r="L546" s="1">
        <v>9</v>
      </c>
      <c r="M546" s="1">
        <v>3</v>
      </c>
      <c r="N546" s="1" t="s">
        <v>54</v>
      </c>
      <c r="O546" s="1" t="s">
        <v>211</v>
      </c>
      <c r="P546" s="1" t="s">
        <v>68</v>
      </c>
      <c r="Q546" s="1" t="s">
        <v>32</v>
      </c>
      <c r="R546" s="1">
        <v>1512.45</v>
      </c>
      <c r="S546" s="1" t="s">
        <v>46</v>
      </c>
      <c r="T546" s="1" t="s">
        <v>47</v>
      </c>
      <c r="U546" s="1" t="s">
        <v>35</v>
      </c>
      <c r="V546" s="1" t="s">
        <v>36</v>
      </c>
    </row>
    <row r="547" spans="1:22" x14ac:dyDescent="0.3">
      <c r="A547" s="1" t="s">
        <v>2930</v>
      </c>
      <c r="B547" s="1" t="s">
        <v>2931</v>
      </c>
      <c r="C547" s="1">
        <v>40</v>
      </c>
      <c r="D547" s="1" t="s">
        <v>2932</v>
      </c>
      <c r="E547" s="1" t="s">
        <v>40</v>
      </c>
      <c r="F547" s="1" t="s">
        <v>2933</v>
      </c>
      <c r="G547" s="2">
        <v>45598</v>
      </c>
      <c r="H547" s="1">
        <v>2</v>
      </c>
      <c r="I547" s="1" t="s">
        <v>27</v>
      </c>
      <c r="J547" s="2">
        <v>45999</v>
      </c>
      <c r="K547" s="1" t="s">
        <v>2934</v>
      </c>
      <c r="L547" s="1">
        <v>5</v>
      </c>
      <c r="M547" s="1">
        <v>17</v>
      </c>
      <c r="N547" s="1" t="s">
        <v>30</v>
      </c>
      <c r="O547" s="1" t="s">
        <v>373</v>
      </c>
      <c r="P547" s="1" t="s">
        <v>54</v>
      </c>
      <c r="Q547" s="1" t="s">
        <v>32</v>
      </c>
      <c r="R547" s="1">
        <v>1136.7</v>
      </c>
      <c r="S547" s="1" t="s">
        <v>46</v>
      </c>
      <c r="T547" s="1" t="s">
        <v>34</v>
      </c>
      <c r="U547" s="1" t="s">
        <v>35</v>
      </c>
      <c r="V547" s="1" t="s">
        <v>36</v>
      </c>
    </row>
    <row r="548" spans="1:22" x14ac:dyDescent="0.3">
      <c r="A548" s="1" t="s">
        <v>2935</v>
      </c>
      <c r="B548" s="1" t="s">
        <v>2936</v>
      </c>
      <c r="C548" s="1">
        <v>36</v>
      </c>
      <c r="D548" s="1" t="s">
        <v>2937</v>
      </c>
      <c r="E548" s="1" t="s">
        <v>95</v>
      </c>
      <c r="F548" s="2">
        <v>44293</v>
      </c>
      <c r="G548" s="1" t="s">
        <v>2938</v>
      </c>
      <c r="H548" s="1">
        <v>2</v>
      </c>
      <c r="I548" s="1" t="s">
        <v>27</v>
      </c>
      <c r="J548" s="2">
        <v>45901</v>
      </c>
      <c r="K548" s="1" t="s">
        <v>2939</v>
      </c>
      <c r="L548" s="1">
        <v>3</v>
      </c>
      <c r="M548" s="1">
        <v>22</v>
      </c>
      <c r="N548" s="1" t="s">
        <v>56</v>
      </c>
      <c r="O548" s="1" t="s">
        <v>354</v>
      </c>
      <c r="P548" s="1" t="s">
        <v>45</v>
      </c>
      <c r="Q548" s="1" t="s">
        <v>69</v>
      </c>
      <c r="R548" s="1">
        <v>493.26</v>
      </c>
      <c r="S548" s="1" t="s">
        <v>46</v>
      </c>
      <c r="T548" s="1" t="s">
        <v>34</v>
      </c>
      <c r="U548" s="1" t="s">
        <v>35</v>
      </c>
      <c r="V548" s="1" t="s">
        <v>36</v>
      </c>
    </row>
    <row r="549" spans="1:22" x14ac:dyDescent="0.3">
      <c r="A549" s="1" t="s">
        <v>2940</v>
      </c>
      <c r="B549" s="1" t="s">
        <v>2941</v>
      </c>
      <c r="C549" s="1">
        <v>49</v>
      </c>
      <c r="D549" s="1" t="s">
        <v>2942</v>
      </c>
      <c r="E549" s="1" t="s">
        <v>88</v>
      </c>
      <c r="F549" s="1" t="s">
        <v>2649</v>
      </c>
      <c r="G549" s="2">
        <v>45937</v>
      </c>
      <c r="H549" s="1">
        <v>2</v>
      </c>
      <c r="I549" s="1" t="s">
        <v>27</v>
      </c>
      <c r="J549" s="1" t="s">
        <v>1806</v>
      </c>
      <c r="K549" s="1" t="s">
        <v>2943</v>
      </c>
      <c r="L549" s="1">
        <v>1</v>
      </c>
      <c r="M549" s="1">
        <v>12</v>
      </c>
      <c r="N549" s="1" t="s">
        <v>54</v>
      </c>
      <c r="O549" s="1" t="s">
        <v>91</v>
      </c>
      <c r="P549" s="1" t="s">
        <v>54</v>
      </c>
      <c r="Q549" s="1" t="s">
        <v>32</v>
      </c>
      <c r="R549" s="1">
        <v>577.99</v>
      </c>
      <c r="S549" s="1" t="s">
        <v>33</v>
      </c>
      <c r="T549" s="1" t="s">
        <v>34</v>
      </c>
      <c r="U549" s="1" t="s">
        <v>35</v>
      </c>
      <c r="V549" s="1" t="s">
        <v>36</v>
      </c>
    </row>
    <row r="550" spans="1:22" x14ac:dyDescent="0.3">
      <c r="A550" s="1" t="s">
        <v>2944</v>
      </c>
      <c r="B550" s="1" t="s">
        <v>2945</v>
      </c>
      <c r="C550" s="1">
        <v>35</v>
      </c>
      <c r="D550" s="1" t="s">
        <v>2946</v>
      </c>
      <c r="E550" s="1" t="s">
        <v>95</v>
      </c>
      <c r="F550" s="1" t="s">
        <v>658</v>
      </c>
      <c r="G550" s="1" t="s">
        <v>1132</v>
      </c>
      <c r="H550" s="1">
        <v>4</v>
      </c>
      <c r="I550" s="1" t="s">
        <v>64</v>
      </c>
      <c r="J550" s="1" t="s">
        <v>1132</v>
      </c>
      <c r="K550" s="1" t="s">
        <v>2947</v>
      </c>
      <c r="L550" s="1">
        <v>4</v>
      </c>
      <c r="M550" s="1">
        <v>6</v>
      </c>
      <c r="N550" s="1" t="s">
        <v>68</v>
      </c>
      <c r="O550" s="1" t="s">
        <v>44</v>
      </c>
      <c r="P550" s="1" t="s">
        <v>45</v>
      </c>
      <c r="Q550" s="1" t="s">
        <v>32</v>
      </c>
      <c r="R550" s="1">
        <v>1172.92</v>
      </c>
      <c r="S550" s="1" t="s">
        <v>46</v>
      </c>
      <c r="T550" s="1" t="s">
        <v>34</v>
      </c>
      <c r="U550" s="1" t="s">
        <v>35</v>
      </c>
      <c r="V550" s="1" t="s">
        <v>71</v>
      </c>
    </row>
    <row r="551" spans="1:22" x14ac:dyDescent="0.3">
      <c r="A551" s="1" t="s">
        <v>2948</v>
      </c>
      <c r="B551" s="1" t="s">
        <v>2949</v>
      </c>
      <c r="C551" s="1">
        <v>56</v>
      </c>
      <c r="D551" s="1" t="s">
        <v>2950</v>
      </c>
      <c r="E551" s="1" t="s">
        <v>95</v>
      </c>
      <c r="F551" s="2">
        <v>44260</v>
      </c>
      <c r="G551" s="1" t="s">
        <v>2544</v>
      </c>
      <c r="H551" s="1">
        <v>1</v>
      </c>
      <c r="I551" s="1" t="s">
        <v>27</v>
      </c>
      <c r="J551" s="1" t="s">
        <v>2951</v>
      </c>
      <c r="K551" s="1" t="s">
        <v>2952</v>
      </c>
      <c r="L551" s="1">
        <v>6</v>
      </c>
      <c r="M551" s="1">
        <v>20</v>
      </c>
      <c r="N551" s="1" t="s">
        <v>68</v>
      </c>
      <c r="O551" s="1" t="s">
        <v>624</v>
      </c>
      <c r="P551" s="1" t="s">
        <v>30</v>
      </c>
      <c r="Q551" s="1" t="s">
        <v>69</v>
      </c>
      <c r="R551" s="1">
        <v>1133.94</v>
      </c>
      <c r="S551" s="1" t="s">
        <v>46</v>
      </c>
      <c r="T551" s="1" t="s">
        <v>47</v>
      </c>
      <c r="U551" s="1" t="s">
        <v>35</v>
      </c>
      <c r="V551" s="1" t="s">
        <v>36</v>
      </c>
    </row>
    <row r="552" spans="1:22" x14ac:dyDescent="0.3">
      <c r="A552" s="1" t="s">
        <v>2953</v>
      </c>
      <c r="B552" s="1" t="s">
        <v>2954</v>
      </c>
      <c r="C552" s="1">
        <v>57</v>
      </c>
      <c r="D552" s="1" t="s">
        <v>2955</v>
      </c>
      <c r="E552" s="1" t="s">
        <v>25</v>
      </c>
      <c r="F552" s="2">
        <v>44602</v>
      </c>
      <c r="G552" s="1" t="s">
        <v>2956</v>
      </c>
      <c r="H552" s="1">
        <v>5</v>
      </c>
      <c r="I552" s="1" t="s">
        <v>27</v>
      </c>
      <c r="J552" s="1" t="s">
        <v>2957</v>
      </c>
      <c r="K552" s="1" t="s">
        <v>2958</v>
      </c>
      <c r="L552" s="1">
        <v>2</v>
      </c>
      <c r="M552" s="1">
        <v>44</v>
      </c>
      <c r="N552" s="1" t="s">
        <v>56</v>
      </c>
      <c r="O552" s="1" t="s">
        <v>211</v>
      </c>
      <c r="P552" s="1" t="s">
        <v>68</v>
      </c>
      <c r="Q552" s="1" t="s">
        <v>69</v>
      </c>
      <c r="R552" s="1">
        <v>1809.12</v>
      </c>
      <c r="S552" s="1" t="s">
        <v>46</v>
      </c>
      <c r="T552" s="1" t="s">
        <v>47</v>
      </c>
      <c r="U552" s="1" t="s">
        <v>35</v>
      </c>
      <c r="V552" s="1" t="s">
        <v>188</v>
      </c>
    </row>
    <row r="553" spans="1:22" x14ac:dyDescent="0.3">
      <c r="A553" s="1" t="s">
        <v>2959</v>
      </c>
      <c r="B553" s="1" t="s">
        <v>2960</v>
      </c>
      <c r="C553" s="1">
        <v>63</v>
      </c>
      <c r="D553" s="1" t="s">
        <v>2961</v>
      </c>
      <c r="E553" s="1" t="s">
        <v>95</v>
      </c>
      <c r="F553" s="2">
        <v>44507</v>
      </c>
      <c r="G553" s="1" t="s">
        <v>320</v>
      </c>
      <c r="H553" s="1">
        <v>0</v>
      </c>
      <c r="I553" s="1" t="s">
        <v>27</v>
      </c>
      <c r="J553" s="2">
        <v>45302</v>
      </c>
      <c r="K553" s="1" t="s">
        <v>2962</v>
      </c>
      <c r="L553" s="1">
        <v>1</v>
      </c>
      <c r="M553" s="1">
        <v>9</v>
      </c>
      <c r="N553" s="1" t="s">
        <v>45</v>
      </c>
      <c r="O553" s="1" t="s">
        <v>837</v>
      </c>
      <c r="P553" s="1" t="s">
        <v>56</v>
      </c>
      <c r="Q553" s="1" t="s">
        <v>32</v>
      </c>
      <c r="R553" s="1">
        <v>1220.25</v>
      </c>
      <c r="S553" s="1" t="s">
        <v>46</v>
      </c>
      <c r="T553" s="1" t="s">
        <v>47</v>
      </c>
      <c r="U553" s="1" t="s">
        <v>35</v>
      </c>
      <c r="V553" s="1" t="s">
        <v>36</v>
      </c>
    </row>
    <row r="554" spans="1:22" x14ac:dyDescent="0.3">
      <c r="A554" s="1" t="s">
        <v>2963</v>
      </c>
      <c r="B554" s="1" t="s">
        <v>2964</v>
      </c>
      <c r="C554" s="1">
        <v>29</v>
      </c>
      <c r="D554" s="1" t="s">
        <v>2965</v>
      </c>
      <c r="E554" s="1" t="s">
        <v>61</v>
      </c>
      <c r="F554" s="2">
        <v>44717</v>
      </c>
      <c r="G554" s="1" t="s">
        <v>2966</v>
      </c>
      <c r="H554" s="1">
        <v>2</v>
      </c>
      <c r="I554" s="1" t="s">
        <v>27</v>
      </c>
      <c r="J554" s="1" t="s">
        <v>2578</v>
      </c>
      <c r="K554" s="1" t="s">
        <v>2967</v>
      </c>
      <c r="L554" s="1">
        <v>6</v>
      </c>
      <c r="M554" s="1">
        <v>35</v>
      </c>
      <c r="N554" s="1" t="s">
        <v>30</v>
      </c>
      <c r="O554" s="1" t="s">
        <v>149</v>
      </c>
      <c r="P554" s="1" t="s">
        <v>30</v>
      </c>
      <c r="Q554" s="1" t="s">
        <v>32</v>
      </c>
      <c r="R554" s="1">
        <v>205.02</v>
      </c>
      <c r="S554" s="1" t="s">
        <v>33</v>
      </c>
      <c r="T554" s="1" t="s">
        <v>57</v>
      </c>
      <c r="U554" s="1" t="s">
        <v>35</v>
      </c>
      <c r="V554" s="1" t="s">
        <v>36</v>
      </c>
    </row>
    <row r="555" spans="1:22" x14ac:dyDescent="0.3">
      <c r="A555" s="1" t="s">
        <v>2968</v>
      </c>
      <c r="B555" s="1" t="s">
        <v>2969</v>
      </c>
      <c r="C555" s="1">
        <v>40</v>
      </c>
      <c r="D555" s="1" t="s">
        <v>2970</v>
      </c>
      <c r="E555" s="1" t="s">
        <v>40</v>
      </c>
      <c r="F555" s="1" t="s">
        <v>2971</v>
      </c>
      <c r="G555" s="1" t="s">
        <v>2972</v>
      </c>
      <c r="H555" s="1">
        <v>2</v>
      </c>
      <c r="I555" s="1" t="s">
        <v>27</v>
      </c>
      <c r="J555" s="1" t="s">
        <v>2973</v>
      </c>
      <c r="K555" s="1" t="s">
        <v>2974</v>
      </c>
      <c r="L555" s="1">
        <v>9</v>
      </c>
      <c r="M555" s="1">
        <v>5</v>
      </c>
      <c r="N555" s="1" t="s">
        <v>68</v>
      </c>
      <c r="O555" s="1" t="s">
        <v>821</v>
      </c>
      <c r="P555" s="1" t="s">
        <v>68</v>
      </c>
      <c r="Q555" s="1" t="s">
        <v>32</v>
      </c>
      <c r="R555" s="1">
        <v>1376.19</v>
      </c>
      <c r="S555" s="1" t="s">
        <v>33</v>
      </c>
      <c r="T555" s="1" t="s">
        <v>34</v>
      </c>
      <c r="U555" s="1" t="s">
        <v>35</v>
      </c>
      <c r="V555" s="1" t="s">
        <v>36</v>
      </c>
    </row>
    <row r="556" spans="1:22" x14ac:dyDescent="0.3">
      <c r="A556" s="1" t="s">
        <v>2975</v>
      </c>
      <c r="B556" s="1" t="s">
        <v>2976</v>
      </c>
      <c r="C556" s="1">
        <v>54</v>
      </c>
      <c r="D556" s="1" t="s">
        <v>2977</v>
      </c>
      <c r="E556" s="1" t="s">
        <v>88</v>
      </c>
      <c r="F556" s="1" t="s">
        <v>2118</v>
      </c>
      <c r="G556" s="2">
        <v>45537</v>
      </c>
      <c r="H556" s="1">
        <v>0</v>
      </c>
      <c r="I556" s="1" t="s">
        <v>64</v>
      </c>
      <c r="J556" s="2">
        <v>44693</v>
      </c>
      <c r="K556" s="1" t="s">
        <v>2978</v>
      </c>
      <c r="L556" s="1">
        <v>8</v>
      </c>
      <c r="M556" s="1">
        <v>22</v>
      </c>
      <c r="N556" s="1" t="s">
        <v>45</v>
      </c>
      <c r="O556" s="1" t="s">
        <v>293</v>
      </c>
      <c r="P556" s="1" t="s">
        <v>45</v>
      </c>
      <c r="Q556" s="1" t="s">
        <v>32</v>
      </c>
      <c r="R556" s="1">
        <v>231.68</v>
      </c>
      <c r="S556" s="1" t="s">
        <v>33</v>
      </c>
      <c r="T556" s="1" t="s">
        <v>47</v>
      </c>
      <c r="U556" s="1" t="s">
        <v>35</v>
      </c>
      <c r="V556" s="1" t="s">
        <v>71</v>
      </c>
    </row>
    <row r="557" spans="1:22" x14ac:dyDescent="0.3">
      <c r="A557" s="1" t="s">
        <v>2979</v>
      </c>
      <c r="B557" s="1" t="s">
        <v>2980</v>
      </c>
      <c r="C557" s="1">
        <v>52</v>
      </c>
      <c r="D557" s="1" t="s">
        <v>2981</v>
      </c>
      <c r="E557" s="1" t="s">
        <v>61</v>
      </c>
      <c r="F557" s="1" t="s">
        <v>2982</v>
      </c>
      <c r="G557" s="1" t="s">
        <v>2983</v>
      </c>
      <c r="H557" s="1">
        <v>3</v>
      </c>
      <c r="I557" s="1" t="s">
        <v>27</v>
      </c>
      <c r="J557" s="2">
        <v>45386</v>
      </c>
      <c r="K557" s="1" t="s">
        <v>2984</v>
      </c>
      <c r="L557" s="1">
        <v>7</v>
      </c>
      <c r="M557" s="1">
        <v>6</v>
      </c>
      <c r="N557" s="1" t="s">
        <v>56</v>
      </c>
      <c r="O557" s="1" t="s">
        <v>418</v>
      </c>
      <c r="P557" s="1" t="s">
        <v>56</v>
      </c>
      <c r="Q557" s="1" t="s">
        <v>69</v>
      </c>
      <c r="R557" s="1">
        <v>1175.79</v>
      </c>
      <c r="S557" s="1" t="s">
        <v>33</v>
      </c>
      <c r="T557" s="1" t="s">
        <v>47</v>
      </c>
      <c r="U557" s="1" t="s">
        <v>35</v>
      </c>
      <c r="V557" s="1" t="s">
        <v>36</v>
      </c>
    </row>
    <row r="558" spans="1:22" x14ac:dyDescent="0.3">
      <c r="A558" s="1" t="s">
        <v>2985</v>
      </c>
      <c r="B558" s="1" t="s">
        <v>2986</v>
      </c>
      <c r="C558" s="1">
        <v>35</v>
      </c>
      <c r="D558" s="1" t="s">
        <v>2987</v>
      </c>
      <c r="E558" s="1" t="s">
        <v>61</v>
      </c>
      <c r="F558" s="1" t="s">
        <v>2988</v>
      </c>
      <c r="G558" s="2">
        <v>44604</v>
      </c>
      <c r="H558" s="1">
        <v>5</v>
      </c>
      <c r="I558" s="1" t="s">
        <v>27</v>
      </c>
      <c r="J558" s="1" t="s">
        <v>578</v>
      </c>
      <c r="K558" s="1" t="s">
        <v>2989</v>
      </c>
      <c r="L558" s="1">
        <v>3</v>
      </c>
      <c r="M558" s="1">
        <v>35</v>
      </c>
      <c r="N558" s="1" t="s">
        <v>54</v>
      </c>
      <c r="O558" s="1" t="s">
        <v>194</v>
      </c>
      <c r="P558" s="1" t="s">
        <v>56</v>
      </c>
      <c r="Q558" s="1" t="s">
        <v>32</v>
      </c>
      <c r="R558" s="1">
        <v>988.29</v>
      </c>
      <c r="S558" s="1" t="s">
        <v>46</v>
      </c>
      <c r="T558" s="1" t="s">
        <v>34</v>
      </c>
      <c r="U558" s="1" t="s">
        <v>35</v>
      </c>
      <c r="V558" s="1" t="s">
        <v>188</v>
      </c>
    </row>
    <row r="559" spans="1:22" x14ac:dyDescent="0.3">
      <c r="A559" s="1" t="s">
        <v>2990</v>
      </c>
      <c r="B559" s="1" t="s">
        <v>2991</v>
      </c>
      <c r="C559" s="1">
        <v>67</v>
      </c>
      <c r="D559" s="1" t="s">
        <v>2992</v>
      </c>
      <c r="E559" s="1" t="s">
        <v>40</v>
      </c>
      <c r="F559" s="2">
        <v>44815</v>
      </c>
      <c r="G559" s="2">
        <v>45546</v>
      </c>
      <c r="H559" s="1">
        <v>4</v>
      </c>
      <c r="I559" s="1" t="s">
        <v>27</v>
      </c>
      <c r="J559" s="2">
        <v>45444</v>
      </c>
      <c r="K559" s="1" t="s">
        <v>2993</v>
      </c>
      <c r="L559" s="1">
        <v>1</v>
      </c>
      <c r="M559" s="1">
        <v>42</v>
      </c>
      <c r="N559" s="1" t="s">
        <v>68</v>
      </c>
      <c r="O559" s="1" t="s">
        <v>354</v>
      </c>
      <c r="P559" s="1" t="s">
        <v>45</v>
      </c>
      <c r="Q559" s="1" t="s">
        <v>69</v>
      </c>
      <c r="R559" s="1">
        <v>1543.19</v>
      </c>
      <c r="S559" s="1" t="s">
        <v>46</v>
      </c>
      <c r="T559" s="1" t="s">
        <v>232</v>
      </c>
      <c r="U559" s="1" t="s">
        <v>35</v>
      </c>
      <c r="V559" s="1" t="s">
        <v>188</v>
      </c>
    </row>
    <row r="560" spans="1:22" x14ac:dyDescent="0.3">
      <c r="A560" s="1" t="s">
        <v>2994</v>
      </c>
      <c r="B560" s="1" t="s">
        <v>2995</v>
      </c>
      <c r="C560" s="1">
        <v>27</v>
      </c>
      <c r="D560" s="1" t="s">
        <v>2996</v>
      </c>
      <c r="E560" s="1" t="s">
        <v>95</v>
      </c>
      <c r="F560" s="2">
        <v>44420</v>
      </c>
      <c r="G560" s="2">
        <v>45021</v>
      </c>
      <c r="H560" s="1">
        <v>5</v>
      </c>
      <c r="I560" s="1" t="s">
        <v>64</v>
      </c>
      <c r="J560" s="2">
        <v>45809</v>
      </c>
      <c r="K560" s="1" t="s">
        <v>2997</v>
      </c>
      <c r="L560" s="1">
        <v>2</v>
      </c>
      <c r="M560" s="1">
        <v>43</v>
      </c>
      <c r="N560" s="1" t="s">
        <v>68</v>
      </c>
      <c r="O560" s="1" t="s">
        <v>604</v>
      </c>
      <c r="P560" s="1" t="s">
        <v>45</v>
      </c>
      <c r="Q560" s="1" t="s">
        <v>32</v>
      </c>
      <c r="R560" s="1">
        <v>1049.02</v>
      </c>
      <c r="S560" s="1" t="s">
        <v>46</v>
      </c>
      <c r="T560" s="1" t="s">
        <v>57</v>
      </c>
      <c r="U560" s="1" t="s">
        <v>35</v>
      </c>
      <c r="V560" s="1" t="s">
        <v>71</v>
      </c>
    </row>
    <row r="561" spans="1:22" x14ac:dyDescent="0.3">
      <c r="A561" s="1" t="s">
        <v>2998</v>
      </c>
      <c r="B561" s="1" t="s">
        <v>2999</v>
      </c>
      <c r="C561" s="1">
        <v>38</v>
      </c>
      <c r="D561" s="1" t="s">
        <v>3000</v>
      </c>
      <c r="E561" s="1" t="s">
        <v>88</v>
      </c>
      <c r="F561" s="1" t="s">
        <v>3001</v>
      </c>
      <c r="G561" s="1" t="s">
        <v>3002</v>
      </c>
      <c r="H561" s="1">
        <v>4</v>
      </c>
      <c r="I561" s="1" t="s">
        <v>27</v>
      </c>
      <c r="J561" s="1" t="s">
        <v>1122</v>
      </c>
      <c r="K561" s="1" t="s">
        <v>3003</v>
      </c>
      <c r="L561" s="1">
        <v>4</v>
      </c>
      <c r="M561" s="1">
        <v>41</v>
      </c>
      <c r="N561" s="1" t="s">
        <v>54</v>
      </c>
      <c r="O561" s="1" t="s">
        <v>99</v>
      </c>
      <c r="P561" s="1" t="s">
        <v>56</v>
      </c>
      <c r="Q561" s="1" t="s">
        <v>32</v>
      </c>
      <c r="R561" s="1">
        <v>1369.52</v>
      </c>
      <c r="S561" s="1" t="s">
        <v>46</v>
      </c>
      <c r="T561" s="1" t="s">
        <v>34</v>
      </c>
      <c r="U561" s="1" t="s">
        <v>35</v>
      </c>
      <c r="V561" s="1" t="s">
        <v>188</v>
      </c>
    </row>
    <row r="562" spans="1:22" x14ac:dyDescent="0.3">
      <c r="A562" s="1" t="s">
        <v>3004</v>
      </c>
      <c r="B562" s="1" t="s">
        <v>3005</v>
      </c>
      <c r="C562" s="1">
        <v>41</v>
      </c>
      <c r="D562" s="1" t="s">
        <v>3006</v>
      </c>
      <c r="E562" s="1" t="s">
        <v>95</v>
      </c>
      <c r="F562" s="2">
        <v>45235</v>
      </c>
      <c r="G562" s="2">
        <v>45690</v>
      </c>
      <c r="H562" s="1">
        <v>3</v>
      </c>
      <c r="I562" s="1" t="s">
        <v>52</v>
      </c>
      <c r="J562" s="1" t="s">
        <v>946</v>
      </c>
      <c r="K562" s="1" t="s">
        <v>3007</v>
      </c>
      <c r="L562" s="1">
        <v>9</v>
      </c>
      <c r="M562" s="1">
        <v>22</v>
      </c>
      <c r="N562" s="1" t="s">
        <v>56</v>
      </c>
      <c r="O562" s="1" t="s">
        <v>157</v>
      </c>
      <c r="P562" s="1" t="s">
        <v>68</v>
      </c>
      <c r="Q562" s="1" t="s">
        <v>32</v>
      </c>
      <c r="R562" s="1">
        <v>1483.02</v>
      </c>
      <c r="S562" s="1" t="s">
        <v>46</v>
      </c>
      <c r="T562" s="1" t="s">
        <v>34</v>
      </c>
      <c r="U562" s="1" t="s">
        <v>35</v>
      </c>
      <c r="V562" s="1" t="s">
        <v>36</v>
      </c>
    </row>
    <row r="563" spans="1:22" x14ac:dyDescent="0.3">
      <c r="A563" s="1" t="s">
        <v>3008</v>
      </c>
      <c r="B563" s="1" t="s">
        <v>3009</v>
      </c>
      <c r="C563" s="1">
        <v>33</v>
      </c>
      <c r="D563" s="1" t="s">
        <v>3010</v>
      </c>
      <c r="E563" s="1" t="s">
        <v>61</v>
      </c>
      <c r="F563" s="2">
        <v>44533</v>
      </c>
      <c r="G563" s="2">
        <v>45355</v>
      </c>
      <c r="H563" s="1">
        <v>3</v>
      </c>
      <c r="I563" s="1" t="s">
        <v>27</v>
      </c>
      <c r="J563" s="1" t="s">
        <v>2523</v>
      </c>
      <c r="K563" s="1" t="s">
        <v>3011</v>
      </c>
      <c r="L563" s="1">
        <v>9</v>
      </c>
      <c r="M563" s="1">
        <v>30</v>
      </c>
      <c r="N563" s="1" t="s">
        <v>45</v>
      </c>
      <c r="O563" s="1" t="s">
        <v>610</v>
      </c>
      <c r="P563" s="1" t="s">
        <v>68</v>
      </c>
      <c r="Q563" s="1" t="s">
        <v>69</v>
      </c>
      <c r="R563" s="1">
        <v>1433.34</v>
      </c>
      <c r="S563" s="1" t="s">
        <v>46</v>
      </c>
      <c r="T563" s="1" t="s">
        <v>57</v>
      </c>
      <c r="U563" s="1" t="s">
        <v>35</v>
      </c>
      <c r="V563" s="1" t="s">
        <v>36</v>
      </c>
    </row>
    <row r="564" spans="1:22" x14ac:dyDescent="0.3">
      <c r="A564" s="1" t="s">
        <v>3012</v>
      </c>
      <c r="B564" s="1" t="s">
        <v>3013</v>
      </c>
      <c r="C564" s="1">
        <v>45</v>
      </c>
      <c r="D564" s="1" t="s">
        <v>3014</v>
      </c>
      <c r="E564" s="1" t="s">
        <v>40</v>
      </c>
      <c r="F564" s="2">
        <v>44815</v>
      </c>
      <c r="G564" s="2">
        <v>45514</v>
      </c>
      <c r="H564" s="1">
        <v>3</v>
      </c>
      <c r="I564" s="1" t="s">
        <v>27</v>
      </c>
      <c r="J564" s="2">
        <v>45413</v>
      </c>
      <c r="K564" s="1" t="s">
        <v>3015</v>
      </c>
      <c r="L564" s="1">
        <v>8</v>
      </c>
      <c r="M564" s="1">
        <v>7</v>
      </c>
      <c r="N564" s="1" t="s">
        <v>56</v>
      </c>
      <c r="O564" s="1" t="s">
        <v>597</v>
      </c>
      <c r="P564" s="1" t="s">
        <v>45</v>
      </c>
      <c r="Q564" s="1" t="s">
        <v>32</v>
      </c>
      <c r="R564" s="1">
        <v>265.76</v>
      </c>
      <c r="S564" s="1" t="s">
        <v>46</v>
      </c>
      <c r="T564" s="1" t="s">
        <v>34</v>
      </c>
      <c r="U564" s="1" t="s">
        <v>101</v>
      </c>
      <c r="V564" s="1" t="s">
        <v>36</v>
      </c>
    </row>
    <row r="565" spans="1:22" x14ac:dyDescent="0.3">
      <c r="A565" s="1" t="s">
        <v>3016</v>
      </c>
      <c r="B565" s="1" t="s">
        <v>3017</v>
      </c>
      <c r="C565" s="1">
        <v>28</v>
      </c>
      <c r="D565" s="1" t="s">
        <v>3018</v>
      </c>
      <c r="E565" s="1" t="s">
        <v>88</v>
      </c>
      <c r="F565" s="1" t="s">
        <v>3019</v>
      </c>
      <c r="G565" s="1" t="s">
        <v>1431</v>
      </c>
      <c r="H565" s="1">
        <v>4</v>
      </c>
      <c r="I565" s="1" t="s">
        <v>52</v>
      </c>
      <c r="J565" s="1" t="s">
        <v>1143</v>
      </c>
      <c r="K565" s="1" t="s">
        <v>3020</v>
      </c>
      <c r="L565" s="1">
        <v>1</v>
      </c>
      <c r="M565" s="1">
        <v>19</v>
      </c>
      <c r="N565" s="1" t="s">
        <v>54</v>
      </c>
      <c r="O565" s="1" t="s">
        <v>293</v>
      </c>
      <c r="P565" s="1" t="s">
        <v>45</v>
      </c>
      <c r="Q565" s="1" t="s">
        <v>69</v>
      </c>
      <c r="R565" s="1">
        <v>1815.34</v>
      </c>
      <c r="S565" s="1" t="s">
        <v>46</v>
      </c>
      <c r="T565" s="1" t="s">
        <v>57</v>
      </c>
      <c r="U565" s="1" t="s">
        <v>35</v>
      </c>
      <c r="V565" s="1" t="s">
        <v>36</v>
      </c>
    </row>
    <row r="566" spans="1:22" x14ac:dyDescent="0.3">
      <c r="A566" s="1" t="s">
        <v>3021</v>
      </c>
      <c r="B566" s="1" t="s">
        <v>3022</v>
      </c>
      <c r="C566" s="1">
        <v>27</v>
      </c>
      <c r="D566" s="1" t="s">
        <v>3023</v>
      </c>
      <c r="E566" s="1" t="s">
        <v>88</v>
      </c>
      <c r="F566" s="2">
        <v>44445</v>
      </c>
      <c r="G566" s="2">
        <v>45416</v>
      </c>
      <c r="H566" s="1">
        <v>5</v>
      </c>
      <c r="I566" s="1" t="s">
        <v>27</v>
      </c>
      <c r="J566" s="1" t="s">
        <v>3024</v>
      </c>
      <c r="K566" s="1" t="s">
        <v>3025</v>
      </c>
      <c r="L566" s="1">
        <v>4</v>
      </c>
      <c r="M566" s="1">
        <v>2</v>
      </c>
      <c r="N566" s="1" t="s">
        <v>56</v>
      </c>
      <c r="O566" s="1" t="s">
        <v>77</v>
      </c>
      <c r="P566" s="1" t="s">
        <v>54</v>
      </c>
      <c r="Q566" s="1" t="s">
        <v>69</v>
      </c>
      <c r="R566" s="1">
        <v>68</v>
      </c>
      <c r="S566" s="1" t="s">
        <v>46</v>
      </c>
      <c r="T566" s="1" t="s">
        <v>57</v>
      </c>
      <c r="U566" s="1" t="s">
        <v>70</v>
      </c>
      <c r="V566" s="1" t="s">
        <v>188</v>
      </c>
    </row>
    <row r="567" spans="1:22" x14ac:dyDescent="0.3">
      <c r="A567" s="1" t="s">
        <v>3026</v>
      </c>
      <c r="B567" s="1" t="s">
        <v>3027</v>
      </c>
      <c r="C567" s="1">
        <v>33</v>
      </c>
      <c r="D567" s="1" t="s">
        <v>3028</v>
      </c>
      <c r="E567" s="1" t="s">
        <v>51</v>
      </c>
      <c r="F567" s="1" t="s">
        <v>3029</v>
      </c>
      <c r="G567" s="2">
        <v>45636</v>
      </c>
      <c r="H567" s="1">
        <v>0</v>
      </c>
      <c r="I567" s="1" t="s">
        <v>64</v>
      </c>
      <c r="J567" s="1" t="s">
        <v>659</v>
      </c>
      <c r="K567" s="1" t="s">
        <v>3030</v>
      </c>
      <c r="L567" s="1">
        <v>6</v>
      </c>
      <c r="M567" s="1">
        <v>5</v>
      </c>
      <c r="N567" s="1" t="s">
        <v>30</v>
      </c>
      <c r="O567" s="1" t="s">
        <v>116</v>
      </c>
      <c r="P567" s="1" t="s">
        <v>54</v>
      </c>
      <c r="Q567" s="1" t="s">
        <v>69</v>
      </c>
      <c r="R567" s="1">
        <v>648.48</v>
      </c>
      <c r="S567" s="1" t="s">
        <v>46</v>
      </c>
      <c r="T567" s="1" t="s">
        <v>57</v>
      </c>
      <c r="U567" s="1" t="s">
        <v>35</v>
      </c>
      <c r="V567" s="1" t="s">
        <v>71</v>
      </c>
    </row>
    <row r="568" spans="1:22" x14ac:dyDescent="0.3">
      <c r="A568" s="1" t="s">
        <v>3031</v>
      </c>
      <c r="B568" s="1" t="s">
        <v>3032</v>
      </c>
      <c r="C568" s="1">
        <v>28</v>
      </c>
      <c r="D568" s="1" t="s">
        <v>3033</v>
      </c>
      <c r="E568" s="1" t="s">
        <v>61</v>
      </c>
      <c r="F568" s="1" t="s">
        <v>3034</v>
      </c>
      <c r="G568" s="1" t="s">
        <v>3035</v>
      </c>
      <c r="H568" s="1">
        <v>4</v>
      </c>
      <c r="I568" s="1" t="s">
        <v>27</v>
      </c>
      <c r="J568" s="2">
        <v>45088</v>
      </c>
      <c r="K568" s="1" t="s">
        <v>3036</v>
      </c>
      <c r="L568" s="1">
        <v>6</v>
      </c>
      <c r="M568" s="1">
        <v>5</v>
      </c>
      <c r="N568" s="1" t="s">
        <v>68</v>
      </c>
      <c r="O568" s="1" t="s">
        <v>99</v>
      </c>
      <c r="P568" s="1" t="s">
        <v>56</v>
      </c>
      <c r="Q568" s="1" t="s">
        <v>69</v>
      </c>
      <c r="R568" s="1">
        <v>110.64</v>
      </c>
      <c r="S568" s="1" t="s">
        <v>46</v>
      </c>
      <c r="T568" s="1" t="s">
        <v>57</v>
      </c>
      <c r="U568" s="1" t="s">
        <v>70</v>
      </c>
      <c r="V568" s="1" t="s">
        <v>188</v>
      </c>
    </row>
    <row r="569" spans="1:22" x14ac:dyDescent="0.3">
      <c r="A569" s="1" t="s">
        <v>3037</v>
      </c>
      <c r="B569" s="1" t="s">
        <v>3038</v>
      </c>
      <c r="C569" s="1">
        <v>58</v>
      </c>
      <c r="D569" s="1" t="s">
        <v>3039</v>
      </c>
      <c r="E569" s="1" t="s">
        <v>95</v>
      </c>
      <c r="F569" s="2">
        <v>44174</v>
      </c>
      <c r="G569" s="1" t="s">
        <v>3040</v>
      </c>
      <c r="H569" s="1">
        <v>1</v>
      </c>
      <c r="I569" s="1" t="s">
        <v>64</v>
      </c>
      <c r="J569" s="2">
        <v>44937</v>
      </c>
      <c r="K569" s="1" t="s">
        <v>3041</v>
      </c>
      <c r="L569" s="1">
        <v>4</v>
      </c>
      <c r="M569" s="1">
        <v>49</v>
      </c>
      <c r="N569" s="1" t="s">
        <v>56</v>
      </c>
      <c r="O569" s="1" t="s">
        <v>425</v>
      </c>
      <c r="P569" s="1" t="s">
        <v>30</v>
      </c>
      <c r="Q569" s="1" t="s">
        <v>32</v>
      </c>
      <c r="R569" s="1">
        <v>1321.44</v>
      </c>
      <c r="S569" s="1" t="s">
        <v>46</v>
      </c>
      <c r="T569" s="1" t="s">
        <v>47</v>
      </c>
      <c r="U569" s="1" t="s">
        <v>35</v>
      </c>
      <c r="V569" s="1" t="s">
        <v>71</v>
      </c>
    </row>
    <row r="570" spans="1:22" x14ac:dyDescent="0.3">
      <c r="A570" s="1" t="s">
        <v>3042</v>
      </c>
      <c r="B570" s="1" t="s">
        <v>3043</v>
      </c>
      <c r="C570" s="1">
        <v>34</v>
      </c>
      <c r="D570" s="1" t="s">
        <v>3044</v>
      </c>
      <c r="E570" s="1" t="s">
        <v>51</v>
      </c>
      <c r="F570" s="1" t="s">
        <v>2578</v>
      </c>
      <c r="G570" s="1" t="s">
        <v>681</v>
      </c>
      <c r="H570" s="1">
        <v>2</v>
      </c>
      <c r="I570" s="1" t="s">
        <v>27</v>
      </c>
      <c r="J570" s="2">
        <v>45749</v>
      </c>
      <c r="K570" s="1" t="s">
        <v>3045</v>
      </c>
      <c r="L570" s="1">
        <v>7</v>
      </c>
      <c r="M570" s="1">
        <v>36</v>
      </c>
      <c r="N570" s="1" t="s">
        <v>45</v>
      </c>
      <c r="O570" s="1" t="s">
        <v>610</v>
      </c>
      <c r="P570" s="1" t="s">
        <v>68</v>
      </c>
      <c r="Q570" s="1" t="s">
        <v>32</v>
      </c>
      <c r="R570" s="1">
        <v>972.93</v>
      </c>
      <c r="S570" s="1" t="s">
        <v>46</v>
      </c>
      <c r="T570" s="1" t="s">
        <v>57</v>
      </c>
      <c r="U570" s="1" t="s">
        <v>35</v>
      </c>
      <c r="V570" s="1" t="s">
        <v>36</v>
      </c>
    </row>
    <row r="571" spans="1:22" x14ac:dyDescent="0.3">
      <c r="A571" s="1" t="s">
        <v>3046</v>
      </c>
      <c r="B571" s="1" t="s">
        <v>3047</v>
      </c>
      <c r="C571" s="1">
        <v>52</v>
      </c>
      <c r="D571" s="1" t="s">
        <v>3048</v>
      </c>
      <c r="E571" s="1" t="s">
        <v>25</v>
      </c>
      <c r="F571" s="1" t="s">
        <v>2532</v>
      </c>
      <c r="G571" s="1" t="s">
        <v>320</v>
      </c>
      <c r="H571" s="1">
        <v>4</v>
      </c>
      <c r="I571" s="1" t="s">
        <v>27</v>
      </c>
      <c r="J571" s="1" t="s">
        <v>778</v>
      </c>
      <c r="K571" s="1" t="s">
        <v>3049</v>
      </c>
      <c r="L571" s="1">
        <v>5</v>
      </c>
      <c r="M571" s="1">
        <v>33</v>
      </c>
      <c r="N571" s="1" t="s">
        <v>30</v>
      </c>
      <c r="O571" s="1" t="s">
        <v>245</v>
      </c>
      <c r="P571" s="1" t="s">
        <v>54</v>
      </c>
      <c r="Q571" s="1" t="s">
        <v>32</v>
      </c>
      <c r="R571" s="1">
        <v>225.75</v>
      </c>
      <c r="S571" s="1" t="s">
        <v>46</v>
      </c>
      <c r="T571" s="1" t="s">
        <v>47</v>
      </c>
      <c r="U571" s="1" t="s">
        <v>35</v>
      </c>
      <c r="V571" s="1" t="s">
        <v>188</v>
      </c>
    </row>
    <row r="572" spans="1:22" x14ac:dyDescent="0.3">
      <c r="A572" s="1" t="s">
        <v>3050</v>
      </c>
      <c r="B572" s="1" t="s">
        <v>3051</v>
      </c>
      <c r="C572" s="1">
        <v>51</v>
      </c>
      <c r="D572" s="1" t="s">
        <v>3052</v>
      </c>
      <c r="E572" s="1" t="s">
        <v>40</v>
      </c>
      <c r="F572" s="1" t="s">
        <v>41</v>
      </c>
      <c r="G572" s="2">
        <v>45088</v>
      </c>
      <c r="H572" s="1">
        <v>0</v>
      </c>
      <c r="I572" s="1" t="s">
        <v>27</v>
      </c>
      <c r="J572" s="1" t="s">
        <v>2790</v>
      </c>
      <c r="K572" s="1" t="s">
        <v>3053</v>
      </c>
      <c r="L572" s="1">
        <v>4</v>
      </c>
      <c r="M572" s="1">
        <v>21</v>
      </c>
      <c r="N572" s="1" t="s">
        <v>68</v>
      </c>
      <c r="O572" s="1" t="s">
        <v>604</v>
      </c>
      <c r="P572" s="1" t="s">
        <v>45</v>
      </c>
      <c r="Q572" s="1" t="s">
        <v>69</v>
      </c>
      <c r="R572" s="1">
        <v>1064.96</v>
      </c>
      <c r="S572" s="1" t="s">
        <v>46</v>
      </c>
      <c r="T572" s="1" t="s">
        <v>47</v>
      </c>
      <c r="U572" s="1" t="s">
        <v>35</v>
      </c>
      <c r="V572" s="1" t="s">
        <v>36</v>
      </c>
    </row>
    <row r="573" spans="1:22" x14ac:dyDescent="0.3">
      <c r="A573" s="1" t="s">
        <v>3054</v>
      </c>
      <c r="B573" s="1" t="s">
        <v>3055</v>
      </c>
      <c r="C573" s="1">
        <v>38</v>
      </c>
      <c r="D573" s="1" t="s">
        <v>3056</v>
      </c>
      <c r="E573" s="1" t="s">
        <v>51</v>
      </c>
      <c r="F573" s="1" t="s">
        <v>790</v>
      </c>
      <c r="G573" s="2">
        <v>45203</v>
      </c>
      <c r="H573" s="1">
        <v>5</v>
      </c>
      <c r="I573" s="1" t="s">
        <v>27</v>
      </c>
      <c r="J573" s="2">
        <v>45084</v>
      </c>
      <c r="K573" s="1" t="s">
        <v>3057</v>
      </c>
      <c r="L573" s="1">
        <v>9</v>
      </c>
      <c r="M573" s="1">
        <v>29</v>
      </c>
      <c r="N573" s="1" t="s">
        <v>30</v>
      </c>
      <c r="O573" s="1" t="s">
        <v>354</v>
      </c>
      <c r="P573" s="1" t="s">
        <v>45</v>
      </c>
      <c r="Q573" s="1" t="s">
        <v>69</v>
      </c>
      <c r="R573" s="1">
        <v>1151.19</v>
      </c>
      <c r="S573" s="1" t="s">
        <v>46</v>
      </c>
      <c r="T573" s="1" t="s">
        <v>34</v>
      </c>
      <c r="U573" s="1" t="s">
        <v>35</v>
      </c>
      <c r="V573" s="1" t="s">
        <v>188</v>
      </c>
    </row>
    <row r="574" spans="1:22" x14ac:dyDescent="0.3">
      <c r="A574" s="1" t="s">
        <v>3058</v>
      </c>
      <c r="B574" s="1" t="s">
        <v>3059</v>
      </c>
      <c r="C574" s="1">
        <v>46</v>
      </c>
      <c r="D574" s="1" t="s">
        <v>3060</v>
      </c>
      <c r="E574" s="1" t="s">
        <v>95</v>
      </c>
      <c r="F574" s="1" t="s">
        <v>797</v>
      </c>
      <c r="G574" s="1" t="s">
        <v>830</v>
      </c>
      <c r="H574" s="1">
        <v>0</v>
      </c>
      <c r="I574" s="1" t="s">
        <v>27</v>
      </c>
      <c r="J574" s="1" t="s">
        <v>1431</v>
      </c>
      <c r="K574" s="1" t="s">
        <v>3061</v>
      </c>
      <c r="L574" s="1">
        <v>7</v>
      </c>
      <c r="M574" s="1">
        <v>49</v>
      </c>
      <c r="N574" s="1" t="s">
        <v>56</v>
      </c>
      <c r="O574" s="1" t="s">
        <v>142</v>
      </c>
      <c r="P574" s="1" t="s">
        <v>68</v>
      </c>
      <c r="Q574" s="1" t="s">
        <v>32</v>
      </c>
      <c r="R574" s="1">
        <v>345.45</v>
      </c>
      <c r="S574" s="1" t="s">
        <v>46</v>
      </c>
      <c r="T574" s="1" t="s">
        <v>34</v>
      </c>
      <c r="U574" s="1" t="s">
        <v>35</v>
      </c>
      <c r="V574" s="1" t="s">
        <v>36</v>
      </c>
    </row>
    <row r="575" spans="1:22" x14ac:dyDescent="0.3">
      <c r="A575" s="1" t="s">
        <v>3062</v>
      </c>
      <c r="B575" s="1" t="s">
        <v>3063</v>
      </c>
      <c r="C575" s="1">
        <v>35</v>
      </c>
      <c r="D575" s="1" t="s">
        <v>3064</v>
      </c>
      <c r="E575" s="1" t="s">
        <v>40</v>
      </c>
      <c r="F575" s="2">
        <v>44533</v>
      </c>
      <c r="G575" s="2">
        <v>45027</v>
      </c>
      <c r="H575" s="1">
        <v>4</v>
      </c>
      <c r="I575" s="1" t="s">
        <v>27</v>
      </c>
      <c r="J575" s="1" t="s">
        <v>645</v>
      </c>
      <c r="K575" s="1" t="s">
        <v>3065</v>
      </c>
      <c r="L575" s="1">
        <v>9</v>
      </c>
      <c r="M575" s="1">
        <v>14</v>
      </c>
      <c r="N575" s="1" t="s">
        <v>68</v>
      </c>
      <c r="O575" s="1" t="s">
        <v>116</v>
      </c>
      <c r="P575" s="1" t="s">
        <v>54</v>
      </c>
      <c r="Q575" s="1" t="s">
        <v>32</v>
      </c>
      <c r="R575" s="1">
        <v>114.21</v>
      </c>
      <c r="S575" s="1" t="s">
        <v>46</v>
      </c>
      <c r="T575" s="1" t="s">
        <v>34</v>
      </c>
      <c r="U575" s="1" t="s">
        <v>101</v>
      </c>
      <c r="V575" s="1" t="s">
        <v>188</v>
      </c>
    </row>
    <row r="576" spans="1:22" x14ac:dyDescent="0.3">
      <c r="A576" s="1" t="s">
        <v>3066</v>
      </c>
      <c r="B576" s="1" t="s">
        <v>3067</v>
      </c>
      <c r="C576" s="1">
        <v>34</v>
      </c>
      <c r="D576" s="1" t="s">
        <v>3068</v>
      </c>
      <c r="E576" s="1" t="s">
        <v>51</v>
      </c>
      <c r="F576" s="1" t="s">
        <v>1664</v>
      </c>
      <c r="G576" s="1" t="s">
        <v>2202</v>
      </c>
      <c r="H576" s="1">
        <v>4</v>
      </c>
      <c r="I576" s="1" t="s">
        <v>27</v>
      </c>
      <c r="J576" s="1" t="s">
        <v>3069</v>
      </c>
      <c r="K576" s="1" t="s">
        <v>3070</v>
      </c>
      <c r="L576" s="1">
        <v>8</v>
      </c>
      <c r="M576" s="1">
        <v>5</v>
      </c>
      <c r="N576" s="1" t="s">
        <v>68</v>
      </c>
      <c r="O576" s="1" t="s">
        <v>837</v>
      </c>
      <c r="P576" s="1" t="s">
        <v>56</v>
      </c>
      <c r="Q576" s="1" t="s">
        <v>69</v>
      </c>
      <c r="R576" s="1">
        <v>441.28</v>
      </c>
      <c r="S576" s="1" t="s">
        <v>46</v>
      </c>
      <c r="T576" s="1" t="s">
        <v>57</v>
      </c>
      <c r="U576" s="1" t="s">
        <v>101</v>
      </c>
      <c r="V576" s="1" t="s">
        <v>188</v>
      </c>
    </row>
    <row r="577" spans="1:22" x14ac:dyDescent="0.3">
      <c r="A577" s="1" t="s">
        <v>3071</v>
      </c>
      <c r="B577" s="1" t="s">
        <v>3072</v>
      </c>
      <c r="C577" s="1">
        <v>62</v>
      </c>
      <c r="D577" s="1" t="s">
        <v>3073</v>
      </c>
      <c r="E577" s="1" t="s">
        <v>88</v>
      </c>
      <c r="F577" s="1" t="s">
        <v>1090</v>
      </c>
      <c r="G577" s="1" t="s">
        <v>382</v>
      </c>
      <c r="H577" s="1">
        <v>4</v>
      </c>
      <c r="I577" s="1" t="s">
        <v>27</v>
      </c>
      <c r="J577" s="2">
        <v>45543</v>
      </c>
      <c r="K577" s="1" t="s">
        <v>3074</v>
      </c>
      <c r="L577" s="1">
        <v>8</v>
      </c>
      <c r="M577" s="1">
        <v>18</v>
      </c>
      <c r="N577" s="1" t="s">
        <v>30</v>
      </c>
      <c r="O577" s="1" t="s">
        <v>199</v>
      </c>
      <c r="P577" s="1" t="s">
        <v>54</v>
      </c>
      <c r="Q577" s="1" t="s">
        <v>322</v>
      </c>
      <c r="R577" s="1">
        <v>1829.12</v>
      </c>
      <c r="S577" s="1" t="s">
        <v>46</v>
      </c>
      <c r="T577" s="1" t="s">
        <v>47</v>
      </c>
      <c r="U577" s="1" t="s">
        <v>35</v>
      </c>
      <c r="V577" s="1" t="s">
        <v>188</v>
      </c>
    </row>
    <row r="578" spans="1:22" x14ac:dyDescent="0.3">
      <c r="A578" s="1" t="s">
        <v>3075</v>
      </c>
      <c r="B578" s="1" t="s">
        <v>3076</v>
      </c>
      <c r="C578" s="1">
        <v>56</v>
      </c>
      <c r="D578" s="1" t="s">
        <v>3077</v>
      </c>
      <c r="E578" s="1" t="s">
        <v>40</v>
      </c>
      <c r="F578" s="1" t="s">
        <v>3002</v>
      </c>
      <c r="G578" s="1" t="s">
        <v>3078</v>
      </c>
      <c r="H578" s="1">
        <v>4</v>
      </c>
      <c r="I578" s="1" t="s">
        <v>27</v>
      </c>
      <c r="J578" s="2">
        <v>45664</v>
      </c>
      <c r="K578" s="1" t="s">
        <v>3079</v>
      </c>
      <c r="L578" s="1">
        <v>3</v>
      </c>
      <c r="M578" s="1">
        <v>46</v>
      </c>
      <c r="N578" s="1" t="s">
        <v>56</v>
      </c>
      <c r="O578" s="1" t="s">
        <v>366</v>
      </c>
      <c r="P578" s="1" t="s">
        <v>54</v>
      </c>
      <c r="Q578" s="1" t="s">
        <v>32</v>
      </c>
      <c r="R578" s="1">
        <v>1662.51</v>
      </c>
      <c r="S578" s="1" t="s">
        <v>46</v>
      </c>
      <c r="T578" s="1" t="s">
        <v>47</v>
      </c>
      <c r="U578" s="1" t="s">
        <v>35</v>
      </c>
      <c r="V578" s="1" t="s">
        <v>188</v>
      </c>
    </row>
    <row r="579" spans="1:22" x14ac:dyDescent="0.3">
      <c r="A579" s="1" t="s">
        <v>3080</v>
      </c>
      <c r="B579" s="1" t="s">
        <v>3081</v>
      </c>
      <c r="C579" s="1">
        <v>43</v>
      </c>
      <c r="D579" s="1" t="s">
        <v>3082</v>
      </c>
      <c r="E579" s="1" t="s">
        <v>95</v>
      </c>
      <c r="F579" s="2">
        <v>44289</v>
      </c>
      <c r="G579" s="2">
        <v>44233</v>
      </c>
      <c r="H579" s="1">
        <v>5</v>
      </c>
      <c r="I579" s="1" t="s">
        <v>27</v>
      </c>
      <c r="J579" s="2">
        <v>44693</v>
      </c>
      <c r="K579" s="1" t="s">
        <v>3083</v>
      </c>
      <c r="L579" s="1">
        <v>1</v>
      </c>
      <c r="M579" s="1">
        <v>3</v>
      </c>
      <c r="N579" s="1" t="s">
        <v>68</v>
      </c>
      <c r="O579" s="1" t="s">
        <v>624</v>
      </c>
      <c r="P579" s="1" t="s">
        <v>30</v>
      </c>
      <c r="Q579" s="1" t="s">
        <v>32</v>
      </c>
      <c r="R579" s="1">
        <v>559.72</v>
      </c>
      <c r="S579" s="1" t="s">
        <v>46</v>
      </c>
      <c r="T579" s="1" t="s">
        <v>34</v>
      </c>
      <c r="U579" s="1" t="s">
        <v>101</v>
      </c>
      <c r="V579" s="1" t="s">
        <v>188</v>
      </c>
    </row>
    <row r="580" spans="1:22" x14ac:dyDescent="0.3">
      <c r="A580" s="1" t="s">
        <v>3084</v>
      </c>
      <c r="B580" s="1" t="s">
        <v>3085</v>
      </c>
      <c r="C580" s="1">
        <v>43</v>
      </c>
      <c r="D580" s="1" t="s">
        <v>3086</v>
      </c>
      <c r="E580" s="1" t="s">
        <v>40</v>
      </c>
      <c r="F580" s="2">
        <v>45108</v>
      </c>
      <c r="G580" s="1" t="s">
        <v>3087</v>
      </c>
      <c r="H580" s="1">
        <v>4</v>
      </c>
      <c r="I580" s="1" t="s">
        <v>27</v>
      </c>
      <c r="J580" s="1" t="s">
        <v>3088</v>
      </c>
      <c r="K580" s="1" t="s">
        <v>3089</v>
      </c>
      <c r="L580" s="1">
        <v>3</v>
      </c>
      <c r="M580" s="1">
        <v>18</v>
      </c>
      <c r="N580" s="1" t="s">
        <v>30</v>
      </c>
      <c r="O580" s="1" t="s">
        <v>55</v>
      </c>
      <c r="P580" s="1" t="s">
        <v>56</v>
      </c>
      <c r="Q580" s="1" t="s">
        <v>69</v>
      </c>
      <c r="R580" s="1">
        <v>958.83</v>
      </c>
      <c r="S580" s="1" t="s">
        <v>46</v>
      </c>
      <c r="T580" s="1" t="s">
        <v>34</v>
      </c>
      <c r="U580" s="1" t="s">
        <v>35</v>
      </c>
      <c r="V580" s="1" t="s">
        <v>188</v>
      </c>
    </row>
    <row r="581" spans="1:22" x14ac:dyDescent="0.3">
      <c r="A581" s="1" t="s">
        <v>3090</v>
      </c>
      <c r="B581" s="1" t="s">
        <v>3091</v>
      </c>
      <c r="C581" s="1">
        <v>30</v>
      </c>
      <c r="D581" s="1" t="s">
        <v>3092</v>
      </c>
      <c r="E581" s="1" t="s">
        <v>88</v>
      </c>
      <c r="F581" s="1" t="s">
        <v>2388</v>
      </c>
      <c r="G581" s="1" t="s">
        <v>2403</v>
      </c>
      <c r="H581" s="1">
        <v>0</v>
      </c>
      <c r="I581" s="1" t="s">
        <v>27</v>
      </c>
      <c r="J581" s="1" t="s">
        <v>1754</v>
      </c>
      <c r="K581" s="1" t="s">
        <v>3093</v>
      </c>
      <c r="L581" s="1">
        <v>6</v>
      </c>
      <c r="M581" s="1">
        <v>12</v>
      </c>
      <c r="N581" s="1" t="s">
        <v>54</v>
      </c>
      <c r="O581" s="1" t="s">
        <v>116</v>
      </c>
      <c r="P581" s="1" t="s">
        <v>54</v>
      </c>
      <c r="Q581" s="1" t="s">
        <v>322</v>
      </c>
      <c r="R581" s="1">
        <v>429.24</v>
      </c>
      <c r="S581" s="1" t="s">
        <v>33</v>
      </c>
      <c r="T581" s="1" t="s">
        <v>57</v>
      </c>
      <c r="U581" s="1" t="s">
        <v>35</v>
      </c>
      <c r="V581" s="1" t="s">
        <v>36</v>
      </c>
    </row>
    <row r="582" spans="1:22" x14ac:dyDescent="0.3">
      <c r="A582" s="1" t="s">
        <v>3094</v>
      </c>
      <c r="B582" s="1" t="s">
        <v>3095</v>
      </c>
      <c r="C582" s="1">
        <v>46</v>
      </c>
      <c r="D582" s="1" t="s">
        <v>3096</v>
      </c>
      <c r="E582" s="1" t="s">
        <v>88</v>
      </c>
      <c r="F582" s="2">
        <v>43872</v>
      </c>
      <c r="G582" s="1" t="s">
        <v>3097</v>
      </c>
      <c r="H582" s="1">
        <v>4</v>
      </c>
      <c r="I582" s="1" t="s">
        <v>27</v>
      </c>
      <c r="J582" s="1" t="s">
        <v>243</v>
      </c>
      <c r="K582" s="1" t="s">
        <v>3098</v>
      </c>
      <c r="L582" s="1">
        <v>8</v>
      </c>
      <c r="M582" s="1">
        <v>17</v>
      </c>
      <c r="N582" s="1" t="s">
        <v>56</v>
      </c>
      <c r="O582" s="1" t="s">
        <v>418</v>
      </c>
      <c r="P582" s="1" t="s">
        <v>56</v>
      </c>
      <c r="Q582" s="1" t="s">
        <v>69</v>
      </c>
      <c r="R582" s="1">
        <v>294.32</v>
      </c>
      <c r="S582" s="1" t="s">
        <v>33</v>
      </c>
      <c r="T582" s="1" t="s">
        <v>34</v>
      </c>
      <c r="U582" s="1" t="s">
        <v>35</v>
      </c>
      <c r="V582" s="1" t="s">
        <v>188</v>
      </c>
    </row>
    <row r="583" spans="1:22" x14ac:dyDescent="0.3">
      <c r="A583" s="1" t="s">
        <v>3099</v>
      </c>
      <c r="B583" s="1" t="s">
        <v>3100</v>
      </c>
      <c r="C583" s="1">
        <v>65</v>
      </c>
      <c r="D583" s="1" t="s">
        <v>3101</v>
      </c>
      <c r="E583" s="1" t="s">
        <v>95</v>
      </c>
      <c r="F583" s="1" t="s">
        <v>3102</v>
      </c>
      <c r="G583" s="1" t="s">
        <v>344</v>
      </c>
      <c r="H583" s="1">
        <v>1</v>
      </c>
      <c r="I583" s="1" t="s">
        <v>27</v>
      </c>
      <c r="J583" s="1" t="s">
        <v>1237</v>
      </c>
      <c r="K583" s="1" t="s">
        <v>3103</v>
      </c>
      <c r="L583" s="1">
        <v>1</v>
      </c>
      <c r="M583" s="1">
        <v>48</v>
      </c>
      <c r="N583" s="1" t="s">
        <v>56</v>
      </c>
      <c r="O583" s="1" t="s">
        <v>223</v>
      </c>
      <c r="P583" s="1" t="s">
        <v>56</v>
      </c>
      <c r="Q583" s="1" t="s">
        <v>69</v>
      </c>
      <c r="R583" s="1">
        <v>1276.55</v>
      </c>
      <c r="S583" s="1" t="s">
        <v>33</v>
      </c>
      <c r="T583" s="1" t="s">
        <v>232</v>
      </c>
      <c r="U583" s="1" t="s">
        <v>35</v>
      </c>
      <c r="V583" s="1" t="s">
        <v>36</v>
      </c>
    </row>
    <row r="584" spans="1:22" x14ac:dyDescent="0.3">
      <c r="A584" s="1" t="s">
        <v>3104</v>
      </c>
      <c r="B584" s="1" t="s">
        <v>3105</v>
      </c>
      <c r="C584" s="1">
        <v>23</v>
      </c>
      <c r="D584" s="1" t="s">
        <v>3106</v>
      </c>
      <c r="E584" s="1" t="s">
        <v>95</v>
      </c>
      <c r="F584" s="1" t="s">
        <v>132</v>
      </c>
      <c r="G584" s="1" t="s">
        <v>1085</v>
      </c>
      <c r="H584" s="1">
        <v>0</v>
      </c>
      <c r="I584" s="1" t="s">
        <v>27</v>
      </c>
      <c r="J584" s="1" t="s">
        <v>3107</v>
      </c>
      <c r="K584" s="1" t="s">
        <v>3108</v>
      </c>
      <c r="L584" s="1">
        <v>2</v>
      </c>
      <c r="M584" s="1">
        <v>10</v>
      </c>
      <c r="N584" s="1" t="s">
        <v>54</v>
      </c>
      <c r="O584" s="1" t="s">
        <v>175</v>
      </c>
      <c r="P584" s="1" t="s">
        <v>56</v>
      </c>
      <c r="Q584" s="1" t="s">
        <v>69</v>
      </c>
      <c r="R584" s="1">
        <v>1366.7</v>
      </c>
      <c r="S584" s="1" t="s">
        <v>46</v>
      </c>
      <c r="T584" s="1" t="s">
        <v>100</v>
      </c>
      <c r="U584" s="1" t="s">
        <v>35</v>
      </c>
      <c r="V584" s="1" t="s">
        <v>36</v>
      </c>
    </row>
    <row r="585" spans="1:22" x14ac:dyDescent="0.3">
      <c r="A585" s="1" t="s">
        <v>3109</v>
      </c>
      <c r="B585" s="1" t="s">
        <v>3110</v>
      </c>
      <c r="C585" s="1">
        <v>56</v>
      </c>
      <c r="D585" s="1" t="s">
        <v>3111</v>
      </c>
      <c r="E585" s="1" t="s">
        <v>25</v>
      </c>
      <c r="F585" s="1" t="s">
        <v>550</v>
      </c>
      <c r="G585" s="1" t="s">
        <v>3112</v>
      </c>
      <c r="H585" s="1">
        <v>5</v>
      </c>
      <c r="I585" s="1" t="s">
        <v>52</v>
      </c>
      <c r="J585" s="2">
        <v>44814</v>
      </c>
      <c r="K585" s="1" t="s">
        <v>3113</v>
      </c>
      <c r="L585" s="1">
        <v>5</v>
      </c>
      <c r="M585" s="1">
        <v>12</v>
      </c>
      <c r="N585" s="1" t="s">
        <v>68</v>
      </c>
      <c r="O585" s="1" t="s">
        <v>211</v>
      </c>
      <c r="P585" s="1" t="s">
        <v>68</v>
      </c>
      <c r="Q585" s="1" t="s">
        <v>32</v>
      </c>
      <c r="R585" s="1">
        <v>688.95</v>
      </c>
      <c r="S585" s="1" t="s">
        <v>33</v>
      </c>
      <c r="T585" s="1" t="s">
        <v>47</v>
      </c>
      <c r="U585" s="1" t="s">
        <v>35</v>
      </c>
      <c r="V585" s="1" t="s">
        <v>36</v>
      </c>
    </row>
    <row r="586" spans="1:22" x14ac:dyDescent="0.3">
      <c r="A586" s="1" t="s">
        <v>3114</v>
      </c>
      <c r="B586" s="1" t="s">
        <v>3115</v>
      </c>
      <c r="C586" s="1">
        <v>62</v>
      </c>
      <c r="D586" s="1" t="s">
        <v>3116</v>
      </c>
      <c r="E586" s="1" t="s">
        <v>40</v>
      </c>
      <c r="F586" s="2">
        <v>44567</v>
      </c>
      <c r="G586" s="2">
        <v>45908</v>
      </c>
      <c r="H586" s="1">
        <v>5</v>
      </c>
      <c r="I586" s="1" t="s">
        <v>27</v>
      </c>
      <c r="J586" s="1" t="s">
        <v>2314</v>
      </c>
      <c r="K586" s="1" t="s">
        <v>3117</v>
      </c>
      <c r="L586" s="1">
        <v>4</v>
      </c>
      <c r="M586" s="1">
        <v>17</v>
      </c>
      <c r="N586" s="1" t="s">
        <v>45</v>
      </c>
      <c r="O586" s="1" t="s">
        <v>821</v>
      </c>
      <c r="P586" s="1" t="s">
        <v>68</v>
      </c>
      <c r="Q586" s="1" t="s">
        <v>32</v>
      </c>
      <c r="R586" s="1">
        <v>1237.04</v>
      </c>
      <c r="S586" s="1" t="s">
        <v>46</v>
      </c>
      <c r="T586" s="1" t="s">
        <v>47</v>
      </c>
      <c r="U586" s="1" t="s">
        <v>35</v>
      </c>
      <c r="V586" s="1" t="s">
        <v>188</v>
      </c>
    </row>
    <row r="587" spans="1:22" x14ac:dyDescent="0.3">
      <c r="A587" s="1" t="s">
        <v>3118</v>
      </c>
      <c r="B587" s="1" t="s">
        <v>3119</v>
      </c>
      <c r="C587" s="1">
        <v>31</v>
      </c>
      <c r="D587" s="1" t="s">
        <v>3120</v>
      </c>
      <c r="E587" s="1" t="s">
        <v>51</v>
      </c>
      <c r="F587" s="1" t="s">
        <v>1867</v>
      </c>
      <c r="G587" s="1" t="s">
        <v>1324</v>
      </c>
      <c r="H587" s="1">
        <v>2</v>
      </c>
      <c r="I587" s="1" t="s">
        <v>52</v>
      </c>
      <c r="J587" s="1" t="s">
        <v>320</v>
      </c>
      <c r="K587" s="1" t="s">
        <v>3121</v>
      </c>
      <c r="L587" s="1">
        <v>5</v>
      </c>
      <c r="M587" s="1">
        <v>22</v>
      </c>
      <c r="N587" s="1" t="s">
        <v>54</v>
      </c>
      <c r="O587" s="1" t="s">
        <v>109</v>
      </c>
      <c r="P587" s="1" t="s">
        <v>68</v>
      </c>
      <c r="Q587" s="1" t="s">
        <v>32</v>
      </c>
      <c r="R587" s="1">
        <v>215.4</v>
      </c>
      <c r="S587" s="1" t="s">
        <v>46</v>
      </c>
      <c r="T587" s="1" t="s">
        <v>57</v>
      </c>
      <c r="U587" s="1" t="s">
        <v>35</v>
      </c>
      <c r="V587" s="1" t="s">
        <v>36</v>
      </c>
    </row>
    <row r="588" spans="1:22" x14ac:dyDescent="0.3">
      <c r="A588" s="1" t="s">
        <v>3122</v>
      </c>
      <c r="B588" s="1" t="s">
        <v>3123</v>
      </c>
      <c r="C588" s="1">
        <v>67</v>
      </c>
      <c r="D588" s="1" t="s">
        <v>3124</v>
      </c>
      <c r="E588" s="1" t="s">
        <v>88</v>
      </c>
      <c r="F588" s="1" t="s">
        <v>298</v>
      </c>
      <c r="G588" s="2">
        <v>45689</v>
      </c>
      <c r="H588" s="1">
        <v>4</v>
      </c>
      <c r="I588" s="1" t="s">
        <v>27</v>
      </c>
      <c r="J588" s="1" t="s">
        <v>161</v>
      </c>
      <c r="K588" s="1" t="s">
        <v>3125</v>
      </c>
      <c r="L588" s="1">
        <v>3</v>
      </c>
      <c r="M588" s="1">
        <v>32</v>
      </c>
      <c r="N588" s="1" t="s">
        <v>45</v>
      </c>
      <c r="O588" s="1" t="s">
        <v>169</v>
      </c>
      <c r="P588" s="1" t="s">
        <v>30</v>
      </c>
      <c r="Q588" s="1" t="s">
        <v>32</v>
      </c>
      <c r="R588" s="1">
        <v>1977.36</v>
      </c>
      <c r="S588" s="1" t="s">
        <v>46</v>
      </c>
      <c r="T588" s="1" t="s">
        <v>232</v>
      </c>
      <c r="U588" s="1" t="s">
        <v>35</v>
      </c>
      <c r="V588" s="1" t="s">
        <v>188</v>
      </c>
    </row>
    <row r="589" spans="1:22" x14ac:dyDescent="0.3">
      <c r="A589" s="1" t="s">
        <v>3126</v>
      </c>
      <c r="B589" s="1" t="s">
        <v>3127</v>
      </c>
      <c r="C589" s="1">
        <v>69</v>
      </c>
      <c r="D589" s="1" t="s">
        <v>3128</v>
      </c>
      <c r="E589" s="1" t="s">
        <v>25</v>
      </c>
      <c r="F589" s="1" t="s">
        <v>3129</v>
      </c>
      <c r="G589" s="2">
        <v>44784</v>
      </c>
      <c r="H589" s="1">
        <v>5</v>
      </c>
      <c r="I589" s="1" t="s">
        <v>27</v>
      </c>
      <c r="J589" s="1" t="s">
        <v>3130</v>
      </c>
      <c r="K589" s="1" t="s">
        <v>3131</v>
      </c>
      <c r="L589" s="1">
        <v>7</v>
      </c>
      <c r="M589" s="1">
        <v>28</v>
      </c>
      <c r="N589" s="1" t="s">
        <v>30</v>
      </c>
      <c r="O589" s="1" t="s">
        <v>269</v>
      </c>
      <c r="P589" s="1" t="s">
        <v>56</v>
      </c>
      <c r="Q589" s="1" t="s">
        <v>32</v>
      </c>
      <c r="R589" s="1">
        <v>1243.69</v>
      </c>
      <c r="S589" s="1" t="s">
        <v>46</v>
      </c>
      <c r="T589" s="1" t="s">
        <v>232</v>
      </c>
      <c r="U589" s="1" t="s">
        <v>35</v>
      </c>
      <c r="V589" s="1" t="s">
        <v>188</v>
      </c>
    </row>
    <row r="590" spans="1:22" x14ac:dyDescent="0.3">
      <c r="A590" s="1" t="s">
        <v>3132</v>
      </c>
      <c r="B590" s="1" t="s">
        <v>3133</v>
      </c>
      <c r="C590" s="1">
        <v>65</v>
      </c>
      <c r="D590" s="1" t="s">
        <v>3134</v>
      </c>
      <c r="E590" s="1" t="s">
        <v>40</v>
      </c>
      <c r="F590" s="1" t="s">
        <v>2538</v>
      </c>
      <c r="G590" s="2">
        <v>45143</v>
      </c>
      <c r="H590" s="1">
        <v>4</v>
      </c>
      <c r="I590" s="1" t="s">
        <v>64</v>
      </c>
      <c r="J590" s="2">
        <v>44775</v>
      </c>
      <c r="K590" s="1" t="s">
        <v>3135</v>
      </c>
      <c r="L590" s="1">
        <v>7</v>
      </c>
      <c r="M590" s="1">
        <v>19</v>
      </c>
      <c r="N590" s="1" t="s">
        <v>54</v>
      </c>
      <c r="O590" s="1" t="s">
        <v>194</v>
      </c>
      <c r="P590" s="1" t="s">
        <v>56</v>
      </c>
      <c r="Q590" s="1" t="s">
        <v>69</v>
      </c>
      <c r="R590" s="1">
        <v>1505.14</v>
      </c>
      <c r="S590" s="1" t="s">
        <v>46</v>
      </c>
      <c r="T590" s="1" t="s">
        <v>232</v>
      </c>
      <c r="U590" s="1" t="s">
        <v>35</v>
      </c>
      <c r="V590" s="1" t="s">
        <v>71</v>
      </c>
    </row>
    <row r="591" spans="1:22" x14ac:dyDescent="0.3">
      <c r="A591" s="1" t="s">
        <v>3136</v>
      </c>
      <c r="B591" s="1" t="s">
        <v>3137</v>
      </c>
      <c r="C591" s="1">
        <v>51</v>
      </c>
      <c r="D591" s="1" t="s">
        <v>3138</v>
      </c>
      <c r="E591" s="1" t="s">
        <v>88</v>
      </c>
      <c r="F591" s="2">
        <v>44383</v>
      </c>
      <c r="G591" s="2">
        <v>45907</v>
      </c>
      <c r="H591" s="1">
        <v>4</v>
      </c>
      <c r="I591" s="1" t="s">
        <v>64</v>
      </c>
      <c r="J591" s="2">
        <v>45480</v>
      </c>
      <c r="K591" s="1" t="s">
        <v>3139</v>
      </c>
      <c r="L591" s="1">
        <v>1</v>
      </c>
      <c r="M591" s="1">
        <v>14</v>
      </c>
      <c r="N591" s="1" t="s">
        <v>45</v>
      </c>
      <c r="O591" s="1" t="s">
        <v>157</v>
      </c>
      <c r="P591" s="1" t="s">
        <v>68</v>
      </c>
      <c r="Q591" s="1" t="s">
        <v>69</v>
      </c>
      <c r="R591" s="1">
        <v>978.5</v>
      </c>
      <c r="S591" s="1" t="s">
        <v>46</v>
      </c>
      <c r="T591" s="1" t="s">
        <v>47</v>
      </c>
      <c r="U591" s="1" t="s">
        <v>35</v>
      </c>
      <c r="V591" s="1" t="s">
        <v>71</v>
      </c>
    </row>
    <row r="592" spans="1:22" x14ac:dyDescent="0.3">
      <c r="A592" s="1" t="s">
        <v>3140</v>
      </c>
      <c r="B592" s="1" t="s">
        <v>3141</v>
      </c>
      <c r="C592" s="1">
        <v>43</v>
      </c>
      <c r="D592" s="1" t="s">
        <v>3142</v>
      </c>
      <c r="E592" s="1" t="s">
        <v>40</v>
      </c>
      <c r="F592" s="2">
        <v>43840</v>
      </c>
      <c r="G592" s="2">
        <v>45606</v>
      </c>
      <c r="H592" s="1">
        <v>0</v>
      </c>
      <c r="I592" s="1" t="s">
        <v>27</v>
      </c>
      <c r="J592" s="1" t="s">
        <v>3143</v>
      </c>
      <c r="K592" s="1" t="s">
        <v>3144</v>
      </c>
      <c r="L592" s="1">
        <v>2</v>
      </c>
      <c r="M592" s="1">
        <v>44</v>
      </c>
      <c r="N592" s="1" t="s">
        <v>68</v>
      </c>
      <c r="O592" s="1" t="s">
        <v>597</v>
      </c>
      <c r="P592" s="1" t="s">
        <v>45</v>
      </c>
      <c r="Q592" s="1" t="s">
        <v>69</v>
      </c>
      <c r="R592" s="1">
        <v>360.78</v>
      </c>
      <c r="S592" s="1" t="s">
        <v>46</v>
      </c>
      <c r="T592" s="1" t="s">
        <v>34</v>
      </c>
      <c r="U592" s="1" t="s">
        <v>35</v>
      </c>
      <c r="V592" s="1" t="s">
        <v>36</v>
      </c>
    </row>
    <row r="593" spans="1:22" x14ac:dyDescent="0.3">
      <c r="A593" s="1" t="s">
        <v>3145</v>
      </c>
      <c r="B593" s="1" t="s">
        <v>3146</v>
      </c>
      <c r="C593" s="1">
        <v>56</v>
      </c>
      <c r="D593" s="1" t="s">
        <v>3147</v>
      </c>
      <c r="E593" s="1" t="s">
        <v>25</v>
      </c>
      <c r="F593" s="1" t="s">
        <v>2207</v>
      </c>
      <c r="G593" s="2">
        <v>45058</v>
      </c>
      <c r="H593" s="1">
        <v>5</v>
      </c>
      <c r="I593" s="1" t="s">
        <v>52</v>
      </c>
      <c r="J593" s="1" t="s">
        <v>1112</v>
      </c>
      <c r="K593" s="1" t="s">
        <v>3148</v>
      </c>
      <c r="L593" s="1">
        <v>4</v>
      </c>
      <c r="M593" s="1">
        <v>21</v>
      </c>
      <c r="N593" s="1" t="s">
        <v>68</v>
      </c>
      <c r="O593" s="1" t="s">
        <v>855</v>
      </c>
      <c r="P593" s="1" t="s">
        <v>45</v>
      </c>
      <c r="Q593" s="1" t="s">
        <v>32</v>
      </c>
      <c r="R593" s="1">
        <v>1103.92</v>
      </c>
      <c r="S593" s="1" t="s">
        <v>46</v>
      </c>
      <c r="T593" s="1" t="s">
        <v>47</v>
      </c>
      <c r="U593" s="1" t="s">
        <v>35</v>
      </c>
      <c r="V593" s="1" t="s">
        <v>36</v>
      </c>
    </row>
    <row r="594" spans="1:22" x14ac:dyDescent="0.3">
      <c r="A594" s="1" t="s">
        <v>3149</v>
      </c>
      <c r="B594" s="1" t="s">
        <v>3150</v>
      </c>
      <c r="C594" s="1">
        <v>30</v>
      </c>
      <c r="D594" s="1" t="s">
        <v>3151</v>
      </c>
      <c r="E594" s="1" t="s">
        <v>40</v>
      </c>
      <c r="F594" s="2">
        <v>44784</v>
      </c>
      <c r="G594" s="1" t="s">
        <v>664</v>
      </c>
      <c r="H594" s="1">
        <v>0</v>
      </c>
      <c r="I594" s="1" t="s">
        <v>27</v>
      </c>
      <c r="J594" s="1" t="s">
        <v>1726</v>
      </c>
      <c r="K594" s="1" t="s">
        <v>3152</v>
      </c>
      <c r="L594" s="1">
        <v>7</v>
      </c>
      <c r="M594" s="1">
        <v>36</v>
      </c>
      <c r="N594" s="1" t="s">
        <v>56</v>
      </c>
      <c r="O594" s="1" t="s">
        <v>245</v>
      </c>
      <c r="P594" s="1" t="s">
        <v>54</v>
      </c>
      <c r="Q594" s="1" t="s">
        <v>32</v>
      </c>
      <c r="R594" s="1">
        <v>739.41</v>
      </c>
      <c r="S594" s="1" t="s">
        <v>46</v>
      </c>
      <c r="T594" s="1" t="s">
        <v>57</v>
      </c>
      <c r="U594" s="1" t="s">
        <v>35</v>
      </c>
      <c r="V594" s="1" t="s">
        <v>36</v>
      </c>
    </row>
    <row r="595" spans="1:22" x14ac:dyDescent="0.3">
      <c r="A595" s="1" t="s">
        <v>3153</v>
      </c>
      <c r="B595" s="1" t="s">
        <v>3154</v>
      </c>
      <c r="C595" s="1">
        <v>35</v>
      </c>
      <c r="D595" s="1" t="s">
        <v>3155</v>
      </c>
      <c r="E595" s="1" t="s">
        <v>61</v>
      </c>
      <c r="F595" s="2">
        <v>45053</v>
      </c>
      <c r="G595" s="1" t="s">
        <v>186</v>
      </c>
      <c r="H595" s="1">
        <v>5</v>
      </c>
      <c r="I595" s="1" t="s">
        <v>27</v>
      </c>
      <c r="J595" s="1" t="s">
        <v>485</v>
      </c>
      <c r="K595" s="1" t="s">
        <v>3156</v>
      </c>
      <c r="L595" s="1">
        <v>4</v>
      </c>
      <c r="M595" s="1">
        <v>35</v>
      </c>
      <c r="N595" s="1" t="s">
        <v>68</v>
      </c>
      <c r="O595" s="1" t="s">
        <v>44</v>
      </c>
      <c r="P595" s="1" t="s">
        <v>45</v>
      </c>
      <c r="Q595" s="1" t="s">
        <v>32</v>
      </c>
      <c r="R595" s="1">
        <v>1708.08</v>
      </c>
      <c r="S595" s="1" t="s">
        <v>46</v>
      </c>
      <c r="T595" s="1" t="s">
        <v>34</v>
      </c>
      <c r="U595" s="1" t="s">
        <v>35</v>
      </c>
      <c r="V595" s="1" t="s">
        <v>188</v>
      </c>
    </row>
    <row r="596" spans="1:22" x14ac:dyDescent="0.3">
      <c r="A596" s="1" t="s">
        <v>3157</v>
      </c>
      <c r="B596" s="1" t="s">
        <v>3158</v>
      </c>
      <c r="C596" s="1">
        <v>20</v>
      </c>
      <c r="D596" s="1" t="s">
        <v>3159</v>
      </c>
      <c r="E596" s="1" t="s">
        <v>88</v>
      </c>
      <c r="F596" s="1" t="s">
        <v>556</v>
      </c>
      <c r="G596" s="2">
        <v>45720</v>
      </c>
      <c r="H596" s="1">
        <v>1</v>
      </c>
      <c r="I596" s="1" t="s">
        <v>27</v>
      </c>
      <c r="J596" s="1" t="s">
        <v>1572</v>
      </c>
      <c r="K596" s="1" t="s">
        <v>3160</v>
      </c>
      <c r="L596" s="1">
        <v>9</v>
      </c>
      <c r="M596" s="1">
        <v>2</v>
      </c>
      <c r="N596" s="1" t="s">
        <v>30</v>
      </c>
      <c r="O596" s="1" t="s">
        <v>855</v>
      </c>
      <c r="P596" s="1" t="s">
        <v>45</v>
      </c>
      <c r="Q596" s="1" t="s">
        <v>32</v>
      </c>
      <c r="R596" s="1">
        <v>838.26</v>
      </c>
      <c r="S596" s="1" t="s">
        <v>46</v>
      </c>
      <c r="T596" s="1" t="s">
        <v>100</v>
      </c>
      <c r="U596" s="1" t="s">
        <v>101</v>
      </c>
      <c r="V596" s="1" t="s">
        <v>36</v>
      </c>
    </row>
    <row r="597" spans="1:22" x14ac:dyDescent="0.3">
      <c r="A597" s="1" t="s">
        <v>3161</v>
      </c>
      <c r="B597" s="1" t="s">
        <v>3162</v>
      </c>
      <c r="C597" s="1">
        <v>59</v>
      </c>
      <c r="D597" s="1" t="s">
        <v>3163</v>
      </c>
      <c r="E597" s="1" t="s">
        <v>51</v>
      </c>
      <c r="F597" s="1" t="s">
        <v>2167</v>
      </c>
      <c r="G597" s="2">
        <v>44995</v>
      </c>
      <c r="H597" s="1">
        <v>4</v>
      </c>
      <c r="I597" s="1" t="s">
        <v>64</v>
      </c>
      <c r="J597" s="1" t="s">
        <v>3164</v>
      </c>
      <c r="K597" s="1" t="s">
        <v>3165</v>
      </c>
      <c r="L597" s="1">
        <v>3</v>
      </c>
      <c r="M597" s="1">
        <v>47</v>
      </c>
      <c r="N597" s="1" t="s">
        <v>56</v>
      </c>
      <c r="O597" s="1" t="s">
        <v>122</v>
      </c>
      <c r="P597" s="1" t="s">
        <v>30</v>
      </c>
      <c r="Q597" s="1" t="s">
        <v>322</v>
      </c>
      <c r="R597" s="1">
        <v>175.83</v>
      </c>
      <c r="S597" s="1" t="s">
        <v>46</v>
      </c>
      <c r="T597" s="1" t="s">
        <v>47</v>
      </c>
      <c r="U597" s="1" t="s">
        <v>35</v>
      </c>
      <c r="V597" s="1" t="s">
        <v>71</v>
      </c>
    </row>
    <row r="598" spans="1:22" x14ac:dyDescent="0.3">
      <c r="A598" s="1" t="s">
        <v>3166</v>
      </c>
      <c r="B598" s="1" t="s">
        <v>3167</v>
      </c>
      <c r="C598" s="1">
        <v>53</v>
      </c>
      <c r="D598" s="1" t="s">
        <v>3168</v>
      </c>
      <c r="E598" s="1" t="s">
        <v>51</v>
      </c>
      <c r="F598" s="2">
        <v>44958</v>
      </c>
      <c r="G598" s="1" t="s">
        <v>1159</v>
      </c>
      <c r="H598" s="1">
        <v>0</v>
      </c>
      <c r="I598" s="1" t="s">
        <v>52</v>
      </c>
      <c r="J598" s="1" t="s">
        <v>2956</v>
      </c>
      <c r="K598" s="1" t="s">
        <v>3169</v>
      </c>
      <c r="L598" s="1">
        <v>6</v>
      </c>
      <c r="M598" s="1">
        <v>41</v>
      </c>
      <c r="N598" s="1" t="s">
        <v>54</v>
      </c>
      <c r="O598" s="1" t="s">
        <v>99</v>
      </c>
      <c r="P598" s="1" t="s">
        <v>56</v>
      </c>
      <c r="Q598" s="1" t="s">
        <v>32</v>
      </c>
      <c r="R598" s="1">
        <v>1568.22</v>
      </c>
      <c r="S598" s="1" t="s">
        <v>46</v>
      </c>
      <c r="T598" s="1" t="s">
        <v>47</v>
      </c>
      <c r="U598" s="1" t="s">
        <v>35</v>
      </c>
      <c r="V598" s="1" t="s">
        <v>36</v>
      </c>
    </row>
    <row r="599" spans="1:22" x14ac:dyDescent="0.3">
      <c r="A599" s="1" t="s">
        <v>3170</v>
      </c>
      <c r="B599" s="1" t="s">
        <v>3171</v>
      </c>
      <c r="C599" s="1">
        <v>66</v>
      </c>
      <c r="D599" s="1" t="s">
        <v>3172</v>
      </c>
      <c r="E599" s="1" t="s">
        <v>25</v>
      </c>
      <c r="F599" s="1" t="s">
        <v>3173</v>
      </c>
      <c r="G599" s="1" t="s">
        <v>3174</v>
      </c>
      <c r="H599" s="1">
        <v>1</v>
      </c>
      <c r="I599" s="1" t="s">
        <v>27</v>
      </c>
      <c r="J599" s="2">
        <v>45028</v>
      </c>
      <c r="K599" s="1" t="s">
        <v>3175</v>
      </c>
      <c r="L599" s="1">
        <v>2</v>
      </c>
      <c r="M599" s="1">
        <v>8</v>
      </c>
      <c r="N599" s="1" t="s">
        <v>54</v>
      </c>
      <c r="O599" s="1" t="s">
        <v>142</v>
      </c>
      <c r="P599" s="1" t="s">
        <v>68</v>
      </c>
      <c r="Q599" s="1" t="s">
        <v>69</v>
      </c>
      <c r="R599" s="1">
        <v>1395.2</v>
      </c>
      <c r="S599" s="1" t="s">
        <v>46</v>
      </c>
      <c r="T599" s="1" t="s">
        <v>232</v>
      </c>
      <c r="U599" s="1" t="s">
        <v>35</v>
      </c>
      <c r="V599" s="1" t="s">
        <v>36</v>
      </c>
    </row>
    <row r="600" spans="1:22" x14ac:dyDescent="0.3">
      <c r="A600" s="1" t="s">
        <v>3176</v>
      </c>
      <c r="B600" s="1" t="s">
        <v>3177</v>
      </c>
      <c r="C600" s="1">
        <v>31</v>
      </c>
      <c r="D600" s="1" t="s">
        <v>3178</v>
      </c>
      <c r="E600" s="1" t="s">
        <v>51</v>
      </c>
      <c r="F600" s="2">
        <v>44378</v>
      </c>
      <c r="G600" s="2">
        <v>45023</v>
      </c>
      <c r="H600" s="1">
        <v>5</v>
      </c>
      <c r="I600" s="1" t="s">
        <v>52</v>
      </c>
      <c r="J600" s="1" t="s">
        <v>2044</v>
      </c>
      <c r="K600" s="1" t="s">
        <v>3179</v>
      </c>
      <c r="L600" s="1">
        <v>3</v>
      </c>
      <c r="M600" s="1">
        <v>9</v>
      </c>
      <c r="N600" s="1" t="s">
        <v>45</v>
      </c>
      <c r="O600" s="1" t="s">
        <v>238</v>
      </c>
      <c r="P600" s="1" t="s">
        <v>45</v>
      </c>
      <c r="Q600" s="1" t="s">
        <v>32</v>
      </c>
      <c r="R600" s="1">
        <v>1837.65</v>
      </c>
      <c r="S600" s="1" t="s">
        <v>33</v>
      </c>
      <c r="T600" s="1" t="s">
        <v>57</v>
      </c>
      <c r="U600" s="1" t="s">
        <v>35</v>
      </c>
      <c r="V600" s="1" t="s">
        <v>36</v>
      </c>
    </row>
    <row r="601" spans="1:22" x14ac:dyDescent="0.3">
      <c r="A601" s="1" t="s">
        <v>3180</v>
      </c>
      <c r="B601" s="1" t="s">
        <v>3181</v>
      </c>
      <c r="C601" s="1">
        <v>59</v>
      </c>
      <c r="D601" s="1" t="s">
        <v>3182</v>
      </c>
      <c r="E601" s="1" t="s">
        <v>88</v>
      </c>
      <c r="F601" s="2">
        <v>44812</v>
      </c>
      <c r="G601" s="1" t="s">
        <v>3183</v>
      </c>
      <c r="H601" s="1">
        <v>0</v>
      </c>
      <c r="I601" s="1" t="s">
        <v>27</v>
      </c>
      <c r="J601" s="1" t="s">
        <v>1513</v>
      </c>
      <c r="K601" s="1" t="s">
        <v>3184</v>
      </c>
      <c r="L601" s="1">
        <v>2</v>
      </c>
      <c r="M601" s="1">
        <v>47</v>
      </c>
      <c r="N601" s="1" t="s">
        <v>68</v>
      </c>
      <c r="O601" s="1" t="s">
        <v>169</v>
      </c>
      <c r="P601" s="1" t="s">
        <v>30</v>
      </c>
      <c r="Q601" s="1" t="s">
        <v>32</v>
      </c>
      <c r="R601" s="1">
        <v>300.88</v>
      </c>
      <c r="S601" s="1" t="s">
        <v>46</v>
      </c>
      <c r="T601" s="1" t="s">
        <v>47</v>
      </c>
      <c r="U601" s="1" t="s">
        <v>35</v>
      </c>
      <c r="V601" s="1" t="s">
        <v>36</v>
      </c>
    </row>
    <row r="602" spans="1:22" x14ac:dyDescent="0.3">
      <c r="A602" s="1" t="s">
        <v>3185</v>
      </c>
      <c r="B602" s="1" t="s">
        <v>3186</v>
      </c>
      <c r="C602" s="1">
        <v>18</v>
      </c>
      <c r="D602" s="1" t="s">
        <v>3187</v>
      </c>
      <c r="E602" s="1" t="s">
        <v>88</v>
      </c>
      <c r="F602" s="2">
        <v>45023</v>
      </c>
      <c r="G602" s="2">
        <v>45692</v>
      </c>
      <c r="H602" s="1">
        <v>5</v>
      </c>
      <c r="I602" s="1" t="s">
        <v>27</v>
      </c>
      <c r="J602" s="1" t="s">
        <v>872</v>
      </c>
      <c r="K602" s="1" t="s">
        <v>3188</v>
      </c>
      <c r="L602" s="1">
        <v>9</v>
      </c>
      <c r="M602" s="1">
        <v>40</v>
      </c>
      <c r="N602" s="1" t="s">
        <v>68</v>
      </c>
      <c r="O602" s="1" t="s">
        <v>122</v>
      </c>
      <c r="P602" s="1" t="s">
        <v>30</v>
      </c>
      <c r="Q602" s="1" t="s">
        <v>322</v>
      </c>
      <c r="R602" s="1">
        <v>1064.07</v>
      </c>
      <c r="S602" s="1" t="s">
        <v>46</v>
      </c>
      <c r="T602" s="1" t="s">
        <v>100</v>
      </c>
      <c r="U602" s="1" t="s">
        <v>35</v>
      </c>
      <c r="V602" s="1" t="s">
        <v>188</v>
      </c>
    </row>
    <row r="603" spans="1:22" x14ac:dyDescent="0.3">
      <c r="A603" s="1" t="s">
        <v>3189</v>
      </c>
      <c r="B603" s="1" t="s">
        <v>3190</v>
      </c>
      <c r="C603" s="1">
        <v>57</v>
      </c>
      <c r="D603" s="1" t="s">
        <v>3191</v>
      </c>
      <c r="E603" s="1" t="s">
        <v>40</v>
      </c>
      <c r="F603" s="1" t="s">
        <v>2408</v>
      </c>
      <c r="G603" s="2">
        <v>45600</v>
      </c>
      <c r="H603" s="1">
        <v>4</v>
      </c>
      <c r="I603" s="1" t="s">
        <v>27</v>
      </c>
      <c r="J603" s="2">
        <v>45485</v>
      </c>
      <c r="K603" s="1" t="s">
        <v>3192</v>
      </c>
      <c r="L603" s="1">
        <v>1</v>
      </c>
      <c r="M603" s="1">
        <v>9</v>
      </c>
      <c r="N603" s="1" t="s">
        <v>54</v>
      </c>
      <c r="O603" s="1" t="s">
        <v>855</v>
      </c>
      <c r="P603" s="1" t="s">
        <v>45</v>
      </c>
      <c r="Q603" s="1" t="s">
        <v>69</v>
      </c>
      <c r="R603" s="1">
        <v>1043.23</v>
      </c>
      <c r="S603" s="1" t="s">
        <v>46</v>
      </c>
      <c r="T603" s="1" t="s">
        <v>47</v>
      </c>
      <c r="U603" s="1" t="s">
        <v>35</v>
      </c>
      <c r="V603" s="1" t="s">
        <v>188</v>
      </c>
    </row>
    <row r="604" spans="1:22" x14ac:dyDescent="0.3">
      <c r="A604" s="1" t="s">
        <v>3193</v>
      </c>
      <c r="B604" s="1" t="s">
        <v>3194</v>
      </c>
      <c r="C604" s="1">
        <v>61</v>
      </c>
      <c r="D604" s="1" t="s">
        <v>3195</v>
      </c>
      <c r="E604" s="1" t="s">
        <v>88</v>
      </c>
      <c r="F604" s="2">
        <v>44744</v>
      </c>
      <c r="G604" s="2">
        <v>45302</v>
      </c>
      <c r="H604" s="1">
        <v>0</v>
      </c>
      <c r="I604" s="1" t="s">
        <v>64</v>
      </c>
      <c r="J604" s="1" t="s">
        <v>1852</v>
      </c>
      <c r="K604" s="1" t="s">
        <v>3196</v>
      </c>
      <c r="L604" s="1">
        <v>3</v>
      </c>
      <c r="M604" s="1">
        <v>11</v>
      </c>
      <c r="N604" s="1" t="s">
        <v>45</v>
      </c>
      <c r="O604" s="1" t="s">
        <v>149</v>
      </c>
      <c r="P604" s="1" t="s">
        <v>30</v>
      </c>
      <c r="Q604" s="1" t="s">
        <v>32</v>
      </c>
      <c r="R604" s="1">
        <v>1859.19</v>
      </c>
      <c r="S604" s="1" t="s">
        <v>46</v>
      </c>
      <c r="T604" s="1" t="s">
        <v>47</v>
      </c>
      <c r="U604" s="1" t="s">
        <v>35</v>
      </c>
      <c r="V604" s="1" t="s">
        <v>71</v>
      </c>
    </row>
    <row r="605" spans="1:22" x14ac:dyDescent="0.3">
      <c r="A605" s="1" t="s">
        <v>3197</v>
      </c>
      <c r="B605" s="1" t="s">
        <v>3198</v>
      </c>
      <c r="C605" s="1">
        <v>58</v>
      </c>
      <c r="D605" s="1" t="s">
        <v>3199</v>
      </c>
      <c r="E605" s="1" t="s">
        <v>95</v>
      </c>
      <c r="F605" s="1" t="s">
        <v>3200</v>
      </c>
      <c r="G605" s="2">
        <v>45816</v>
      </c>
      <c r="H605" s="1">
        <v>1</v>
      </c>
      <c r="I605" s="1" t="s">
        <v>27</v>
      </c>
      <c r="J605" s="1" t="s">
        <v>2588</v>
      </c>
      <c r="K605" s="1" t="s">
        <v>3201</v>
      </c>
      <c r="L605" s="1">
        <v>3</v>
      </c>
      <c r="M605" s="1">
        <v>47</v>
      </c>
      <c r="N605" s="1" t="s">
        <v>45</v>
      </c>
      <c r="O605" s="1" t="s">
        <v>837</v>
      </c>
      <c r="P605" s="1" t="s">
        <v>56</v>
      </c>
      <c r="Q605" s="1" t="s">
        <v>32</v>
      </c>
      <c r="R605" s="1">
        <v>1347.84</v>
      </c>
      <c r="S605" s="1" t="s">
        <v>46</v>
      </c>
      <c r="T605" s="1" t="s">
        <v>47</v>
      </c>
      <c r="U605" s="1" t="s">
        <v>35</v>
      </c>
      <c r="V605" s="1" t="s">
        <v>36</v>
      </c>
    </row>
    <row r="606" spans="1:22" x14ac:dyDescent="0.3">
      <c r="A606" s="1" t="s">
        <v>3202</v>
      </c>
      <c r="B606" s="1" t="s">
        <v>3203</v>
      </c>
      <c r="C606" s="1">
        <v>22</v>
      </c>
      <c r="D606" s="1" t="s">
        <v>3204</v>
      </c>
      <c r="E606" s="1" t="s">
        <v>88</v>
      </c>
      <c r="F606" s="1" t="s">
        <v>3205</v>
      </c>
      <c r="G606" s="2">
        <v>45814</v>
      </c>
      <c r="H606" s="1">
        <v>2</v>
      </c>
      <c r="I606" s="1" t="s">
        <v>27</v>
      </c>
      <c r="J606" s="2">
        <v>45720</v>
      </c>
      <c r="K606" s="1" t="s">
        <v>3206</v>
      </c>
      <c r="L606" s="1">
        <v>1</v>
      </c>
      <c r="M606" s="1">
        <v>17</v>
      </c>
      <c r="N606" s="1" t="s">
        <v>54</v>
      </c>
      <c r="O606" s="1" t="s">
        <v>122</v>
      </c>
      <c r="P606" s="1" t="s">
        <v>30</v>
      </c>
      <c r="Q606" s="1" t="s">
        <v>32</v>
      </c>
      <c r="R606" s="1">
        <v>1181.3699999999999</v>
      </c>
      <c r="S606" s="1" t="s">
        <v>46</v>
      </c>
      <c r="T606" s="1" t="s">
        <v>100</v>
      </c>
      <c r="U606" s="1" t="s">
        <v>35</v>
      </c>
      <c r="V606" s="1" t="s">
        <v>36</v>
      </c>
    </row>
    <row r="607" spans="1:22" x14ac:dyDescent="0.3">
      <c r="A607" s="1" t="s">
        <v>3207</v>
      </c>
      <c r="B607" s="1" t="s">
        <v>3208</v>
      </c>
      <c r="C607" s="1">
        <v>53</v>
      </c>
      <c r="D607" s="1" t="s">
        <v>3209</v>
      </c>
      <c r="E607" s="1" t="s">
        <v>88</v>
      </c>
      <c r="F607" s="2">
        <v>45052</v>
      </c>
      <c r="G607" s="1" t="s">
        <v>364</v>
      </c>
      <c r="H607" s="1">
        <v>3</v>
      </c>
      <c r="I607" s="1" t="s">
        <v>27</v>
      </c>
      <c r="J607" s="1" t="s">
        <v>3210</v>
      </c>
      <c r="K607" s="1" t="s">
        <v>3211</v>
      </c>
      <c r="L607" s="1">
        <v>9</v>
      </c>
      <c r="M607" s="1">
        <v>31</v>
      </c>
      <c r="N607" s="1" t="s">
        <v>54</v>
      </c>
      <c r="O607" s="1" t="s">
        <v>175</v>
      </c>
      <c r="P607" s="1" t="s">
        <v>56</v>
      </c>
      <c r="Q607" s="1" t="s">
        <v>32</v>
      </c>
      <c r="R607" s="1">
        <v>506.16</v>
      </c>
      <c r="S607" s="1" t="s">
        <v>46</v>
      </c>
      <c r="T607" s="1" t="s">
        <v>47</v>
      </c>
      <c r="U607" s="1" t="s">
        <v>35</v>
      </c>
      <c r="V607" s="1" t="s">
        <v>36</v>
      </c>
    </row>
    <row r="608" spans="1:22" x14ac:dyDescent="0.3">
      <c r="A608" s="1" t="s">
        <v>3212</v>
      </c>
      <c r="B608" s="1" t="s">
        <v>3213</v>
      </c>
      <c r="C608" s="1">
        <v>42</v>
      </c>
      <c r="D608" s="1" t="s">
        <v>3214</v>
      </c>
      <c r="E608" s="1" t="s">
        <v>51</v>
      </c>
      <c r="F608" s="2">
        <v>44866</v>
      </c>
      <c r="G608" s="1" t="s">
        <v>1053</v>
      </c>
      <c r="H608" s="1">
        <v>1</v>
      </c>
      <c r="I608" s="1" t="s">
        <v>27</v>
      </c>
      <c r="J608" s="2">
        <v>45020</v>
      </c>
      <c r="K608" s="1" t="s">
        <v>3215</v>
      </c>
      <c r="L608" s="1">
        <v>4</v>
      </c>
      <c r="M608" s="1">
        <v>16</v>
      </c>
      <c r="N608" s="1" t="s">
        <v>54</v>
      </c>
      <c r="O608" s="1" t="s">
        <v>610</v>
      </c>
      <c r="P608" s="1" t="s">
        <v>68</v>
      </c>
      <c r="Q608" s="1" t="s">
        <v>69</v>
      </c>
      <c r="R608" s="1">
        <v>1835.04</v>
      </c>
      <c r="S608" s="1" t="s">
        <v>46</v>
      </c>
      <c r="T608" s="1" t="s">
        <v>34</v>
      </c>
      <c r="U608" s="1" t="s">
        <v>35</v>
      </c>
      <c r="V608" s="1" t="s">
        <v>36</v>
      </c>
    </row>
    <row r="609" spans="1:22" x14ac:dyDescent="0.3">
      <c r="A609" s="1" t="s">
        <v>3216</v>
      </c>
      <c r="B609" s="1" t="s">
        <v>3217</v>
      </c>
      <c r="C609" s="1">
        <v>57</v>
      </c>
      <c r="D609" s="1" t="s">
        <v>3218</v>
      </c>
      <c r="E609" s="1" t="s">
        <v>95</v>
      </c>
      <c r="F609" s="2">
        <v>44714</v>
      </c>
      <c r="G609" s="2">
        <v>44571</v>
      </c>
      <c r="H609" s="1">
        <v>0</v>
      </c>
      <c r="I609" s="1" t="s">
        <v>52</v>
      </c>
      <c r="J609" s="1" t="s">
        <v>2800</v>
      </c>
      <c r="K609" s="1" t="s">
        <v>3219</v>
      </c>
      <c r="L609" s="1">
        <v>8</v>
      </c>
      <c r="M609" s="1">
        <v>40</v>
      </c>
      <c r="N609" s="1" t="s">
        <v>45</v>
      </c>
      <c r="O609" s="1" t="s">
        <v>624</v>
      </c>
      <c r="P609" s="1" t="s">
        <v>30</v>
      </c>
      <c r="Q609" s="1" t="s">
        <v>69</v>
      </c>
      <c r="R609" s="1">
        <v>39.36</v>
      </c>
      <c r="S609" s="1" t="s">
        <v>46</v>
      </c>
      <c r="T609" s="1" t="s">
        <v>47</v>
      </c>
      <c r="U609" s="1" t="s">
        <v>101</v>
      </c>
      <c r="V609" s="1" t="s">
        <v>36</v>
      </c>
    </row>
    <row r="610" spans="1:22" x14ac:dyDescent="0.3">
      <c r="A610" s="1" t="s">
        <v>3220</v>
      </c>
      <c r="B610" s="1" t="s">
        <v>3221</v>
      </c>
      <c r="C610" s="1">
        <v>56</v>
      </c>
      <c r="D610" s="1" t="s">
        <v>3222</v>
      </c>
      <c r="E610" s="1" t="s">
        <v>95</v>
      </c>
      <c r="F610" s="1" t="s">
        <v>601</v>
      </c>
      <c r="G610" s="1" t="s">
        <v>3223</v>
      </c>
      <c r="H610" s="1">
        <v>2</v>
      </c>
      <c r="I610" s="1" t="s">
        <v>27</v>
      </c>
      <c r="J610" s="1" t="s">
        <v>1546</v>
      </c>
      <c r="K610" s="1" t="s">
        <v>3224</v>
      </c>
      <c r="L610" s="1">
        <v>4</v>
      </c>
      <c r="M610" s="1">
        <v>4</v>
      </c>
      <c r="N610" s="1" t="s">
        <v>54</v>
      </c>
      <c r="O610" s="1" t="s">
        <v>855</v>
      </c>
      <c r="P610" s="1" t="s">
        <v>45</v>
      </c>
      <c r="Q610" s="1" t="s">
        <v>32</v>
      </c>
      <c r="R610" s="1">
        <v>1259.2</v>
      </c>
      <c r="S610" s="1" t="s">
        <v>46</v>
      </c>
      <c r="T610" s="1" t="s">
        <v>47</v>
      </c>
      <c r="U610" s="1" t="s">
        <v>35</v>
      </c>
      <c r="V610" s="1" t="s">
        <v>36</v>
      </c>
    </row>
    <row r="611" spans="1:22" x14ac:dyDescent="0.3">
      <c r="A611" s="1" t="s">
        <v>3225</v>
      </c>
      <c r="B611" s="1" t="s">
        <v>3226</v>
      </c>
      <c r="C611" s="1">
        <v>51</v>
      </c>
      <c r="D611" s="1" t="s">
        <v>3227</v>
      </c>
      <c r="E611" s="1" t="s">
        <v>51</v>
      </c>
      <c r="F611" s="1" t="s">
        <v>2876</v>
      </c>
      <c r="G611" s="1" t="s">
        <v>797</v>
      </c>
      <c r="H611" s="1">
        <v>4</v>
      </c>
      <c r="I611" s="1" t="s">
        <v>64</v>
      </c>
      <c r="J611" s="1" t="s">
        <v>717</v>
      </c>
      <c r="K611" s="1" t="s">
        <v>3228</v>
      </c>
      <c r="L611" s="1">
        <v>4</v>
      </c>
      <c r="M611" s="1">
        <v>1</v>
      </c>
      <c r="N611" s="1" t="s">
        <v>56</v>
      </c>
      <c r="O611" s="1" t="s">
        <v>142</v>
      </c>
      <c r="P611" s="1" t="s">
        <v>68</v>
      </c>
      <c r="Q611" s="1" t="s">
        <v>32</v>
      </c>
      <c r="R611" s="1">
        <v>1901.8</v>
      </c>
      <c r="S611" s="1" t="s">
        <v>46</v>
      </c>
      <c r="T611" s="1" t="s">
        <v>47</v>
      </c>
      <c r="U611" s="1" t="s">
        <v>101</v>
      </c>
      <c r="V611" s="1" t="s">
        <v>71</v>
      </c>
    </row>
    <row r="612" spans="1:22" x14ac:dyDescent="0.3">
      <c r="A612" s="1" t="s">
        <v>3229</v>
      </c>
      <c r="B612" s="1" t="s">
        <v>3230</v>
      </c>
      <c r="C612" s="1">
        <v>51</v>
      </c>
      <c r="D612" s="1" t="s">
        <v>3231</v>
      </c>
      <c r="E612" s="1" t="s">
        <v>51</v>
      </c>
      <c r="F612" s="1" t="s">
        <v>3232</v>
      </c>
      <c r="G612" s="2">
        <v>44809</v>
      </c>
      <c r="H612" s="1">
        <v>2</v>
      </c>
      <c r="I612" s="1" t="s">
        <v>27</v>
      </c>
      <c r="J612" s="1" t="s">
        <v>3233</v>
      </c>
      <c r="K612" s="1" t="s">
        <v>3234</v>
      </c>
      <c r="L612" s="1">
        <v>2</v>
      </c>
      <c r="M612" s="1">
        <v>28</v>
      </c>
      <c r="N612" s="1" t="s">
        <v>30</v>
      </c>
      <c r="O612" s="1" t="s">
        <v>366</v>
      </c>
      <c r="P612" s="1" t="s">
        <v>54</v>
      </c>
      <c r="Q612" s="1" t="s">
        <v>69</v>
      </c>
      <c r="R612" s="1">
        <v>449.64</v>
      </c>
      <c r="S612" s="1" t="s">
        <v>46</v>
      </c>
      <c r="T612" s="1" t="s">
        <v>47</v>
      </c>
      <c r="U612" s="1" t="s">
        <v>35</v>
      </c>
      <c r="V612" s="1" t="s">
        <v>36</v>
      </c>
    </row>
    <row r="613" spans="1:22" x14ac:dyDescent="0.3">
      <c r="A613" s="1" t="s">
        <v>3235</v>
      </c>
      <c r="B613" s="1" t="s">
        <v>3236</v>
      </c>
      <c r="C613" s="1">
        <v>20</v>
      </c>
      <c r="D613" s="1" t="s">
        <v>3237</v>
      </c>
      <c r="E613" s="1" t="s">
        <v>40</v>
      </c>
      <c r="F613" s="1" t="s">
        <v>446</v>
      </c>
      <c r="G613" s="1" t="s">
        <v>3238</v>
      </c>
      <c r="H613" s="1">
        <v>3</v>
      </c>
      <c r="I613" s="1" t="s">
        <v>27</v>
      </c>
      <c r="J613" s="1" t="s">
        <v>616</v>
      </c>
      <c r="K613" s="1" t="s">
        <v>3239</v>
      </c>
      <c r="L613" s="1">
        <v>2</v>
      </c>
      <c r="M613" s="1">
        <v>32</v>
      </c>
      <c r="N613" s="1" t="s">
        <v>54</v>
      </c>
      <c r="O613" s="1" t="s">
        <v>821</v>
      </c>
      <c r="P613" s="1" t="s">
        <v>68</v>
      </c>
      <c r="Q613" s="1" t="s">
        <v>32</v>
      </c>
      <c r="R613" s="1">
        <v>375.92</v>
      </c>
      <c r="S613" s="1" t="s">
        <v>46</v>
      </c>
      <c r="T613" s="1" t="s">
        <v>100</v>
      </c>
      <c r="U613" s="1" t="s">
        <v>35</v>
      </c>
      <c r="V613" s="1" t="s">
        <v>36</v>
      </c>
    </row>
    <row r="614" spans="1:22" x14ac:dyDescent="0.3">
      <c r="A614" s="1" t="s">
        <v>3240</v>
      </c>
      <c r="B614" s="1" t="s">
        <v>3241</v>
      </c>
      <c r="C614" s="1">
        <v>26</v>
      </c>
      <c r="D614" s="1" t="s">
        <v>3242</v>
      </c>
      <c r="E614" s="1" t="s">
        <v>88</v>
      </c>
      <c r="F614" s="1" t="s">
        <v>236</v>
      </c>
      <c r="G614" s="2">
        <v>44996</v>
      </c>
      <c r="H614" s="1">
        <v>4</v>
      </c>
      <c r="I614" s="1" t="s">
        <v>27</v>
      </c>
      <c r="J614" s="2">
        <v>45414</v>
      </c>
      <c r="K614" s="1" t="s">
        <v>3243</v>
      </c>
      <c r="L614" s="1">
        <v>8</v>
      </c>
      <c r="M614" s="1">
        <v>18</v>
      </c>
      <c r="N614" s="1" t="s">
        <v>68</v>
      </c>
      <c r="O614" s="1" t="s">
        <v>99</v>
      </c>
      <c r="P614" s="1" t="s">
        <v>56</v>
      </c>
      <c r="Q614" s="1" t="s">
        <v>69</v>
      </c>
      <c r="R614" s="1">
        <v>988.32</v>
      </c>
      <c r="S614" s="1" t="s">
        <v>46</v>
      </c>
      <c r="T614" s="1" t="s">
        <v>57</v>
      </c>
      <c r="U614" s="1" t="s">
        <v>35</v>
      </c>
      <c r="V614" s="1" t="s">
        <v>188</v>
      </c>
    </row>
    <row r="615" spans="1:22" x14ac:dyDescent="0.3">
      <c r="A615" s="1" t="s">
        <v>3244</v>
      </c>
      <c r="B615" s="1" t="s">
        <v>3245</v>
      </c>
      <c r="C615" s="1">
        <v>65</v>
      </c>
      <c r="D615" s="1" t="s">
        <v>3246</v>
      </c>
      <c r="E615" s="1" t="s">
        <v>61</v>
      </c>
      <c r="F615" s="2">
        <v>44872</v>
      </c>
      <c r="G615" s="1" t="s">
        <v>783</v>
      </c>
      <c r="H615" s="1">
        <v>1</v>
      </c>
      <c r="I615" s="1" t="s">
        <v>52</v>
      </c>
      <c r="J615" s="2">
        <v>45301</v>
      </c>
      <c r="K615" s="1" t="s">
        <v>3247</v>
      </c>
      <c r="L615" s="1">
        <v>4</v>
      </c>
      <c r="M615" s="1">
        <v>13</v>
      </c>
      <c r="N615" s="1" t="s">
        <v>56</v>
      </c>
      <c r="O615" s="1" t="s">
        <v>67</v>
      </c>
      <c r="P615" s="1" t="s">
        <v>68</v>
      </c>
      <c r="Q615" s="1" t="s">
        <v>69</v>
      </c>
      <c r="R615" s="1">
        <v>1537.28</v>
      </c>
      <c r="S615" s="1" t="s">
        <v>46</v>
      </c>
      <c r="T615" s="1" t="s">
        <v>232</v>
      </c>
      <c r="U615" s="1" t="s">
        <v>35</v>
      </c>
      <c r="V615" s="1" t="s">
        <v>36</v>
      </c>
    </row>
    <row r="616" spans="1:22" x14ac:dyDescent="0.3">
      <c r="A616" s="1" t="s">
        <v>3248</v>
      </c>
      <c r="B616" s="1" t="s">
        <v>3249</v>
      </c>
      <c r="C616" s="1">
        <v>53</v>
      </c>
      <c r="D616" s="1" t="s">
        <v>3250</v>
      </c>
      <c r="E616" s="1" t="s">
        <v>40</v>
      </c>
      <c r="F616" s="1" t="s">
        <v>3251</v>
      </c>
      <c r="G616" s="1" t="s">
        <v>1842</v>
      </c>
      <c r="H616" s="1">
        <v>5</v>
      </c>
      <c r="I616" s="1" t="s">
        <v>52</v>
      </c>
      <c r="J616" s="1" t="s">
        <v>519</v>
      </c>
      <c r="K616" s="1" t="s">
        <v>3252</v>
      </c>
      <c r="L616" s="1">
        <v>4</v>
      </c>
      <c r="M616" s="1">
        <v>40</v>
      </c>
      <c r="N616" s="1" t="s">
        <v>56</v>
      </c>
      <c r="O616" s="1" t="s">
        <v>245</v>
      </c>
      <c r="P616" s="1" t="s">
        <v>54</v>
      </c>
      <c r="Q616" s="1" t="s">
        <v>69</v>
      </c>
      <c r="R616" s="1">
        <v>633.08000000000004</v>
      </c>
      <c r="S616" s="1" t="s">
        <v>46</v>
      </c>
      <c r="T616" s="1" t="s">
        <v>47</v>
      </c>
      <c r="U616" s="1" t="s">
        <v>35</v>
      </c>
      <c r="V616" s="1" t="s">
        <v>36</v>
      </c>
    </row>
    <row r="617" spans="1:22" x14ac:dyDescent="0.3">
      <c r="A617" s="1" t="s">
        <v>3253</v>
      </c>
      <c r="B617" s="1" t="s">
        <v>3254</v>
      </c>
      <c r="C617" s="1">
        <v>61</v>
      </c>
      <c r="D617" s="1" t="s">
        <v>3255</v>
      </c>
      <c r="E617" s="1" t="s">
        <v>51</v>
      </c>
      <c r="F617" s="1" t="s">
        <v>1111</v>
      </c>
      <c r="G617" s="2">
        <v>45573</v>
      </c>
      <c r="H617" s="1">
        <v>4</v>
      </c>
      <c r="I617" s="1" t="s">
        <v>52</v>
      </c>
      <c r="J617" s="1" t="s">
        <v>1355</v>
      </c>
      <c r="K617" s="1" t="s">
        <v>3256</v>
      </c>
      <c r="L617" s="1">
        <v>7</v>
      </c>
      <c r="M617" s="1">
        <v>25</v>
      </c>
      <c r="N617" s="1" t="s">
        <v>56</v>
      </c>
      <c r="O617" s="1" t="s">
        <v>157</v>
      </c>
      <c r="P617" s="1" t="s">
        <v>68</v>
      </c>
      <c r="Q617" s="1" t="s">
        <v>69</v>
      </c>
      <c r="R617" s="1">
        <v>1764.77</v>
      </c>
      <c r="S617" s="1" t="s">
        <v>46</v>
      </c>
      <c r="T617" s="1" t="s">
        <v>47</v>
      </c>
      <c r="U617" s="1" t="s">
        <v>35</v>
      </c>
      <c r="V617" s="1" t="s">
        <v>36</v>
      </c>
    </row>
    <row r="618" spans="1:22" x14ac:dyDescent="0.3">
      <c r="A618" s="1" t="s">
        <v>3257</v>
      </c>
      <c r="B618" s="1" t="s">
        <v>3258</v>
      </c>
      <c r="C618" s="1">
        <v>26</v>
      </c>
      <c r="D618" s="1" t="s">
        <v>3259</v>
      </c>
      <c r="E618" s="1" t="s">
        <v>88</v>
      </c>
      <c r="F618" s="1" t="s">
        <v>1210</v>
      </c>
      <c r="G618" s="1" t="s">
        <v>2446</v>
      </c>
      <c r="H618" s="1">
        <v>1</v>
      </c>
      <c r="I618" s="1" t="s">
        <v>27</v>
      </c>
      <c r="J618" s="1" t="s">
        <v>740</v>
      </c>
      <c r="K618" s="1" t="s">
        <v>3260</v>
      </c>
      <c r="L618" s="1">
        <v>1</v>
      </c>
      <c r="M618" s="1">
        <v>11</v>
      </c>
      <c r="N618" s="1" t="s">
        <v>30</v>
      </c>
      <c r="O618" s="1" t="s">
        <v>157</v>
      </c>
      <c r="P618" s="1" t="s">
        <v>68</v>
      </c>
      <c r="Q618" s="1" t="s">
        <v>69</v>
      </c>
      <c r="R618" s="1">
        <v>174.23</v>
      </c>
      <c r="S618" s="1" t="s">
        <v>46</v>
      </c>
      <c r="T618" s="1" t="s">
        <v>57</v>
      </c>
      <c r="U618" s="1" t="s">
        <v>101</v>
      </c>
      <c r="V618" s="1" t="s">
        <v>36</v>
      </c>
    </row>
    <row r="619" spans="1:22" x14ac:dyDescent="0.3">
      <c r="A619" s="1" t="s">
        <v>3261</v>
      </c>
      <c r="B619" s="1" t="s">
        <v>3262</v>
      </c>
      <c r="C619" s="1">
        <v>36</v>
      </c>
      <c r="D619" s="1" t="s">
        <v>3263</v>
      </c>
      <c r="E619" s="1" t="s">
        <v>40</v>
      </c>
      <c r="F619" s="2">
        <v>44782</v>
      </c>
      <c r="G619" s="2">
        <v>45691</v>
      </c>
      <c r="H619" s="1">
        <v>1</v>
      </c>
      <c r="I619" s="1" t="s">
        <v>27</v>
      </c>
      <c r="J619" s="1" t="s">
        <v>2077</v>
      </c>
      <c r="K619" s="1" t="s">
        <v>3264</v>
      </c>
      <c r="L619" s="1">
        <v>6</v>
      </c>
      <c r="M619" s="1">
        <v>28</v>
      </c>
      <c r="N619" s="1" t="s">
        <v>68</v>
      </c>
      <c r="O619" s="1" t="s">
        <v>293</v>
      </c>
      <c r="P619" s="1" t="s">
        <v>45</v>
      </c>
      <c r="Q619" s="1" t="s">
        <v>69</v>
      </c>
      <c r="R619" s="1">
        <v>905.34</v>
      </c>
      <c r="S619" s="1" t="s">
        <v>46</v>
      </c>
      <c r="T619" s="1" t="s">
        <v>34</v>
      </c>
      <c r="U619" s="1" t="s">
        <v>35</v>
      </c>
      <c r="V619" s="1" t="s">
        <v>36</v>
      </c>
    </row>
    <row r="620" spans="1:22" x14ac:dyDescent="0.3">
      <c r="A620" s="1" t="s">
        <v>3265</v>
      </c>
      <c r="B620" s="1" t="s">
        <v>3266</v>
      </c>
      <c r="C620" s="1">
        <v>56</v>
      </c>
      <c r="D620" s="1" t="s">
        <v>3267</v>
      </c>
      <c r="E620" s="1" t="s">
        <v>40</v>
      </c>
      <c r="F620" s="2">
        <v>44294</v>
      </c>
      <c r="G620" s="1" t="s">
        <v>1553</v>
      </c>
      <c r="H620" s="1">
        <v>2</v>
      </c>
      <c r="I620" s="1" t="s">
        <v>52</v>
      </c>
      <c r="J620" s="1" t="s">
        <v>2938</v>
      </c>
      <c r="K620" s="1" t="s">
        <v>3268</v>
      </c>
      <c r="L620" s="1">
        <v>8</v>
      </c>
      <c r="M620" s="1">
        <v>24</v>
      </c>
      <c r="N620" s="1" t="s">
        <v>54</v>
      </c>
      <c r="O620" s="1" t="s">
        <v>199</v>
      </c>
      <c r="P620" s="1" t="s">
        <v>54</v>
      </c>
      <c r="Q620" s="1" t="s">
        <v>69</v>
      </c>
      <c r="R620" s="1">
        <v>1359.28</v>
      </c>
      <c r="S620" s="1" t="s">
        <v>33</v>
      </c>
      <c r="T620" s="1" t="s">
        <v>47</v>
      </c>
      <c r="U620" s="1" t="s">
        <v>35</v>
      </c>
      <c r="V620" s="1" t="s">
        <v>36</v>
      </c>
    </row>
    <row r="621" spans="1:22" x14ac:dyDescent="0.3">
      <c r="A621" s="1" t="s">
        <v>3269</v>
      </c>
      <c r="B621" s="1" t="s">
        <v>3270</v>
      </c>
      <c r="C621" s="1">
        <v>57</v>
      </c>
      <c r="D621" s="1" t="s">
        <v>3271</v>
      </c>
      <c r="E621" s="1" t="s">
        <v>51</v>
      </c>
      <c r="F621" s="1" t="s">
        <v>3272</v>
      </c>
      <c r="G621" s="1" t="s">
        <v>3273</v>
      </c>
      <c r="H621" s="1">
        <v>2</v>
      </c>
      <c r="I621" s="1" t="s">
        <v>27</v>
      </c>
      <c r="J621" s="1" t="s">
        <v>633</v>
      </c>
      <c r="K621" s="1" t="s">
        <v>3274</v>
      </c>
      <c r="L621" s="1">
        <v>4</v>
      </c>
      <c r="M621" s="1">
        <v>33</v>
      </c>
      <c r="N621" s="1" t="s">
        <v>56</v>
      </c>
      <c r="O621" s="1" t="s">
        <v>245</v>
      </c>
      <c r="P621" s="1" t="s">
        <v>54</v>
      </c>
      <c r="Q621" s="1" t="s">
        <v>69</v>
      </c>
      <c r="R621" s="1">
        <v>379.24</v>
      </c>
      <c r="S621" s="1" t="s">
        <v>46</v>
      </c>
      <c r="T621" s="1" t="s">
        <v>47</v>
      </c>
      <c r="U621" s="1" t="s">
        <v>35</v>
      </c>
      <c r="V621" s="1" t="s">
        <v>36</v>
      </c>
    </row>
    <row r="622" spans="1:22" x14ac:dyDescent="0.3">
      <c r="A622" s="1" t="s">
        <v>3275</v>
      </c>
      <c r="B622" s="1" t="s">
        <v>3276</v>
      </c>
      <c r="C622" s="1">
        <v>21</v>
      </c>
      <c r="D622" s="1" t="s">
        <v>3277</v>
      </c>
      <c r="E622" s="1" t="s">
        <v>95</v>
      </c>
      <c r="F622" s="1" t="s">
        <v>3278</v>
      </c>
      <c r="G622" s="1" t="s">
        <v>65</v>
      </c>
      <c r="H622" s="1">
        <v>4</v>
      </c>
      <c r="I622" s="1" t="s">
        <v>27</v>
      </c>
      <c r="J622" s="2">
        <v>45028</v>
      </c>
      <c r="K622" s="1" t="s">
        <v>3279</v>
      </c>
      <c r="L622" s="1">
        <v>3</v>
      </c>
      <c r="M622" s="1">
        <v>37</v>
      </c>
      <c r="N622" s="1" t="s">
        <v>45</v>
      </c>
      <c r="O622" s="1" t="s">
        <v>610</v>
      </c>
      <c r="P622" s="1" t="s">
        <v>68</v>
      </c>
      <c r="Q622" s="1" t="s">
        <v>32</v>
      </c>
      <c r="R622" s="1">
        <v>506.43</v>
      </c>
      <c r="S622" s="1" t="s">
        <v>46</v>
      </c>
      <c r="T622" s="1" t="s">
        <v>100</v>
      </c>
      <c r="U622" s="1" t="s">
        <v>35</v>
      </c>
      <c r="V622" s="1" t="s">
        <v>188</v>
      </c>
    </row>
    <row r="623" spans="1:22" x14ac:dyDescent="0.3">
      <c r="A623" s="1" t="s">
        <v>3280</v>
      </c>
      <c r="B623" s="1" t="s">
        <v>3281</v>
      </c>
      <c r="C623" s="1">
        <v>34</v>
      </c>
      <c r="D623" s="1" t="s">
        <v>3282</v>
      </c>
      <c r="E623" s="1" t="s">
        <v>61</v>
      </c>
      <c r="F623" s="2">
        <v>45114</v>
      </c>
      <c r="G623" s="1" t="s">
        <v>62</v>
      </c>
      <c r="H623" s="1">
        <v>5</v>
      </c>
      <c r="I623" s="1" t="s">
        <v>27</v>
      </c>
      <c r="J623" s="1" t="s">
        <v>3283</v>
      </c>
      <c r="K623" s="1" t="s">
        <v>3284</v>
      </c>
      <c r="L623" s="1">
        <v>1</v>
      </c>
      <c r="M623" s="1">
        <v>13</v>
      </c>
      <c r="N623" s="1" t="s">
        <v>68</v>
      </c>
      <c r="O623" s="1" t="s">
        <v>837</v>
      </c>
      <c r="P623" s="1" t="s">
        <v>56</v>
      </c>
      <c r="Q623" s="1" t="s">
        <v>32</v>
      </c>
      <c r="R623" s="1">
        <v>415.64</v>
      </c>
      <c r="S623" s="1" t="s">
        <v>46</v>
      </c>
      <c r="T623" s="1" t="s">
        <v>57</v>
      </c>
      <c r="U623" s="1" t="s">
        <v>35</v>
      </c>
      <c r="V623" s="1" t="s">
        <v>188</v>
      </c>
    </row>
    <row r="624" spans="1:22" x14ac:dyDescent="0.3">
      <c r="A624" s="1" t="s">
        <v>3285</v>
      </c>
      <c r="B624" s="1" t="s">
        <v>3286</v>
      </c>
      <c r="C624" s="1">
        <v>23</v>
      </c>
      <c r="D624" s="1" t="s">
        <v>3287</v>
      </c>
      <c r="E624" s="1" t="s">
        <v>61</v>
      </c>
      <c r="F624" s="1" t="s">
        <v>479</v>
      </c>
      <c r="G624" s="1" t="s">
        <v>646</v>
      </c>
      <c r="H624" s="1">
        <v>5</v>
      </c>
      <c r="I624" s="1" t="s">
        <v>52</v>
      </c>
      <c r="J624" s="1" t="s">
        <v>2267</v>
      </c>
      <c r="K624" s="1" t="s">
        <v>3288</v>
      </c>
      <c r="L624" s="1">
        <v>5</v>
      </c>
      <c r="M624" s="1">
        <v>19</v>
      </c>
      <c r="N624" s="1" t="s">
        <v>54</v>
      </c>
      <c r="O624" s="1" t="s">
        <v>855</v>
      </c>
      <c r="P624" s="1" t="s">
        <v>45</v>
      </c>
      <c r="Q624" s="1" t="s">
        <v>32</v>
      </c>
      <c r="R624" s="1">
        <v>121.05</v>
      </c>
      <c r="S624" s="1" t="s">
        <v>46</v>
      </c>
      <c r="T624" s="1" t="s">
        <v>100</v>
      </c>
      <c r="U624" s="1" t="s">
        <v>101</v>
      </c>
      <c r="V624" s="1" t="s">
        <v>36</v>
      </c>
    </row>
    <row r="625" spans="1:22" x14ac:dyDescent="0.3">
      <c r="A625" s="1" t="s">
        <v>3289</v>
      </c>
      <c r="B625" s="1" t="s">
        <v>3290</v>
      </c>
      <c r="C625" s="1">
        <v>66</v>
      </c>
      <c r="D625" s="1" t="s">
        <v>3291</v>
      </c>
      <c r="E625" s="1" t="s">
        <v>40</v>
      </c>
      <c r="F625" s="2">
        <v>44715</v>
      </c>
      <c r="G625" s="2">
        <v>45141</v>
      </c>
      <c r="H625" s="1">
        <v>2</v>
      </c>
      <c r="I625" s="1" t="s">
        <v>52</v>
      </c>
      <c r="J625" s="1" t="s">
        <v>1841</v>
      </c>
      <c r="K625" s="1" t="s">
        <v>3292</v>
      </c>
      <c r="L625" s="1">
        <v>8</v>
      </c>
      <c r="M625" s="1">
        <v>14</v>
      </c>
      <c r="N625" s="1" t="s">
        <v>45</v>
      </c>
      <c r="O625" s="1" t="s">
        <v>373</v>
      </c>
      <c r="P625" s="1" t="s">
        <v>54</v>
      </c>
      <c r="Q625" s="1" t="s">
        <v>69</v>
      </c>
      <c r="R625" s="1">
        <v>1059.3599999999999</v>
      </c>
      <c r="S625" s="1" t="s">
        <v>46</v>
      </c>
      <c r="T625" s="1" t="s">
        <v>232</v>
      </c>
      <c r="U625" s="1" t="s">
        <v>35</v>
      </c>
      <c r="V625" s="1" t="s">
        <v>36</v>
      </c>
    </row>
    <row r="626" spans="1:22" x14ac:dyDescent="0.3">
      <c r="A626" s="1" t="s">
        <v>3293</v>
      </c>
      <c r="B626" s="1" t="s">
        <v>3294</v>
      </c>
      <c r="C626" s="1">
        <v>50</v>
      </c>
      <c r="D626" s="1" t="s">
        <v>3295</v>
      </c>
      <c r="E626" s="1" t="s">
        <v>40</v>
      </c>
      <c r="F626" s="2">
        <v>44378</v>
      </c>
      <c r="G626" s="1" t="s">
        <v>2397</v>
      </c>
      <c r="H626" s="1">
        <v>1</v>
      </c>
      <c r="I626" s="1" t="s">
        <v>52</v>
      </c>
      <c r="J626" s="1" t="s">
        <v>634</v>
      </c>
      <c r="K626" s="1" t="s">
        <v>3296</v>
      </c>
      <c r="L626" s="1">
        <v>5</v>
      </c>
      <c r="M626" s="1">
        <v>49</v>
      </c>
      <c r="N626" s="1" t="s">
        <v>56</v>
      </c>
      <c r="O626" s="1" t="s">
        <v>157</v>
      </c>
      <c r="P626" s="1" t="s">
        <v>68</v>
      </c>
      <c r="Q626" s="1" t="s">
        <v>69</v>
      </c>
      <c r="R626" s="1">
        <v>885.5</v>
      </c>
      <c r="S626" s="1" t="s">
        <v>46</v>
      </c>
      <c r="T626" s="1" t="s">
        <v>47</v>
      </c>
      <c r="U626" s="1" t="s">
        <v>35</v>
      </c>
      <c r="V626" s="1" t="s">
        <v>36</v>
      </c>
    </row>
    <row r="627" spans="1:22" x14ac:dyDescent="0.3">
      <c r="A627" s="1" t="s">
        <v>3297</v>
      </c>
      <c r="B627" s="1" t="s">
        <v>3298</v>
      </c>
      <c r="C627" s="1">
        <v>64</v>
      </c>
      <c r="D627" s="1" t="s">
        <v>3299</v>
      </c>
      <c r="E627" s="1" t="s">
        <v>95</v>
      </c>
      <c r="F627" s="1" t="s">
        <v>3300</v>
      </c>
      <c r="G627" s="2">
        <v>44348</v>
      </c>
      <c r="H627" s="1">
        <v>2</v>
      </c>
      <c r="I627" s="1" t="s">
        <v>27</v>
      </c>
      <c r="J627" s="2">
        <v>44746</v>
      </c>
      <c r="K627" s="1" t="s">
        <v>3301</v>
      </c>
      <c r="L627" s="1">
        <v>7</v>
      </c>
      <c r="M627" s="1">
        <v>35</v>
      </c>
      <c r="N627" s="1" t="s">
        <v>54</v>
      </c>
      <c r="O627" s="1" t="s">
        <v>251</v>
      </c>
      <c r="P627" s="1" t="s">
        <v>30</v>
      </c>
      <c r="Q627" s="1" t="s">
        <v>32</v>
      </c>
      <c r="R627" s="1">
        <v>1677.13</v>
      </c>
      <c r="S627" s="1" t="s">
        <v>46</v>
      </c>
      <c r="T627" s="1" t="s">
        <v>47</v>
      </c>
      <c r="U627" s="1" t="s">
        <v>35</v>
      </c>
      <c r="V627" s="1" t="s">
        <v>36</v>
      </c>
    </row>
    <row r="628" spans="1:22" x14ac:dyDescent="0.3">
      <c r="A628" s="1" t="s">
        <v>3302</v>
      </c>
      <c r="B628" s="1" t="s">
        <v>3303</v>
      </c>
      <c r="C628" s="1">
        <v>36</v>
      </c>
      <c r="D628" s="1" t="s">
        <v>3304</v>
      </c>
      <c r="E628" s="1" t="s">
        <v>61</v>
      </c>
      <c r="F628" s="1" t="s">
        <v>2029</v>
      </c>
      <c r="G628" s="1" t="s">
        <v>2743</v>
      </c>
      <c r="H628" s="1">
        <v>3</v>
      </c>
      <c r="I628" s="1" t="s">
        <v>52</v>
      </c>
      <c r="J628" s="1" t="s">
        <v>3210</v>
      </c>
      <c r="K628" s="1" t="s">
        <v>3305</v>
      </c>
      <c r="L628" s="1">
        <v>5</v>
      </c>
      <c r="M628" s="1">
        <v>28</v>
      </c>
      <c r="N628" s="1" t="s">
        <v>56</v>
      </c>
      <c r="O628" s="1" t="s">
        <v>199</v>
      </c>
      <c r="P628" s="1" t="s">
        <v>54</v>
      </c>
      <c r="Q628" s="1" t="s">
        <v>32</v>
      </c>
      <c r="R628" s="1">
        <v>826.95</v>
      </c>
      <c r="S628" s="1" t="s">
        <v>46</v>
      </c>
      <c r="T628" s="1" t="s">
        <v>34</v>
      </c>
      <c r="U628" s="1" t="s">
        <v>35</v>
      </c>
      <c r="V628" s="1" t="s">
        <v>36</v>
      </c>
    </row>
    <row r="629" spans="1:22" x14ac:dyDescent="0.3">
      <c r="A629" s="1" t="s">
        <v>3306</v>
      </c>
      <c r="B629" s="1" t="s">
        <v>3307</v>
      </c>
      <c r="C629" s="1">
        <v>62</v>
      </c>
      <c r="D629" s="1" t="s">
        <v>3308</v>
      </c>
      <c r="E629" s="1" t="s">
        <v>51</v>
      </c>
      <c r="F629" s="1" t="s">
        <v>3309</v>
      </c>
      <c r="G629" s="2">
        <v>45117</v>
      </c>
      <c r="H629" s="1">
        <v>1</v>
      </c>
      <c r="I629" s="1" t="s">
        <v>64</v>
      </c>
      <c r="J629" s="1" t="s">
        <v>1868</v>
      </c>
      <c r="K629" s="1" t="s">
        <v>3310</v>
      </c>
      <c r="L629" s="1">
        <v>2</v>
      </c>
      <c r="M629" s="1">
        <v>28</v>
      </c>
      <c r="N629" s="1" t="s">
        <v>68</v>
      </c>
      <c r="O629" s="1" t="s">
        <v>169</v>
      </c>
      <c r="P629" s="1" t="s">
        <v>30</v>
      </c>
      <c r="Q629" s="1" t="s">
        <v>32</v>
      </c>
      <c r="R629" s="1">
        <v>890.88</v>
      </c>
      <c r="S629" s="1" t="s">
        <v>46</v>
      </c>
      <c r="T629" s="1" t="s">
        <v>47</v>
      </c>
      <c r="U629" s="1" t="s">
        <v>35</v>
      </c>
      <c r="V629" s="1" t="s">
        <v>71</v>
      </c>
    </row>
    <row r="630" spans="1:22" x14ac:dyDescent="0.3">
      <c r="A630" s="1" t="s">
        <v>3311</v>
      </c>
      <c r="B630" s="1" t="s">
        <v>3312</v>
      </c>
      <c r="C630" s="1">
        <v>46</v>
      </c>
      <c r="D630" s="1" t="s">
        <v>3313</v>
      </c>
      <c r="E630" s="1" t="s">
        <v>88</v>
      </c>
      <c r="F630" s="1" t="s">
        <v>934</v>
      </c>
      <c r="G630" s="1" t="s">
        <v>2103</v>
      </c>
      <c r="H630" s="1">
        <v>5</v>
      </c>
      <c r="I630" s="1" t="s">
        <v>52</v>
      </c>
      <c r="J630" s="1" t="s">
        <v>486</v>
      </c>
      <c r="K630" s="1" t="s">
        <v>3314</v>
      </c>
      <c r="L630" s="1">
        <v>3</v>
      </c>
      <c r="M630" s="1">
        <v>30</v>
      </c>
      <c r="N630" s="1" t="s">
        <v>45</v>
      </c>
      <c r="O630" s="1" t="s">
        <v>231</v>
      </c>
      <c r="P630" s="1" t="s">
        <v>30</v>
      </c>
      <c r="Q630" s="1" t="s">
        <v>32</v>
      </c>
      <c r="R630" s="1">
        <v>1686.87</v>
      </c>
      <c r="S630" s="1" t="s">
        <v>46</v>
      </c>
      <c r="T630" s="1" t="s">
        <v>34</v>
      </c>
      <c r="U630" s="1" t="s">
        <v>35</v>
      </c>
      <c r="V630" s="1" t="s">
        <v>36</v>
      </c>
    </row>
    <row r="631" spans="1:22" x14ac:dyDescent="0.3">
      <c r="A631" s="1" t="s">
        <v>3315</v>
      </c>
      <c r="B631" s="1" t="s">
        <v>3316</v>
      </c>
      <c r="C631" s="1">
        <v>43</v>
      </c>
      <c r="D631" s="1" t="s">
        <v>3317</v>
      </c>
      <c r="E631" s="1" t="s">
        <v>61</v>
      </c>
      <c r="F631" s="2">
        <v>44774</v>
      </c>
      <c r="G631" s="1" t="s">
        <v>1324</v>
      </c>
      <c r="H631" s="1">
        <v>0</v>
      </c>
      <c r="I631" s="1" t="s">
        <v>52</v>
      </c>
      <c r="J631" s="1" t="s">
        <v>291</v>
      </c>
      <c r="K631" s="1" t="s">
        <v>3318</v>
      </c>
      <c r="L631" s="1">
        <v>8</v>
      </c>
      <c r="M631" s="1">
        <v>10</v>
      </c>
      <c r="N631" s="1" t="s">
        <v>56</v>
      </c>
      <c r="O631" s="1" t="s">
        <v>597</v>
      </c>
      <c r="P631" s="1" t="s">
        <v>45</v>
      </c>
      <c r="Q631" s="1" t="s">
        <v>32</v>
      </c>
      <c r="R631" s="1">
        <v>868.48</v>
      </c>
      <c r="S631" s="1" t="s">
        <v>46</v>
      </c>
      <c r="T631" s="1" t="s">
        <v>34</v>
      </c>
      <c r="U631" s="1" t="s">
        <v>35</v>
      </c>
      <c r="V631" s="1" t="s">
        <v>36</v>
      </c>
    </row>
    <row r="632" spans="1:22" x14ac:dyDescent="0.3">
      <c r="A632" s="1" t="s">
        <v>3319</v>
      </c>
      <c r="B632" s="1" t="s">
        <v>3320</v>
      </c>
      <c r="C632" s="1">
        <v>67</v>
      </c>
      <c r="D632" s="1" t="s">
        <v>3321</v>
      </c>
      <c r="E632" s="1" t="s">
        <v>88</v>
      </c>
      <c r="F632" s="2">
        <v>44257</v>
      </c>
      <c r="G632" s="2">
        <v>45448</v>
      </c>
      <c r="H632" s="1">
        <v>1</v>
      </c>
      <c r="I632" s="1" t="s">
        <v>64</v>
      </c>
      <c r="J632" s="1" t="s">
        <v>2966</v>
      </c>
      <c r="K632" s="1" t="s">
        <v>3322</v>
      </c>
      <c r="L632" s="1">
        <v>2</v>
      </c>
      <c r="M632" s="1">
        <v>46</v>
      </c>
      <c r="N632" s="1" t="s">
        <v>56</v>
      </c>
      <c r="O632" s="1" t="s">
        <v>837</v>
      </c>
      <c r="P632" s="1" t="s">
        <v>56</v>
      </c>
      <c r="Q632" s="1" t="s">
        <v>69</v>
      </c>
      <c r="R632" s="1">
        <v>1816.8</v>
      </c>
      <c r="S632" s="1" t="s">
        <v>33</v>
      </c>
      <c r="T632" s="1" t="s">
        <v>232</v>
      </c>
      <c r="U632" s="1" t="s">
        <v>35</v>
      </c>
      <c r="V632" s="1" t="s">
        <v>71</v>
      </c>
    </row>
    <row r="633" spans="1:22" x14ac:dyDescent="0.3">
      <c r="A633" s="1" t="s">
        <v>3323</v>
      </c>
      <c r="B633" s="1" t="s">
        <v>3324</v>
      </c>
      <c r="C633" s="1">
        <v>57</v>
      </c>
      <c r="D633" s="1" t="s">
        <v>3325</v>
      </c>
      <c r="E633" s="1" t="s">
        <v>25</v>
      </c>
      <c r="F633" s="2">
        <v>44743</v>
      </c>
      <c r="G633" s="1" t="s">
        <v>2035</v>
      </c>
      <c r="H633" s="1">
        <v>5</v>
      </c>
      <c r="I633" s="1" t="s">
        <v>27</v>
      </c>
      <c r="J633" s="2">
        <v>45999</v>
      </c>
      <c r="K633" s="1" t="s">
        <v>3326</v>
      </c>
      <c r="L633" s="1">
        <v>1</v>
      </c>
      <c r="M633" s="1">
        <v>6</v>
      </c>
      <c r="N633" s="1" t="s">
        <v>68</v>
      </c>
      <c r="O633" s="1" t="s">
        <v>199</v>
      </c>
      <c r="P633" s="1" t="s">
        <v>54</v>
      </c>
      <c r="Q633" s="1" t="s">
        <v>32</v>
      </c>
      <c r="R633" s="1">
        <v>1904.04</v>
      </c>
      <c r="S633" s="1" t="s">
        <v>46</v>
      </c>
      <c r="T633" s="1" t="s">
        <v>47</v>
      </c>
      <c r="U633" s="1" t="s">
        <v>35</v>
      </c>
      <c r="V633" s="1" t="s">
        <v>188</v>
      </c>
    </row>
    <row r="634" spans="1:22" x14ac:dyDescent="0.3">
      <c r="A634" s="1" t="s">
        <v>3327</v>
      </c>
      <c r="B634" s="1" t="s">
        <v>3328</v>
      </c>
      <c r="C634" s="1">
        <v>46</v>
      </c>
      <c r="D634" s="1" t="s">
        <v>3329</v>
      </c>
      <c r="E634" s="1" t="s">
        <v>51</v>
      </c>
      <c r="F634" s="2">
        <v>44207</v>
      </c>
      <c r="G634" s="1" t="s">
        <v>140</v>
      </c>
      <c r="H634" s="1">
        <v>1</v>
      </c>
      <c r="I634" s="1" t="s">
        <v>27</v>
      </c>
      <c r="J634" s="1" t="s">
        <v>3330</v>
      </c>
      <c r="K634" s="1" t="s">
        <v>3331</v>
      </c>
      <c r="L634" s="1">
        <v>6</v>
      </c>
      <c r="M634" s="1">
        <v>42</v>
      </c>
      <c r="N634" s="1" t="s">
        <v>54</v>
      </c>
      <c r="O634" s="1" t="s">
        <v>425</v>
      </c>
      <c r="P634" s="1" t="s">
        <v>30</v>
      </c>
      <c r="Q634" s="1" t="s">
        <v>69</v>
      </c>
      <c r="R634" s="1">
        <v>1879.5</v>
      </c>
      <c r="S634" s="1" t="s">
        <v>46</v>
      </c>
      <c r="T634" s="1" t="s">
        <v>34</v>
      </c>
      <c r="U634" s="1" t="s">
        <v>35</v>
      </c>
      <c r="V634" s="1" t="s">
        <v>36</v>
      </c>
    </row>
    <row r="635" spans="1:22" x14ac:dyDescent="0.3">
      <c r="A635" s="1" t="s">
        <v>3332</v>
      </c>
      <c r="B635" s="1" t="s">
        <v>3333</v>
      </c>
      <c r="C635" s="1">
        <v>65</v>
      </c>
      <c r="D635" s="1" t="s">
        <v>3334</v>
      </c>
      <c r="E635" s="1" t="s">
        <v>25</v>
      </c>
      <c r="F635" s="2">
        <v>45268</v>
      </c>
      <c r="G635" s="1" t="s">
        <v>3335</v>
      </c>
      <c r="H635" s="1">
        <v>0</v>
      </c>
      <c r="I635" s="1" t="s">
        <v>64</v>
      </c>
      <c r="J635" s="1" t="s">
        <v>616</v>
      </c>
      <c r="K635" s="1" t="s">
        <v>3336</v>
      </c>
      <c r="L635" s="1">
        <v>8</v>
      </c>
      <c r="M635" s="1">
        <v>37</v>
      </c>
      <c r="N635" s="1" t="s">
        <v>56</v>
      </c>
      <c r="O635" s="1" t="s">
        <v>604</v>
      </c>
      <c r="P635" s="1" t="s">
        <v>45</v>
      </c>
      <c r="Q635" s="1" t="s">
        <v>69</v>
      </c>
      <c r="R635" s="1">
        <v>1398.88</v>
      </c>
      <c r="S635" s="1" t="s">
        <v>46</v>
      </c>
      <c r="T635" s="1" t="s">
        <v>232</v>
      </c>
      <c r="U635" s="1" t="s">
        <v>35</v>
      </c>
      <c r="V635" s="1" t="s">
        <v>71</v>
      </c>
    </row>
    <row r="636" spans="1:22" x14ac:dyDescent="0.3">
      <c r="A636" s="1" t="s">
        <v>3337</v>
      </c>
      <c r="B636" s="1" t="s">
        <v>3338</v>
      </c>
      <c r="C636" s="1">
        <v>39</v>
      </c>
      <c r="D636" s="1" t="s">
        <v>3339</v>
      </c>
      <c r="E636" s="1" t="s">
        <v>25</v>
      </c>
      <c r="F636" s="1" t="s">
        <v>3340</v>
      </c>
      <c r="G636" s="1" t="s">
        <v>3341</v>
      </c>
      <c r="H636" s="1">
        <v>5</v>
      </c>
      <c r="I636" s="1" t="s">
        <v>27</v>
      </c>
      <c r="J636" s="2">
        <v>45749</v>
      </c>
      <c r="K636" s="1" t="s">
        <v>3342</v>
      </c>
      <c r="L636" s="1">
        <v>8</v>
      </c>
      <c r="M636" s="1">
        <v>18</v>
      </c>
      <c r="N636" s="1" t="s">
        <v>56</v>
      </c>
      <c r="O636" s="1" t="s">
        <v>169</v>
      </c>
      <c r="P636" s="1" t="s">
        <v>30</v>
      </c>
      <c r="Q636" s="1" t="s">
        <v>69</v>
      </c>
      <c r="R636" s="1">
        <v>1657.76</v>
      </c>
      <c r="S636" s="1" t="s">
        <v>46</v>
      </c>
      <c r="T636" s="1" t="s">
        <v>34</v>
      </c>
      <c r="U636" s="1" t="s">
        <v>35</v>
      </c>
      <c r="V636" s="1" t="s">
        <v>188</v>
      </c>
    </row>
    <row r="637" spans="1:22" x14ac:dyDescent="0.3">
      <c r="A637" s="1" t="s">
        <v>3343</v>
      </c>
      <c r="B637" s="1" t="s">
        <v>3344</v>
      </c>
      <c r="C637" s="1">
        <v>57</v>
      </c>
      <c r="D637" s="1" t="s">
        <v>3345</v>
      </c>
      <c r="E637" s="1" t="s">
        <v>61</v>
      </c>
      <c r="F637" s="1" t="s">
        <v>3272</v>
      </c>
      <c r="G637" s="1" t="s">
        <v>995</v>
      </c>
      <c r="H637" s="1">
        <v>0</v>
      </c>
      <c r="I637" s="1" t="s">
        <v>27</v>
      </c>
      <c r="J637" s="2">
        <v>44356</v>
      </c>
      <c r="K637" s="1" t="s">
        <v>3346</v>
      </c>
      <c r="L637" s="1">
        <v>4</v>
      </c>
      <c r="M637" s="1">
        <v>40</v>
      </c>
      <c r="N637" s="1" t="s">
        <v>45</v>
      </c>
      <c r="O637" s="1" t="s">
        <v>238</v>
      </c>
      <c r="P637" s="1" t="s">
        <v>45</v>
      </c>
      <c r="Q637" s="1" t="s">
        <v>32</v>
      </c>
      <c r="R637" s="1">
        <v>930.04</v>
      </c>
      <c r="S637" s="1" t="s">
        <v>33</v>
      </c>
      <c r="T637" s="1" t="s">
        <v>47</v>
      </c>
      <c r="U637" s="1" t="s">
        <v>35</v>
      </c>
      <c r="V637" s="1" t="s">
        <v>36</v>
      </c>
    </row>
    <row r="638" spans="1:22" x14ac:dyDescent="0.3">
      <c r="A638" s="1" t="s">
        <v>3347</v>
      </c>
      <c r="B638" s="1" t="s">
        <v>3348</v>
      </c>
      <c r="C638" s="1">
        <v>55</v>
      </c>
      <c r="D638" s="1" t="s">
        <v>3349</v>
      </c>
      <c r="E638" s="1" t="s">
        <v>88</v>
      </c>
      <c r="F638" s="2">
        <v>44593</v>
      </c>
      <c r="G638" s="1" t="s">
        <v>872</v>
      </c>
      <c r="H638" s="1">
        <v>0</v>
      </c>
      <c r="I638" s="1" t="s">
        <v>27</v>
      </c>
      <c r="J638" s="2">
        <v>45749</v>
      </c>
      <c r="K638" s="1" t="s">
        <v>3350</v>
      </c>
      <c r="L638" s="1">
        <v>9</v>
      </c>
      <c r="M638" s="1">
        <v>25</v>
      </c>
      <c r="N638" s="1" t="s">
        <v>30</v>
      </c>
      <c r="O638" s="1" t="s">
        <v>354</v>
      </c>
      <c r="P638" s="1" t="s">
        <v>45</v>
      </c>
      <c r="Q638" s="1" t="s">
        <v>32</v>
      </c>
      <c r="R638" s="1">
        <v>604.71</v>
      </c>
      <c r="S638" s="1" t="s">
        <v>46</v>
      </c>
      <c r="T638" s="1" t="s">
        <v>47</v>
      </c>
      <c r="U638" s="1" t="s">
        <v>35</v>
      </c>
      <c r="V638" s="1" t="s">
        <v>36</v>
      </c>
    </row>
    <row r="639" spans="1:22" x14ac:dyDescent="0.3">
      <c r="A639" s="1" t="s">
        <v>3351</v>
      </c>
      <c r="B639" s="1" t="s">
        <v>3352</v>
      </c>
      <c r="C639" s="1">
        <v>37</v>
      </c>
      <c r="D639" s="1" t="s">
        <v>3353</v>
      </c>
      <c r="E639" s="1" t="s">
        <v>95</v>
      </c>
      <c r="F639" s="1" t="s">
        <v>3354</v>
      </c>
      <c r="G639" s="1" t="s">
        <v>89</v>
      </c>
      <c r="H639" s="1">
        <v>0</v>
      </c>
      <c r="I639" s="1" t="s">
        <v>27</v>
      </c>
      <c r="J639" s="1" t="s">
        <v>1983</v>
      </c>
      <c r="K639" s="1" t="s">
        <v>3355</v>
      </c>
      <c r="L639" s="1">
        <v>6</v>
      </c>
      <c r="M639" s="1">
        <v>39</v>
      </c>
      <c r="N639" s="1" t="s">
        <v>54</v>
      </c>
      <c r="O639" s="1" t="s">
        <v>211</v>
      </c>
      <c r="P639" s="1" t="s">
        <v>68</v>
      </c>
      <c r="Q639" s="1" t="s">
        <v>69</v>
      </c>
      <c r="R639" s="1">
        <v>671.28</v>
      </c>
      <c r="S639" s="1" t="s">
        <v>46</v>
      </c>
      <c r="T639" s="1" t="s">
        <v>34</v>
      </c>
      <c r="U639" s="1" t="s">
        <v>35</v>
      </c>
      <c r="V639" s="1" t="s">
        <v>36</v>
      </c>
    </row>
    <row r="640" spans="1:22" x14ac:dyDescent="0.3">
      <c r="A640" s="1" t="s">
        <v>3356</v>
      </c>
      <c r="B640" s="1" t="s">
        <v>3357</v>
      </c>
      <c r="C640" s="1">
        <v>58</v>
      </c>
      <c r="D640" s="1" t="s">
        <v>3358</v>
      </c>
      <c r="E640" s="1" t="s">
        <v>95</v>
      </c>
      <c r="F640" s="1" t="s">
        <v>261</v>
      </c>
      <c r="G640" s="2">
        <v>45846</v>
      </c>
      <c r="H640" s="1">
        <v>3</v>
      </c>
      <c r="I640" s="1" t="s">
        <v>64</v>
      </c>
      <c r="J640" s="1" t="s">
        <v>2603</v>
      </c>
      <c r="K640" s="1" t="s">
        <v>3359</v>
      </c>
      <c r="L640" s="1">
        <v>1</v>
      </c>
      <c r="M640" s="1">
        <v>1</v>
      </c>
      <c r="N640" s="1" t="s">
        <v>68</v>
      </c>
      <c r="O640" s="1" t="s">
        <v>425</v>
      </c>
      <c r="P640" s="1" t="s">
        <v>30</v>
      </c>
      <c r="Q640" s="1" t="s">
        <v>32</v>
      </c>
      <c r="R640" s="1">
        <v>924.05</v>
      </c>
      <c r="S640" s="1" t="s">
        <v>46</v>
      </c>
      <c r="T640" s="1" t="s">
        <v>47</v>
      </c>
      <c r="U640" s="1" t="s">
        <v>101</v>
      </c>
      <c r="V640" s="1" t="s">
        <v>71</v>
      </c>
    </row>
    <row r="641" spans="1:22" x14ac:dyDescent="0.3">
      <c r="A641" s="1" t="s">
        <v>3360</v>
      </c>
      <c r="B641" s="1" t="s">
        <v>3361</v>
      </c>
      <c r="C641" s="1">
        <v>40</v>
      </c>
      <c r="D641" s="1" t="s">
        <v>3362</v>
      </c>
      <c r="E641" s="1" t="s">
        <v>51</v>
      </c>
      <c r="F641" s="1" t="s">
        <v>1031</v>
      </c>
      <c r="G641" s="1" t="s">
        <v>2087</v>
      </c>
      <c r="H641" s="1">
        <v>3</v>
      </c>
      <c r="I641" s="1" t="s">
        <v>27</v>
      </c>
      <c r="J641" s="1" t="s">
        <v>1924</v>
      </c>
      <c r="K641" s="1" t="s">
        <v>3363</v>
      </c>
      <c r="L641" s="1">
        <v>6</v>
      </c>
      <c r="M641" s="1">
        <v>6</v>
      </c>
      <c r="N641" s="1" t="s">
        <v>56</v>
      </c>
      <c r="O641" s="1" t="s">
        <v>251</v>
      </c>
      <c r="P641" s="1" t="s">
        <v>30</v>
      </c>
      <c r="Q641" s="1" t="s">
        <v>32</v>
      </c>
      <c r="R641" s="1">
        <v>510.48</v>
      </c>
      <c r="S641" s="1" t="s">
        <v>46</v>
      </c>
      <c r="T641" s="1" t="s">
        <v>34</v>
      </c>
      <c r="U641" s="1" t="s">
        <v>35</v>
      </c>
      <c r="V641" s="1" t="s">
        <v>36</v>
      </c>
    </row>
    <row r="642" spans="1:22" x14ac:dyDescent="0.3">
      <c r="A642" s="1" t="s">
        <v>3364</v>
      </c>
      <c r="B642" s="1" t="s">
        <v>3365</v>
      </c>
      <c r="C642" s="1">
        <v>69</v>
      </c>
      <c r="D642" s="1" t="s">
        <v>3366</v>
      </c>
      <c r="E642" s="1" t="s">
        <v>61</v>
      </c>
      <c r="F642" s="1" t="s">
        <v>3367</v>
      </c>
      <c r="G642" s="1" t="s">
        <v>2579</v>
      </c>
      <c r="H642" s="1">
        <v>5</v>
      </c>
      <c r="I642" s="1" t="s">
        <v>52</v>
      </c>
      <c r="J642" s="1" t="s">
        <v>1801</v>
      </c>
      <c r="K642" s="1" t="s">
        <v>3368</v>
      </c>
      <c r="L642" s="1">
        <v>8</v>
      </c>
      <c r="M642" s="1">
        <v>33</v>
      </c>
      <c r="N642" s="1" t="s">
        <v>68</v>
      </c>
      <c r="O642" s="1" t="s">
        <v>77</v>
      </c>
      <c r="P642" s="1" t="s">
        <v>54</v>
      </c>
      <c r="Q642" s="1" t="s">
        <v>32</v>
      </c>
      <c r="R642" s="1">
        <v>1436</v>
      </c>
      <c r="S642" s="1" t="s">
        <v>46</v>
      </c>
      <c r="T642" s="1" t="s">
        <v>232</v>
      </c>
      <c r="U642" s="1" t="s">
        <v>35</v>
      </c>
      <c r="V642" s="1" t="s">
        <v>36</v>
      </c>
    </row>
    <row r="643" spans="1:22" x14ac:dyDescent="0.3">
      <c r="A643" s="1" t="s">
        <v>3369</v>
      </c>
      <c r="B643" s="1" t="s">
        <v>3370</v>
      </c>
      <c r="C643" s="1">
        <v>41</v>
      </c>
      <c r="D643" s="1" t="s">
        <v>3371</v>
      </c>
      <c r="E643" s="1" t="s">
        <v>88</v>
      </c>
      <c r="F643" s="2">
        <v>44293</v>
      </c>
      <c r="G643" s="1" t="s">
        <v>3372</v>
      </c>
      <c r="H643" s="1">
        <v>4</v>
      </c>
      <c r="I643" s="1" t="s">
        <v>64</v>
      </c>
      <c r="J643" s="1" t="s">
        <v>1755</v>
      </c>
      <c r="K643" s="1" t="s">
        <v>3373</v>
      </c>
      <c r="L643" s="1">
        <v>4</v>
      </c>
      <c r="M643" s="1">
        <v>49</v>
      </c>
      <c r="N643" s="1" t="s">
        <v>45</v>
      </c>
      <c r="O643" s="1" t="s">
        <v>269</v>
      </c>
      <c r="P643" s="1" t="s">
        <v>56</v>
      </c>
      <c r="Q643" s="1" t="s">
        <v>69</v>
      </c>
      <c r="R643" s="1">
        <v>292.60000000000002</v>
      </c>
      <c r="S643" s="1" t="s">
        <v>46</v>
      </c>
      <c r="T643" s="1" t="s">
        <v>34</v>
      </c>
      <c r="U643" s="1" t="s">
        <v>35</v>
      </c>
      <c r="V643" s="1" t="s">
        <v>71</v>
      </c>
    </row>
    <row r="644" spans="1:22" x14ac:dyDescent="0.3">
      <c r="A644" s="1" t="s">
        <v>3374</v>
      </c>
      <c r="B644" s="1" t="s">
        <v>3375</v>
      </c>
      <c r="C644" s="1">
        <v>64</v>
      </c>
      <c r="D644" s="1" t="s">
        <v>3376</v>
      </c>
      <c r="E644" s="1" t="s">
        <v>51</v>
      </c>
      <c r="F644" s="2">
        <v>44874</v>
      </c>
      <c r="G644" s="2">
        <v>45937</v>
      </c>
      <c r="H644" s="1">
        <v>0</v>
      </c>
      <c r="I644" s="1" t="s">
        <v>27</v>
      </c>
      <c r="J644" s="2">
        <v>45962</v>
      </c>
      <c r="K644" s="1" t="s">
        <v>3377</v>
      </c>
      <c r="L644" s="1">
        <v>6</v>
      </c>
      <c r="M644" s="1">
        <v>38</v>
      </c>
      <c r="N644" s="1" t="s">
        <v>45</v>
      </c>
      <c r="O644" s="1" t="s">
        <v>269</v>
      </c>
      <c r="P644" s="1" t="s">
        <v>56</v>
      </c>
      <c r="Q644" s="1" t="s">
        <v>69</v>
      </c>
      <c r="R644" s="1">
        <v>1083.8399999999999</v>
      </c>
      <c r="S644" s="1" t="s">
        <v>46</v>
      </c>
      <c r="T644" s="1" t="s">
        <v>47</v>
      </c>
      <c r="U644" s="1" t="s">
        <v>35</v>
      </c>
      <c r="V644" s="1" t="s">
        <v>36</v>
      </c>
    </row>
    <row r="645" spans="1:22" x14ac:dyDescent="0.3">
      <c r="A645" s="1" t="s">
        <v>3378</v>
      </c>
      <c r="B645" s="1" t="s">
        <v>3379</v>
      </c>
      <c r="C645" s="1">
        <v>46</v>
      </c>
      <c r="D645" s="1" t="s">
        <v>3380</v>
      </c>
      <c r="E645" s="1" t="s">
        <v>95</v>
      </c>
      <c r="F645" s="1" t="s">
        <v>3341</v>
      </c>
      <c r="G645" s="2">
        <v>45208</v>
      </c>
      <c r="H645" s="1">
        <v>0</v>
      </c>
      <c r="I645" s="1" t="s">
        <v>27</v>
      </c>
      <c r="J645" s="1" t="s">
        <v>1775</v>
      </c>
      <c r="K645" s="1" t="s">
        <v>3381</v>
      </c>
      <c r="L645" s="1">
        <v>8</v>
      </c>
      <c r="M645" s="1">
        <v>10</v>
      </c>
      <c r="N645" s="1" t="s">
        <v>68</v>
      </c>
      <c r="O645" s="1" t="s">
        <v>67</v>
      </c>
      <c r="P645" s="1" t="s">
        <v>68</v>
      </c>
      <c r="Q645" s="1" t="s">
        <v>69</v>
      </c>
      <c r="R645" s="1">
        <v>1283.28</v>
      </c>
      <c r="S645" s="1" t="s">
        <v>33</v>
      </c>
      <c r="T645" s="1" t="s">
        <v>34</v>
      </c>
      <c r="U645" s="1" t="s">
        <v>35</v>
      </c>
      <c r="V645" s="1" t="s">
        <v>36</v>
      </c>
    </row>
    <row r="646" spans="1:22" x14ac:dyDescent="0.3">
      <c r="A646" s="1" t="s">
        <v>3382</v>
      </c>
      <c r="B646" s="1" t="s">
        <v>3383</v>
      </c>
      <c r="C646" s="1">
        <v>21</v>
      </c>
      <c r="D646" s="1" t="s">
        <v>3384</v>
      </c>
      <c r="E646" s="1" t="s">
        <v>88</v>
      </c>
      <c r="F646" s="2">
        <v>44323</v>
      </c>
      <c r="G646" s="2">
        <v>45547</v>
      </c>
      <c r="H646" s="1">
        <v>0</v>
      </c>
      <c r="I646" s="1" t="s">
        <v>27</v>
      </c>
      <c r="J646" s="2">
        <v>44323</v>
      </c>
      <c r="K646" s="1" t="s">
        <v>3385</v>
      </c>
      <c r="L646" s="1">
        <v>9</v>
      </c>
      <c r="M646" s="1">
        <v>28</v>
      </c>
      <c r="N646" s="1" t="s">
        <v>30</v>
      </c>
      <c r="O646" s="1" t="s">
        <v>67</v>
      </c>
      <c r="P646" s="1" t="s">
        <v>68</v>
      </c>
      <c r="Q646" s="1" t="s">
        <v>32</v>
      </c>
      <c r="R646" s="1">
        <v>993.51</v>
      </c>
      <c r="S646" s="1" t="s">
        <v>46</v>
      </c>
      <c r="T646" s="1" t="s">
        <v>100</v>
      </c>
      <c r="U646" s="1" t="s">
        <v>35</v>
      </c>
      <c r="V646" s="1" t="s">
        <v>36</v>
      </c>
    </row>
    <row r="647" spans="1:22" x14ac:dyDescent="0.3">
      <c r="A647" s="1" t="s">
        <v>3386</v>
      </c>
      <c r="B647" s="1" t="s">
        <v>3387</v>
      </c>
      <c r="C647" s="1">
        <v>32</v>
      </c>
      <c r="D647" s="1" t="s">
        <v>3388</v>
      </c>
      <c r="E647" s="1" t="s">
        <v>51</v>
      </c>
      <c r="F647" s="1" t="s">
        <v>1396</v>
      </c>
      <c r="G647" s="1" t="s">
        <v>1105</v>
      </c>
      <c r="H647" s="1">
        <v>2</v>
      </c>
      <c r="I647" s="1" t="s">
        <v>27</v>
      </c>
      <c r="J647" s="2">
        <v>45420</v>
      </c>
      <c r="K647" s="1" t="s">
        <v>3389</v>
      </c>
      <c r="L647" s="1">
        <v>6</v>
      </c>
      <c r="M647" s="1">
        <v>46</v>
      </c>
      <c r="N647" s="1" t="s">
        <v>56</v>
      </c>
      <c r="O647" s="1" t="s">
        <v>55</v>
      </c>
      <c r="P647" s="1" t="s">
        <v>56</v>
      </c>
      <c r="Q647" s="1" t="s">
        <v>32</v>
      </c>
      <c r="R647" s="1">
        <v>1213.32</v>
      </c>
      <c r="S647" s="1" t="s">
        <v>33</v>
      </c>
      <c r="T647" s="1" t="s">
        <v>57</v>
      </c>
      <c r="U647" s="1" t="s">
        <v>35</v>
      </c>
      <c r="V647" s="1" t="s">
        <v>36</v>
      </c>
    </row>
    <row r="648" spans="1:22" x14ac:dyDescent="0.3">
      <c r="A648" s="1" t="s">
        <v>3390</v>
      </c>
      <c r="B648" s="1" t="s">
        <v>3391</v>
      </c>
      <c r="C648" s="1">
        <v>19</v>
      </c>
      <c r="D648" s="1" t="s">
        <v>3392</v>
      </c>
      <c r="E648" s="1" t="s">
        <v>51</v>
      </c>
      <c r="F648" s="2">
        <v>44660</v>
      </c>
      <c r="G648" s="1" t="s">
        <v>3393</v>
      </c>
      <c r="H648" s="1">
        <v>4</v>
      </c>
      <c r="I648" s="1" t="s">
        <v>27</v>
      </c>
      <c r="J648" s="2">
        <v>45388</v>
      </c>
      <c r="K648" s="1" t="s">
        <v>3394</v>
      </c>
      <c r="L648" s="1">
        <v>8</v>
      </c>
      <c r="M648" s="1">
        <v>13</v>
      </c>
      <c r="N648" s="1" t="s">
        <v>45</v>
      </c>
      <c r="O648" s="1" t="s">
        <v>855</v>
      </c>
      <c r="P648" s="1" t="s">
        <v>45</v>
      </c>
      <c r="Q648" s="1" t="s">
        <v>69</v>
      </c>
      <c r="R648" s="1">
        <v>1177.68</v>
      </c>
      <c r="S648" s="1" t="s">
        <v>33</v>
      </c>
      <c r="T648" s="1" t="s">
        <v>100</v>
      </c>
      <c r="U648" s="1" t="s">
        <v>35</v>
      </c>
      <c r="V648" s="1" t="s">
        <v>188</v>
      </c>
    </row>
    <row r="649" spans="1:22" x14ac:dyDescent="0.3">
      <c r="A649" s="1" t="s">
        <v>3395</v>
      </c>
      <c r="B649" s="1" t="s">
        <v>3396</v>
      </c>
      <c r="C649" s="1">
        <v>52</v>
      </c>
      <c r="D649" s="1" t="s">
        <v>3397</v>
      </c>
      <c r="E649" s="1" t="s">
        <v>95</v>
      </c>
      <c r="F649" s="1" t="s">
        <v>3398</v>
      </c>
      <c r="G649" s="2">
        <v>45907</v>
      </c>
      <c r="H649" s="1">
        <v>3</v>
      </c>
      <c r="I649" s="1" t="s">
        <v>64</v>
      </c>
      <c r="J649" s="1" t="s">
        <v>934</v>
      </c>
      <c r="K649" s="1" t="s">
        <v>3399</v>
      </c>
      <c r="L649" s="1">
        <v>2</v>
      </c>
      <c r="M649" s="1">
        <v>16</v>
      </c>
      <c r="N649" s="1" t="s">
        <v>45</v>
      </c>
      <c r="O649" s="1" t="s">
        <v>425</v>
      </c>
      <c r="P649" s="1" t="s">
        <v>30</v>
      </c>
      <c r="Q649" s="1" t="s">
        <v>32</v>
      </c>
      <c r="R649" s="1">
        <v>422.16</v>
      </c>
      <c r="S649" s="1" t="s">
        <v>46</v>
      </c>
      <c r="T649" s="1" t="s">
        <v>47</v>
      </c>
      <c r="U649" s="1" t="s">
        <v>35</v>
      </c>
      <c r="V649" s="1" t="s">
        <v>71</v>
      </c>
    </row>
    <row r="650" spans="1:22" x14ac:dyDescent="0.3">
      <c r="A650" s="1" t="s">
        <v>3400</v>
      </c>
      <c r="B650" s="1" t="s">
        <v>3401</v>
      </c>
      <c r="C650" s="1">
        <v>24</v>
      </c>
      <c r="D650" s="1" t="s">
        <v>3402</v>
      </c>
      <c r="E650" s="1" t="s">
        <v>40</v>
      </c>
      <c r="F650" s="2">
        <v>44477</v>
      </c>
      <c r="G650" s="1" t="s">
        <v>872</v>
      </c>
      <c r="H650" s="1">
        <v>0</v>
      </c>
      <c r="I650" s="1" t="s">
        <v>64</v>
      </c>
      <c r="J650" s="1" t="s">
        <v>1546</v>
      </c>
      <c r="K650" s="1" t="s">
        <v>3403</v>
      </c>
      <c r="L650" s="1">
        <v>8</v>
      </c>
      <c r="M650" s="1">
        <v>25</v>
      </c>
      <c r="N650" s="1" t="s">
        <v>56</v>
      </c>
      <c r="O650" s="1" t="s">
        <v>157</v>
      </c>
      <c r="P650" s="1" t="s">
        <v>68</v>
      </c>
      <c r="Q650" s="1" t="s">
        <v>69</v>
      </c>
      <c r="R650" s="1">
        <v>461.84</v>
      </c>
      <c r="S650" s="1" t="s">
        <v>46</v>
      </c>
      <c r="T650" s="1" t="s">
        <v>100</v>
      </c>
      <c r="U650" s="1" t="s">
        <v>35</v>
      </c>
      <c r="V650" s="1" t="s">
        <v>71</v>
      </c>
    </row>
    <row r="651" spans="1:22" x14ac:dyDescent="0.3">
      <c r="A651" s="1" t="s">
        <v>3404</v>
      </c>
      <c r="B651" s="1" t="s">
        <v>3405</v>
      </c>
      <c r="C651" s="1">
        <v>66</v>
      </c>
      <c r="D651" s="1" t="s">
        <v>3406</v>
      </c>
      <c r="E651" s="1" t="s">
        <v>40</v>
      </c>
      <c r="F651" s="1" t="s">
        <v>3407</v>
      </c>
      <c r="G651" s="1" t="s">
        <v>423</v>
      </c>
      <c r="H651" s="1">
        <v>2</v>
      </c>
      <c r="I651" s="1" t="s">
        <v>52</v>
      </c>
      <c r="J651" s="1" t="s">
        <v>1283</v>
      </c>
      <c r="K651" s="1" t="s">
        <v>3408</v>
      </c>
      <c r="L651" s="1">
        <v>2</v>
      </c>
      <c r="M651" s="1">
        <v>19</v>
      </c>
      <c r="N651" s="1" t="s">
        <v>30</v>
      </c>
      <c r="O651" s="1" t="s">
        <v>418</v>
      </c>
      <c r="P651" s="1" t="s">
        <v>56</v>
      </c>
      <c r="Q651" s="1" t="s">
        <v>32</v>
      </c>
      <c r="R651" s="1">
        <v>1572.16</v>
      </c>
      <c r="S651" s="1" t="s">
        <v>46</v>
      </c>
      <c r="T651" s="1" t="s">
        <v>232</v>
      </c>
      <c r="U651" s="1" t="s">
        <v>35</v>
      </c>
      <c r="V651" s="1" t="s">
        <v>36</v>
      </c>
    </row>
    <row r="652" spans="1:22" x14ac:dyDescent="0.3">
      <c r="A652" s="1" t="s">
        <v>3409</v>
      </c>
      <c r="B652" s="1" t="s">
        <v>3410</v>
      </c>
      <c r="C652" s="1">
        <v>43</v>
      </c>
      <c r="D652" s="1" t="s">
        <v>3411</v>
      </c>
      <c r="E652" s="1" t="s">
        <v>40</v>
      </c>
      <c r="F652" s="1" t="s">
        <v>3412</v>
      </c>
      <c r="G652" s="1" t="s">
        <v>1790</v>
      </c>
      <c r="H652" s="1">
        <v>4</v>
      </c>
      <c r="I652" s="1" t="s">
        <v>27</v>
      </c>
      <c r="J652" s="1" t="s">
        <v>2152</v>
      </c>
      <c r="K652" s="1" t="s">
        <v>3413</v>
      </c>
      <c r="L652" s="1">
        <v>8</v>
      </c>
      <c r="M652" s="1">
        <v>37</v>
      </c>
      <c r="N652" s="1" t="s">
        <v>68</v>
      </c>
      <c r="O652" s="1" t="s">
        <v>821</v>
      </c>
      <c r="P652" s="1" t="s">
        <v>68</v>
      </c>
      <c r="Q652" s="1" t="s">
        <v>32</v>
      </c>
      <c r="R652" s="1">
        <v>621.36</v>
      </c>
      <c r="S652" s="1" t="s">
        <v>33</v>
      </c>
      <c r="T652" s="1" t="s">
        <v>34</v>
      </c>
      <c r="U652" s="1" t="s">
        <v>35</v>
      </c>
      <c r="V652" s="1" t="s">
        <v>188</v>
      </c>
    </row>
    <row r="653" spans="1:22" x14ac:dyDescent="0.3">
      <c r="A653" s="1" t="s">
        <v>3414</v>
      </c>
      <c r="B653" s="1" t="s">
        <v>3415</v>
      </c>
      <c r="C653" s="1">
        <v>25</v>
      </c>
      <c r="D653" s="1" t="s">
        <v>3416</v>
      </c>
      <c r="E653" s="1" t="s">
        <v>95</v>
      </c>
      <c r="F653" s="1" t="s">
        <v>652</v>
      </c>
      <c r="G653" s="1" t="s">
        <v>1923</v>
      </c>
      <c r="H653" s="1">
        <v>5</v>
      </c>
      <c r="I653" s="1" t="s">
        <v>27</v>
      </c>
      <c r="J653" s="2">
        <v>45210</v>
      </c>
      <c r="K653" s="1" t="s">
        <v>3417</v>
      </c>
      <c r="L653" s="1">
        <v>3</v>
      </c>
      <c r="M653" s="1">
        <v>49</v>
      </c>
      <c r="N653" s="1" t="s">
        <v>30</v>
      </c>
      <c r="O653" s="1" t="s">
        <v>418</v>
      </c>
      <c r="P653" s="1" t="s">
        <v>56</v>
      </c>
      <c r="Q653" s="1" t="s">
        <v>69</v>
      </c>
      <c r="R653" s="1">
        <v>256.2</v>
      </c>
      <c r="S653" s="1" t="s">
        <v>46</v>
      </c>
      <c r="T653" s="1" t="s">
        <v>57</v>
      </c>
      <c r="U653" s="1" t="s">
        <v>35</v>
      </c>
      <c r="V653" s="1" t="s">
        <v>188</v>
      </c>
    </row>
    <row r="654" spans="1:22" x14ac:dyDescent="0.3">
      <c r="A654" s="1" t="s">
        <v>3418</v>
      </c>
      <c r="B654" s="1" t="s">
        <v>3419</v>
      </c>
      <c r="C654" s="1">
        <v>59</v>
      </c>
      <c r="D654" s="1" t="s">
        <v>3420</v>
      </c>
      <c r="E654" s="1" t="s">
        <v>40</v>
      </c>
      <c r="F654" s="1" t="s">
        <v>2933</v>
      </c>
      <c r="G654" s="2">
        <v>45603</v>
      </c>
      <c r="H654" s="1">
        <v>1</v>
      </c>
      <c r="I654" s="1" t="s">
        <v>27</v>
      </c>
      <c r="J654" s="2">
        <v>45782</v>
      </c>
      <c r="K654" s="1" t="s">
        <v>3421</v>
      </c>
      <c r="L654" s="1">
        <v>1</v>
      </c>
      <c r="M654" s="1">
        <v>28</v>
      </c>
      <c r="N654" s="1" t="s">
        <v>45</v>
      </c>
      <c r="O654" s="1" t="s">
        <v>122</v>
      </c>
      <c r="P654" s="1" t="s">
        <v>30</v>
      </c>
      <c r="Q654" s="1" t="s">
        <v>69</v>
      </c>
      <c r="R654" s="1">
        <v>1165.6500000000001</v>
      </c>
      <c r="S654" s="1" t="s">
        <v>46</v>
      </c>
      <c r="T654" s="1" t="s">
        <v>47</v>
      </c>
      <c r="U654" s="1" t="s">
        <v>35</v>
      </c>
      <c r="V654" s="1" t="s">
        <v>36</v>
      </c>
    </row>
    <row r="655" spans="1:22" x14ac:dyDescent="0.3">
      <c r="A655" s="1" t="s">
        <v>3422</v>
      </c>
      <c r="B655" s="1" t="s">
        <v>3423</v>
      </c>
      <c r="C655" s="1">
        <v>47</v>
      </c>
      <c r="D655" s="1" t="s">
        <v>3424</v>
      </c>
      <c r="E655" s="1" t="s">
        <v>95</v>
      </c>
      <c r="F655" s="1" t="s">
        <v>589</v>
      </c>
      <c r="G655" s="1" t="s">
        <v>1764</v>
      </c>
      <c r="H655" s="1">
        <v>4</v>
      </c>
      <c r="I655" s="1" t="s">
        <v>27</v>
      </c>
      <c r="J655" s="1" t="s">
        <v>3425</v>
      </c>
      <c r="K655" s="1" t="s">
        <v>3426</v>
      </c>
      <c r="L655" s="1">
        <v>7</v>
      </c>
      <c r="M655" s="1">
        <v>20</v>
      </c>
      <c r="N655" s="1" t="s">
        <v>56</v>
      </c>
      <c r="O655" s="1" t="s">
        <v>157</v>
      </c>
      <c r="P655" s="1" t="s">
        <v>68</v>
      </c>
      <c r="Q655" s="1" t="s">
        <v>69</v>
      </c>
      <c r="R655" s="1">
        <v>343.42</v>
      </c>
      <c r="S655" s="1" t="s">
        <v>46</v>
      </c>
      <c r="T655" s="1" t="s">
        <v>34</v>
      </c>
      <c r="U655" s="1" t="s">
        <v>35</v>
      </c>
      <c r="V655" s="1" t="s">
        <v>188</v>
      </c>
    </row>
    <row r="656" spans="1:22" x14ac:dyDescent="0.3">
      <c r="A656" s="1" t="s">
        <v>3427</v>
      </c>
      <c r="B656" s="1" t="s">
        <v>3428</v>
      </c>
      <c r="C656" s="1">
        <v>46</v>
      </c>
      <c r="D656" s="1" t="s">
        <v>3429</v>
      </c>
      <c r="E656" s="1" t="s">
        <v>25</v>
      </c>
      <c r="F656" s="1" t="s">
        <v>717</v>
      </c>
      <c r="G656" s="1" t="s">
        <v>3430</v>
      </c>
      <c r="H656" s="1">
        <v>4</v>
      </c>
      <c r="I656" s="1" t="s">
        <v>27</v>
      </c>
      <c r="J656" s="1" t="s">
        <v>1971</v>
      </c>
      <c r="K656" s="1" t="s">
        <v>3431</v>
      </c>
      <c r="L656" s="1">
        <v>3</v>
      </c>
      <c r="M656" s="1">
        <v>21</v>
      </c>
      <c r="N656" s="1" t="s">
        <v>68</v>
      </c>
      <c r="O656" s="1" t="s">
        <v>251</v>
      </c>
      <c r="P656" s="1" t="s">
        <v>30</v>
      </c>
      <c r="Q656" s="1" t="s">
        <v>32</v>
      </c>
      <c r="R656" s="1">
        <v>494.94</v>
      </c>
      <c r="S656" s="1" t="s">
        <v>46</v>
      </c>
      <c r="T656" s="1" t="s">
        <v>34</v>
      </c>
      <c r="U656" s="1" t="s">
        <v>35</v>
      </c>
      <c r="V656" s="1" t="s">
        <v>188</v>
      </c>
    </row>
    <row r="657" spans="1:22" x14ac:dyDescent="0.3">
      <c r="A657" s="1" t="s">
        <v>3432</v>
      </c>
      <c r="B657" s="1" t="s">
        <v>3433</v>
      </c>
      <c r="C657" s="1">
        <v>56</v>
      </c>
      <c r="D657" s="1" t="s">
        <v>3434</v>
      </c>
      <c r="E657" s="1" t="s">
        <v>25</v>
      </c>
      <c r="F657" s="2">
        <v>45267</v>
      </c>
      <c r="G657" s="1" t="s">
        <v>3210</v>
      </c>
      <c r="H657" s="1">
        <v>3</v>
      </c>
      <c r="I657" s="1" t="s">
        <v>52</v>
      </c>
      <c r="J657" s="2">
        <v>45598</v>
      </c>
      <c r="K657" s="1" t="s">
        <v>3435</v>
      </c>
      <c r="L657" s="1">
        <v>3</v>
      </c>
      <c r="M657" s="1">
        <v>16</v>
      </c>
      <c r="N657" s="1" t="s">
        <v>54</v>
      </c>
      <c r="O657" s="1" t="s">
        <v>135</v>
      </c>
      <c r="P657" s="1" t="s">
        <v>45</v>
      </c>
      <c r="Q657" s="1" t="s">
        <v>69</v>
      </c>
      <c r="R657" s="1">
        <v>859.29</v>
      </c>
      <c r="S657" s="1" t="s">
        <v>46</v>
      </c>
      <c r="T657" s="1" t="s">
        <v>47</v>
      </c>
      <c r="U657" s="1" t="s">
        <v>35</v>
      </c>
      <c r="V657" s="1" t="s">
        <v>36</v>
      </c>
    </row>
    <row r="658" spans="1:22" x14ac:dyDescent="0.3">
      <c r="A658" s="1" t="s">
        <v>3436</v>
      </c>
      <c r="B658" s="1" t="s">
        <v>3437</v>
      </c>
      <c r="C658" s="1">
        <v>36</v>
      </c>
      <c r="D658" s="1" t="s">
        <v>3438</v>
      </c>
      <c r="E658" s="1" t="s">
        <v>51</v>
      </c>
      <c r="F658" s="1" t="s">
        <v>3439</v>
      </c>
      <c r="G658" s="1" t="s">
        <v>173</v>
      </c>
      <c r="H658" s="1">
        <v>1</v>
      </c>
      <c r="I658" s="1" t="s">
        <v>27</v>
      </c>
      <c r="J658" s="1" t="s">
        <v>326</v>
      </c>
      <c r="K658" s="1" t="s">
        <v>3440</v>
      </c>
      <c r="L658" s="1">
        <v>4</v>
      </c>
      <c r="M658" s="1">
        <v>34</v>
      </c>
      <c r="N658" s="1" t="s">
        <v>30</v>
      </c>
      <c r="O658" s="1" t="s">
        <v>597</v>
      </c>
      <c r="P658" s="1" t="s">
        <v>45</v>
      </c>
      <c r="Q658" s="1" t="s">
        <v>32</v>
      </c>
      <c r="R658" s="1">
        <v>334.96</v>
      </c>
      <c r="S658" s="1" t="s">
        <v>46</v>
      </c>
      <c r="T658" s="1" t="s">
        <v>34</v>
      </c>
      <c r="U658" s="1" t="s">
        <v>35</v>
      </c>
      <c r="V658" s="1" t="s">
        <v>36</v>
      </c>
    </row>
    <row r="659" spans="1:22" x14ac:dyDescent="0.3">
      <c r="A659" s="1" t="s">
        <v>3441</v>
      </c>
      <c r="B659" s="1" t="s">
        <v>3442</v>
      </c>
      <c r="C659" s="1">
        <v>31</v>
      </c>
      <c r="D659" s="1" t="s">
        <v>3443</v>
      </c>
      <c r="E659" s="1" t="s">
        <v>25</v>
      </c>
      <c r="F659" s="2">
        <v>45170</v>
      </c>
      <c r="G659" s="1" t="s">
        <v>2135</v>
      </c>
      <c r="H659" s="1">
        <v>0</v>
      </c>
      <c r="I659" s="1" t="s">
        <v>27</v>
      </c>
      <c r="J659" s="2">
        <v>45362</v>
      </c>
      <c r="K659" s="1" t="s">
        <v>3444</v>
      </c>
      <c r="L659" s="1">
        <v>5</v>
      </c>
      <c r="M659" s="1">
        <v>47</v>
      </c>
      <c r="N659" s="1" t="s">
        <v>56</v>
      </c>
      <c r="O659" s="1" t="s">
        <v>122</v>
      </c>
      <c r="P659" s="1" t="s">
        <v>30</v>
      </c>
      <c r="Q659" s="1" t="s">
        <v>32</v>
      </c>
      <c r="R659" s="1">
        <v>980.8</v>
      </c>
      <c r="S659" s="1" t="s">
        <v>46</v>
      </c>
      <c r="T659" s="1" t="s">
        <v>57</v>
      </c>
      <c r="U659" s="1" t="s">
        <v>35</v>
      </c>
      <c r="V659" s="1" t="s">
        <v>36</v>
      </c>
    </row>
    <row r="660" spans="1:22" x14ac:dyDescent="0.3">
      <c r="A660" s="1" t="s">
        <v>3445</v>
      </c>
      <c r="B660" s="1" t="s">
        <v>3446</v>
      </c>
      <c r="C660" s="1">
        <v>39</v>
      </c>
      <c r="D660" s="1" t="s">
        <v>3447</v>
      </c>
      <c r="E660" s="1" t="s">
        <v>61</v>
      </c>
      <c r="F660" s="1" t="s">
        <v>883</v>
      </c>
      <c r="G660" s="1" t="s">
        <v>514</v>
      </c>
      <c r="H660" s="1">
        <v>0</v>
      </c>
      <c r="I660" s="1" t="s">
        <v>27</v>
      </c>
      <c r="J660" s="2">
        <v>45969</v>
      </c>
      <c r="K660" s="1" t="s">
        <v>3448</v>
      </c>
      <c r="L660" s="1">
        <v>2</v>
      </c>
      <c r="M660" s="1">
        <v>22</v>
      </c>
      <c r="N660" s="1" t="s">
        <v>56</v>
      </c>
      <c r="O660" s="1" t="s">
        <v>142</v>
      </c>
      <c r="P660" s="1" t="s">
        <v>68</v>
      </c>
      <c r="Q660" s="1" t="s">
        <v>32</v>
      </c>
      <c r="R660" s="1">
        <v>1389.86</v>
      </c>
      <c r="S660" s="1" t="s">
        <v>46</v>
      </c>
      <c r="T660" s="1" t="s">
        <v>34</v>
      </c>
      <c r="U660" s="1" t="s">
        <v>35</v>
      </c>
      <c r="V660" s="1" t="s">
        <v>36</v>
      </c>
    </row>
    <row r="661" spans="1:22" x14ac:dyDescent="0.3">
      <c r="A661" s="1" t="s">
        <v>3449</v>
      </c>
      <c r="B661" s="1" t="s">
        <v>3450</v>
      </c>
      <c r="C661" s="1">
        <v>56</v>
      </c>
      <c r="D661" s="1" t="s">
        <v>3451</v>
      </c>
      <c r="E661" s="1" t="s">
        <v>25</v>
      </c>
      <c r="F661" s="1" t="s">
        <v>1769</v>
      </c>
      <c r="G661" s="1" t="s">
        <v>3283</v>
      </c>
      <c r="H661" s="1">
        <v>4</v>
      </c>
      <c r="I661" s="1" t="s">
        <v>27</v>
      </c>
      <c r="J661" s="2">
        <v>44354</v>
      </c>
      <c r="K661" s="1" t="s">
        <v>3452</v>
      </c>
      <c r="L661" s="1">
        <v>2</v>
      </c>
      <c r="M661" s="1">
        <v>34</v>
      </c>
      <c r="N661" s="1" t="s">
        <v>30</v>
      </c>
      <c r="O661" s="1" t="s">
        <v>157</v>
      </c>
      <c r="P661" s="1" t="s">
        <v>68</v>
      </c>
      <c r="Q661" s="1" t="s">
        <v>32</v>
      </c>
      <c r="R661" s="1">
        <v>934.56</v>
      </c>
      <c r="S661" s="1" t="s">
        <v>46</v>
      </c>
      <c r="T661" s="1" t="s">
        <v>47</v>
      </c>
      <c r="U661" s="1" t="s">
        <v>35</v>
      </c>
      <c r="V661" s="1" t="s">
        <v>188</v>
      </c>
    </row>
    <row r="662" spans="1:22" x14ac:dyDescent="0.3">
      <c r="A662" s="1" t="s">
        <v>3453</v>
      </c>
      <c r="B662" s="1" t="s">
        <v>3454</v>
      </c>
      <c r="C662" s="1">
        <v>60</v>
      </c>
      <c r="D662" s="1" t="s">
        <v>3455</v>
      </c>
      <c r="E662" s="1" t="s">
        <v>51</v>
      </c>
      <c r="F662" s="2">
        <v>45139</v>
      </c>
      <c r="G662" s="1" t="s">
        <v>1064</v>
      </c>
      <c r="H662" s="1">
        <v>2</v>
      </c>
      <c r="I662" s="1" t="s">
        <v>27</v>
      </c>
      <c r="J662" s="1" t="s">
        <v>2082</v>
      </c>
      <c r="K662" s="1" t="s">
        <v>3456</v>
      </c>
      <c r="L662" s="1">
        <v>9</v>
      </c>
      <c r="M662" s="1">
        <v>18</v>
      </c>
      <c r="N662" s="1" t="s">
        <v>54</v>
      </c>
      <c r="O662" s="1" t="s">
        <v>175</v>
      </c>
      <c r="P662" s="1" t="s">
        <v>56</v>
      </c>
      <c r="Q662" s="1" t="s">
        <v>69</v>
      </c>
      <c r="R662" s="1">
        <v>1315.53</v>
      </c>
      <c r="S662" s="1" t="s">
        <v>46</v>
      </c>
      <c r="T662" s="1" t="s">
        <v>47</v>
      </c>
      <c r="U662" s="1" t="s">
        <v>35</v>
      </c>
      <c r="V662" s="1" t="s">
        <v>36</v>
      </c>
    </row>
    <row r="663" spans="1:22" x14ac:dyDescent="0.3">
      <c r="A663" s="1" t="s">
        <v>3457</v>
      </c>
      <c r="B663" s="1" t="s">
        <v>3458</v>
      </c>
      <c r="C663" s="1">
        <v>32</v>
      </c>
      <c r="D663" s="1" t="s">
        <v>3459</v>
      </c>
      <c r="E663" s="1" t="s">
        <v>95</v>
      </c>
      <c r="F663" s="1" t="s">
        <v>3460</v>
      </c>
      <c r="G663" s="2">
        <v>44779</v>
      </c>
      <c r="H663" s="1">
        <v>3</v>
      </c>
      <c r="I663" s="1" t="s">
        <v>27</v>
      </c>
      <c r="J663" s="1" t="s">
        <v>3461</v>
      </c>
      <c r="K663" s="1" t="s">
        <v>3462</v>
      </c>
      <c r="L663" s="1">
        <v>7</v>
      </c>
      <c r="M663" s="1">
        <v>41</v>
      </c>
      <c r="N663" s="1" t="s">
        <v>45</v>
      </c>
      <c r="O663" s="1" t="s">
        <v>77</v>
      </c>
      <c r="P663" s="1" t="s">
        <v>54</v>
      </c>
      <c r="Q663" s="1" t="s">
        <v>32</v>
      </c>
      <c r="R663" s="1">
        <v>292.32</v>
      </c>
      <c r="S663" s="1" t="s">
        <v>46</v>
      </c>
      <c r="T663" s="1" t="s">
        <v>57</v>
      </c>
      <c r="U663" s="1" t="s">
        <v>35</v>
      </c>
      <c r="V663" s="1" t="s">
        <v>36</v>
      </c>
    </row>
    <row r="664" spans="1:22" x14ac:dyDescent="0.3">
      <c r="A664" s="1" t="s">
        <v>3463</v>
      </c>
      <c r="B664" s="1" t="s">
        <v>3464</v>
      </c>
      <c r="C664" s="1">
        <v>57</v>
      </c>
      <c r="D664" s="1" t="s">
        <v>3465</v>
      </c>
      <c r="E664" s="1" t="s">
        <v>95</v>
      </c>
      <c r="F664" s="1" t="s">
        <v>3300</v>
      </c>
      <c r="G664" s="1" t="s">
        <v>545</v>
      </c>
      <c r="H664" s="1">
        <v>4</v>
      </c>
      <c r="I664" s="1" t="s">
        <v>64</v>
      </c>
      <c r="J664" s="2">
        <v>45108</v>
      </c>
      <c r="K664" s="1" t="s">
        <v>3466</v>
      </c>
      <c r="L664" s="1">
        <v>8</v>
      </c>
      <c r="M664" s="1">
        <v>39</v>
      </c>
      <c r="N664" s="1" t="s">
        <v>56</v>
      </c>
      <c r="O664" s="1" t="s">
        <v>855</v>
      </c>
      <c r="P664" s="1" t="s">
        <v>45</v>
      </c>
      <c r="Q664" s="1" t="s">
        <v>32</v>
      </c>
      <c r="R664" s="1">
        <v>891.6</v>
      </c>
      <c r="S664" s="1" t="s">
        <v>46</v>
      </c>
      <c r="T664" s="1" t="s">
        <v>47</v>
      </c>
      <c r="U664" s="1" t="s">
        <v>35</v>
      </c>
      <c r="V664" s="1" t="s">
        <v>71</v>
      </c>
    </row>
    <row r="665" spans="1:22" x14ac:dyDescent="0.3">
      <c r="A665" s="1" t="s">
        <v>3467</v>
      </c>
      <c r="B665" s="1" t="s">
        <v>3468</v>
      </c>
      <c r="C665" s="1">
        <v>40</v>
      </c>
      <c r="D665" s="1" t="s">
        <v>3469</v>
      </c>
      <c r="E665" s="1" t="s">
        <v>25</v>
      </c>
      <c r="F665" s="1" t="s">
        <v>3470</v>
      </c>
      <c r="G665" s="1" t="s">
        <v>97</v>
      </c>
      <c r="H665" s="1">
        <v>1</v>
      </c>
      <c r="I665" s="1" t="s">
        <v>27</v>
      </c>
      <c r="J665" s="1" t="s">
        <v>1375</v>
      </c>
      <c r="K665" s="1" t="s">
        <v>3471</v>
      </c>
      <c r="L665" s="1">
        <v>2</v>
      </c>
      <c r="M665" s="1">
        <v>10</v>
      </c>
      <c r="N665" s="1" t="s">
        <v>68</v>
      </c>
      <c r="O665" s="1" t="s">
        <v>597</v>
      </c>
      <c r="P665" s="1" t="s">
        <v>45</v>
      </c>
      <c r="Q665" s="1" t="s">
        <v>32</v>
      </c>
      <c r="R665" s="1">
        <v>1671.12</v>
      </c>
      <c r="S665" s="1" t="s">
        <v>46</v>
      </c>
      <c r="T665" s="1" t="s">
        <v>34</v>
      </c>
      <c r="U665" s="1" t="s">
        <v>35</v>
      </c>
      <c r="V665" s="1" t="s">
        <v>36</v>
      </c>
    </row>
    <row r="666" spans="1:22" x14ac:dyDescent="0.3">
      <c r="A666" s="1" t="s">
        <v>3472</v>
      </c>
      <c r="B666" s="1" t="s">
        <v>3473</v>
      </c>
      <c r="C666" s="1">
        <v>21</v>
      </c>
      <c r="D666" s="1" t="s">
        <v>3474</v>
      </c>
      <c r="E666" s="1" t="s">
        <v>61</v>
      </c>
      <c r="F666" s="2">
        <v>45203</v>
      </c>
      <c r="G666" s="1" t="s">
        <v>873</v>
      </c>
      <c r="H666" s="1">
        <v>2</v>
      </c>
      <c r="I666" s="1" t="s">
        <v>64</v>
      </c>
      <c r="J666" s="1" t="s">
        <v>1755</v>
      </c>
      <c r="K666" s="1" t="s">
        <v>3475</v>
      </c>
      <c r="L666" s="1">
        <v>3</v>
      </c>
      <c r="M666" s="1">
        <v>8</v>
      </c>
      <c r="N666" s="1" t="s">
        <v>54</v>
      </c>
      <c r="O666" s="1" t="s">
        <v>199</v>
      </c>
      <c r="P666" s="1" t="s">
        <v>54</v>
      </c>
      <c r="Q666" s="1" t="s">
        <v>32</v>
      </c>
      <c r="R666" s="1">
        <v>1982.34</v>
      </c>
      <c r="S666" s="1" t="s">
        <v>33</v>
      </c>
      <c r="T666" s="1" t="s">
        <v>100</v>
      </c>
      <c r="U666" s="1" t="s">
        <v>35</v>
      </c>
      <c r="V666" s="1" t="s">
        <v>71</v>
      </c>
    </row>
    <row r="667" spans="1:22" x14ac:dyDescent="0.3">
      <c r="A667" s="1" t="s">
        <v>3476</v>
      </c>
      <c r="B667" s="1" t="s">
        <v>3477</v>
      </c>
      <c r="C667" s="1">
        <v>42</v>
      </c>
      <c r="D667" s="1" t="s">
        <v>3478</v>
      </c>
      <c r="E667" s="1" t="s">
        <v>88</v>
      </c>
      <c r="F667" s="2">
        <v>44716</v>
      </c>
      <c r="G667" s="2">
        <v>45178</v>
      </c>
      <c r="H667" s="1">
        <v>1</v>
      </c>
      <c r="I667" s="1" t="s">
        <v>27</v>
      </c>
      <c r="J667" s="1" t="s">
        <v>771</v>
      </c>
      <c r="K667" s="1" t="s">
        <v>3479</v>
      </c>
      <c r="L667" s="1">
        <v>6</v>
      </c>
      <c r="M667" s="1">
        <v>49</v>
      </c>
      <c r="N667" s="1" t="s">
        <v>30</v>
      </c>
      <c r="O667" s="1" t="s">
        <v>418</v>
      </c>
      <c r="P667" s="1" t="s">
        <v>56</v>
      </c>
      <c r="Q667" s="1" t="s">
        <v>32</v>
      </c>
      <c r="R667" s="1">
        <v>900.66</v>
      </c>
      <c r="S667" s="1" t="s">
        <v>46</v>
      </c>
      <c r="T667" s="1" t="s">
        <v>34</v>
      </c>
      <c r="U667" s="1" t="s">
        <v>35</v>
      </c>
      <c r="V667" s="1" t="s">
        <v>36</v>
      </c>
    </row>
    <row r="668" spans="1:22" x14ac:dyDescent="0.3">
      <c r="A668" s="1" t="s">
        <v>3480</v>
      </c>
      <c r="B668" s="1" t="s">
        <v>3481</v>
      </c>
      <c r="C668" s="1">
        <v>20</v>
      </c>
      <c r="D668" s="1" t="s">
        <v>3482</v>
      </c>
      <c r="E668" s="1" t="s">
        <v>88</v>
      </c>
      <c r="F668" s="2">
        <v>45266</v>
      </c>
      <c r="G668" s="1" t="s">
        <v>1312</v>
      </c>
      <c r="H668" s="1">
        <v>0</v>
      </c>
      <c r="I668" s="1" t="s">
        <v>52</v>
      </c>
      <c r="J668" s="1" t="s">
        <v>3483</v>
      </c>
      <c r="K668" s="1" t="s">
        <v>3484</v>
      </c>
      <c r="L668" s="1">
        <v>2</v>
      </c>
      <c r="M668" s="1">
        <v>49</v>
      </c>
      <c r="N668" s="1" t="s">
        <v>30</v>
      </c>
      <c r="O668" s="1" t="s">
        <v>199</v>
      </c>
      <c r="P668" s="1" t="s">
        <v>54</v>
      </c>
      <c r="Q668" s="1" t="s">
        <v>69</v>
      </c>
      <c r="R668" s="1">
        <v>566.52</v>
      </c>
      <c r="S668" s="1" t="s">
        <v>46</v>
      </c>
      <c r="T668" s="1" t="s">
        <v>100</v>
      </c>
      <c r="U668" s="1" t="s">
        <v>35</v>
      </c>
      <c r="V668" s="1" t="s">
        <v>36</v>
      </c>
    </row>
    <row r="669" spans="1:22" x14ac:dyDescent="0.3">
      <c r="A669" s="1" t="s">
        <v>3485</v>
      </c>
      <c r="B669" s="1" t="s">
        <v>3486</v>
      </c>
      <c r="C669" s="1">
        <v>32</v>
      </c>
      <c r="D669" s="1" t="s">
        <v>3487</v>
      </c>
      <c r="E669" s="1" t="s">
        <v>25</v>
      </c>
      <c r="F669" s="2">
        <v>45078</v>
      </c>
      <c r="G669" s="1" t="s">
        <v>3488</v>
      </c>
      <c r="H669" s="1">
        <v>0</v>
      </c>
      <c r="I669" s="1" t="s">
        <v>27</v>
      </c>
      <c r="J669" s="1" t="s">
        <v>485</v>
      </c>
      <c r="K669" s="1" t="s">
        <v>3489</v>
      </c>
      <c r="L669" s="1">
        <v>1</v>
      </c>
      <c r="M669" s="1">
        <v>29</v>
      </c>
      <c r="N669" s="1" t="s">
        <v>56</v>
      </c>
      <c r="O669" s="1" t="s">
        <v>211</v>
      </c>
      <c r="P669" s="1" t="s">
        <v>68</v>
      </c>
      <c r="Q669" s="1" t="s">
        <v>69</v>
      </c>
      <c r="R669" s="1">
        <v>986.68</v>
      </c>
      <c r="S669" s="1" t="s">
        <v>46</v>
      </c>
      <c r="T669" s="1" t="s">
        <v>57</v>
      </c>
      <c r="U669" s="1" t="s">
        <v>35</v>
      </c>
      <c r="V669" s="1" t="s">
        <v>36</v>
      </c>
    </row>
    <row r="670" spans="1:22" x14ac:dyDescent="0.3">
      <c r="A670" s="1" t="s">
        <v>3490</v>
      </c>
      <c r="B670" s="1" t="s">
        <v>3491</v>
      </c>
      <c r="C670" s="1">
        <v>32</v>
      </c>
      <c r="D670" s="1" t="s">
        <v>3492</v>
      </c>
      <c r="E670" s="1" t="s">
        <v>95</v>
      </c>
      <c r="F670" s="1" t="s">
        <v>3493</v>
      </c>
      <c r="G670" s="1" t="s">
        <v>3494</v>
      </c>
      <c r="H670" s="1">
        <v>2</v>
      </c>
      <c r="I670" s="1" t="s">
        <v>52</v>
      </c>
      <c r="J670" s="1" t="s">
        <v>3495</v>
      </c>
      <c r="K670" s="1" t="s">
        <v>3496</v>
      </c>
      <c r="L670" s="1">
        <v>6</v>
      </c>
      <c r="M670" s="1">
        <v>7</v>
      </c>
      <c r="N670" s="1" t="s">
        <v>45</v>
      </c>
      <c r="O670" s="1" t="s">
        <v>624</v>
      </c>
      <c r="P670" s="1" t="s">
        <v>30</v>
      </c>
      <c r="Q670" s="1" t="s">
        <v>32</v>
      </c>
      <c r="R670" s="1">
        <v>1015.44</v>
      </c>
      <c r="S670" s="1" t="s">
        <v>46</v>
      </c>
      <c r="T670" s="1" t="s">
        <v>57</v>
      </c>
      <c r="U670" s="1" t="s">
        <v>35</v>
      </c>
      <c r="V670" s="1" t="s">
        <v>36</v>
      </c>
    </row>
    <row r="671" spans="1:22" x14ac:dyDescent="0.3">
      <c r="A671" s="1" t="s">
        <v>3497</v>
      </c>
      <c r="B671" s="1" t="s">
        <v>3498</v>
      </c>
      <c r="C671" s="1">
        <v>50</v>
      </c>
      <c r="D671" s="1" t="s">
        <v>3499</v>
      </c>
      <c r="E671" s="1" t="s">
        <v>88</v>
      </c>
      <c r="F671" s="1" t="s">
        <v>3500</v>
      </c>
      <c r="G671" s="1" t="s">
        <v>1650</v>
      </c>
      <c r="H671" s="1">
        <v>4</v>
      </c>
      <c r="I671" s="1" t="s">
        <v>52</v>
      </c>
      <c r="J671" s="1" t="s">
        <v>3501</v>
      </c>
      <c r="K671" s="1" t="s">
        <v>3502</v>
      </c>
      <c r="L671" s="1">
        <v>9</v>
      </c>
      <c r="M671" s="1">
        <v>10</v>
      </c>
      <c r="N671" s="1" t="s">
        <v>30</v>
      </c>
      <c r="O671" s="1" t="s">
        <v>269</v>
      </c>
      <c r="P671" s="1" t="s">
        <v>56</v>
      </c>
      <c r="Q671" s="1" t="s">
        <v>69</v>
      </c>
      <c r="R671" s="1">
        <v>1729.89</v>
      </c>
      <c r="S671" s="1" t="s">
        <v>46</v>
      </c>
      <c r="T671" s="1" t="s">
        <v>47</v>
      </c>
      <c r="U671" s="1" t="s">
        <v>35</v>
      </c>
      <c r="V671" s="1" t="s">
        <v>36</v>
      </c>
    </row>
    <row r="672" spans="1:22" x14ac:dyDescent="0.3">
      <c r="A672" s="1" t="s">
        <v>3503</v>
      </c>
      <c r="B672" s="1" t="s">
        <v>3504</v>
      </c>
      <c r="C672" s="1">
        <v>30</v>
      </c>
      <c r="D672" s="1" t="s">
        <v>3505</v>
      </c>
      <c r="E672" s="1" t="s">
        <v>95</v>
      </c>
      <c r="F672" s="1" t="s">
        <v>3372</v>
      </c>
      <c r="G672" s="2">
        <v>45237</v>
      </c>
      <c r="H672" s="1">
        <v>3</v>
      </c>
      <c r="I672" s="1" t="s">
        <v>27</v>
      </c>
      <c r="J672" s="1" t="s">
        <v>3506</v>
      </c>
      <c r="K672" s="1" t="s">
        <v>3507</v>
      </c>
      <c r="L672" s="1">
        <v>9</v>
      </c>
      <c r="M672" s="1">
        <v>14</v>
      </c>
      <c r="N672" s="1" t="s">
        <v>54</v>
      </c>
      <c r="O672" s="1" t="s">
        <v>142</v>
      </c>
      <c r="P672" s="1" t="s">
        <v>68</v>
      </c>
      <c r="Q672" s="1" t="s">
        <v>69</v>
      </c>
      <c r="R672" s="1">
        <v>251.73</v>
      </c>
      <c r="S672" s="1" t="s">
        <v>46</v>
      </c>
      <c r="T672" s="1" t="s">
        <v>57</v>
      </c>
      <c r="U672" s="1" t="s">
        <v>35</v>
      </c>
      <c r="V672" s="1" t="s">
        <v>36</v>
      </c>
    </row>
    <row r="673" spans="1:22" x14ac:dyDescent="0.3">
      <c r="A673" s="1" t="s">
        <v>3508</v>
      </c>
      <c r="B673" s="1" t="s">
        <v>3509</v>
      </c>
      <c r="C673" s="1">
        <v>53</v>
      </c>
      <c r="D673" s="1" t="s">
        <v>3510</v>
      </c>
      <c r="E673" s="1" t="s">
        <v>51</v>
      </c>
      <c r="F673" s="2">
        <v>44724</v>
      </c>
      <c r="G673" s="2">
        <v>44988</v>
      </c>
      <c r="H673" s="1">
        <v>4</v>
      </c>
      <c r="I673" s="1" t="s">
        <v>52</v>
      </c>
      <c r="J673" s="1" t="s">
        <v>97</v>
      </c>
      <c r="K673" s="1" t="s">
        <v>3511</v>
      </c>
      <c r="L673" s="1">
        <v>6</v>
      </c>
      <c r="M673" s="1">
        <v>39</v>
      </c>
      <c r="N673" s="1" t="s">
        <v>30</v>
      </c>
      <c r="O673" s="1" t="s">
        <v>231</v>
      </c>
      <c r="P673" s="1" t="s">
        <v>30</v>
      </c>
      <c r="Q673" s="1" t="s">
        <v>32</v>
      </c>
      <c r="R673" s="1">
        <v>1024.44</v>
      </c>
      <c r="S673" s="1" t="s">
        <v>33</v>
      </c>
      <c r="T673" s="1" t="s">
        <v>47</v>
      </c>
      <c r="U673" s="1" t="s">
        <v>35</v>
      </c>
      <c r="V673" s="1" t="s">
        <v>36</v>
      </c>
    </row>
    <row r="674" spans="1:22" x14ac:dyDescent="0.3">
      <c r="A674" s="1" t="s">
        <v>3512</v>
      </c>
      <c r="B674" s="1" t="s">
        <v>3513</v>
      </c>
      <c r="C674" s="1">
        <v>56</v>
      </c>
      <c r="D674" s="1" t="s">
        <v>3514</v>
      </c>
      <c r="E674" s="1" t="s">
        <v>51</v>
      </c>
      <c r="F674" s="1" t="s">
        <v>3515</v>
      </c>
      <c r="G674" s="1" t="s">
        <v>773</v>
      </c>
      <c r="H674" s="1">
        <v>1</v>
      </c>
      <c r="I674" s="1" t="s">
        <v>52</v>
      </c>
      <c r="J674" s="1" t="s">
        <v>3516</v>
      </c>
      <c r="K674" s="1" t="s">
        <v>3517</v>
      </c>
      <c r="L674" s="1">
        <v>5</v>
      </c>
      <c r="M674" s="1">
        <v>21</v>
      </c>
      <c r="N674" s="1" t="s">
        <v>54</v>
      </c>
      <c r="O674" s="1" t="s">
        <v>135</v>
      </c>
      <c r="P674" s="1" t="s">
        <v>45</v>
      </c>
      <c r="Q674" s="1" t="s">
        <v>32</v>
      </c>
      <c r="R674" s="1">
        <v>624.85</v>
      </c>
      <c r="S674" s="1" t="s">
        <v>46</v>
      </c>
      <c r="T674" s="1" t="s">
        <v>47</v>
      </c>
      <c r="U674" s="1" t="s">
        <v>35</v>
      </c>
      <c r="V674" s="1" t="s">
        <v>36</v>
      </c>
    </row>
    <row r="675" spans="1:22" x14ac:dyDescent="0.3">
      <c r="A675" s="1" t="s">
        <v>3518</v>
      </c>
      <c r="B675" s="1" t="s">
        <v>3519</v>
      </c>
      <c r="C675" s="1">
        <v>48</v>
      </c>
      <c r="D675" s="1" t="s">
        <v>3520</v>
      </c>
      <c r="E675" s="1" t="s">
        <v>51</v>
      </c>
      <c r="F675" s="2">
        <v>44267</v>
      </c>
      <c r="G675" s="2">
        <v>44719</v>
      </c>
      <c r="H675" s="1">
        <v>2</v>
      </c>
      <c r="I675" s="1" t="s">
        <v>64</v>
      </c>
      <c r="J675" s="1" t="s">
        <v>1606</v>
      </c>
      <c r="K675" s="1" t="s">
        <v>3521</v>
      </c>
      <c r="L675" s="1">
        <v>7</v>
      </c>
      <c r="M675" s="1">
        <v>30</v>
      </c>
      <c r="N675" s="1" t="s">
        <v>56</v>
      </c>
      <c r="O675" s="1" t="s">
        <v>142</v>
      </c>
      <c r="P675" s="1" t="s">
        <v>68</v>
      </c>
      <c r="Q675" s="1" t="s">
        <v>32</v>
      </c>
      <c r="R675" s="1">
        <v>547.33000000000004</v>
      </c>
      <c r="S675" s="1" t="s">
        <v>46</v>
      </c>
      <c r="T675" s="1" t="s">
        <v>34</v>
      </c>
      <c r="U675" s="1" t="s">
        <v>35</v>
      </c>
      <c r="V675" s="1" t="s">
        <v>71</v>
      </c>
    </row>
    <row r="676" spans="1:22" x14ac:dyDescent="0.3">
      <c r="A676" s="1" t="s">
        <v>3522</v>
      </c>
      <c r="B676" s="1" t="s">
        <v>3523</v>
      </c>
      <c r="C676" s="1">
        <v>25</v>
      </c>
      <c r="D676" s="1" t="s">
        <v>3524</v>
      </c>
      <c r="E676" s="1" t="s">
        <v>40</v>
      </c>
      <c r="F676" s="1" t="s">
        <v>26</v>
      </c>
      <c r="G676" s="1" t="s">
        <v>3525</v>
      </c>
      <c r="H676" s="1">
        <v>5</v>
      </c>
      <c r="I676" s="1" t="s">
        <v>27</v>
      </c>
      <c r="J676" s="1" t="s">
        <v>3526</v>
      </c>
      <c r="K676" s="1" t="s">
        <v>3527</v>
      </c>
      <c r="L676" s="1">
        <v>5</v>
      </c>
      <c r="M676" s="1">
        <v>10</v>
      </c>
      <c r="N676" s="1" t="s">
        <v>54</v>
      </c>
      <c r="O676" s="1" t="s">
        <v>238</v>
      </c>
      <c r="P676" s="1" t="s">
        <v>45</v>
      </c>
      <c r="Q676" s="1" t="s">
        <v>69</v>
      </c>
      <c r="R676" s="1">
        <v>1505.35</v>
      </c>
      <c r="S676" s="1" t="s">
        <v>46</v>
      </c>
      <c r="T676" s="1" t="s">
        <v>57</v>
      </c>
      <c r="U676" s="1" t="s">
        <v>35</v>
      </c>
      <c r="V676" s="1" t="s">
        <v>188</v>
      </c>
    </row>
    <row r="677" spans="1:22" x14ac:dyDescent="0.3">
      <c r="A677" s="1" t="s">
        <v>3528</v>
      </c>
      <c r="B677" s="1" t="s">
        <v>3529</v>
      </c>
      <c r="C677" s="1">
        <v>42</v>
      </c>
      <c r="D677" s="1" t="s">
        <v>3530</v>
      </c>
      <c r="E677" s="1" t="s">
        <v>40</v>
      </c>
      <c r="F677" s="2">
        <v>44661</v>
      </c>
      <c r="G677" s="2">
        <v>45025</v>
      </c>
      <c r="H677" s="1">
        <v>4</v>
      </c>
      <c r="I677" s="1" t="s">
        <v>64</v>
      </c>
      <c r="J677" s="1" t="s">
        <v>3531</v>
      </c>
      <c r="K677" s="1" t="s">
        <v>3532</v>
      </c>
      <c r="L677" s="1">
        <v>5</v>
      </c>
      <c r="M677" s="1">
        <v>31</v>
      </c>
      <c r="N677" s="1" t="s">
        <v>54</v>
      </c>
      <c r="O677" s="1" t="s">
        <v>373</v>
      </c>
      <c r="P677" s="1" t="s">
        <v>54</v>
      </c>
      <c r="Q677" s="1" t="s">
        <v>69</v>
      </c>
      <c r="R677" s="1">
        <v>259.05</v>
      </c>
      <c r="S677" s="1" t="s">
        <v>33</v>
      </c>
      <c r="T677" s="1" t="s">
        <v>34</v>
      </c>
      <c r="U677" s="1" t="s">
        <v>35</v>
      </c>
      <c r="V677" s="1" t="s">
        <v>71</v>
      </c>
    </row>
    <row r="678" spans="1:22" x14ac:dyDescent="0.3">
      <c r="A678" s="1" t="s">
        <v>3533</v>
      </c>
      <c r="B678" s="1" t="s">
        <v>3534</v>
      </c>
      <c r="C678" s="1">
        <v>28</v>
      </c>
      <c r="D678" s="1" t="s">
        <v>3535</v>
      </c>
      <c r="E678" s="1" t="s">
        <v>61</v>
      </c>
      <c r="F678" s="2">
        <v>44691</v>
      </c>
      <c r="G678" s="1" t="s">
        <v>2790</v>
      </c>
      <c r="H678" s="1">
        <v>0</v>
      </c>
      <c r="I678" s="1" t="s">
        <v>52</v>
      </c>
      <c r="J678" s="2">
        <v>45967</v>
      </c>
      <c r="K678" s="1" t="s">
        <v>3536</v>
      </c>
      <c r="L678" s="1">
        <v>2</v>
      </c>
      <c r="M678" s="1">
        <v>1</v>
      </c>
      <c r="N678" s="1" t="s">
        <v>30</v>
      </c>
      <c r="O678" s="1" t="s">
        <v>67</v>
      </c>
      <c r="P678" s="1" t="s">
        <v>68</v>
      </c>
      <c r="Q678" s="1" t="s">
        <v>32</v>
      </c>
      <c r="R678" s="1">
        <v>1635.1</v>
      </c>
      <c r="S678" s="1" t="s">
        <v>46</v>
      </c>
      <c r="T678" s="1" t="s">
        <v>57</v>
      </c>
      <c r="U678" s="1" t="s">
        <v>101</v>
      </c>
      <c r="V678" s="1" t="s">
        <v>36</v>
      </c>
    </row>
    <row r="679" spans="1:22" x14ac:dyDescent="0.3">
      <c r="A679" s="1" t="s">
        <v>3537</v>
      </c>
      <c r="B679" s="1" t="s">
        <v>3538</v>
      </c>
      <c r="C679" s="1">
        <v>20</v>
      </c>
      <c r="D679" s="1" t="s">
        <v>3539</v>
      </c>
      <c r="E679" s="1" t="s">
        <v>40</v>
      </c>
      <c r="F679" s="1" t="s">
        <v>1696</v>
      </c>
      <c r="G679" s="2">
        <v>45965</v>
      </c>
      <c r="H679" s="1">
        <v>2</v>
      </c>
      <c r="I679" s="1" t="s">
        <v>52</v>
      </c>
      <c r="J679" s="1" t="s">
        <v>2072</v>
      </c>
      <c r="K679" s="1" t="s">
        <v>3540</v>
      </c>
      <c r="L679" s="1">
        <v>2</v>
      </c>
      <c r="M679" s="1">
        <v>19</v>
      </c>
      <c r="N679" s="1" t="s">
        <v>68</v>
      </c>
      <c r="O679" s="1" t="s">
        <v>91</v>
      </c>
      <c r="P679" s="1" t="s">
        <v>54</v>
      </c>
      <c r="Q679" s="1" t="s">
        <v>69</v>
      </c>
      <c r="R679" s="1">
        <v>940.8</v>
      </c>
      <c r="S679" s="1" t="s">
        <v>46</v>
      </c>
      <c r="T679" s="1" t="s">
        <v>100</v>
      </c>
      <c r="U679" s="1" t="s">
        <v>35</v>
      </c>
      <c r="V679" s="1" t="s">
        <v>36</v>
      </c>
    </row>
    <row r="680" spans="1:22" x14ac:dyDescent="0.3">
      <c r="A680" s="1" t="s">
        <v>3541</v>
      </c>
      <c r="B680" s="1" t="s">
        <v>3542</v>
      </c>
      <c r="C680" s="1">
        <v>52</v>
      </c>
      <c r="D680" s="1" t="s">
        <v>3543</v>
      </c>
      <c r="E680" s="1" t="s">
        <v>25</v>
      </c>
      <c r="F680" s="2">
        <v>44963</v>
      </c>
      <c r="G680" s="1" t="s">
        <v>1606</v>
      </c>
      <c r="H680" s="1">
        <v>2</v>
      </c>
      <c r="I680" s="1" t="s">
        <v>64</v>
      </c>
      <c r="J680" s="2">
        <v>45748</v>
      </c>
      <c r="K680" s="1" t="s">
        <v>3544</v>
      </c>
      <c r="L680" s="1">
        <v>6</v>
      </c>
      <c r="M680" s="1">
        <v>10</v>
      </c>
      <c r="N680" s="1" t="s">
        <v>45</v>
      </c>
      <c r="O680" s="1" t="s">
        <v>44</v>
      </c>
      <c r="P680" s="1" t="s">
        <v>45</v>
      </c>
      <c r="Q680" s="1" t="s">
        <v>32</v>
      </c>
      <c r="R680" s="1">
        <v>1464.84</v>
      </c>
      <c r="S680" s="1" t="s">
        <v>33</v>
      </c>
      <c r="T680" s="1" t="s">
        <v>47</v>
      </c>
      <c r="U680" s="1" t="s">
        <v>35</v>
      </c>
      <c r="V680" s="1" t="s">
        <v>71</v>
      </c>
    </row>
    <row r="681" spans="1:22" x14ac:dyDescent="0.3">
      <c r="A681" s="1" t="s">
        <v>3545</v>
      </c>
      <c r="B681" s="1" t="s">
        <v>3546</v>
      </c>
      <c r="C681" s="1">
        <v>66</v>
      </c>
      <c r="D681" s="1" t="s">
        <v>3547</v>
      </c>
      <c r="E681" s="1" t="s">
        <v>51</v>
      </c>
      <c r="F681" s="1" t="s">
        <v>3412</v>
      </c>
      <c r="G681" s="1" t="s">
        <v>3548</v>
      </c>
      <c r="H681" s="1">
        <v>2</v>
      </c>
      <c r="I681" s="1" t="s">
        <v>27</v>
      </c>
      <c r="J681" s="1" t="s">
        <v>1200</v>
      </c>
      <c r="K681" s="1" t="s">
        <v>3549</v>
      </c>
      <c r="L681" s="1">
        <v>3</v>
      </c>
      <c r="M681" s="1">
        <v>6</v>
      </c>
      <c r="N681" s="1" t="s">
        <v>68</v>
      </c>
      <c r="O681" s="1" t="s">
        <v>373</v>
      </c>
      <c r="P681" s="1" t="s">
        <v>54</v>
      </c>
      <c r="Q681" s="1" t="s">
        <v>32</v>
      </c>
      <c r="R681" s="1">
        <v>285.60000000000002</v>
      </c>
      <c r="S681" s="1" t="s">
        <v>46</v>
      </c>
      <c r="T681" s="1" t="s">
        <v>232</v>
      </c>
      <c r="U681" s="1" t="s">
        <v>101</v>
      </c>
      <c r="V681" s="1" t="s">
        <v>36</v>
      </c>
    </row>
    <row r="682" spans="1:22" x14ac:dyDescent="0.3">
      <c r="A682" s="1" t="s">
        <v>3550</v>
      </c>
      <c r="B682" s="1" t="s">
        <v>3551</v>
      </c>
      <c r="C682" s="1">
        <v>57</v>
      </c>
      <c r="D682" s="1" t="s">
        <v>3552</v>
      </c>
      <c r="E682" s="1" t="s">
        <v>25</v>
      </c>
      <c r="F682" s="1" t="s">
        <v>318</v>
      </c>
      <c r="G682" s="1" t="s">
        <v>3553</v>
      </c>
      <c r="H682" s="1">
        <v>2</v>
      </c>
      <c r="I682" s="1" t="s">
        <v>27</v>
      </c>
      <c r="J682" s="1" t="s">
        <v>1074</v>
      </c>
      <c r="K682" s="1" t="s">
        <v>3554</v>
      </c>
      <c r="L682" s="1">
        <v>2</v>
      </c>
      <c r="M682" s="1">
        <v>24</v>
      </c>
      <c r="N682" s="1" t="s">
        <v>30</v>
      </c>
      <c r="O682" s="1" t="s">
        <v>231</v>
      </c>
      <c r="P682" s="1" t="s">
        <v>30</v>
      </c>
      <c r="Q682" s="1" t="s">
        <v>69</v>
      </c>
      <c r="R682" s="1">
        <v>1341.32</v>
      </c>
      <c r="S682" s="1" t="s">
        <v>33</v>
      </c>
      <c r="T682" s="1" t="s">
        <v>47</v>
      </c>
      <c r="U682" s="1" t="s">
        <v>35</v>
      </c>
      <c r="V682" s="1" t="s">
        <v>36</v>
      </c>
    </row>
    <row r="683" spans="1:22" x14ac:dyDescent="0.3">
      <c r="A683" s="1" t="s">
        <v>3555</v>
      </c>
      <c r="B683" s="1" t="s">
        <v>3556</v>
      </c>
      <c r="C683" s="1">
        <v>40</v>
      </c>
      <c r="D683" s="1" t="s">
        <v>3557</v>
      </c>
      <c r="E683" s="1" t="s">
        <v>61</v>
      </c>
      <c r="F683" s="1" t="s">
        <v>3558</v>
      </c>
      <c r="G683" s="1" t="s">
        <v>3223</v>
      </c>
      <c r="H683" s="1">
        <v>3</v>
      </c>
      <c r="I683" s="1" t="s">
        <v>27</v>
      </c>
      <c r="J683" s="1" t="s">
        <v>3559</v>
      </c>
      <c r="K683" s="1" t="s">
        <v>3560</v>
      </c>
      <c r="L683" s="1">
        <v>1</v>
      </c>
      <c r="M683" s="1">
        <v>13</v>
      </c>
      <c r="N683" s="1" t="s">
        <v>45</v>
      </c>
      <c r="O683" s="1" t="s">
        <v>211</v>
      </c>
      <c r="P683" s="1" t="s">
        <v>68</v>
      </c>
      <c r="Q683" s="1" t="s">
        <v>69</v>
      </c>
      <c r="R683" s="1">
        <v>213.06</v>
      </c>
      <c r="S683" s="1" t="s">
        <v>46</v>
      </c>
      <c r="T683" s="1" t="s">
        <v>34</v>
      </c>
      <c r="U683" s="1" t="s">
        <v>35</v>
      </c>
      <c r="V683" s="1" t="s">
        <v>36</v>
      </c>
    </row>
    <row r="684" spans="1:22" x14ac:dyDescent="0.3">
      <c r="A684" s="1" t="s">
        <v>3561</v>
      </c>
      <c r="B684" s="1" t="s">
        <v>3562</v>
      </c>
      <c r="C684" s="1">
        <v>39</v>
      </c>
      <c r="D684" s="1" t="s">
        <v>3563</v>
      </c>
      <c r="E684" s="1" t="s">
        <v>61</v>
      </c>
      <c r="F684" s="2">
        <v>44258</v>
      </c>
      <c r="G684" s="1" t="s">
        <v>1430</v>
      </c>
      <c r="H684" s="1">
        <v>5</v>
      </c>
      <c r="I684" s="1" t="s">
        <v>27</v>
      </c>
      <c r="J684" s="2">
        <v>44776</v>
      </c>
      <c r="K684" s="1" t="s">
        <v>3564</v>
      </c>
      <c r="L684" s="1">
        <v>8</v>
      </c>
      <c r="M684" s="1">
        <v>48</v>
      </c>
      <c r="N684" s="1" t="s">
        <v>45</v>
      </c>
      <c r="O684" s="1" t="s">
        <v>293</v>
      </c>
      <c r="P684" s="1" t="s">
        <v>45</v>
      </c>
      <c r="Q684" s="1" t="s">
        <v>32</v>
      </c>
      <c r="R684" s="1">
        <v>291.60000000000002</v>
      </c>
      <c r="S684" s="1" t="s">
        <v>33</v>
      </c>
      <c r="T684" s="1" t="s">
        <v>34</v>
      </c>
      <c r="U684" s="1" t="s">
        <v>35</v>
      </c>
      <c r="V684" s="1" t="s">
        <v>188</v>
      </c>
    </row>
    <row r="685" spans="1:22" x14ac:dyDescent="0.3">
      <c r="A685" s="1" t="s">
        <v>3565</v>
      </c>
      <c r="B685" s="1" t="s">
        <v>3566</v>
      </c>
      <c r="C685" s="1">
        <v>63</v>
      </c>
      <c r="D685" s="1" t="s">
        <v>3567</v>
      </c>
      <c r="E685" s="1" t="s">
        <v>61</v>
      </c>
      <c r="F685" s="2">
        <v>44145</v>
      </c>
      <c r="G685" s="1" t="s">
        <v>3568</v>
      </c>
      <c r="H685" s="1">
        <v>4</v>
      </c>
      <c r="I685" s="1" t="s">
        <v>27</v>
      </c>
      <c r="J685" s="2">
        <v>45752</v>
      </c>
      <c r="K685" s="1" t="s">
        <v>3569</v>
      </c>
      <c r="L685" s="1">
        <v>7</v>
      </c>
      <c r="M685" s="1">
        <v>15</v>
      </c>
      <c r="N685" s="1" t="s">
        <v>45</v>
      </c>
      <c r="O685" s="1" t="s">
        <v>67</v>
      </c>
      <c r="P685" s="1" t="s">
        <v>68</v>
      </c>
      <c r="Q685" s="1" t="s">
        <v>69</v>
      </c>
      <c r="R685" s="1">
        <v>24.71</v>
      </c>
      <c r="S685" s="1" t="s">
        <v>46</v>
      </c>
      <c r="T685" s="1" t="s">
        <v>47</v>
      </c>
      <c r="U685" s="1" t="s">
        <v>70</v>
      </c>
      <c r="V685" s="1" t="s">
        <v>188</v>
      </c>
    </row>
    <row r="686" spans="1:22" x14ac:dyDescent="0.3">
      <c r="A686" s="1" t="s">
        <v>3570</v>
      </c>
      <c r="B686" s="1" t="s">
        <v>3571</v>
      </c>
      <c r="C686" s="1">
        <v>40</v>
      </c>
      <c r="D686" s="1" t="s">
        <v>3572</v>
      </c>
      <c r="E686" s="1" t="s">
        <v>61</v>
      </c>
      <c r="F686" s="1" t="s">
        <v>2118</v>
      </c>
      <c r="G686" s="2">
        <v>45750</v>
      </c>
      <c r="H686" s="1">
        <v>1</v>
      </c>
      <c r="I686" s="1" t="s">
        <v>27</v>
      </c>
      <c r="J686" s="2">
        <v>45967</v>
      </c>
      <c r="K686" s="1" t="s">
        <v>3573</v>
      </c>
      <c r="L686" s="1">
        <v>1</v>
      </c>
      <c r="M686" s="1">
        <v>24</v>
      </c>
      <c r="N686" s="1" t="s">
        <v>45</v>
      </c>
      <c r="O686" s="1" t="s">
        <v>67</v>
      </c>
      <c r="P686" s="1" t="s">
        <v>68</v>
      </c>
      <c r="Q686" s="1" t="s">
        <v>69</v>
      </c>
      <c r="R686" s="1">
        <v>1951.85</v>
      </c>
      <c r="S686" s="1" t="s">
        <v>46</v>
      </c>
      <c r="T686" s="1" t="s">
        <v>34</v>
      </c>
      <c r="U686" s="1" t="s">
        <v>35</v>
      </c>
      <c r="V686" s="1" t="s">
        <v>36</v>
      </c>
    </row>
    <row r="687" spans="1:22" x14ac:dyDescent="0.3">
      <c r="A687" s="1" t="s">
        <v>3574</v>
      </c>
      <c r="B687" s="1" t="s">
        <v>3575</v>
      </c>
      <c r="C687" s="1">
        <v>64</v>
      </c>
      <c r="D687" s="1" t="s">
        <v>3576</v>
      </c>
      <c r="E687" s="1" t="s">
        <v>40</v>
      </c>
      <c r="F687" s="2">
        <v>44807</v>
      </c>
      <c r="G687" s="1" t="s">
        <v>912</v>
      </c>
      <c r="H687" s="1">
        <v>3</v>
      </c>
      <c r="I687" s="1" t="s">
        <v>27</v>
      </c>
      <c r="J687" s="1" t="s">
        <v>3577</v>
      </c>
      <c r="K687" s="1" t="s">
        <v>3578</v>
      </c>
      <c r="L687" s="1">
        <v>6</v>
      </c>
      <c r="M687" s="1">
        <v>1</v>
      </c>
      <c r="N687" s="1" t="s">
        <v>54</v>
      </c>
      <c r="O687" s="1" t="s">
        <v>194</v>
      </c>
      <c r="P687" s="1" t="s">
        <v>56</v>
      </c>
      <c r="Q687" s="1" t="s">
        <v>32</v>
      </c>
      <c r="R687" s="1">
        <v>74.34</v>
      </c>
      <c r="S687" s="1" t="s">
        <v>46</v>
      </c>
      <c r="T687" s="1" t="s">
        <v>47</v>
      </c>
      <c r="U687" s="1" t="s">
        <v>70</v>
      </c>
      <c r="V687" s="1" t="s">
        <v>36</v>
      </c>
    </row>
    <row r="688" spans="1:22" x14ac:dyDescent="0.3">
      <c r="A688" s="1" t="s">
        <v>3579</v>
      </c>
      <c r="B688" s="1" t="s">
        <v>3580</v>
      </c>
      <c r="C688" s="1">
        <v>39</v>
      </c>
      <c r="D688" s="1" t="s">
        <v>3581</v>
      </c>
      <c r="E688" s="1" t="s">
        <v>51</v>
      </c>
      <c r="F688" s="2">
        <v>44348</v>
      </c>
      <c r="G688" s="1" t="s">
        <v>3107</v>
      </c>
      <c r="H688" s="1">
        <v>1</v>
      </c>
      <c r="I688" s="1" t="s">
        <v>64</v>
      </c>
      <c r="J688" s="2">
        <v>45331</v>
      </c>
      <c r="K688" s="1" t="s">
        <v>3582</v>
      </c>
      <c r="L688" s="1">
        <v>3</v>
      </c>
      <c r="M688" s="1">
        <v>15</v>
      </c>
      <c r="N688" s="1" t="s">
        <v>54</v>
      </c>
      <c r="O688" s="1" t="s">
        <v>293</v>
      </c>
      <c r="P688" s="1" t="s">
        <v>45</v>
      </c>
      <c r="Q688" s="1" t="s">
        <v>32</v>
      </c>
      <c r="R688" s="1">
        <v>85.44</v>
      </c>
      <c r="S688" s="1" t="s">
        <v>46</v>
      </c>
      <c r="T688" s="1" t="s">
        <v>34</v>
      </c>
      <c r="U688" s="1" t="s">
        <v>101</v>
      </c>
      <c r="V688" s="1" t="s">
        <v>71</v>
      </c>
    </row>
    <row r="689" spans="1:22" x14ac:dyDescent="0.3">
      <c r="A689" s="1" t="s">
        <v>3583</v>
      </c>
      <c r="B689" s="1" t="s">
        <v>3584</v>
      </c>
      <c r="C689" s="1">
        <v>48</v>
      </c>
      <c r="D689" s="1" t="s">
        <v>3585</v>
      </c>
      <c r="E689" s="1" t="s">
        <v>25</v>
      </c>
      <c r="F689" s="1" t="s">
        <v>2250</v>
      </c>
      <c r="G689" s="1" t="s">
        <v>1796</v>
      </c>
      <c r="H689" s="1">
        <v>0</v>
      </c>
      <c r="I689" s="1" t="s">
        <v>27</v>
      </c>
      <c r="J689" s="2">
        <v>44659</v>
      </c>
      <c r="K689" s="1" t="s">
        <v>3586</v>
      </c>
      <c r="L689" s="1">
        <v>2</v>
      </c>
      <c r="M689" s="1">
        <v>14</v>
      </c>
      <c r="N689" s="1" t="s">
        <v>68</v>
      </c>
      <c r="O689" s="1" t="s">
        <v>122</v>
      </c>
      <c r="P689" s="1" t="s">
        <v>30</v>
      </c>
      <c r="Q689" s="1" t="s">
        <v>69</v>
      </c>
      <c r="R689" s="1">
        <v>1707.94</v>
      </c>
      <c r="S689" s="1" t="s">
        <v>46</v>
      </c>
      <c r="T689" s="1" t="s">
        <v>34</v>
      </c>
      <c r="U689" s="1" t="s">
        <v>35</v>
      </c>
      <c r="V689" s="1" t="s">
        <v>36</v>
      </c>
    </row>
    <row r="690" spans="1:22" x14ac:dyDescent="0.3">
      <c r="A690" s="1" t="s">
        <v>3587</v>
      </c>
      <c r="B690" s="1" t="s">
        <v>3588</v>
      </c>
      <c r="C690" s="1">
        <v>34</v>
      </c>
      <c r="D690" s="1" t="s">
        <v>3589</v>
      </c>
      <c r="E690" s="1" t="s">
        <v>40</v>
      </c>
      <c r="F690" s="1" t="s">
        <v>3590</v>
      </c>
      <c r="G690" s="1" t="s">
        <v>1020</v>
      </c>
      <c r="H690" s="1">
        <v>4</v>
      </c>
      <c r="I690" s="1" t="s">
        <v>27</v>
      </c>
      <c r="J690" s="2">
        <v>45267</v>
      </c>
      <c r="K690" s="1" t="s">
        <v>3591</v>
      </c>
      <c r="L690" s="1">
        <v>4</v>
      </c>
      <c r="M690" s="1">
        <v>33</v>
      </c>
      <c r="N690" s="1" t="s">
        <v>68</v>
      </c>
      <c r="O690" s="1" t="s">
        <v>91</v>
      </c>
      <c r="P690" s="1" t="s">
        <v>54</v>
      </c>
      <c r="Q690" s="1" t="s">
        <v>69</v>
      </c>
      <c r="R690" s="1">
        <v>597.96</v>
      </c>
      <c r="S690" s="1" t="s">
        <v>46</v>
      </c>
      <c r="T690" s="1" t="s">
        <v>57</v>
      </c>
      <c r="U690" s="1" t="s">
        <v>35</v>
      </c>
      <c r="V690" s="1" t="s">
        <v>188</v>
      </c>
    </row>
    <row r="691" spans="1:22" x14ac:dyDescent="0.3">
      <c r="A691" s="1" t="s">
        <v>3592</v>
      </c>
      <c r="B691" s="1" t="s">
        <v>3593</v>
      </c>
      <c r="C691" s="1">
        <v>42</v>
      </c>
      <c r="D691" s="1" t="s">
        <v>3594</v>
      </c>
      <c r="E691" s="1" t="s">
        <v>40</v>
      </c>
      <c r="F691" s="2">
        <v>44323</v>
      </c>
      <c r="G691" s="1" t="s">
        <v>3595</v>
      </c>
      <c r="H691" s="1">
        <v>3</v>
      </c>
      <c r="I691" s="1" t="s">
        <v>52</v>
      </c>
      <c r="J691" s="1" t="s">
        <v>1041</v>
      </c>
      <c r="K691" s="1" t="s">
        <v>3596</v>
      </c>
      <c r="L691" s="1">
        <v>3</v>
      </c>
      <c r="M691" s="1">
        <v>24</v>
      </c>
      <c r="N691" s="1" t="s">
        <v>68</v>
      </c>
      <c r="O691" s="1" t="s">
        <v>425</v>
      </c>
      <c r="P691" s="1" t="s">
        <v>30</v>
      </c>
      <c r="Q691" s="1" t="s">
        <v>69</v>
      </c>
      <c r="R691" s="1">
        <v>139.97999999999999</v>
      </c>
      <c r="S691" s="1" t="s">
        <v>46</v>
      </c>
      <c r="T691" s="1" t="s">
        <v>34</v>
      </c>
      <c r="U691" s="1" t="s">
        <v>35</v>
      </c>
      <c r="V691" s="1" t="s">
        <v>36</v>
      </c>
    </row>
    <row r="692" spans="1:22" x14ac:dyDescent="0.3">
      <c r="A692" s="1" t="s">
        <v>3597</v>
      </c>
      <c r="B692" s="1" t="s">
        <v>3598</v>
      </c>
      <c r="C692" s="1">
        <v>43</v>
      </c>
      <c r="D692" s="1" t="s">
        <v>3599</v>
      </c>
      <c r="E692" s="1" t="s">
        <v>95</v>
      </c>
      <c r="F692" s="1" t="s">
        <v>416</v>
      </c>
      <c r="G692" s="2">
        <v>45180</v>
      </c>
      <c r="H692" s="1">
        <v>4</v>
      </c>
      <c r="I692" s="1" t="s">
        <v>64</v>
      </c>
      <c r="J692" s="2">
        <v>45994</v>
      </c>
      <c r="K692" s="1" t="s">
        <v>3600</v>
      </c>
      <c r="L692" s="1">
        <v>9</v>
      </c>
      <c r="M692" s="1">
        <v>44</v>
      </c>
      <c r="N692" s="1" t="s">
        <v>30</v>
      </c>
      <c r="O692" s="1" t="s">
        <v>211</v>
      </c>
      <c r="P692" s="1" t="s">
        <v>68</v>
      </c>
      <c r="Q692" s="1" t="s">
        <v>69</v>
      </c>
      <c r="R692" s="1">
        <v>1171.71</v>
      </c>
      <c r="S692" s="1" t="s">
        <v>46</v>
      </c>
      <c r="T692" s="1" t="s">
        <v>34</v>
      </c>
      <c r="U692" s="1" t="s">
        <v>35</v>
      </c>
      <c r="V692" s="1" t="s">
        <v>71</v>
      </c>
    </row>
    <row r="693" spans="1:22" x14ac:dyDescent="0.3">
      <c r="A693" s="1" t="s">
        <v>3601</v>
      </c>
      <c r="B693" s="1" t="s">
        <v>3602</v>
      </c>
      <c r="C693" s="1">
        <v>24</v>
      </c>
      <c r="D693" s="1" t="s">
        <v>3603</v>
      </c>
      <c r="E693" s="1" t="s">
        <v>40</v>
      </c>
      <c r="F693" s="1" t="s">
        <v>3604</v>
      </c>
      <c r="G693" s="2">
        <v>45329</v>
      </c>
      <c r="H693" s="1">
        <v>1</v>
      </c>
      <c r="I693" s="1" t="s">
        <v>27</v>
      </c>
      <c r="J693" s="1" t="s">
        <v>3129</v>
      </c>
      <c r="K693" s="1" t="s">
        <v>3605</v>
      </c>
      <c r="L693" s="1">
        <v>3</v>
      </c>
      <c r="M693" s="1">
        <v>11</v>
      </c>
      <c r="N693" s="1" t="s">
        <v>45</v>
      </c>
      <c r="O693" s="1" t="s">
        <v>91</v>
      </c>
      <c r="P693" s="1" t="s">
        <v>54</v>
      </c>
      <c r="Q693" s="1" t="s">
        <v>32</v>
      </c>
      <c r="R693" s="1">
        <v>1584.6</v>
      </c>
      <c r="S693" s="1" t="s">
        <v>46</v>
      </c>
      <c r="T693" s="1" t="s">
        <v>100</v>
      </c>
      <c r="U693" s="1" t="s">
        <v>35</v>
      </c>
      <c r="V693" s="1" t="s">
        <v>36</v>
      </c>
    </row>
    <row r="694" spans="1:22" x14ac:dyDescent="0.3">
      <c r="A694" s="1" t="s">
        <v>3606</v>
      </c>
      <c r="B694" s="1" t="s">
        <v>3607</v>
      </c>
      <c r="C694" s="1">
        <v>35</v>
      </c>
      <c r="D694" s="1" t="s">
        <v>3608</v>
      </c>
      <c r="E694" s="1" t="s">
        <v>40</v>
      </c>
      <c r="F694" s="1" t="s">
        <v>1137</v>
      </c>
      <c r="G694" s="1" t="s">
        <v>2598</v>
      </c>
      <c r="H694" s="1">
        <v>0</v>
      </c>
      <c r="I694" s="1" t="s">
        <v>27</v>
      </c>
      <c r="J694" s="1" t="s">
        <v>106</v>
      </c>
      <c r="K694" s="1" t="s">
        <v>3609</v>
      </c>
      <c r="L694" s="1">
        <v>7</v>
      </c>
      <c r="M694" s="1">
        <v>19</v>
      </c>
      <c r="N694" s="1" t="s">
        <v>54</v>
      </c>
      <c r="O694" s="1" t="s">
        <v>91</v>
      </c>
      <c r="P694" s="1" t="s">
        <v>54</v>
      </c>
      <c r="Q694" s="1" t="s">
        <v>69</v>
      </c>
      <c r="R694" s="1">
        <v>1324.26</v>
      </c>
      <c r="S694" s="1" t="s">
        <v>33</v>
      </c>
      <c r="T694" s="1" t="s">
        <v>34</v>
      </c>
      <c r="U694" s="1" t="s">
        <v>35</v>
      </c>
      <c r="V694" s="1" t="s">
        <v>36</v>
      </c>
    </row>
    <row r="695" spans="1:22" x14ac:dyDescent="0.3">
      <c r="A695" s="1" t="s">
        <v>3610</v>
      </c>
      <c r="B695" s="1" t="s">
        <v>3611</v>
      </c>
      <c r="C695" s="1">
        <v>51</v>
      </c>
      <c r="D695" s="1" t="s">
        <v>3612</v>
      </c>
      <c r="E695" s="1" t="s">
        <v>61</v>
      </c>
      <c r="F695" s="2">
        <v>44836</v>
      </c>
      <c r="G695" s="1" t="s">
        <v>3223</v>
      </c>
      <c r="H695" s="1">
        <v>4</v>
      </c>
      <c r="I695" s="1" t="s">
        <v>27</v>
      </c>
      <c r="J695" s="1" t="s">
        <v>1447</v>
      </c>
      <c r="K695" s="1" t="s">
        <v>3613</v>
      </c>
      <c r="L695" s="1">
        <v>6</v>
      </c>
      <c r="M695" s="1">
        <v>38</v>
      </c>
      <c r="N695" s="1" t="s">
        <v>68</v>
      </c>
      <c r="O695" s="1" t="s">
        <v>44</v>
      </c>
      <c r="P695" s="1" t="s">
        <v>45</v>
      </c>
      <c r="Q695" s="1" t="s">
        <v>32</v>
      </c>
      <c r="R695" s="1">
        <v>273.72000000000003</v>
      </c>
      <c r="S695" s="1" t="s">
        <v>46</v>
      </c>
      <c r="T695" s="1" t="s">
        <v>47</v>
      </c>
      <c r="U695" s="1" t="s">
        <v>35</v>
      </c>
      <c r="V695" s="1" t="s">
        <v>188</v>
      </c>
    </row>
    <row r="696" spans="1:22" x14ac:dyDescent="0.3">
      <c r="A696" s="1" t="s">
        <v>3614</v>
      </c>
      <c r="B696" s="1" t="s">
        <v>3615</v>
      </c>
      <c r="C696" s="1">
        <v>65</v>
      </c>
      <c r="D696" s="1" t="s">
        <v>3616</v>
      </c>
      <c r="E696" s="1" t="s">
        <v>25</v>
      </c>
      <c r="F696" s="1" t="s">
        <v>1474</v>
      </c>
      <c r="G696" s="1" t="s">
        <v>3617</v>
      </c>
      <c r="H696" s="1">
        <v>4</v>
      </c>
      <c r="I696" s="1" t="s">
        <v>52</v>
      </c>
      <c r="J696" s="2">
        <v>45200</v>
      </c>
      <c r="K696" s="1" t="s">
        <v>3618</v>
      </c>
      <c r="L696" s="1">
        <v>5</v>
      </c>
      <c r="M696" s="1">
        <v>30</v>
      </c>
      <c r="N696" s="1" t="s">
        <v>56</v>
      </c>
      <c r="O696" s="1" t="s">
        <v>116</v>
      </c>
      <c r="P696" s="1" t="s">
        <v>54</v>
      </c>
      <c r="Q696" s="1" t="s">
        <v>69</v>
      </c>
      <c r="R696" s="1">
        <v>432.65</v>
      </c>
      <c r="S696" s="1" t="s">
        <v>46</v>
      </c>
      <c r="T696" s="1" t="s">
        <v>232</v>
      </c>
      <c r="U696" s="1" t="s">
        <v>35</v>
      </c>
      <c r="V696" s="1" t="s">
        <v>36</v>
      </c>
    </row>
    <row r="697" spans="1:22" x14ac:dyDescent="0.3">
      <c r="A697" s="1" t="s">
        <v>3619</v>
      </c>
      <c r="B697" s="1" t="s">
        <v>3620</v>
      </c>
      <c r="C697" s="1">
        <v>39</v>
      </c>
      <c r="D697" s="1" t="s">
        <v>3621</v>
      </c>
      <c r="E697" s="1" t="s">
        <v>51</v>
      </c>
      <c r="F697" s="1" t="s">
        <v>1944</v>
      </c>
      <c r="G697" s="2">
        <v>45421</v>
      </c>
      <c r="H697" s="1">
        <v>4</v>
      </c>
      <c r="I697" s="1" t="s">
        <v>52</v>
      </c>
      <c r="J697" s="2">
        <v>45147</v>
      </c>
      <c r="K697" s="1" t="s">
        <v>3622</v>
      </c>
      <c r="L697" s="1">
        <v>9</v>
      </c>
      <c r="M697" s="1">
        <v>22</v>
      </c>
      <c r="N697" s="1" t="s">
        <v>54</v>
      </c>
      <c r="O697" s="1" t="s">
        <v>194</v>
      </c>
      <c r="P697" s="1" t="s">
        <v>56</v>
      </c>
      <c r="Q697" s="1" t="s">
        <v>32</v>
      </c>
      <c r="R697" s="1">
        <v>174.33</v>
      </c>
      <c r="S697" s="1" t="s">
        <v>46</v>
      </c>
      <c r="T697" s="1" t="s">
        <v>34</v>
      </c>
      <c r="U697" s="1" t="s">
        <v>35</v>
      </c>
      <c r="V697" s="1" t="s">
        <v>36</v>
      </c>
    </row>
    <row r="698" spans="1:22" x14ac:dyDescent="0.3">
      <c r="A698" s="1" t="s">
        <v>3623</v>
      </c>
      <c r="B698" s="1" t="s">
        <v>3624</v>
      </c>
      <c r="C698" s="1">
        <v>65</v>
      </c>
      <c r="D698" s="1" t="s">
        <v>3625</v>
      </c>
      <c r="E698" s="1" t="s">
        <v>25</v>
      </c>
      <c r="F698" s="1" t="s">
        <v>3626</v>
      </c>
      <c r="G698" s="1" t="s">
        <v>2664</v>
      </c>
      <c r="H698" s="1">
        <v>5</v>
      </c>
      <c r="I698" s="1" t="s">
        <v>52</v>
      </c>
      <c r="J698" s="2">
        <v>44995</v>
      </c>
      <c r="K698" s="1" t="s">
        <v>3627</v>
      </c>
      <c r="L698" s="1">
        <v>3</v>
      </c>
      <c r="M698" s="1">
        <v>11</v>
      </c>
      <c r="N698" s="1" t="s">
        <v>56</v>
      </c>
      <c r="O698" s="1" t="s">
        <v>128</v>
      </c>
      <c r="P698" s="1" t="s">
        <v>54</v>
      </c>
      <c r="Q698" s="1" t="s">
        <v>69</v>
      </c>
      <c r="R698" s="1">
        <v>1070.67</v>
      </c>
      <c r="S698" s="1" t="s">
        <v>46</v>
      </c>
      <c r="T698" s="1" t="s">
        <v>232</v>
      </c>
      <c r="U698" s="1" t="s">
        <v>35</v>
      </c>
      <c r="V698" s="1" t="s">
        <v>36</v>
      </c>
    </row>
    <row r="699" spans="1:22" x14ac:dyDescent="0.3">
      <c r="A699" s="1" t="s">
        <v>3628</v>
      </c>
      <c r="B699" s="1" t="s">
        <v>3629</v>
      </c>
      <c r="C699" s="1">
        <v>47</v>
      </c>
      <c r="D699" s="1" t="s">
        <v>3630</v>
      </c>
      <c r="E699" s="1" t="s">
        <v>95</v>
      </c>
      <c r="F699" s="2">
        <v>43930</v>
      </c>
      <c r="G699" s="2">
        <v>44508</v>
      </c>
      <c r="H699" s="1">
        <v>4</v>
      </c>
      <c r="I699" s="1" t="s">
        <v>27</v>
      </c>
      <c r="J699" s="1" t="s">
        <v>1929</v>
      </c>
      <c r="K699" s="1" t="s">
        <v>3631</v>
      </c>
      <c r="L699" s="1">
        <v>9</v>
      </c>
      <c r="M699" s="1">
        <v>14</v>
      </c>
      <c r="N699" s="1" t="s">
        <v>54</v>
      </c>
      <c r="O699" s="1" t="s">
        <v>251</v>
      </c>
      <c r="P699" s="1" t="s">
        <v>30</v>
      </c>
      <c r="Q699" s="1" t="s">
        <v>32</v>
      </c>
      <c r="R699" s="1">
        <v>1976.22</v>
      </c>
      <c r="S699" s="1" t="s">
        <v>46</v>
      </c>
      <c r="T699" s="1" t="s">
        <v>34</v>
      </c>
      <c r="U699" s="1" t="s">
        <v>35</v>
      </c>
      <c r="V699" s="1" t="s">
        <v>188</v>
      </c>
    </row>
    <row r="700" spans="1:22" x14ac:dyDescent="0.3">
      <c r="A700" s="1" t="s">
        <v>3632</v>
      </c>
      <c r="B700" s="1" t="s">
        <v>3633</v>
      </c>
      <c r="C700" s="1">
        <v>31</v>
      </c>
      <c r="D700" s="1" t="s">
        <v>3634</v>
      </c>
      <c r="E700" s="1" t="s">
        <v>95</v>
      </c>
      <c r="F700" s="1" t="s">
        <v>1955</v>
      </c>
      <c r="G700" s="1" t="s">
        <v>919</v>
      </c>
      <c r="H700" s="1">
        <v>4</v>
      </c>
      <c r="I700" s="1" t="s">
        <v>27</v>
      </c>
      <c r="J700" s="1" t="s">
        <v>106</v>
      </c>
      <c r="K700" s="1" t="s">
        <v>3635</v>
      </c>
      <c r="L700" s="1">
        <v>1</v>
      </c>
      <c r="M700" s="1">
        <v>3</v>
      </c>
      <c r="N700" s="1" t="s">
        <v>68</v>
      </c>
      <c r="O700" s="1" t="s">
        <v>597</v>
      </c>
      <c r="P700" s="1" t="s">
        <v>45</v>
      </c>
      <c r="Q700" s="1" t="s">
        <v>69</v>
      </c>
      <c r="R700" s="1">
        <v>1371.02</v>
      </c>
      <c r="S700" s="1" t="s">
        <v>46</v>
      </c>
      <c r="T700" s="1" t="s">
        <v>57</v>
      </c>
      <c r="U700" s="1" t="s">
        <v>35</v>
      </c>
      <c r="V700" s="1" t="s">
        <v>188</v>
      </c>
    </row>
    <row r="701" spans="1:22" x14ac:dyDescent="0.3">
      <c r="A701" s="1" t="s">
        <v>3636</v>
      </c>
      <c r="B701" s="1" t="s">
        <v>3637</v>
      </c>
      <c r="C701" s="1">
        <v>18</v>
      </c>
      <c r="D701" s="1" t="s">
        <v>3638</v>
      </c>
      <c r="E701" s="1" t="s">
        <v>25</v>
      </c>
      <c r="F701" s="1" t="s">
        <v>1874</v>
      </c>
      <c r="G701" s="1" t="s">
        <v>2858</v>
      </c>
      <c r="H701" s="1">
        <v>4</v>
      </c>
      <c r="I701" s="1" t="s">
        <v>64</v>
      </c>
      <c r="J701" s="1" t="s">
        <v>2956</v>
      </c>
      <c r="K701" s="1" t="s">
        <v>3639</v>
      </c>
      <c r="L701" s="1">
        <v>7</v>
      </c>
      <c r="M701" s="1">
        <v>4</v>
      </c>
      <c r="N701" s="1" t="s">
        <v>30</v>
      </c>
      <c r="O701" s="1" t="s">
        <v>425</v>
      </c>
      <c r="P701" s="1" t="s">
        <v>30</v>
      </c>
      <c r="Q701" s="1" t="s">
        <v>69</v>
      </c>
      <c r="R701" s="1">
        <v>206.78</v>
      </c>
      <c r="S701" s="1" t="s">
        <v>33</v>
      </c>
      <c r="T701" s="1" t="s">
        <v>100</v>
      </c>
      <c r="U701" s="1" t="s">
        <v>101</v>
      </c>
      <c r="V701" s="1" t="s">
        <v>71</v>
      </c>
    </row>
    <row r="702" spans="1:22" x14ac:dyDescent="0.3">
      <c r="A702" s="1" t="s">
        <v>3640</v>
      </c>
      <c r="B702" s="1" t="s">
        <v>3641</v>
      </c>
      <c r="C702" s="1">
        <v>55</v>
      </c>
      <c r="D702" s="1" t="s">
        <v>3642</v>
      </c>
      <c r="E702" s="1" t="s">
        <v>25</v>
      </c>
      <c r="F702" s="2">
        <v>44682</v>
      </c>
      <c r="G702" s="1" t="s">
        <v>3568</v>
      </c>
      <c r="H702" s="1">
        <v>4</v>
      </c>
      <c r="I702" s="1" t="s">
        <v>64</v>
      </c>
      <c r="J702" s="1" t="s">
        <v>3643</v>
      </c>
      <c r="K702" s="1" t="s">
        <v>3644</v>
      </c>
      <c r="L702" s="1">
        <v>4</v>
      </c>
      <c r="M702" s="1">
        <v>15</v>
      </c>
      <c r="N702" s="1" t="s">
        <v>30</v>
      </c>
      <c r="O702" s="1" t="s">
        <v>67</v>
      </c>
      <c r="P702" s="1" t="s">
        <v>68</v>
      </c>
      <c r="Q702" s="1" t="s">
        <v>69</v>
      </c>
      <c r="R702" s="1">
        <v>621.79999999999995</v>
      </c>
      <c r="S702" s="1" t="s">
        <v>46</v>
      </c>
      <c r="T702" s="1" t="s">
        <v>47</v>
      </c>
      <c r="U702" s="1" t="s">
        <v>35</v>
      </c>
      <c r="V702" s="1" t="s">
        <v>71</v>
      </c>
    </row>
    <row r="703" spans="1:22" x14ac:dyDescent="0.3">
      <c r="A703" s="1" t="s">
        <v>3645</v>
      </c>
      <c r="B703" s="1" t="s">
        <v>3646</v>
      </c>
      <c r="C703" s="1">
        <v>29</v>
      </c>
      <c r="D703" s="1" t="s">
        <v>3647</v>
      </c>
      <c r="E703" s="1" t="s">
        <v>25</v>
      </c>
      <c r="F703" s="1" t="s">
        <v>208</v>
      </c>
      <c r="G703" s="2">
        <v>45025</v>
      </c>
      <c r="H703" s="1">
        <v>5</v>
      </c>
      <c r="I703" s="1" t="s">
        <v>64</v>
      </c>
      <c r="J703" s="1" t="s">
        <v>773</v>
      </c>
      <c r="K703" s="1" t="s">
        <v>3648</v>
      </c>
      <c r="L703" s="1">
        <v>5</v>
      </c>
      <c r="M703" s="1">
        <v>21</v>
      </c>
      <c r="N703" s="1" t="s">
        <v>56</v>
      </c>
      <c r="O703" s="1" t="s">
        <v>128</v>
      </c>
      <c r="P703" s="1" t="s">
        <v>54</v>
      </c>
      <c r="Q703" s="1" t="s">
        <v>32</v>
      </c>
      <c r="R703" s="1">
        <v>127.45</v>
      </c>
      <c r="S703" s="1" t="s">
        <v>46</v>
      </c>
      <c r="T703" s="1" t="s">
        <v>57</v>
      </c>
      <c r="U703" s="1" t="s">
        <v>35</v>
      </c>
      <c r="V703" s="1" t="s">
        <v>71</v>
      </c>
    </row>
    <row r="704" spans="1:22" x14ac:dyDescent="0.3">
      <c r="A704" s="1" t="s">
        <v>3649</v>
      </c>
      <c r="B704" s="1" t="s">
        <v>3650</v>
      </c>
      <c r="C704" s="1">
        <v>69</v>
      </c>
      <c r="D704" s="1" t="s">
        <v>3651</v>
      </c>
      <c r="E704" s="1" t="s">
        <v>51</v>
      </c>
      <c r="F704" s="1" t="s">
        <v>3652</v>
      </c>
      <c r="G704" s="2">
        <v>45846</v>
      </c>
      <c r="H704" s="1">
        <v>5</v>
      </c>
      <c r="I704" s="1" t="s">
        <v>27</v>
      </c>
      <c r="J704" s="2">
        <v>45329</v>
      </c>
      <c r="K704" s="1" t="s">
        <v>3653</v>
      </c>
      <c r="L704" s="1">
        <v>7</v>
      </c>
      <c r="M704" s="1">
        <v>24</v>
      </c>
      <c r="N704" s="1" t="s">
        <v>45</v>
      </c>
      <c r="O704" s="1" t="s">
        <v>169</v>
      </c>
      <c r="P704" s="1" t="s">
        <v>30</v>
      </c>
      <c r="Q704" s="1" t="s">
        <v>32</v>
      </c>
      <c r="R704" s="1">
        <v>130.76</v>
      </c>
      <c r="S704" s="1" t="s">
        <v>46</v>
      </c>
      <c r="T704" s="1" t="s">
        <v>232</v>
      </c>
      <c r="U704" s="1" t="s">
        <v>35</v>
      </c>
      <c r="V704" s="1" t="s">
        <v>188</v>
      </c>
    </row>
    <row r="705" spans="1:22" x14ac:dyDescent="0.3">
      <c r="A705" s="1" t="s">
        <v>3654</v>
      </c>
      <c r="B705" s="1" t="s">
        <v>3655</v>
      </c>
      <c r="C705" s="1">
        <v>65</v>
      </c>
      <c r="D705" s="1" t="s">
        <v>3656</v>
      </c>
      <c r="E705" s="1" t="s">
        <v>25</v>
      </c>
      <c r="F705" s="1" t="s">
        <v>3501</v>
      </c>
      <c r="G705" s="1" t="s">
        <v>1442</v>
      </c>
      <c r="H705" s="1">
        <v>5</v>
      </c>
      <c r="I705" s="1" t="s">
        <v>27</v>
      </c>
      <c r="J705" s="1" t="s">
        <v>1189</v>
      </c>
      <c r="K705" s="1" t="s">
        <v>3657</v>
      </c>
      <c r="L705" s="1">
        <v>1</v>
      </c>
      <c r="M705" s="1">
        <v>32</v>
      </c>
      <c r="N705" s="1" t="s">
        <v>56</v>
      </c>
      <c r="O705" s="1" t="s">
        <v>373</v>
      </c>
      <c r="P705" s="1" t="s">
        <v>54</v>
      </c>
      <c r="Q705" s="1" t="s">
        <v>32</v>
      </c>
      <c r="R705" s="1">
        <v>1143.02</v>
      </c>
      <c r="S705" s="1" t="s">
        <v>46</v>
      </c>
      <c r="T705" s="1" t="s">
        <v>232</v>
      </c>
      <c r="U705" s="1" t="s">
        <v>35</v>
      </c>
      <c r="V705" s="1" t="s">
        <v>188</v>
      </c>
    </row>
    <row r="706" spans="1:22" x14ac:dyDescent="0.3">
      <c r="A706" s="1" t="s">
        <v>3658</v>
      </c>
      <c r="B706" s="1" t="s">
        <v>3659</v>
      </c>
      <c r="C706" s="1">
        <v>56</v>
      </c>
      <c r="D706" s="1" t="s">
        <v>3660</v>
      </c>
      <c r="E706" s="1" t="s">
        <v>95</v>
      </c>
      <c r="F706" s="2">
        <v>44933</v>
      </c>
      <c r="G706" s="2">
        <v>45629</v>
      </c>
      <c r="H706" s="1">
        <v>3</v>
      </c>
      <c r="I706" s="1" t="s">
        <v>64</v>
      </c>
      <c r="J706" s="1" t="s">
        <v>120</v>
      </c>
      <c r="K706" s="1" t="s">
        <v>3661</v>
      </c>
      <c r="L706" s="1">
        <v>9</v>
      </c>
      <c r="M706" s="1">
        <v>5</v>
      </c>
      <c r="N706" s="1" t="s">
        <v>45</v>
      </c>
      <c r="O706" s="1" t="s">
        <v>425</v>
      </c>
      <c r="P706" s="1" t="s">
        <v>30</v>
      </c>
      <c r="Q706" s="1" t="s">
        <v>32</v>
      </c>
      <c r="R706" s="1">
        <v>158.58000000000001</v>
      </c>
      <c r="S706" s="1" t="s">
        <v>46</v>
      </c>
      <c r="T706" s="1" t="s">
        <v>47</v>
      </c>
      <c r="U706" s="1" t="s">
        <v>101</v>
      </c>
      <c r="V706" s="1" t="s">
        <v>71</v>
      </c>
    </row>
    <row r="707" spans="1:22" x14ac:dyDescent="0.3">
      <c r="A707" s="1" t="s">
        <v>3662</v>
      </c>
      <c r="B707" s="1" t="s">
        <v>3663</v>
      </c>
      <c r="C707" s="1">
        <v>31</v>
      </c>
      <c r="D707" s="1" t="s">
        <v>3664</v>
      </c>
      <c r="E707" s="1" t="s">
        <v>40</v>
      </c>
      <c r="F707" s="1" t="s">
        <v>2294</v>
      </c>
      <c r="G707" s="1" t="s">
        <v>3069</v>
      </c>
      <c r="H707" s="1">
        <v>2</v>
      </c>
      <c r="I707" s="1" t="s">
        <v>27</v>
      </c>
      <c r="J707" s="1" t="s">
        <v>303</v>
      </c>
      <c r="K707" s="1" t="s">
        <v>3665</v>
      </c>
      <c r="L707" s="1">
        <v>7</v>
      </c>
      <c r="M707" s="1">
        <v>15</v>
      </c>
      <c r="N707" s="1" t="s">
        <v>56</v>
      </c>
      <c r="O707" s="1" t="s">
        <v>536</v>
      </c>
      <c r="P707" s="1" t="s">
        <v>68</v>
      </c>
      <c r="Q707" s="1" t="s">
        <v>32</v>
      </c>
      <c r="R707" s="1">
        <v>1172.01</v>
      </c>
      <c r="S707" s="1" t="s">
        <v>46</v>
      </c>
      <c r="T707" s="1" t="s">
        <v>57</v>
      </c>
      <c r="U707" s="1" t="s">
        <v>35</v>
      </c>
      <c r="V707" s="1" t="s">
        <v>36</v>
      </c>
    </row>
    <row r="708" spans="1:22" x14ac:dyDescent="0.3">
      <c r="A708" s="1" t="s">
        <v>3666</v>
      </c>
      <c r="B708" s="1" t="s">
        <v>3667</v>
      </c>
      <c r="C708" s="1">
        <v>40</v>
      </c>
      <c r="D708" s="1" t="s">
        <v>3668</v>
      </c>
      <c r="E708" s="1" t="s">
        <v>95</v>
      </c>
      <c r="F708" s="2">
        <v>44962</v>
      </c>
      <c r="G708" s="1" t="s">
        <v>3526</v>
      </c>
      <c r="H708" s="1">
        <v>1</v>
      </c>
      <c r="I708" s="1" t="s">
        <v>27</v>
      </c>
      <c r="J708" s="1" t="s">
        <v>3669</v>
      </c>
      <c r="K708" s="1" t="s">
        <v>3670</v>
      </c>
      <c r="L708" s="1">
        <v>5</v>
      </c>
      <c r="M708" s="1">
        <v>34</v>
      </c>
      <c r="N708" s="1" t="s">
        <v>68</v>
      </c>
      <c r="O708" s="1" t="s">
        <v>31</v>
      </c>
      <c r="P708" s="1" t="s">
        <v>30</v>
      </c>
      <c r="Q708" s="1" t="s">
        <v>32</v>
      </c>
      <c r="R708" s="1">
        <v>1224.25</v>
      </c>
      <c r="S708" s="1" t="s">
        <v>46</v>
      </c>
      <c r="T708" s="1" t="s">
        <v>34</v>
      </c>
      <c r="U708" s="1" t="s">
        <v>35</v>
      </c>
      <c r="V708" s="1" t="s">
        <v>36</v>
      </c>
    </row>
    <row r="709" spans="1:22" x14ac:dyDescent="0.3">
      <c r="A709" s="1" t="s">
        <v>3671</v>
      </c>
      <c r="B709" s="1" t="s">
        <v>3672</v>
      </c>
      <c r="C709" s="1">
        <v>44</v>
      </c>
      <c r="D709" s="1" t="s">
        <v>3673</v>
      </c>
      <c r="E709" s="1" t="s">
        <v>40</v>
      </c>
      <c r="F709" s="2">
        <v>44717</v>
      </c>
      <c r="G709" s="2">
        <v>45209</v>
      </c>
      <c r="H709" s="1">
        <v>1</v>
      </c>
      <c r="I709" s="1" t="s">
        <v>52</v>
      </c>
      <c r="J709" s="1" t="s">
        <v>3674</v>
      </c>
      <c r="K709" s="1" t="s">
        <v>3675</v>
      </c>
      <c r="L709" s="1">
        <v>7</v>
      </c>
      <c r="M709" s="1">
        <v>46</v>
      </c>
      <c r="N709" s="1" t="s">
        <v>30</v>
      </c>
      <c r="O709" s="1" t="s">
        <v>211</v>
      </c>
      <c r="P709" s="1" t="s">
        <v>68</v>
      </c>
      <c r="Q709" s="1" t="s">
        <v>32</v>
      </c>
      <c r="R709" s="1">
        <v>517.79</v>
      </c>
      <c r="S709" s="1" t="s">
        <v>46</v>
      </c>
      <c r="T709" s="1" t="s">
        <v>34</v>
      </c>
      <c r="U709" s="1" t="s">
        <v>35</v>
      </c>
      <c r="V709" s="1" t="s">
        <v>36</v>
      </c>
    </row>
    <row r="710" spans="1:22" x14ac:dyDescent="0.3">
      <c r="A710" s="1" t="s">
        <v>3676</v>
      </c>
      <c r="B710" s="1" t="s">
        <v>3677</v>
      </c>
      <c r="C710" s="1">
        <v>47</v>
      </c>
      <c r="D710" s="1" t="s">
        <v>3678</v>
      </c>
      <c r="E710" s="1" t="s">
        <v>25</v>
      </c>
      <c r="F710" s="1" t="s">
        <v>912</v>
      </c>
      <c r="G710" s="1" t="s">
        <v>3679</v>
      </c>
      <c r="H710" s="1">
        <v>1</v>
      </c>
      <c r="I710" s="1" t="s">
        <v>27</v>
      </c>
      <c r="J710" s="1" t="s">
        <v>1546</v>
      </c>
      <c r="K710" s="1" t="s">
        <v>3680</v>
      </c>
      <c r="L710" s="1">
        <v>2</v>
      </c>
      <c r="M710" s="1">
        <v>26</v>
      </c>
      <c r="N710" s="1" t="s">
        <v>54</v>
      </c>
      <c r="O710" s="1" t="s">
        <v>837</v>
      </c>
      <c r="P710" s="1" t="s">
        <v>56</v>
      </c>
      <c r="Q710" s="1" t="s">
        <v>32</v>
      </c>
      <c r="R710" s="1">
        <v>1797.52</v>
      </c>
      <c r="S710" s="1" t="s">
        <v>46</v>
      </c>
      <c r="T710" s="1" t="s">
        <v>34</v>
      </c>
      <c r="U710" s="1" t="s">
        <v>35</v>
      </c>
      <c r="V710" s="1" t="s">
        <v>36</v>
      </c>
    </row>
    <row r="711" spans="1:22" x14ac:dyDescent="0.3">
      <c r="A711" s="1" t="s">
        <v>3681</v>
      </c>
      <c r="B711" s="1" t="s">
        <v>3682</v>
      </c>
      <c r="C711" s="1">
        <v>51</v>
      </c>
      <c r="D711" s="1" t="s">
        <v>3683</v>
      </c>
      <c r="E711" s="1" t="s">
        <v>88</v>
      </c>
      <c r="F711" s="2">
        <v>44409</v>
      </c>
      <c r="G711" s="1" t="s">
        <v>3684</v>
      </c>
      <c r="H711" s="1">
        <v>3</v>
      </c>
      <c r="I711" s="1" t="s">
        <v>52</v>
      </c>
      <c r="J711" s="1" t="s">
        <v>3685</v>
      </c>
      <c r="K711" s="1" t="s">
        <v>3686</v>
      </c>
      <c r="L711" s="1">
        <v>4</v>
      </c>
      <c r="M711" s="1">
        <v>36</v>
      </c>
      <c r="N711" s="1" t="s">
        <v>45</v>
      </c>
      <c r="O711" s="1" t="s">
        <v>44</v>
      </c>
      <c r="P711" s="1" t="s">
        <v>45</v>
      </c>
      <c r="Q711" s="1" t="s">
        <v>69</v>
      </c>
      <c r="R711" s="1">
        <v>837.44</v>
      </c>
      <c r="S711" s="1" t="s">
        <v>33</v>
      </c>
      <c r="T711" s="1" t="s">
        <v>47</v>
      </c>
      <c r="U711" s="1" t="s">
        <v>35</v>
      </c>
      <c r="V711" s="1" t="s">
        <v>36</v>
      </c>
    </row>
    <row r="712" spans="1:22" x14ac:dyDescent="0.3">
      <c r="A712" s="1" t="s">
        <v>3687</v>
      </c>
      <c r="B712" s="1" t="s">
        <v>3688</v>
      </c>
      <c r="C712" s="1">
        <v>22</v>
      </c>
      <c r="D712" s="1" t="s">
        <v>3689</v>
      </c>
      <c r="E712" s="1" t="s">
        <v>95</v>
      </c>
      <c r="F712" s="1" t="s">
        <v>1939</v>
      </c>
      <c r="G712" s="1" t="s">
        <v>3690</v>
      </c>
      <c r="H712" s="1">
        <v>5</v>
      </c>
      <c r="I712" s="1" t="s">
        <v>27</v>
      </c>
      <c r="J712" s="1" t="s">
        <v>2643</v>
      </c>
      <c r="K712" s="1" t="s">
        <v>3691</v>
      </c>
      <c r="L712" s="1">
        <v>9</v>
      </c>
      <c r="M712" s="1">
        <v>45</v>
      </c>
      <c r="N712" s="1" t="s">
        <v>45</v>
      </c>
      <c r="O712" s="1" t="s">
        <v>293</v>
      </c>
      <c r="P712" s="1" t="s">
        <v>45</v>
      </c>
      <c r="Q712" s="1" t="s">
        <v>32</v>
      </c>
      <c r="R712" s="1">
        <v>1287.3599999999999</v>
      </c>
      <c r="S712" s="1" t="s">
        <v>33</v>
      </c>
      <c r="T712" s="1" t="s">
        <v>100</v>
      </c>
      <c r="U712" s="1" t="s">
        <v>35</v>
      </c>
      <c r="V712" s="1" t="s">
        <v>188</v>
      </c>
    </row>
    <row r="713" spans="1:22" x14ac:dyDescent="0.3">
      <c r="A713" s="1" t="s">
        <v>3692</v>
      </c>
      <c r="B713" s="1" t="s">
        <v>3693</v>
      </c>
      <c r="C713" s="1">
        <v>19</v>
      </c>
      <c r="D713" s="1" t="s">
        <v>3694</v>
      </c>
      <c r="E713" s="1" t="s">
        <v>25</v>
      </c>
      <c r="F713" s="1" t="s">
        <v>514</v>
      </c>
      <c r="G713" s="1" t="s">
        <v>1041</v>
      </c>
      <c r="H713" s="1">
        <v>4</v>
      </c>
      <c r="I713" s="1" t="s">
        <v>27</v>
      </c>
      <c r="J713" s="1" t="s">
        <v>327</v>
      </c>
      <c r="K713" s="1" t="s">
        <v>3695</v>
      </c>
      <c r="L713" s="1">
        <v>4</v>
      </c>
      <c r="M713" s="1">
        <v>47</v>
      </c>
      <c r="N713" s="1" t="s">
        <v>54</v>
      </c>
      <c r="O713" s="1" t="s">
        <v>269</v>
      </c>
      <c r="P713" s="1" t="s">
        <v>56</v>
      </c>
      <c r="Q713" s="1" t="s">
        <v>69</v>
      </c>
      <c r="R713" s="1">
        <v>657.36</v>
      </c>
      <c r="S713" s="1" t="s">
        <v>46</v>
      </c>
      <c r="T713" s="1" t="s">
        <v>100</v>
      </c>
      <c r="U713" s="1" t="s">
        <v>35</v>
      </c>
      <c r="V713" s="1" t="s">
        <v>188</v>
      </c>
    </row>
    <row r="714" spans="1:22" x14ac:dyDescent="0.3">
      <c r="A714" s="1" t="s">
        <v>3696</v>
      </c>
      <c r="B714" s="1" t="s">
        <v>3697</v>
      </c>
      <c r="C714" s="1">
        <v>67</v>
      </c>
      <c r="D714" s="1" t="s">
        <v>3698</v>
      </c>
      <c r="E714" s="1" t="s">
        <v>88</v>
      </c>
      <c r="F714" s="1" t="s">
        <v>3699</v>
      </c>
      <c r="G714" s="1" t="s">
        <v>912</v>
      </c>
      <c r="H714" s="1">
        <v>2</v>
      </c>
      <c r="I714" s="1" t="s">
        <v>27</v>
      </c>
      <c r="J714" s="1" t="s">
        <v>3700</v>
      </c>
      <c r="K714" s="1" t="s">
        <v>3701</v>
      </c>
      <c r="L714" s="1">
        <v>7</v>
      </c>
      <c r="M714" s="1">
        <v>16</v>
      </c>
      <c r="N714" s="1" t="s">
        <v>54</v>
      </c>
      <c r="O714" s="1" t="s">
        <v>293</v>
      </c>
      <c r="P714" s="1" t="s">
        <v>45</v>
      </c>
      <c r="Q714" s="1" t="s">
        <v>32</v>
      </c>
      <c r="R714" s="1">
        <v>1316.77</v>
      </c>
      <c r="S714" s="1" t="s">
        <v>46</v>
      </c>
      <c r="T714" s="1" t="s">
        <v>232</v>
      </c>
      <c r="U714" s="1" t="s">
        <v>35</v>
      </c>
      <c r="V714" s="1" t="s">
        <v>36</v>
      </c>
    </row>
    <row r="715" spans="1:22" x14ac:dyDescent="0.3">
      <c r="A715" s="1" t="s">
        <v>3702</v>
      </c>
      <c r="B715" s="1" t="s">
        <v>3703</v>
      </c>
      <c r="C715" s="1">
        <v>33</v>
      </c>
      <c r="D715" s="1" t="s">
        <v>3704</v>
      </c>
      <c r="E715" s="1" t="s">
        <v>25</v>
      </c>
      <c r="F715" s="2">
        <v>44903</v>
      </c>
      <c r="G715" s="1" t="s">
        <v>3705</v>
      </c>
      <c r="H715" s="1">
        <v>1</v>
      </c>
      <c r="I715" s="1" t="s">
        <v>52</v>
      </c>
      <c r="J715" s="2">
        <v>45296</v>
      </c>
      <c r="K715" s="1" t="s">
        <v>3706</v>
      </c>
      <c r="L715" s="1">
        <v>5</v>
      </c>
      <c r="M715" s="1">
        <v>32</v>
      </c>
      <c r="N715" s="1" t="s">
        <v>54</v>
      </c>
      <c r="O715" s="1" t="s">
        <v>418</v>
      </c>
      <c r="P715" s="1" t="s">
        <v>56</v>
      </c>
      <c r="Q715" s="1" t="s">
        <v>69</v>
      </c>
      <c r="R715" s="1">
        <v>1719.45</v>
      </c>
      <c r="S715" s="1" t="s">
        <v>46</v>
      </c>
      <c r="T715" s="1" t="s">
        <v>57</v>
      </c>
      <c r="U715" s="1" t="s">
        <v>35</v>
      </c>
      <c r="V715" s="1" t="s">
        <v>36</v>
      </c>
    </row>
    <row r="716" spans="1:22" x14ac:dyDescent="0.3">
      <c r="A716" s="1" t="s">
        <v>3707</v>
      </c>
      <c r="B716" s="1" t="s">
        <v>3708</v>
      </c>
      <c r="C716" s="1">
        <v>67</v>
      </c>
      <c r="D716" s="1" t="s">
        <v>3709</v>
      </c>
      <c r="E716" s="1" t="s">
        <v>25</v>
      </c>
      <c r="F716" s="1" t="s">
        <v>1474</v>
      </c>
      <c r="G716" s="2">
        <v>44478</v>
      </c>
      <c r="H716" s="1">
        <v>1</v>
      </c>
      <c r="I716" s="1" t="s">
        <v>52</v>
      </c>
      <c r="J716" s="2">
        <v>45449</v>
      </c>
      <c r="K716" s="1" t="s">
        <v>3710</v>
      </c>
      <c r="L716" s="1">
        <v>4</v>
      </c>
      <c r="M716" s="1">
        <v>41</v>
      </c>
      <c r="N716" s="1" t="s">
        <v>45</v>
      </c>
      <c r="O716" s="1" t="s">
        <v>142</v>
      </c>
      <c r="P716" s="1" t="s">
        <v>68</v>
      </c>
      <c r="Q716" s="1" t="s">
        <v>69</v>
      </c>
      <c r="R716" s="1">
        <v>1167.08</v>
      </c>
      <c r="S716" s="1" t="s">
        <v>46</v>
      </c>
      <c r="T716" s="1" t="s">
        <v>232</v>
      </c>
      <c r="U716" s="1" t="s">
        <v>35</v>
      </c>
      <c r="V716" s="1" t="s">
        <v>36</v>
      </c>
    </row>
    <row r="717" spans="1:22" x14ac:dyDescent="0.3">
      <c r="A717" s="1" t="s">
        <v>3711</v>
      </c>
      <c r="B717" s="1" t="s">
        <v>3712</v>
      </c>
      <c r="C717" s="1">
        <v>67</v>
      </c>
      <c r="D717" s="1" t="s">
        <v>3713</v>
      </c>
      <c r="E717" s="1" t="s">
        <v>95</v>
      </c>
      <c r="F717" s="1" t="s">
        <v>669</v>
      </c>
      <c r="G717" s="1" t="s">
        <v>3714</v>
      </c>
      <c r="H717" s="1">
        <v>5</v>
      </c>
      <c r="I717" s="1" t="s">
        <v>27</v>
      </c>
      <c r="J717" s="2">
        <v>45785</v>
      </c>
      <c r="K717" s="1" t="s">
        <v>3715</v>
      </c>
      <c r="L717" s="1">
        <v>5</v>
      </c>
      <c r="M717" s="1">
        <v>46</v>
      </c>
      <c r="N717" s="1" t="s">
        <v>54</v>
      </c>
      <c r="O717" s="1" t="s">
        <v>373</v>
      </c>
      <c r="P717" s="1" t="s">
        <v>54</v>
      </c>
      <c r="Q717" s="1" t="s">
        <v>69</v>
      </c>
      <c r="R717" s="1">
        <v>1446.9</v>
      </c>
      <c r="S717" s="1" t="s">
        <v>33</v>
      </c>
      <c r="T717" s="1" t="s">
        <v>232</v>
      </c>
      <c r="U717" s="1" t="s">
        <v>35</v>
      </c>
      <c r="V717" s="1" t="s">
        <v>188</v>
      </c>
    </row>
    <row r="718" spans="1:22" x14ac:dyDescent="0.3">
      <c r="A718" s="1" t="s">
        <v>3716</v>
      </c>
      <c r="B718" s="1" t="s">
        <v>3717</v>
      </c>
      <c r="C718" s="1">
        <v>59</v>
      </c>
      <c r="D718" s="1" t="s">
        <v>3718</v>
      </c>
      <c r="E718" s="1" t="s">
        <v>40</v>
      </c>
      <c r="F718" s="2">
        <v>44685</v>
      </c>
      <c r="G718" s="1" t="s">
        <v>3568</v>
      </c>
      <c r="H718" s="1">
        <v>2</v>
      </c>
      <c r="I718" s="1" t="s">
        <v>27</v>
      </c>
      <c r="J718" s="2">
        <v>45605</v>
      </c>
      <c r="K718" s="1" t="s">
        <v>3719</v>
      </c>
      <c r="L718" s="1">
        <v>8</v>
      </c>
      <c r="M718" s="1">
        <v>12</v>
      </c>
      <c r="N718" s="1" t="s">
        <v>68</v>
      </c>
      <c r="O718" s="1" t="s">
        <v>194</v>
      </c>
      <c r="P718" s="1" t="s">
        <v>56</v>
      </c>
      <c r="Q718" s="1" t="s">
        <v>69</v>
      </c>
      <c r="R718" s="1">
        <v>1479.36</v>
      </c>
      <c r="S718" s="1" t="s">
        <v>46</v>
      </c>
      <c r="T718" s="1" t="s">
        <v>47</v>
      </c>
      <c r="U718" s="1" t="s">
        <v>35</v>
      </c>
      <c r="V718" s="1" t="s">
        <v>36</v>
      </c>
    </row>
    <row r="719" spans="1:22" x14ac:dyDescent="0.3">
      <c r="A719" s="1" t="s">
        <v>3720</v>
      </c>
      <c r="B719" s="1" t="s">
        <v>3721</v>
      </c>
      <c r="C719" s="1">
        <v>68</v>
      </c>
      <c r="D719" s="1" t="s">
        <v>3722</v>
      </c>
      <c r="E719" s="1" t="s">
        <v>51</v>
      </c>
      <c r="F719" s="2">
        <v>44236</v>
      </c>
      <c r="G719" s="1" t="s">
        <v>729</v>
      </c>
      <c r="H719" s="1">
        <v>1</v>
      </c>
      <c r="I719" s="1" t="s">
        <v>64</v>
      </c>
      <c r="J719" s="2">
        <v>44897</v>
      </c>
      <c r="K719" s="1" t="s">
        <v>3723</v>
      </c>
      <c r="L719" s="1">
        <v>8</v>
      </c>
      <c r="M719" s="1">
        <v>38</v>
      </c>
      <c r="N719" s="1" t="s">
        <v>54</v>
      </c>
      <c r="O719" s="1" t="s">
        <v>169</v>
      </c>
      <c r="P719" s="1" t="s">
        <v>30</v>
      </c>
      <c r="Q719" s="1" t="s">
        <v>32</v>
      </c>
      <c r="R719" s="1">
        <v>764.8</v>
      </c>
      <c r="S719" s="1" t="s">
        <v>46</v>
      </c>
      <c r="T719" s="1" t="s">
        <v>232</v>
      </c>
      <c r="U719" s="1" t="s">
        <v>35</v>
      </c>
      <c r="V719" s="1" t="s">
        <v>71</v>
      </c>
    </row>
    <row r="720" spans="1:22" x14ac:dyDescent="0.3">
      <c r="A720" s="1" t="s">
        <v>3724</v>
      </c>
      <c r="B720" s="1" t="s">
        <v>3725</v>
      </c>
      <c r="C720" s="1">
        <v>46</v>
      </c>
      <c r="D720" s="1" t="s">
        <v>3726</v>
      </c>
      <c r="E720" s="1" t="s">
        <v>95</v>
      </c>
      <c r="F720" s="1" t="s">
        <v>1529</v>
      </c>
      <c r="G720" s="1" t="s">
        <v>2543</v>
      </c>
      <c r="H720" s="1">
        <v>4</v>
      </c>
      <c r="I720" s="1" t="s">
        <v>27</v>
      </c>
      <c r="J720" s="1" t="s">
        <v>946</v>
      </c>
      <c r="K720" s="1" t="s">
        <v>3727</v>
      </c>
      <c r="L720" s="1">
        <v>7</v>
      </c>
      <c r="M720" s="1">
        <v>12</v>
      </c>
      <c r="N720" s="1" t="s">
        <v>68</v>
      </c>
      <c r="O720" s="1" t="s">
        <v>91</v>
      </c>
      <c r="P720" s="1" t="s">
        <v>54</v>
      </c>
      <c r="Q720" s="1" t="s">
        <v>69</v>
      </c>
      <c r="R720" s="1">
        <v>84.35</v>
      </c>
      <c r="S720" s="1" t="s">
        <v>46</v>
      </c>
      <c r="T720" s="1" t="s">
        <v>34</v>
      </c>
      <c r="U720" s="1" t="s">
        <v>101</v>
      </c>
      <c r="V720" s="1" t="s">
        <v>188</v>
      </c>
    </row>
    <row r="721" spans="1:22" x14ac:dyDescent="0.3">
      <c r="A721" s="1" t="s">
        <v>3728</v>
      </c>
      <c r="B721" s="1" t="s">
        <v>3729</v>
      </c>
      <c r="C721" s="1">
        <v>34</v>
      </c>
      <c r="D721" s="1" t="s">
        <v>3730</v>
      </c>
      <c r="E721" s="1" t="s">
        <v>95</v>
      </c>
      <c r="F721" s="1" t="s">
        <v>492</v>
      </c>
      <c r="G721" s="1" t="s">
        <v>416</v>
      </c>
      <c r="H721" s="1">
        <v>3</v>
      </c>
      <c r="I721" s="1" t="s">
        <v>52</v>
      </c>
      <c r="J721" s="1" t="s">
        <v>3731</v>
      </c>
      <c r="K721" s="1" t="s">
        <v>3732</v>
      </c>
      <c r="L721" s="1">
        <v>2</v>
      </c>
      <c r="M721" s="1">
        <v>45</v>
      </c>
      <c r="N721" s="1" t="s">
        <v>30</v>
      </c>
      <c r="O721" s="1" t="s">
        <v>293</v>
      </c>
      <c r="P721" s="1" t="s">
        <v>45</v>
      </c>
      <c r="Q721" s="1" t="s">
        <v>32</v>
      </c>
      <c r="R721" s="1">
        <v>1754.96</v>
      </c>
      <c r="S721" s="1" t="s">
        <v>46</v>
      </c>
      <c r="T721" s="1" t="s">
        <v>57</v>
      </c>
      <c r="U721" s="1" t="s">
        <v>35</v>
      </c>
      <c r="V721" s="1" t="s">
        <v>36</v>
      </c>
    </row>
    <row r="722" spans="1:22" x14ac:dyDescent="0.3">
      <c r="A722" s="1" t="s">
        <v>3733</v>
      </c>
      <c r="B722" s="1" t="s">
        <v>3734</v>
      </c>
      <c r="C722" s="1">
        <v>36</v>
      </c>
      <c r="D722" s="1" t="s">
        <v>3735</v>
      </c>
      <c r="E722" s="1" t="s">
        <v>40</v>
      </c>
      <c r="F722" s="2">
        <v>44379</v>
      </c>
      <c r="G722" s="1" t="s">
        <v>28</v>
      </c>
      <c r="H722" s="1">
        <v>3</v>
      </c>
      <c r="I722" s="1" t="s">
        <v>64</v>
      </c>
      <c r="J722" s="1" t="s">
        <v>503</v>
      </c>
      <c r="K722" s="1" t="s">
        <v>3736</v>
      </c>
      <c r="L722" s="1">
        <v>7</v>
      </c>
      <c r="M722" s="1">
        <v>49</v>
      </c>
      <c r="N722" s="1" t="s">
        <v>45</v>
      </c>
      <c r="O722" s="1" t="s">
        <v>597</v>
      </c>
      <c r="P722" s="1" t="s">
        <v>45</v>
      </c>
      <c r="Q722" s="1" t="s">
        <v>32</v>
      </c>
      <c r="R722" s="1">
        <v>903.77</v>
      </c>
      <c r="S722" s="1" t="s">
        <v>33</v>
      </c>
      <c r="T722" s="1" t="s">
        <v>34</v>
      </c>
      <c r="U722" s="1" t="s">
        <v>35</v>
      </c>
      <c r="V722" s="1" t="s">
        <v>71</v>
      </c>
    </row>
    <row r="723" spans="1:22" x14ac:dyDescent="0.3">
      <c r="A723" s="1" t="s">
        <v>3737</v>
      </c>
      <c r="B723" s="1" t="s">
        <v>3738</v>
      </c>
      <c r="C723" s="1">
        <v>18</v>
      </c>
      <c r="D723" s="1" t="s">
        <v>3739</v>
      </c>
      <c r="E723" s="1" t="s">
        <v>95</v>
      </c>
      <c r="F723" s="1" t="s">
        <v>1215</v>
      </c>
      <c r="G723" s="1" t="s">
        <v>1375</v>
      </c>
      <c r="H723" s="1">
        <v>1</v>
      </c>
      <c r="I723" s="1" t="s">
        <v>27</v>
      </c>
      <c r="J723" s="2">
        <v>44903</v>
      </c>
      <c r="K723" s="1" t="s">
        <v>3740</v>
      </c>
      <c r="L723" s="1">
        <v>1</v>
      </c>
      <c r="M723" s="1">
        <v>29</v>
      </c>
      <c r="N723" s="1" t="s">
        <v>45</v>
      </c>
      <c r="O723" s="1" t="s">
        <v>597</v>
      </c>
      <c r="P723" s="1" t="s">
        <v>45</v>
      </c>
      <c r="Q723" s="1" t="s">
        <v>32</v>
      </c>
      <c r="R723" s="1">
        <v>699.1</v>
      </c>
      <c r="S723" s="1" t="s">
        <v>33</v>
      </c>
      <c r="T723" s="1" t="s">
        <v>100</v>
      </c>
      <c r="U723" s="1" t="s">
        <v>35</v>
      </c>
      <c r="V723" s="1" t="s">
        <v>36</v>
      </c>
    </row>
    <row r="724" spans="1:22" x14ac:dyDescent="0.3">
      <c r="A724" s="1" t="s">
        <v>3741</v>
      </c>
      <c r="B724" s="1" t="s">
        <v>3742</v>
      </c>
      <c r="C724" s="1">
        <v>19</v>
      </c>
      <c r="D724" s="1" t="s">
        <v>3743</v>
      </c>
      <c r="E724" s="1" t="s">
        <v>95</v>
      </c>
      <c r="F724" s="1" t="s">
        <v>3744</v>
      </c>
      <c r="G724" s="2">
        <v>45417</v>
      </c>
      <c r="H724" s="1">
        <v>3</v>
      </c>
      <c r="I724" s="1" t="s">
        <v>27</v>
      </c>
      <c r="J724" s="1" t="s">
        <v>3130</v>
      </c>
      <c r="K724" s="1" t="s">
        <v>3745</v>
      </c>
      <c r="L724" s="1">
        <v>6</v>
      </c>
      <c r="M724" s="1">
        <v>4</v>
      </c>
      <c r="N724" s="1" t="s">
        <v>45</v>
      </c>
      <c r="O724" s="1" t="s">
        <v>366</v>
      </c>
      <c r="P724" s="1" t="s">
        <v>54</v>
      </c>
      <c r="Q724" s="1" t="s">
        <v>32</v>
      </c>
      <c r="R724" s="1">
        <v>61.92</v>
      </c>
      <c r="S724" s="1" t="s">
        <v>46</v>
      </c>
      <c r="T724" s="1" t="s">
        <v>100</v>
      </c>
      <c r="U724" s="1" t="s">
        <v>70</v>
      </c>
      <c r="V724" s="1" t="s">
        <v>36</v>
      </c>
    </row>
    <row r="725" spans="1:22" x14ac:dyDescent="0.3">
      <c r="A725" s="1" t="s">
        <v>3746</v>
      </c>
      <c r="B725" s="1" t="s">
        <v>3747</v>
      </c>
      <c r="C725" s="1">
        <v>28</v>
      </c>
      <c r="D725" s="1" t="s">
        <v>3748</v>
      </c>
      <c r="E725" s="1" t="s">
        <v>51</v>
      </c>
      <c r="F725" s="1" t="s">
        <v>3749</v>
      </c>
      <c r="G725" s="2">
        <v>45696</v>
      </c>
      <c r="H725" s="1">
        <v>1</v>
      </c>
      <c r="I725" s="1" t="s">
        <v>27</v>
      </c>
      <c r="J725" s="2">
        <v>45139</v>
      </c>
      <c r="K725" s="1" t="s">
        <v>3750</v>
      </c>
      <c r="L725" s="1">
        <v>9</v>
      </c>
      <c r="M725" s="1">
        <v>15</v>
      </c>
      <c r="N725" s="1" t="s">
        <v>45</v>
      </c>
      <c r="O725" s="1" t="s">
        <v>194</v>
      </c>
      <c r="P725" s="1" t="s">
        <v>56</v>
      </c>
      <c r="Q725" s="1" t="s">
        <v>32</v>
      </c>
      <c r="R725" s="1">
        <v>1764.9</v>
      </c>
      <c r="S725" s="1" t="s">
        <v>46</v>
      </c>
      <c r="T725" s="1" t="s">
        <v>57</v>
      </c>
      <c r="U725" s="1" t="s">
        <v>35</v>
      </c>
      <c r="V725" s="1" t="s">
        <v>36</v>
      </c>
    </row>
    <row r="726" spans="1:22" x14ac:dyDescent="0.3">
      <c r="A726" s="1" t="s">
        <v>3751</v>
      </c>
      <c r="B726" s="1" t="s">
        <v>3752</v>
      </c>
      <c r="C726" s="1">
        <v>49</v>
      </c>
      <c r="D726" s="1" t="s">
        <v>3753</v>
      </c>
      <c r="E726" s="1" t="s">
        <v>95</v>
      </c>
      <c r="F726" s="2">
        <v>45109</v>
      </c>
      <c r="G726" s="1" t="s">
        <v>2104</v>
      </c>
      <c r="H726" s="1">
        <v>1</v>
      </c>
      <c r="I726" s="1" t="s">
        <v>27</v>
      </c>
      <c r="J726" s="2">
        <v>45842</v>
      </c>
      <c r="K726" s="1" t="s">
        <v>3754</v>
      </c>
      <c r="L726" s="1">
        <v>9</v>
      </c>
      <c r="M726" s="1">
        <v>16</v>
      </c>
      <c r="N726" s="1" t="s">
        <v>56</v>
      </c>
      <c r="O726" s="1" t="s">
        <v>199</v>
      </c>
      <c r="P726" s="1" t="s">
        <v>54</v>
      </c>
      <c r="Q726" s="1" t="s">
        <v>69</v>
      </c>
      <c r="R726" s="1">
        <v>1562.76</v>
      </c>
      <c r="S726" s="1" t="s">
        <v>46</v>
      </c>
      <c r="T726" s="1" t="s">
        <v>34</v>
      </c>
      <c r="U726" s="1" t="s">
        <v>35</v>
      </c>
      <c r="V726" s="1" t="s">
        <v>36</v>
      </c>
    </row>
    <row r="727" spans="1:22" x14ac:dyDescent="0.3">
      <c r="A727" s="1" t="s">
        <v>3755</v>
      </c>
      <c r="B727" s="1" t="s">
        <v>3756</v>
      </c>
      <c r="C727" s="1">
        <v>39</v>
      </c>
      <c r="D727" s="1" t="s">
        <v>3757</v>
      </c>
      <c r="E727" s="1" t="s">
        <v>61</v>
      </c>
      <c r="F727" s="1" t="s">
        <v>312</v>
      </c>
      <c r="G727" s="1" t="s">
        <v>106</v>
      </c>
      <c r="H727" s="1">
        <v>5</v>
      </c>
      <c r="I727" s="1" t="s">
        <v>52</v>
      </c>
      <c r="J727" s="2">
        <v>45293</v>
      </c>
      <c r="K727" s="1" t="s">
        <v>3758</v>
      </c>
      <c r="L727" s="1">
        <v>5</v>
      </c>
      <c r="M727" s="1">
        <v>43</v>
      </c>
      <c r="N727" s="1" t="s">
        <v>54</v>
      </c>
      <c r="O727" s="1" t="s">
        <v>55</v>
      </c>
      <c r="P727" s="1" t="s">
        <v>56</v>
      </c>
      <c r="Q727" s="1" t="s">
        <v>32</v>
      </c>
      <c r="R727" s="1">
        <v>1033.25</v>
      </c>
      <c r="S727" s="1" t="s">
        <v>46</v>
      </c>
      <c r="T727" s="1" t="s">
        <v>34</v>
      </c>
      <c r="U727" s="1" t="s">
        <v>35</v>
      </c>
      <c r="V727" s="1" t="s">
        <v>36</v>
      </c>
    </row>
    <row r="728" spans="1:22" x14ac:dyDescent="0.3">
      <c r="A728" s="1" t="s">
        <v>3759</v>
      </c>
      <c r="B728" s="1" t="s">
        <v>3760</v>
      </c>
      <c r="C728" s="1">
        <v>18</v>
      </c>
      <c r="D728" s="1" t="s">
        <v>3761</v>
      </c>
      <c r="E728" s="1" t="s">
        <v>25</v>
      </c>
      <c r="F728" s="2">
        <v>45017</v>
      </c>
      <c r="G728" s="1" t="s">
        <v>344</v>
      </c>
      <c r="H728" s="1">
        <v>1</v>
      </c>
      <c r="I728" s="1" t="s">
        <v>27</v>
      </c>
      <c r="J728" s="1" t="s">
        <v>2374</v>
      </c>
      <c r="K728" s="1" t="s">
        <v>3762</v>
      </c>
      <c r="L728" s="1">
        <v>1</v>
      </c>
      <c r="M728" s="1">
        <v>41</v>
      </c>
      <c r="N728" s="1" t="s">
        <v>56</v>
      </c>
      <c r="O728" s="1" t="s">
        <v>116</v>
      </c>
      <c r="P728" s="1" t="s">
        <v>54</v>
      </c>
      <c r="Q728" s="1" t="s">
        <v>69</v>
      </c>
      <c r="R728" s="1">
        <v>477.57</v>
      </c>
      <c r="S728" s="1" t="s">
        <v>46</v>
      </c>
      <c r="T728" s="1" t="s">
        <v>100</v>
      </c>
      <c r="U728" s="1" t="s">
        <v>35</v>
      </c>
      <c r="V728" s="1" t="s">
        <v>36</v>
      </c>
    </row>
    <row r="729" spans="1:22" x14ac:dyDescent="0.3">
      <c r="A729" s="1" t="s">
        <v>3763</v>
      </c>
      <c r="B729" s="1" t="s">
        <v>3764</v>
      </c>
      <c r="C729" s="1">
        <v>53</v>
      </c>
      <c r="D729" s="1" t="s">
        <v>3765</v>
      </c>
      <c r="E729" s="1" t="s">
        <v>51</v>
      </c>
      <c r="F729" s="2">
        <v>44231</v>
      </c>
      <c r="G729" s="1" t="s">
        <v>3766</v>
      </c>
      <c r="H729" s="1">
        <v>0</v>
      </c>
      <c r="I729" s="1" t="s">
        <v>27</v>
      </c>
      <c r="J729" s="1" t="s">
        <v>2983</v>
      </c>
      <c r="K729" s="1" t="s">
        <v>3767</v>
      </c>
      <c r="L729" s="1">
        <v>6</v>
      </c>
      <c r="M729" s="1">
        <v>17</v>
      </c>
      <c r="N729" s="1" t="s">
        <v>54</v>
      </c>
      <c r="O729" s="1" t="s">
        <v>837</v>
      </c>
      <c r="P729" s="1" t="s">
        <v>56</v>
      </c>
      <c r="Q729" s="1" t="s">
        <v>32</v>
      </c>
      <c r="R729" s="1">
        <v>413.4</v>
      </c>
      <c r="S729" s="1" t="s">
        <v>46</v>
      </c>
      <c r="T729" s="1" t="s">
        <v>47</v>
      </c>
      <c r="U729" s="1" t="s">
        <v>35</v>
      </c>
      <c r="V729" s="1" t="s">
        <v>36</v>
      </c>
    </row>
    <row r="730" spans="1:22" x14ac:dyDescent="0.3">
      <c r="A730" s="1" t="s">
        <v>3768</v>
      </c>
      <c r="B730" s="1" t="s">
        <v>3769</v>
      </c>
      <c r="C730" s="1">
        <v>65</v>
      </c>
      <c r="D730" s="1" t="s">
        <v>3770</v>
      </c>
      <c r="E730" s="1" t="s">
        <v>88</v>
      </c>
      <c r="F730" s="2">
        <v>45233</v>
      </c>
      <c r="G730" s="1" t="s">
        <v>3069</v>
      </c>
      <c r="H730" s="1">
        <v>3</v>
      </c>
      <c r="I730" s="1" t="s">
        <v>27</v>
      </c>
      <c r="J730" s="2">
        <v>45608</v>
      </c>
      <c r="K730" s="1" t="s">
        <v>3771</v>
      </c>
      <c r="L730" s="1">
        <v>7</v>
      </c>
      <c r="M730" s="1">
        <v>22</v>
      </c>
      <c r="N730" s="1" t="s">
        <v>54</v>
      </c>
      <c r="O730" s="1" t="s">
        <v>536</v>
      </c>
      <c r="P730" s="1" t="s">
        <v>68</v>
      </c>
      <c r="Q730" s="1" t="s">
        <v>32</v>
      </c>
      <c r="R730" s="1">
        <v>1671.81</v>
      </c>
      <c r="S730" s="1" t="s">
        <v>46</v>
      </c>
      <c r="T730" s="1" t="s">
        <v>232</v>
      </c>
      <c r="U730" s="1" t="s">
        <v>35</v>
      </c>
      <c r="V730" s="1" t="s">
        <v>36</v>
      </c>
    </row>
    <row r="731" spans="1:22" x14ac:dyDescent="0.3">
      <c r="A731" s="1" t="s">
        <v>3772</v>
      </c>
      <c r="B731" s="1" t="s">
        <v>3773</v>
      </c>
      <c r="C731" s="1">
        <v>62</v>
      </c>
      <c r="D731" s="1" t="s">
        <v>3774</v>
      </c>
      <c r="E731" s="1" t="s">
        <v>61</v>
      </c>
      <c r="F731" s="1" t="s">
        <v>3775</v>
      </c>
      <c r="G731" s="1" t="s">
        <v>3776</v>
      </c>
      <c r="H731" s="1">
        <v>0</v>
      </c>
      <c r="I731" s="1" t="s">
        <v>64</v>
      </c>
      <c r="J731" s="1" t="s">
        <v>1085</v>
      </c>
      <c r="K731" s="1" t="s">
        <v>3777</v>
      </c>
      <c r="L731" s="1">
        <v>5</v>
      </c>
      <c r="M731" s="1">
        <v>46</v>
      </c>
      <c r="N731" s="1" t="s">
        <v>30</v>
      </c>
      <c r="O731" s="1" t="s">
        <v>122</v>
      </c>
      <c r="P731" s="1" t="s">
        <v>30</v>
      </c>
      <c r="Q731" s="1" t="s">
        <v>69</v>
      </c>
      <c r="R731" s="1">
        <v>601.4</v>
      </c>
      <c r="S731" s="1" t="s">
        <v>33</v>
      </c>
      <c r="T731" s="1" t="s">
        <v>47</v>
      </c>
      <c r="U731" s="1" t="s">
        <v>35</v>
      </c>
      <c r="V731" s="1" t="s">
        <v>71</v>
      </c>
    </row>
    <row r="732" spans="1:22" x14ac:dyDescent="0.3">
      <c r="A732" s="1" t="s">
        <v>3778</v>
      </c>
      <c r="B732" s="1" t="s">
        <v>3779</v>
      </c>
      <c r="C732" s="1">
        <v>51</v>
      </c>
      <c r="D732" s="1" t="s">
        <v>3780</v>
      </c>
      <c r="E732" s="1" t="s">
        <v>88</v>
      </c>
      <c r="F732" s="2">
        <v>44533</v>
      </c>
      <c r="G732" s="2">
        <v>45386</v>
      </c>
      <c r="H732" s="1">
        <v>0</v>
      </c>
      <c r="I732" s="1" t="s">
        <v>27</v>
      </c>
      <c r="J732" s="1" t="s">
        <v>320</v>
      </c>
      <c r="K732" s="1" t="s">
        <v>3781</v>
      </c>
      <c r="L732" s="1">
        <v>1</v>
      </c>
      <c r="M732" s="1">
        <v>30</v>
      </c>
      <c r="N732" s="1" t="s">
        <v>45</v>
      </c>
      <c r="O732" s="1" t="s">
        <v>77</v>
      </c>
      <c r="P732" s="1" t="s">
        <v>54</v>
      </c>
      <c r="Q732" s="1" t="s">
        <v>69</v>
      </c>
      <c r="R732" s="1">
        <v>880.32</v>
      </c>
      <c r="S732" s="1" t="s">
        <v>46</v>
      </c>
      <c r="T732" s="1" t="s">
        <v>47</v>
      </c>
      <c r="U732" s="1" t="s">
        <v>35</v>
      </c>
      <c r="V732" s="1" t="s">
        <v>36</v>
      </c>
    </row>
    <row r="733" spans="1:22" x14ac:dyDescent="0.3">
      <c r="A733" s="1" t="s">
        <v>3782</v>
      </c>
      <c r="B733" s="1" t="s">
        <v>3783</v>
      </c>
      <c r="C733" s="1">
        <v>63</v>
      </c>
      <c r="D733" s="1" t="s">
        <v>3784</v>
      </c>
      <c r="E733" s="1" t="s">
        <v>88</v>
      </c>
      <c r="F733" s="2">
        <v>44961</v>
      </c>
      <c r="G733" s="1" t="s">
        <v>3785</v>
      </c>
      <c r="H733" s="1">
        <v>1</v>
      </c>
      <c r="I733" s="1" t="s">
        <v>27</v>
      </c>
      <c r="J733" s="1" t="s">
        <v>3164</v>
      </c>
      <c r="K733" s="1" t="s">
        <v>3786</v>
      </c>
      <c r="L733" s="1">
        <v>1</v>
      </c>
      <c r="M733" s="1">
        <v>8</v>
      </c>
      <c r="N733" s="1" t="s">
        <v>45</v>
      </c>
      <c r="O733" s="1" t="s">
        <v>624</v>
      </c>
      <c r="P733" s="1" t="s">
        <v>30</v>
      </c>
      <c r="Q733" s="1" t="s">
        <v>32</v>
      </c>
      <c r="R733" s="1">
        <v>425.19</v>
      </c>
      <c r="S733" s="1" t="s">
        <v>46</v>
      </c>
      <c r="T733" s="1" t="s">
        <v>47</v>
      </c>
      <c r="U733" s="1" t="s">
        <v>35</v>
      </c>
      <c r="V733" s="1" t="s">
        <v>36</v>
      </c>
    </row>
    <row r="734" spans="1:22" x14ac:dyDescent="0.3">
      <c r="A734" s="1" t="s">
        <v>3787</v>
      </c>
      <c r="B734" s="1" t="s">
        <v>3788</v>
      </c>
      <c r="C734" s="1">
        <v>27</v>
      </c>
      <c r="D734" s="1" t="s">
        <v>3789</v>
      </c>
      <c r="E734" s="1" t="s">
        <v>51</v>
      </c>
      <c r="F734" s="1" t="s">
        <v>3559</v>
      </c>
      <c r="G734" s="1" t="s">
        <v>718</v>
      </c>
      <c r="H734" s="1">
        <v>5</v>
      </c>
      <c r="I734" s="1" t="s">
        <v>27</v>
      </c>
      <c r="J734" s="1" t="s">
        <v>1715</v>
      </c>
      <c r="K734" s="1" t="s">
        <v>3790</v>
      </c>
      <c r="L734" s="1">
        <v>3</v>
      </c>
      <c r="M734" s="1">
        <v>42</v>
      </c>
      <c r="N734" s="1" t="s">
        <v>68</v>
      </c>
      <c r="O734" s="1" t="s">
        <v>99</v>
      </c>
      <c r="P734" s="1" t="s">
        <v>56</v>
      </c>
      <c r="Q734" s="1" t="s">
        <v>69</v>
      </c>
      <c r="R734" s="1">
        <v>1310.43</v>
      </c>
      <c r="S734" s="1" t="s">
        <v>46</v>
      </c>
      <c r="T734" s="1" t="s">
        <v>57</v>
      </c>
      <c r="U734" s="1" t="s">
        <v>35</v>
      </c>
      <c r="V734" s="1" t="s">
        <v>188</v>
      </c>
    </row>
    <row r="735" spans="1:22" x14ac:dyDescent="0.3">
      <c r="A735" s="1" t="s">
        <v>3791</v>
      </c>
      <c r="B735" s="1" t="s">
        <v>3792</v>
      </c>
      <c r="C735" s="1">
        <v>50</v>
      </c>
      <c r="D735" s="1" t="s">
        <v>3793</v>
      </c>
      <c r="E735" s="1" t="s">
        <v>51</v>
      </c>
      <c r="F735" s="1" t="s">
        <v>3354</v>
      </c>
      <c r="G735" s="1" t="s">
        <v>1420</v>
      </c>
      <c r="H735" s="1">
        <v>0</v>
      </c>
      <c r="I735" s="1" t="s">
        <v>27</v>
      </c>
      <c r="J735" s="2">
        <v>45301</v>
      </c>
      <c r="K735" s="1" t="s">
        <v>3794</v>
      </c>
      <c r="L735" s="1">
        <v>3</v>
      </c>
      <c r="M735" s="1">
        <v>21</v>
      </c>
      <c r="N735" s="1" t="s">
        <v>54</v>
      </c>
      <c r="O735" s="1" t="s">
        <v>251</v>
      </c>
      <c r="P735" s="1" t="s">
        <v>30</v>
      </c>
      <c r="Q735" s="1" t="s">
        <v>32</v>
      </c>
      <c r="R735" s="1">
        <v>163.95</v>
      </c>
      <c r="S735" s="1" t="s">
        <v>46</v>
      </c>
      <c r="T735" s="1" t="s">
        <v>47</v>
      </c>
      <c r="U735" s="1" t="s">
        <v>35</v>
      </c>
      <c r="V735" s="1" t="s">
        <v>36</v>
      </c>
    </row>
    <row r="736" spans="1:22" x14ac:dyDescent="0.3">
      <c r="A736" s="1" t="s">
        <v>3795</v>
      </c>
      <c r="B736" s="1" t="s">
        <v>3796</v>
      </c>
      <c r="C736" s="1">
        <v>51</v>
      </c>
      <c r="D736" s="1" t="s">
        <v>3797</v>
      </c>
      <c r="E736" s="1" t="s">
        <v>95</v>
      </c>
      <c r="F736" s="1" t="s">
        <v>114</v>
      </c>
      <c r="G736" s="2">
        <v>45477</v>
      </c>
      <c r="H736" s="1">
        <v>3</v>
      </c>
      <c r="I736" s="1" t="s">
        <v>27</v>
      </c>
      <c r="J736" s="1" t="s">
        <v>1572</v>
      </c>
      <c r="K736" s="1" t="s">
        <v>3798</v>
      </c>
      <c r="L736" s="1">
        <v>6</v>
      </c>
      <c r="M736" s="1">
        <v>33</v>
      </c>
      <c r="N736" s="1" t="s">
        <v>68</v>
      </c>
      <c r="O736" s="1" t="s">
        <v>821</v>
      </c>
      <c r="P736" s="1" t="s">
        <v>68</v>
      </c>
      <c r="Q736" s="1" t="s">
        <v>69</v>
      </c>
      <c r="R736" s="1">
        <v>1071.42</v>
      </c>
      <c r="S736" s="1" t="s">
        <v>33</v>
      </c>
      <c r="T736" s="1" t="s">
        <v>47</v>
      </c>
      <c r="U736" s="1" t="s">
        <v>35</v>
      </c>
      <c r="V736" s="1" t="s">
        <v>36</v>
      </c>
    </row>
    <row r="737" spans="1:22" x14ac:dyDescent="0.3">
      <c r="A737" s="1" t="s">
        <v>3799</v>
      </c>
      <c r="B737" s="1" t="s">
        <v>3800</v>
      </c>
      <c r="C737" s="1">
        <v>67</v>
      </c>
      <c r="D737" s="1" t="s">
        <v>3801</v>
      </c>
      <c r="E737" s="1" t="s">
        <v>25</v>
      </c>
      <c r="F737" s="1" t="s">
        <v>3802</v>
      </c>
      <c r="G737" s="2">
        <v>45995</v>
      </c>
      <c r="H737" s="1">
        <v>2</v>
      </c>
      <c r="I737" s="1" t="s">
        <v>27</v>
      </c>
      <c r="J737" s="1" t="s">
        <v>702</v>
      </c>
      <c r="K737" s="1" t="s">
        <v>3803</v>
      </c>
      <c r="L737" s="1">
        <v>9</v>
      </c>
      <c r="M737" s="1">
        <v>33</v>
      </c>
      <c r="N737" s="1" t="s">
        <v>56</v>
      </c>
      <c r="O737" s="1" t="s">
        <v>269</v>
      </c>
      <c r="P737" s="1" t="s">
        <v>56</v>
      </c>
      <c r="Q737" s="1" t="s">
        <v>32</v>
      </c>
      <c r="R737" s="1">
        <v>165.87</v>
      </c>
      <c r="S737" s="1" t="s">
        <v>33</v>
      </c>
      <c r="T737" s="1" t="s">
        <v>232</v>
      </c>
      <c r="U737" s="1" t="s">
        <v>35</v>
      </c>
      <c r="V737" s="1" t="s">
        <v>36</v>
      </c>
    </row>
    <row r="738" spans="1:22" x14ac:dyDescent="0.3">
      <c r="A738" s="1" t="s">
        <v>3804</v>
      </c>
      <c r="B738" s="1" t="s">
        <v>3805</v>
      </c>
      <c r="C738" s="1">
        <v>41</v>
      </c>
      <c r="D738" s="1" t="s">
        <v>3806</v>
      </c>
      <c r="E738" s="1" t="s">
        <v>61</v>
      </c>
      <c r="F738" s="1" t="s">
        <v>3807</v>
      </c>
      <c r="G738" s="1" t="s">
        <v>3808</v>
      </c>
      <c r="H738" s="1">
        <v>1</v>
      </c>
      <c r="I738" s="1" t="s">
        <v>52</v>
      </c>
      <c r="J738" s="2">
        <v>45387</v>
      </c>
      <c r="K738" s="1" t="s">
        <v>3809</v>
      </c>
      <c r="L738" s="1">
        <v>8</v>
      </c>
      <c r="M738" s="1">
        <v>24</v>
      </c>
      <c r="N738" s="1" t="s">
        <v>30</v>
      </c>
      <c r="O738" s="1" t="s">
        <v>142</v>
      </c>
      <c r="P738" s="1" t="s">
        <v>68</v>
      </c>
      <c r="Q738" s="1" t="s">
        <v>32</v>
      </c>
      <c r="R738" s="1">
        <v>1297.04</v>
      </c>
      <c r="S738" s="1" t="s">
        <v>46</v>
      </c>
      <c r="T738" s="1" t="s">
        <v>34</v>
      </c>
      <c r="U738" s="1" t="s">
        <v>35</v>
      </c>
      <c r="V738" s="1" t="s">
        <v>36</v>
      </c>
    </row>
    <row r="739" spans="1:22" x14ac:dyDescent="0.3">
      <c r="A739" s="1" t="s">
        <v>3810</v>
      </c>
      <c r="B739" s="1" t="s">
        <v>3811</v>
      </c>
      <c r="C739" s="1">
        <v>19</v>
      </c>
      <c r="D739" s="1" t="s">
        <v>3812</v>
      </c>
      <c r="E739" s="1" t="s">
        <v>51</v>
      </c>
      <c r="F739" s="2">
        <v>44450</v>
      </c>
      <c r="G739" s="1" t="s">
        <v>1339</v>
      </c>
      <c r="H739" s="1">
        <v>2</v>
      </c>
      <c r="I739" s="1" t="s">
        <v>27</v>
      </c>
      <c r="J739" s="1" t="s">
        <v>3813</v>
      </c>
      <c r="K739" s="1" t="s">
        <v>3814</v>
      </c>
      <c r="L739" s="1">
        <v>4</v>
      </c>
      <c r="M739" s="1">
        <v>5</v>
      </c>
      <c r="N739" s="1" t="s">
        <v>30</v>
      </c>
      <c r="O739" s="1" t="s">
        <v>604</v>
      </c>
      <c r="P739" s="1" t="s">
        <v>45</v>
      </c>
      <c r="Q739" s="1" t="s">
        <v>32</v>
      </c>
      <c r="R739" s="1">
        <v>863.44</v>
      </c>
      <c r="S739" s="1" t="s">
        <v>46</v>
      </c>
      <c r="T739" s="1" t="s">
        <v>100</v>
      </c>
      <c r="U739" s="1" t="s">
        <v>35</v>
      </c>
      <c r="V739" s="1" t="s">
        <v>36</v>
      </c>
    </row>
    <row r="740" spans="1:22" x14ac:dyDescent="0.3">
      <c r="A740" s="1" t="s">
        <v>3815</v>
      </c>
      <c r="B740" s="1" t="s">
        <v>3816</v>
      </c>
      <c r="C740" s="1">
        <v>68</v>
      </c>
      <c r="D740" s="1" t="s">
        <v>3817</v>
      </c>
      <c r="E740" s="1" t="s">
        <v>25</v>
      </c>
      <c r="F740" s="1" t="s">
        <v>1949</v>
      </c>
      <c r="G740" s="2">
        <v>45207</v>
      </c>
      <c r="H740" s="1">
        <v>2</v>
      </c>
      <c r="I740" s="1" t="s">
        <v>27</v>
      </c>
      <c r="J740" s="1" t="s">
        <v>3818</v>
      </c>
      <c r="K740" s="1" t="s">
        <v>3819</v>
      </c>
      <c r="L740" s="1">
        <v>4</v>
      </c>
      <c r="M740" s="1">
        <v>4</v>
      </c>
      <c r="N740" s="1" t="s">
        <v>30</v>
      </c>
      <c r="O740" s="1" t="s">
        <v>122</v>
      </c>
      <c r="P740" s="1" t="s">
        <v>30</v>
      </c>
      <c r="Q740" s="1" t="s">
        <v>69</v>
      </c>
      <c r="R740" s="1">
        <v>1792.08</v>
      </c>
      <c r="S740" s="1" t="s">
        <v>33</v>
      </c>
      <c r="T740" s="1" t="s">
        <v>232</v>
      </c>
      <c r="U740" s="1" t="s">
        <v>35</v>
      </c>
      <c r="V740" s="1" t="s">
        <v>36</v>
      </c>
    </row>
    <row r="741" spans="1:22" x14ac:dyDescent="0.3">
      <c r="A741" s="1" t="s">
        <v>3820</v>
      </c>
      <c r="B741" s="1" t="s">
        <v>3821</v>
      </c>
      <c r="C741" s="1">
        <v>24</v>
      </c>
      <c r="D741" s="1" t="s">
        <v>3822</v>
      </c>
      <c r="E741" s="1" t="s">
        <v>95</v>
      </c>
      <c r="F741" s="1" t="s">
        <v>1344</v>
      </c>
      <c r="G741" s="1" t="s">
        <v>702</v>
      </c>
      <c r="H741" s="1">
        <v>1</v>
      </c>
      <c r="I741" s="1" t="s">
        <v>27</v>
      </c>
      <c r="J741" s="1" t="s">
        <v>492</v>
      </c>
      <c r="K741" s="1" t="s">
        <v>3823</v>
      </c>
      <c r="L741" s="1">
        <v>4</v>
      </c>
      <c r="M741" s="1">
        <v>29</v>
      </c>
      <c r="N741" s="1" t="s">
        <v>68</v>
      </c>
      <c r="O741" s="1" t="s">
        <v>610</v>
      </c>
      <c r="P741" s="1" t="s">
        <v>68</v>
      </c>
      <c r="Q741" s="1" t="s">
        <v>32</v>
      </c>
      <c r="R741" s="1">
        <v>808.92</v>
      </c>
      <c r="S741" s="1" t="s">
        <v>33</v>
      </c>
      <c r="T741" s="1" t="s">
        <v>100</v>
      </c>
      <c r="U741" s="1" t="s">
        <v>35</v>
      </c>
      <c r="V741" s="1" t="s">
        <v>36</v>
      </c>
    </row>
    <row r="742" spans="1:22" x14ac:dyDescent="0.3">
      <c r="A742" s="1" t="s">
        <v>3824</v>
      </c>
      <c r="B742" s="1" t="s">
        <v>3825</v>
      </c>
      <c r="C742" s="1">
        <v>67</v>
      </c>
      <c r="D742" s="1" t="s">
        <v>3826</v>
      </c>
      <c r="E742" s="1" t="s">
        <v>88</v>
      </c>
      <c r="F742" s="2">
        <v>44723</v>
      </c>
      <c r="G742" s="2">
        <v>45515</v>
      </c>
      <c r="H742" s="1">
        <v>1</v>
      </c>
      <c r="I742" s="1" t="s">
        <v>27</v>
      </c>
      <c r="J742" s="2">
        <v>45938</v>
      </c>
      <c r="K742" s="1" t="s">
        <v>3827</v>
      </c>
      <c r="L742" s="1">
        <v>1</v>
      </c>
      <c r="M742" s="1">
        <v>22</v>
      </c>
      <c r="N742" s="1" t="s">
        <v>68</v>
      </c>
      <c r="O742" s="1" t="s">
        <v>142</v>
      </c>
      <c r="P742" s="1" t="s">
        <v>68</v>
      </c>
      <c r="Q742" s="1" t="s">
        <v>69</v>
      </c>
      <c r="R742" s="1">
        <v>412.98</v>
      </c>
      <c r="S742" s="1" t="s">
        <v>33</v>
      </c>
      <c r="T742" s="1" t="s">
        <v>232</v>
      </c>
      <c r="U742" s="1" t="s">
        <v>35</v>
      </c>
      <c r="V742" s="1" t="s">
        <v>36</v>
      </c>
    </row>
    <row r="743" spans="1:22" x14ac:dyDescent="0.3">
      <c r="A743" s="1" t="s">
        <v>3828</v>
      </c>
      <c r="B743" s="1" t="s">
        <v>3829</v>
      </c>
      <c r="C743" s="1">
        <v>45</v>
      </c>
      <c r="D743" s="1" t="s">
        <v>3830</v>
      </c>
      <c r="E743" s="1" t="s">
        <v>25</v>
      </c>
      <c r="F743" s="1" t="s">
        <v>3831</v>
      </c>
      <c r="G743" s="1" t="s">
        <v>3832</v>
      </c>
      <c r="H743" s="1">
        <v>4</v>
      </c>
      <c r="I743" s="1" t="s">
        <v>52</v>
      </c>
      <c r="J743" s="1" t="s">
        <v>3652</v>
      </c>
      <c r="K743" s="1" t="s">
        <v>3833</v>
      </c>
      <c r="L743" s="1">
        <v>4</v>
      </c>
      <c r="M743" s="1">
        <v>22</v>
      </c>
      <c r="N743" s="1" t="s">
        <v>45</v>
      </c>
      <c r="O743" s="1" t="s">
        <v>122</v>
      </c>
      <c r="P743" s="1" t="s">
        <v>30</v>
      </c>
      <c r="Q743" s="1" t="s">
        <v>69</v>
      </c>
      <c r="R743" s="1">
        <v>750.12</v>
      </c>
      <c r="S743" s="1" t="s">
        <v>46</v>
      </c>
      <c r="T743" s="1" t="s">
        <v>34</v>
      </c>
      <c r="U743" s="1" t="s">
        <v>35</v>
      </c>
      <c r="V743" s="1" t="s">
        <v>36</v>
      </c>
    </row>
    <row r="744" spans="1:22" x14ac:dyDescent="0.3">
      <c r="A744" s="1" t="s">
        <v>3834</v>
      </c>
      <c r="B744" s="1" t="s">
        <v>3835</v>
      </c>
      <c r="C744" s="1">
        <v>52</v>
      </c>
      <c r="D744" s="1" t="s">
        <v>3836</v>
      </c>
      <c r="E744" s="1" t="s">
        <v>95</v>
      </c>
      <c r="F744" s="1" t="s">
        <v>835</v>
      </c>
      <c r="G744" s="1" t="s">
        <v>1589</v>
      </c>
      <c r="H744" s="1">
        <v>1</v>
      </c>
      <c r="I744" s="1" t="s">
        <v>27</v>
      </c>
      <c r="J744" s="2">
        <v>45484</v>
      </c>
      <c r="K744" s="1" t="s">
        <v>3837</v>
      </c>
      <c r="L744" s="1">
        <v>8</v>
      </c>
      <c r="M744" s="1">
        <v>5</v>
      </c>
      <c r="N744" s="1" t="s">
        <v>45</v>
      </c>
      <c r="O744" s="1" t="s">
        <v>366</v>
      </c>
      <c r="P744" s="1" t="s">
        <v>54</v>
      </c>
      <c r="Q744" s="1" t="s">
        <v>69</v>
      </c>
      <c r="R744" s="1">
        <v>1126.48</v>
      </c>
      <c r="S744" s="1" t="s">
        <v>46</v>
      </c>
      <c r="T744" s="1" t="s">
        <v>47</v>
      </c>
      <c r="U744" s="1" t="s">
        <v>35</v>
      </c>
      <c r="V744" s="1" t="s">
        <v>36</v>
      </c>
    </row>
    <row r="745" spans="1:22" x14ac:dyDescent="0.3">
      <c r="A745" s="1" t="s">
        <v>3838</v>
      </c>
      <c r="B745" s="1" t="s">
        <v>3839</v>
      </c>
      <c r="C745" s="1">
        <v>52</v>
      </c>
      <c r="D745" s="1" t="s">
        <v>3840</v>
      </c>
      <c r="E745" s="1" t="s">
        <v>61</v>
      </c>
      <c r="F745" s="1" t="s">
        <v>166</v>
      </c>
      <c r="G745" s="1" t="s">
        <v>1324</v>
      </c>
      <c r="H745" s="1">
        <v>1</v>
      </c>
      <c r="I745" s="1" t="s">
        <v>27</v>
      </c>
      <c r="J745" s="1" t="s">
        <v>3841</v>
      </c>
      <c r="K745" s="1" t="s">
        <v>3842</v>
      </c>
      <c r="L745" s="1">
        <v>7</v>
      </c>
      <c r="M745" s="1">
        <v>1</v>
      </c>
      <c r="N745" s="1" t="s">
        <v>45</v>
      </c>
      <c r="O745" s="1" t="s">
        <v>128</v>
      </c>
      <c r="P745" s="1" t="s">
        <v>54</v>
      </c>
      <c r="Q745" s="1" t="s">
        <v>322</v>
      </c>
      <c r="R745" s="1">
        <v>468.79</v>
      </c>
      <c r="S745" s="1" t="s">
        <v>46</v>
      </c>
      <c r="T745" s="1" t="s">
        <v>47</v>
      </c>
      <c r="U745" s="1" t="s">
        <v>70</v>
      </c>
      <c r="V745" s="1" t="s">
        <v>36</v>
      </c>
    </row>
    <row r="746" spans="1:22" x14ac:dyDescent="0.3">
      <c r="A746" s="1" t="s">
        <v>3843</v>
      </c>
      <c r="B746" s="1" t="s">
        <v>3844</v>
      </c>
      <c r="C746" s="1">
        <v>60</v>
      </c>
      <c r="D746" s="1" t="s">
        <v>3845</v>
      </c>
      <c r="E746" s="1" t="s">
        <v>95</v>
      </c>
      <c r="F746" s="1" t="s">
        <v>3846</v>
      </c>
      <c r="G746" s="1" t="s">
        <v>1827</v>
      </c>
      <c r="H746" s="1">
        <v>5</v>
      </c>
      <c r="I746" s="1" t="s">
        <v>27</v>
      </c>
      <c r="J746" s="2">
        <v>45627</v>
      </c>
      <c r="K746" s="1" t="s">
        <v>3847</v>
      </c>
      <c r="L746" s="1">
        <v>5</v>
      </c>
      <c r="M746" s="1">
        <v>12</v>
      </c>
      <c r="N746" s="1" t="s">
        <v>68</v>
      </c>
      <c r="O746" s="1" t="s">
        <v>855</v>
      </c>
      <c r="P746" s="1" t="s">
        <v>45</v>
      </c>
      <c r="Q746" s="1" t="s">
        <v>32</v>
      </c>
      <c r="R746" s="1">
        <v>365.45</v>
      </c>
      <c r="S746" s="1" t="s">
        <v>46</v>
      </c>
      <c r="T746" s="1" t="s">
        <v>47</v>
      </c>
      <c r="U746" s="1" t="s">
        <v>35</v>
      </c>
      <c r="V746" s="1" t="s">
        <v>188</v>
      </c>
    </row>
    <row r="747" spans="1:22" x14ac:dyDescent="0.3">
      <c r="A747" s="1" t="s">
        <v>3848</v>
      </c>
      <c r="B747" s="1" t="s">
        <v>3849</v>
      </c>
      <c r="C747" s="1">
        <v>49</v>
      </c>
      <c r="D747" s="1" t="s">
        <v>3850</v>
      </c>
      <c r="E747" s="1" t="s">
        <v>51</v>
      </c>
      <c r="F747" s="1" t="s">
        <v>3851</v>
      </c>
      <c r="G747" s="1" t="s">
        <v>1026</v>
      </c>
      <c r="H747" s="1">
        <v>5</v>
      </c>
      <c r="I747" s="1" t="s">
        <v>27</v>
      </c>
      <c r="J747" s="1" t="s">
        <v>2098</v>
      </c>
      <c r="K747" s="1" t="s">
        <v>3852</v>
      </c>
      <c r="L747" s="1">
        <v>1</v>
      </c>
      <c r="M747" s="1">
        <v>3</v>
      </c>
      <c r="N747" s="1" t="s">
        <v>56</v>
      </c>
      <c r="O747" s="1" t="s">
        <v>604</v>
      </c>
      <c r="P747" s="1" t="s">
        <v>45</v>
      </c>
      <c r="Q747" s="1" t="s">
        <v>69</v>
      </c>
      <c r="R747" s="1">
        <v>1326.91</v>
      </c>
      <c r="S747" s="1" t="s">
        <v>46</v>
      </c>
      <c r="T747" s="1" t="s">
        <v>34</v>
      </c>
      <c r="U747" s="1" t="s">
        <v>35</v>
      </c>
      <c r="V747" s="1" t="s">
        <v>188</v>
      </c>
    </row>
    <row r="748" spans="1:22" x14ac:dyDescent="0.3">
      <c r="A748" s="1" t="s">
        <v>3853</v>
      </c>
      <c r="B748" s="1" t="s">
        <v>3854</v>
      </c>
      <c r="C748" s="1">
        <v>59</v>
      </c>
      <c r="D748" s="1" t="s">
        <v>3855</v>
      </c>
      <c r="E748" s="1" t="s">
        <v>25</v>
      </c>
      <c r="F748" s="1" t="s">
        <v>3856</v>
      </c>
      <c r="G748" s="2">
        <v>44753</v>
      </c>
      <c r="H748" s="1">
        <v>1</v>
      </c>
      <c r="I748" s="1" t="s">
        <v>27</v>
      </c>
      <c r="J748" s="2">
        <v>44537</v>
      </c>
      <c r="K748" s="1" t="s">
        <v>3857</v>
      </c>
      <c r="L748" s="1">
        <v>2</v>
      </c>
      <c r="M748" s="1">
        <v>23</v>
      </c>
      <c r="N748" s="1" t="s">
        <v>68</v>
      </c>
      <c r="O748" s="1" t="s">
        <v>536</v>
      </c>
      <c r="P748" s="1" t="s">
        <v>68</v>
      </c>
      <c r="Q748" s="1" t="s">
        <v>32</v>
      </c>
      <c r="R748" s="1">
        <v>374.7</v>
      </c>
      <c r="S748" s="1" t="s">
        <v>33</v>
      </c>
      <c r="T748" s="1" t="s">
        <v>47</v>
      </c>
      <c r="U748" s="1" t="s">
        <v>35</v>
      </c>
      <c r="V748" s="1" t="s">
        <v>36</v>
      </c>
    </row>
    <row r="749" spans="1:22" x14ac:dyDescent="0.3">
      <c r="A749" s="1" t="s">
        <v>3858</v>
      </c>
      <c r="B749" s="1" t="s">
        <v>3859</v>
      </c>
      <c r="C749" s="1">
        <v>45</v>
      </c>
      <c r="D749" s="1" t="s">
        <v>3860</v>
      </c>
      <c r="E749" s="1" t="s">
        <v>95</v>
      </c>
      <c r="F749" s="1" t="s">
        <v>3861</v>
      </c>
      <c r="G749" s="2">
        <v>45514</v>
      </c>
      <c r="H749" s="1">
        <v>0</v>
      </c>
      <c r="I749" s="1" t="s">
        <v>27</v>
      </c>
      <c r="J749" s="1" t="s">
        <v>994</v>
      </c>
      <c r="K749" s="1" t="s">
        <v>3862</v>
      </c>
      <c r="L749" s="1">
        <v>2</v>
      </c>
      <c r="M749" s="1">
        <v>23</v>
      </c>
      <c r="N749" s="1" t="s">
        <v>56</v>
      </c>
      <c r="O749" s="1" t="s">
        <v>821</v>
      </c>
      <c r="P749" s="1" t="s">
        <v>68</v>
      </c>
      <c r="Q749" s="1" t="s">
        <v>32</v>
      </c>
      <c r="R749" s="1">
        <v>842.28</v>
      </c>
      <c r="S749" s="1" t="s">
        <v>46</v>
      </c>
      <c r="T749" s="1" t="s">
        <v>34</v>
      </c>
      <c r="U749" s="1" t="s">
        <v>35</v>
      </c>
      <c r="V749" s="1" t="s">
        <v>36</v>
      </c>
    </row>
    <row r="750" spans="1:22" x14ac:dyDescent="0.3">
      <c r="A750" s="1" t="s">
        <v>3863</v>
      </c>
      <c r="B750" s="1" t="s">
        <v>3864</v>
      </c>
      <c r="C750" s="1">
        <v>37</v>
      </c>
      <c r="D750" s="1" t="s">
        <v>3865</v>
      </c>
      <c r="E750" s="1" t="s">
        <v>61</v>
      </c>
      <c r="F750" s="2">
        <v>44838</v>
      </c>
      <c r="G750" s="1" t="s">
        <v>313</v>
      </c>
      <c r="H750" s="1">
        <v>2</v>
      </c>
      <c r="I750" s="1" t="s">
        <v>27</v>
      </c>
      <c r="J750" s="1" t="s">
        <v>1861</v>
      </c>
      <c r="K750" s="1" t="s">
        <v>3866</v>
      </c>
      <c r="L750" s="1">
        <v>9</v>
      </c>
      <c r="M750" s="1">
        <v>31</v>
      </c>
      <c r="N750" s="1" t="s">
        <v>45</v>
      </c>
      <c r="O750" s="1" t="s">
        <v>855</v>
      </c>
      <c r="P750" s="1" t="s">
        <v>45</v>
      </c>
      <c r="Q750" s="1" t="s">
        <v>32</v>
      </c>
      <c r="R750" s="1">
        <v>970.83</v>
      </c>
      <c r="S750" s="1" t="s">
        <v>33</v>
      </c>
      <c r="T750" s="1" t="s">
        <v>34</v>
      </c>
      <c r="U750" s="1" t="s">
        <v>35</v>
      </c>
      <c r="V750" s="1" t="s">
        <v>36</v>
      </c>
    </row>
    <row r="751" spans="1:22" x14ac:dyDescent="0.3">
      <c r="A751" s="1" t="s">
        <v>3867</v>
      </c>
      <c r="B751" s="1" t="s">
        <v>3868</v>
      </c>
      <c r="C751" s="1">
        <v>38</v>
      </c>
      <c r="D751" s="1" t="s">
        <v>3869</v>
      </c>
      <c r="E751" s="1" t="s">
        <v>61</v>
      </c>
      <c r="F751" s="2">
        <v>43902</v>
      </c>
      <c r="G751" s="2">
        <v>45236</v>
      </c>
      <c r="H751" s="1">
        <v>4</v>
      </c>
      <c r="I751" s="1" t="s">
        <v>27</v>
      </c>
      <c r="J751" s="1" t="s">
        <v>729</v>
      </c>
      <c r="K751" s="1" t="s">
        <v>3870</v>
      </c>
      <c r="L751" s="1">
        <v>9</v>
      </c>
      <c r="M751" s="1">
        <v>6</v>
      </c>
      <c r="N751" s="1" t="s">
        <v>56</v>
      </c>
      <c r="O751" s="1" t="s">
        <v>597</v>
      </c>
      <c r="P751" s="1" t="s">
        <v>45</v>
      </c>
      <c r="Q751" s="1" t="s">
        <v>32</v>
      </c>
      <c r="R751" s="1">
        <v>1673.64</v>
      </c>
      <c r="S751" s="1" t="s">
        <v>46</v>
      </c>
      <c r="T751" s="1" t="s">
        <v>34</v>
      </c>
      <c r="U751" s="1" t="s">
        <v>35</v>
      </c>
      <c r="V751" s="1" t="s">
        <v>188</v>
      </c>
    </row>
    <row r="752" spans="1:22" x14ac:dyDescent="0.3">
      <c r="A752" s="1" t="s">
        <v>3871</v>
      </c>
      <c r="B752" s="1" t="s">
        <v>3872</v>
      </c>
      <c r="C752" s="1">
        <v>44</v>
      </c>
      <c r="D752" s="1" t="s">
        <v>3873</v>
      </c>
      <c r="E752" s="1" t="s">
        <v>40</v>
      </c>
      <c r="F752" s="2">
        <v>45175</v>
      </c>
      <c r="G752" s="2">
        <v>45872</v>
      </c>
      <c r="H752" s="1">
        <v>3</v>
      </c>
      <c r="I752" s="1" t="s">
        <v>52</v>
      </c>
      <c r="J752" s="1" t="s">
        <v>1075</v>
      </c>
      <c r="K752" s="1" t="s">
        <v>3874</v>
      </c>
      <c r="L752" s="1">
        <v>7</v>
      </c>
      <c r="M752" s="1">
        <v>34</v>
      </c>
      <c r="N752" s="1" t="s">
        <v>68</v>
      </c>
      <c r="O752" s="1" t="s">
        <v>251</v>
      </c>
      <c r="P752" s="1" t="s">
        <v>30</v>
      </c>
      <c r="Q752" s="1" t="s">
        <v>32</v>
      </c>
      <c r="R752" s="1">
        <v>1266.58</v>
      </c>
      <c r="S752" s="1" t="s">
        <v>46</v>
      </c>
      <c r="T752" s="1" t="s">
        <v>34</v>
      </c>
      <c r="U752" s="1" t="s">
        <v>35</v>
      </c>
      <c r="V752" s="1" t="s">
        <v>36</v>
      </c>
    </row>
    <row r="753" spans="1:22" x14ac:dyDescent="0.3">
      <c r="A753" s="1" t="s">
        <v>3875</v>
      </c>
      <c r="B753" s="1" t="s">
        <v>3876</v>
      </c>
      <c r="C753" s="1">
        <v>26</v>
      </c>
      <c r="D753" s="1" t="s">
        <v>3877</v>
      </c>
      <c r="E753" s="1" t="s">
        <v>95</v>
      </c>
      <c r="F753" s="2">
        <v>44870</v>
      </c>
      <c r="G753" s="1" t="s">
        <v>1924</v>
      </c>
      <c r="H753" s="1">
        <v>2</v>
      </c>
      <c r="I753" s="1" t="s">
        <v>64</v>
      </c>
      <c r="J753" s="2">
        <v>44875</v>
      </c>
      <c r="K753" s="1" t="s">
        <v>3878</v>
      </c>
      <c r="L753" s="1">
        <v>3</v>
      </c>
      <c r="M753" s="1">
        <v>1</v>
      </c>
      <c r="N753" s="1" t="s">
        <v>30</v>
      </c>
      <c r="O753" s="1" t="s">
        <v>624</v>
      </c>
      <c r="P753" s="1" t="s">
        <v>30</v>
      </c>
      <c r="Q753" s="1" t="s">
        <v>32</v>
      </c>
      <c r="R753" s="1">
        <v>416.4</v>
      </c>
      <c r="S753" s="1" t="s">
        <v>33</v>
      </c>
      <c r="T753" s="1" t="s">
        <v>57</v>
      </c>
      <c r="U753" s="1" t="s">
        <v>70</v>
      </c>
      <c r="V753" s="1" t="s">
        <v>71</v>
      </c>
    </row>
    <row r="754" spans="1:22" x14ac:dyDescent="0.3">
      <c r="A754" s="1" t="s">
        <v>3879</v>
      </c>
      <c r="B754" s="1" t="s">
        <v>3880</v>
      </c>
      <c r="C754" s="1">
        <v>38</v>
      </c>
      <c r="D754" s="1" t="s">
        <v>3881</v>
      </c>
      <c r="E754" s="1" t="s">
        <v>51</v>
      </c>
      <c r="F754" s="1" t="s">
        <v>220</v>
      </c>
      <c r="G754" s="1" t="s">
        <v>2499</v>
      </c>
      <c r="H754" s="1">
        <v>2</v>
      </c>
      <c r="I754" s="1" t="s">
        <v>52</v>
      </c>
      <c r="J754" s="2">
        <v>45812</v>
      </c>
      <c r="K754" s="1" t="s">
        <v>3882</v>
      </c>
      <c r="L754" s="1">
        <v>1</v>
      </c>
      <c r="M754" s="1">
        <v>26</v>
      </c>
      <c r="N754" s="1" t="s">
        <v>30</v>
      </c>
      <c r="O754" s="1" t="s">
        <v>77</v>
      </c>
      <c r="P754" s="1" t="s">
        <v>54</v>
      </c>
      <c r="Q754" s="1" t="s">
        <v>69</v>
      </c>
      <c r="R754" s="1">
        <v>856.16</v>
      </c>
      <c r="S754" s="1" t="s">
        <v>46</v>
      </c>
      <c r="T754" s="1" t="s">
        <v>34</v>
      </c>
      <c r="U754" s="1" t="s">
        <v>35</v>
      </c>
      <c r="V754" s="1" t="s">
        <v>36</v>
      </c>
    </row>
    <row r="755" spans="1:22" x14ac:dyDescent="0.3">
      <c r="A755" s="1" t="s">
        <v>3883</v>
      </c>
      <c r="B755" s="1" t="s">
        <v>3884</v>
      </c>
      <c r="C755" s="1">
        <v>24</v>
      </c>
      <c r="D755" s="1" t="s">
        <v>3885</v>
      </c>
      <c r="E755" s="1" t="s">
        <v>40</v>
      </c>
      <c r="F755" s="1" t="s">
        <v>2849</v>
      </c>
      <c r="G755" s="2">
        <v>45871</v>
      </c>
      <c r="H755" s="1">
        <v>5</v>
      </c>
      <c r="I755" s="1" t="s">
        <v>27</v>
      </c>
      <c r="J755" s="2">
        <v>45541</v>
      </c>
      <c r="K755" s="1" t="s">
        <v>3886</v>
      </c>
      <c r="L755" s="1">
        <v>9</v>
      </c>
      <c r="M755" s="1">
        <v>8</v>
      </c>
      <c r="N755" s="1" t="s">
        <v>68</v>
      </c>
      <c r="O755" s="1" t="s">
        <v>157</v>
      </c>
      <c r="P755" s="1" t="s">
        <v>68</v>
      </c>
      <c r="Q755" s="1" t="s">
        <v>69</v>
      </c>
      <c r="R755" s="1">
        <v>1860.03</v>
      </c>
      <c r="S755" s="1" t="s">
        <v>33</v>
      </c>
      <c r="T755" s="1" t="s">
        <v>100</v>
      </c>
      <c r="U755" s="1" t="s">
        <v>35</v>
      </c>
      <c r="V755" s="1" t="s">
        <v>188</v>
      </c>
    </row>
    <row r="756" spans="1:22" x14ac:dyDescent="0.3">
      <c r="A756" s="1" t="s">
        <v>3887</v>
      </c>
      <c r="B756" s="1" t="s">
        <v>3888</v>
      </c>
      <c r="C756" s="1">
        <v>33</v>
      </c>
      <c r="D756" s="1" t="s">
        <v>3889</v>
      </c>
      <c r="E756" s="1" t="s">
        <v>61</v>
      </c>
      <c r="F756" s="1" t="s">
        <v>894</v>
      </c>
      <c r="G756" s="1" t="s">
        <v>3890</v>
      </c>
      <c r="H756" s="1">
        <v>2</v>
      </c>
      <c r="I756" s="1" t="s">
        <v>27</v>
      </c>
      <c r="J756" s="2">
        <v>44784</v>
      </c>
      <c r="K756" s="1" t="s">
        <v>3891</v>
      </c>
      <c r="L756" s="1">
        <v>3</v>
      </c>
      <c r="M756" s="1">
        <v>19</v>
      </c>
      <c r="N756" s="1" t="s">
        <v>68</v>
      </c>
      <c r="O756" s="1" t="s">
        <v>91</v>
      </c>
      <c r="P756" s="1" t="s">
        <v>54</v>
      </c>
      <c r="Q756" s="1" t="s">
        <v>69</v>
      </c>
      <c r="R756" s="1">
        <v>525.29999999999995</v>
      </c>
      <c r="S756" s="1" t="s">
        <v>46</v>
      </c>
      <c r="T756" s="1" t="s">
        <v>57</v>
      </c>
      <c r="U756" s="1" t="s">
        <v>35</v>
      </c>
      <c r="V756" s="1" t="s">
        <v>36</v>
      </c>
    </row>
    <row r="757" spans="1:22" x14ac:dyDescent="0.3">
      <c r="A757" s="1" t="s">
        <v>3892</v>
      </c>
      <c r="B757" s="1" t="s">
        <v>3893</v>
      </c>
      <c r="C757" s="1">
        <v>58</v>
      </c>
      <c r="D757" s="1" t="s">
        <v>3894</v>
      </c>
      <c r="E757" s="1" t="s">
        <v>25</v>
      </c>
      <c r="F757" s="1" t="s">
        <v>2757</v>
      </c>
      <c r="G757" s="1" t="s">
        <v>1924</v>
      </c>
      <c r="H757" s="1">
        <v>5</v>
      </c>
      <c r="I757" s="1" t="s">
        <v>27</v>
      </c>
      <c r="J757" s="2">
        <v>45632</v>
      </c>
      <c r="K757" s="1" t="s">
        <v>3895</v>
      </c>
      <c r="L757" s="1">
        <v>5</v>
      </c>
      <c r="M757" s="1">
        <v>15</v>
      </c>
      <c r="N757" s="1" t="s">
        <v>68</v>
      </c>
      <c r="O757" s="1" t="s">
        <v>610</v>
      </c>
      <c r="P757" s="1" t="s">
        <v>68</v>
      </c>
      <c r="Q757" s="1" t="s">
        <v>32</v>
      </c>
      <c r="R757" s="1">
        <v>874.6</v>
      </c>
      <c r="S757" s="1" t="s">
        <v>33</v>
      </c>
      <c r="T757" s="1" t="s">
        <v>47</v>
      </c>
      <c r="U757" s="1" t="s">
        <v>35</v>
      </c>
      <c r="V757" s="1" t="s">
        <v>188</v>
      </c>
    </row>
    <row r="758" spans="1:22" x14ac:dyDescent="0.3">
      <c r="A758" s="1" t="s">
        <v>3896</v>
      </c>
      <c r="B758" s="1" t="s">
        <v>3897</v>
      </c>
      <c r="C758" s="1">
        <v>64</v>
      </c>
      <c r="D758" s="1" t="s">
        <v>3898</v>
      </c>
      <c r="E758" s="1" t="s">
        <v>40</v>
      </c>
      <c r="F758" s="2">
        <v>44320</v>
      </c>
      <c r="G758" s="1" t="s">
        <v>3899</v>
      </c>
      <c r="H758" s="1">
        <v>0</v>
      </c>
      <c r="I758" s="1" t="s">
        <v>52</v>
      </c>
      <c r="J758" s="1" t="s">
        <v>653</v>
      </c>
      <c r="K758" s="1" t="s">
        <v>3900</v>
      </c>
      <c r="L758" s="1">
        <v>3</v>
      </c>
      <c r="M758" s="1">
        <v>46</v>
      </c>
      <c r="N758" s="1" t="s">
        <v>68</v>
      </c>
      <c r="O758" s="1" t="s">
        <v>199</v>
      </c>
      <c r="P758" s="1" t="s">
        <v>54</v>
      </c>
      <c r="Q758" s="1" t="s">
        <v>322</v>
      </c>
      <c r="R758" s="1">
        <v>1219.17</v>
      </c>
      <c r="S758" s="1" t="s">
        <v>46</v>
      </c>
      <c r="T758" s="1" t="s">
        <v>47</v>
      </c>
      <c r="U758" s="1" t="s">
        <v>35</v>
      </c>
      <c r="V758" s="1" t="s">
        <v>36</v>
      </c>
    </row>
    <row r="759" spans="1:22" x14ac:dyDescent="0.3">
      <c r="A759" s="1" t="s">
        <v>3901</v>
      </c>
      <c r="B759" s="1" t="s">
        <v>3902</v>
      </c>
      <c r="C759" s="1">
        <v>53</v>
      </c>
      <c r="D759" s="1" t="s">
        <v>3903</v>
      </c>
      <c r="E759" s="1" t="s">
        <v>88</v>
      </c>
      <c r="F759" s="1" t="s">
        <v>1047</v>
      </c>
      <c r="G759" s="1" t="s">
        <v>724</v>
      </c>
      <c r="H759" s="1">
        <v>3</v>
      </c>
      <c r="I759" s="1" t="s">
        <v>27</v>
      </c>
      <c r="J759" s="2">
        <v>45233</v>
      </c>
      <c r="K759" s="1" t="s">
        <v>3904</v>
      </c>
      <c r="L759" s="1">
        <v>9</v>
      </c>
      <c r="M759" s="1">
        <v>43</v>
      </c>
      <c r="N759" s="1" t="s">
        <v>30</v>
      </c>
      <c r="O759" s="1" t="s">
        <v>245</v>
      </c>
      <c r="P759" s="1" t="s">
        <v>54</v>
      </c>
      <c r="Q759" s="1" t="s">
        <v>69</v>
      </c>
      <c r="R759" s="1">
        <v>1718.46</v>
      </c>
      <c r="S759" s="1" t="s">
        <v>46</v>
      </c>
      <c r="T759" s="1" t="s">
        <v>47</v>
      </c>
      <c r="U759" s="1" t="s">
        <v>35</v>
      </c>
      <c r="V759" s="1" t="s">
        <v>36</v>
      </c>
    </row>
    <row r="760" spans="1:22" x14ac:dyDescent="0.3">
      <c r="A760" s="1" t="s">
        <v>3905</v>
      </c>
      <c r="B760" s="1" t="s">
        <v>3906</v>
      </c>
      <c r="C760" s="1">
        <v>35</v>
      </c>
      <c r="D760" s="1" t="s">
        <v>3907</v>
      </c>
      <c r="E760" s="1" t="s">
        <v>95</v>
      </c>
      <c r="F760" s="2">
        <v>44115</v>
      </c>
      <c r="G760" s="2">
        <v>44287</v>
      </c>
      <c r="H760" s="1">
        <v>3</v>
      </c>
      <c r="I760" s="1" t="s">
        <v>27</v>
      </c>
      <c r="J760" s="2">
        <v>45813</v>
      </c>
      <c r="K760" s="1" t="s">
        <v>3908</v>
      </c>
      <c r="L760" s="1">
        <v>4</v>
      </c>
      <c r="M760" s="1">
        <v>17</v>
      </c>
      <c r="N760" s="1" t="s">
        <v>56</v>
      </c>
      <c r="O760" s="1" t="s">
        <v>199</v>
      </c>
      <c r="P760" s="1" t="s">
        <v>54</v>
      </c>
      <c r="Q760" s="1" t="s">
        <v>69</v>
      </c>
      <c r="R760" s="1">
        <v>1815.84</v>
      </c>
      <c r="S760" s="1" t="s">
        <v>46</v>
      </c>
      <c r="T760" s="1" t="s">
        <v>34</v>
      </c>
      <c r="U760" s="1" t="s">
        <v>35</v>
      </c>
      <c r="V760" s="1" t="s">
        <v>36</v>
      </c>
    </row>
    <row r="761" spans="1:22" x14ac:dyDescent="0.3">
      <c r="A761" s="1" t="s">
        <v>3909</v>
      </c>
      <c r="B761" s="1" t="s">
        <v>3910</v>
      </c>
      <c r="C761" s="1">
        <v>45</v>
      </c>
      <c r="D761" s="1" t="s">
        <v>3911</v>
      </c>
      <c r="E761" s="1" t="s">
        <v>61</v>
      </c>
      <c r="F761" s="1" t="s">
        <v>3912</v>
      </c>
      <c r="G761" s="1" t="s">
        <v>1917</v>
      </c>
      <c r="H761" s="1">
        <v>3</v>
      </c>
      <c r="I761" s="1" t="s">
        <v>27</v>
      </c>
      <c r="J761" s="1" t="s">
        <v>1971</v>
      </c>
      <c r="K761" s="1" t="s">
        <v>3913</v>
      </c>
      <c r="L761" s="1">
        <v>4</v>
      </c>
      <c r="M761" s="1">
        <v>8</v>
      </c>
      <c r="N761" s="1" t="s">
        <v>68</v>
      </c>
      <c r="O761" s="1" t="s">
        <v>31</v>
      </c>
      <c r="P761" s="1" t="s">
        <v>30</v>
      </c>
      <c r="Q761" s="1" t="s">
        <v>32</v>
      </c>
      <c r="R761" s="1">
        <v>747.4</v>
      </c>
      <c r="S761" s="1" t="s">
        <v>46</v>
      </c>
      <c r="T761" s="1" t="s">
        <v>34</v>
      </c>
      <c r="U761" s="1" t="s">
        <v>35</v>
      </c>
      <c r="V761" s="1" t="s">
        <v>36</v>
      </c>
    </row>
    <row r="762" spans="1:22" x14ac:dyDescent="0.3">
      <c r="A762" s="1" t="s">
        <v>3914</v>
      </c>
      <c r="B762" s="1" t="s">
        <v>3915</v>
      </c>
      <c r="C762" s="1">
        <v>41</v>
      </c>
      <c r="D762" s="1" t="s">
        <v>3916</v>
      </c>
      <c r="E762" s="1" t="s">
        <v>88</v>
      </c>
      <c r="F762" s="2">
        <v>44537</v>
      </c>
      <c r="G762" s="1" t="s">
        <v>1459</v>
      </c>
      <c r="H762" s="1">
        <v>3</v>
      </c>
      <c r="I762" s="1" t="s">
        <v>64</v>
      </c>
      <c r="J762" s="1" t="s">
        <v>2402</v>
      </c>
      <c r="K762" s="1" t="s">
        <v>3917</v>
      </c>
      <c r="L762" s="1">
        <v>9</v>
      </c>
      <c r="M762" s="1">
        <v>24</v>
      </c>
      <c r="N762" s="1" t="s">
        <v>30</v>
      </c>
      <c r="O762" s="1" t="s">
        <v>157</v>
      </c>
      <c r="P762" s="1" t="s">
        <v>68</v>
      </c>
      <c r="Q762" s="1" t="s">
        <v>69</v>
      </c>
      <c r="R762" s="1">
        <v>1226.52</v>
      </c>
      <c r="S762" s="1" t="s">
        <v>46</v>
      </c>
      <c r="T762" s="1" t="s">
        <v>34</v>
      </c>
      <c r="U762" s="1" t="s">
        <v>35</v>
      </c>
      <c r="V762" s="1" t="s">
        <v>71</v>
      </c>
    </row>
    <row r="763" spans="1:22" x14ac:dyDescent="0.3">
      <c r="A763" s="1" t="s">
        <v>3918</v>
      </c>
      <c r="B763" s="1" t="s">
        <v>3919</v>
      </c>
      <c r="C763" s="1">
        <v>46</v>
      </c>
      <c r="D763" s="1" t="s">
        <v>3920</v>
      </c>
      <c r="E763" s="1" t="s">
        <v>40</v>
      </c>
      <c r="F763" s="1" t="s">
        <v>3921</v>
      </c>
      <c r="G763" s="2">
        <v>45210</v>
      </c>
      <c r="H763" s="1">
        <v>2</v>
      </c>
      <c r="I763" s="1" t="s">
        <v>52</v>
      </c>
      <c r="J763" s="1" t="s">
        <v>3461</v>
      </c>
      <c r="K763" s="1" t="s">
        <v>3922</v>
      </c>
      <c r="L763" s="1">
        <v>5</v>
      </c>
      <c r="M763" s="1">
        <v>30</v>
      </c>
      <c r="N763" s="1" t="s">
        <v>30</v>
      </c>
      <c r="O763" s="1" t="s">
        <v>199</v>
      </c>
      <c r="P763" s="1" t="s">
        <v>54</v>
      </c>
      <c r="Q763" s="1" t="s">
        <v>32</v>
      </c>
      <c r="R763" s="1">
        <v>939.6</v>
      </c>
      <c r="S763" s="1" t="s">
        <v>46</v>
      </c>
      <c r="T763" s="1" t="s">
        <v>34</v>
      </c>
      <c r="U763" s="1" t="s">
        <v>35</v>
      </c>
      <c r="V763" s="1" t="s">
        <v>36</v>
      </c>
    </row>
    <row r="764" spans="1:22" x14ac:dyDescent="0.3">
      <c r="A764" s="1" t="s">
        <v>3923</v>
      </c>
      <c r="B764" s="1" t="s">
        <v>3924</v>
      </c>
      <c r="C764" s="1">
        <v>33</v>
      </c>
      <c r="D764" s="1" t="s">
        <v>3925</v>
      </c>
      <c r="E764" s="1" t="s">
        <v>51</v>
      </c>
      <c r="F764" s="1" t="s">
        <v>1226</v>
      </c>
      <c r="G764" s="2">
        <v>44937</v>
      </c>
      <c r="H764" s="1">
        <v>5</v>
      </c>
      <c r="I764" s="1" t="s">
        <v>27</v>
      </c>
      <c r="J764" s="2">
        <v>44989</v>
      </c>
      <c r="K764" s="1" t="s">
        <v>3926</v>
      </c>
      <c r="L764" s="1">
        <v>1</v>
      </c>
      <c r="M764" s="1">
        <v>12</v>
      </c>
      <c r="N764" s="1" t="s">
        <v>30</v>
      </c>
      <c r="O764" s="1" t="s">
        <v>157</v>
      </c>
      <c r="P764" s="1" t="s">
        <v>68</v>
      </c>
      <c r="Q764" s="1" t="s">
        <v>69</v>
      </c>
      <c r="R764" s="1">
        <v>1779.7</v>
      </c>
      <c r="S764" s="1" t="s">
        <v>46</v>
      </c>
      <c r="T764" s="1" t="s">
        <v>57</v>
      </c>
      <c r="U764" s="1" t="s">
        <v>35</v>
      </c>
      <c r="V764" s="1" t="s">
        <v>188</v>
      </c>
    </row>
    <row r="765" spans="1:22" x14ac:dyDescent="0.3">
      <c r="A765" s="1" t="s">
        <v>3927</v>
      </c>
      <c r="B765" s="1" t="s">
        <v>3928</v>
      </c>
      <c r="C765" s="1">
        <v>38</v>
      </c>
      <c r="D765" s="1" t="s">
        <v>3929</v>
      </c>
      <c r="E765" s="1" t="s">
        <v>95</v>
      </c>
      <c r="F765" s="1" t="s">
        <v>2603</v>
      </c>
      <c r="G765" s="2">
        <v>45203</v>
      </c>
      <c r="H765" s="1">
        <v>2</v>
      </c>
      <c r="I765" s="1" t="s">
        <v>27</v>
      </c>
      <c r="J765" s="1" t="s">
        <v>3930</v>
      </c>
      <c r="K765" s="1" t="s">
        <v>3931</v>
      </c>
      <c r="L765" s="1">
        <v>5</v>
      </c>
      <c r="M765" s="1">
        <v>5</v>
      </c>
      <c r="N765" s="1" t="s">
        <v>30</v>
      </c>
      <c r="O765" s="1" t="s">
        <v>31</v>
      </c>
      <c r="P765" s="1" t="s">
        <v>30</v>
      </c>
      <c r="Q765" s="1" t="s">
        <v>32</v>
      </c>
      <c r="R765" s="1">
        <v>538.15</v>
      </c>
      <c r="S765" s="1" t="s">
        <v>33</v>
      </c>
      <c r="T765" s="1" t="s">
        <v>34</v>
      </c>
      <c r="U765" s="1" t="s">
        <v>35</v>
      </c>
      <c r="V765" s="1" t="s">
        <v>36</v>
      </c>
    </row>
    <row r="766" spans="1:22" x14ac:dyDescent="0.3">
      <c r="A766" s="1" t="s">
        <v>3932</v>
      </c>
      <c r="B766" s="1" t="s">
        <v>3933</v>
      </c>
      <c r="C766" s="1">
        <v>29</v>
      </c>
      <c r="D766" s="1" t="s">
        <v>3934</v>
      </c>
      <c r="E766" s="1" t="s">
        <v>61</v>
      </c>
      <c r="F766" s="2">
        <v>45203</v>
      </c>
      <c r="G766" s="1" t="s">
        <v>3935</v>
      </c>
      <c r="H766" s="1">
        <v>0</v>
      </c>
      <c r="I766" s="1" t="s">
        <v>52</v>
      </c>
      <c r="J766" s="1" t="s">
        <v>929</v>
      </c>
      <c r="K766" s="1" t="s">
        <v>3936</v>
      </c>
      <c r="L766" s="1">
        <v>2</v>
      </c>
      <c r="M766" s="1">
        <v>21</v>
      </c>
      <c r="N766" s="1" t="s">
        <v>45</v>
      </c>
      <c r="O766" s="1" t="s">
        <v>135</v>
      </c>
      <c r="P766" s="1" t="s">
        <v>45</v>
      </c>
      <c r="Q766" s="1" t="s">
        <v>32</v>
      </c>
      <c r="R766" s="1">
        <v>625.24</v>
      </c>
      <c r="S766" s="1" t="s">
        <v>33</v>
      </c>
      <c r="T766" s="1" t="s">
        <v>57</v>
      </c>
      <c r="U766" s="1" t="s">
        <v>35</v>
      </c>
      <c r="V766" s="1" t="s">
        <v>36</v>
      </c>
    </row>
    <row r="767" spans="1:22" x14ac:dyDescent="0.3">
      <c r="A767" s="1" t="s">
        <v>3937</v>
      </c>
      <c r="B767" s="1" t="s">
        <v>3938</v>
      </c>
      <c r="C767" s="1">
        <v>38</v>
      </c>
      <c r="D767" s="1" t="s">
        <v>3939</v>
      </c>
      <c r="E767" s="1" t="s">
        <v>95</v>
      </c>
      <c r="F767" s="2">
        <v>43961</v>
      </c>
      <c r="G767" s="2">
        <v>45394</v>
      </c>
      <c r="H767" s="1">
        <v>4</v>
      </c>
      <c r="I767" s="1" t="s">
        <v>64</v>
      </c>
      <c r="J767" s="1" t="s">
        <v>639</v>
      </c>
      <c r="K767" s="1" t="s">
        <v>3940</v>
      </c>
      <c r="L767" s="1">
        <v>5</v>
      </c>
      <c r="M767" s="1">
        <v>36</v>
      </c>
      <c r="N767" s="1" t="s">
        <v>68</v>
      </c>
      <c r="O767" s="1" t="s">
        <v>157</v>
      </c>
      <c r="P767" s="1" t="s">
        <v>68</v>
      </c>
      <c r="Q767" s="1" t="s">
        <v>32</v>
      </c>
      <c r="R767" s="1">
        <v>1484.7</v>
      </c>
      <c r="S767" s="1" t="s">
        <v>33</v>
      </c>
      <c r="T767" s="1" t="s">
        <v>34</v>
      </c>
      <c r="U767" s="1" t="s">
        <v>35</v>
      </c>
      <c r="V767" s="1" t="s">
        <v>71</v>
      </c>
    </row>
    <row r="768" spans="1:22" x14ac:dyDescent="0.3">
      <c r="A768" s="1" t="s">
        <v>3941</v>
      </c>
      <c r="B768" s="1" t="s">
        <v>3942</v>
      </c>
      <c r="C768" s="1">
        <v>38</v>
      </c>
      <c r="D768" s="1" t="s">
        <v>3943</v>
      </c>
      <c r="E768" s="1" t="s">
        <v>95</v>
      </c>
      <c r="F768" s="2">
        <v>45019</v>
      </c>
      <c r="G768" s="1" t="s">
        <v>1852</v>
      </c>
      <c r="H768" s="1">
        <v>4</v>
      </c>
      <c r="I768" s="1" t="s">
        <v>52</v>
      </c>
      <c r="J768" s="2">
        <v>45577</v>
      </c>
      <c r="K768" s="1" t="s">
        <v>3944</v>
      </c>
      <c r="L768" s="1">
        <v>3</v>
      </c>
      <c r="M768" s="1">
        <v>5</v>
      </c>
      <c r="N768" s="1" t="s">
        <v>56</v>
      </c>
      <c r="O768" s="1" t="s">
        <v>293</v>
      </c>
      <c r="P768" s="1" t="s">
        <v>45</v>
      </c>
      <c r="Q768" s="1" t="s">
        <v>69</v>
      </c>
      <c r="R768" s="1">
        <v>1814.97</v>
      </c>
      <c r="S768" s="1" t="s">
        <v>46</v>
      </c>
      <c r="T768" s="1" t="s">
        <v>34</v>
      </c>
      <c r="U768" s="1" t="s">
        <v>35</v>
      </c>
      <c r="V768" s="1" t="s">
        <v>36</v>
      </c>
    </row>
    <row r="769" spans="1:22" x14ac:dyDescent="0.3">
      <c r="A769" s="1" t="s">
        <v>3945</v>
      </c>
      <c r="B769" s="1" t="s">
        <v>3946</v>
      </c>
      <c r="C769" s="1">
        <v>67</v>
      </c>
      <c r="D769" s="1" t="s">
        <v>3947</v>
      </c>
      <c r="E769" s="1" t="s">
        <v>95</v>
      </c>
      <c r="F769" s="1" t="s">
        <v>3948</v>
      </c>
      <c r="G769" s="2">
        <v>45933</v>
      </c>
      <c r="H769" s="1">
        <v>2</v>
      </c>
      <c r="I769" s="1" t="s">
        <v>27</v>
      </c>
      <c r="J769" s="2">
        <v>45387</v>
      </c>
      <c r="K769" s="1" t="s">
        <v>3949</v>
      </c>
      <c r="L769" s="1">
        <v>5</v>
      </c>
      <c r="M769" s="1">
        <v>19</v>
      </c>
      <c r="N769" s="1" t="s">
        <v>68</v>
      </c>
      <c r="O769" s="1" t="s">
        <v>855</v>
      </c>
      <c r="P769" s="1" t="s">
        <v>45</v>
      </c>
      <c r="Q769" s="1" t="s">
        <v>32</v>
      </c>
      <c r="R769" s="1">
        <v>1339.65</v>
      </c>
      <c r="S769" s="1" t="s">
        <v>46</v>
      </c>
      <c r="T769" s="1" t="s">
        <v>232</v>
      </c>
      <c r="U769" s="1" t="s">
        <v>35</v>
      </c>
      <c r="V769" s="1" t="s">
        <v>36</v>
      </c>
    </row>
    <row r="770" spans="1:22" x14ac:dyDescent="0.3">
      <c r="A770" s="1" t="s">
        <v>3950</v>
      </c>
      <c r="B770" s="1" t="s">
        <v>3951</v>
      </c>
      <c r="C770" s="1">
        <v>38</v>
      </c>
      <c r="D770" s="1" t="s">
        <v>3952</v>
      </c>
      <c r="E770" s="1" t="s">
        <v>61</v>
      </c>
      <c r="F770" s="2">
        <v>45143</v>
      </c>
      <c r="G770" s="1" t="s">
        <v>503</v>
      </c>
      <c r="H770" s="1">
        <v>0</v>
      </c>
      <c r="I770" s="1" t="s">
        <v>52</v>
      </c>
      <c r="J770" s="1" t="s">
        <v>3953</v>
      </c>
      <c r="K770" s="1" t="s">
        <v>3954</v>
      </c>
      <c r="L770" s="1">
        <v>4</v>
      </c>
      <c r="M770" s="1">
        <v>48</v>
      </c>
      <c r="N770" s="1" t="s">
        <v>30</v>
      </c>
      <c r="O770" s="1" t="s">
        <v>837</v>
      </c>
      <c r="P770" s="1" t="s">
        <v>56</v>
      </c>
      <c r="Q770" s="1" t="s">
        <v>69</v>
      </c>
      <c r="R770" s="1">
        <v>1809.44</v>
      </c>
      <c r="S770" s="1" t="s">
        <v>46</v>
      </c>
      <c r="T770" s="1" t="s">
        <v>34</v>
      </c>
      <c r="U770" s="1" t="s">
        <v>35</v>
      </c>
      <c r="V770" s="1" t="s">
        <v>36</v>
      </c>
    </row>
    <row r="771" spans="1:22" x14ac:dyDescent="0.3">
      <c r="A771" s="1" t="s">
        <v>3955</v>
      </c>
      <c r="B771" s="1" t="s">
        <v>3956</v>
      </c>
      <c r="C771" s="1">
        <v>46</v>
      </c>
      <c r="D771" s="1" t="s">
        <v>3957</v>
      </c>
      <c r="E771" s="1" t="s">
        <v>25</v>
      </c>
      <c r="F771" s="2">
        <v>44328</v>
      </c>
      <c r="G771" s="1" t="s">
        <v>3958</v>
      </c>
      <c r="H771" s="1">
        <v>1</v>
      </c>
      <c r="I771" s="1" t="s">
        <v>27</v>
      </c>
      <c r="J771" s="2">
        <v>44875</v>
      </c>
      <c r="K771" s="1" t="s">
        <v>3959</v>
      </c>
      <c r="L771" s="1">
        <v>2</v>
      </c>
      <c r="M771" s="1">
        <v>24</v>
      </c>
      <c r="N771" s="1" t="s">
        <v>56</v>
      </c>
      <c r="O771" s="1" t="s">
        <v>175</v>
      </c>
      <c r="P771" s="1" t="s">
        <v>56</v>
      </c>
      <c r="Q771" s="1" t="s">
        <v>69</v>
      </c>
      <c r="R771" s="1">
        <v>1781.1</v>
      </c>
      <c r="S771" s="1" t="s">
        <v>33</v>
      </c>
      <c r="T771" s="1" t="s">
        <v>34</v>
      </c>
      <c r="U771" s="1" t="s">
        <v>35</v>
      </c>
      <c r="V771" s="1" t="s">
        <v>36</v>
      </c>
    </row>
    <row r="772" spans="1:22" x14ac:dyDescent="0.3">
      <c r="A772" s="1" t="s">
        <v>3960</v>
      </c>
      <c r="B772" s="1" t="s">
        <v>3961</v>
      </c>
      <c r="C772" s="1">
        <v>27</v>
      </c>
      <c r="D772" s="1" t="s">
        <v>3962</v>
      </c>
      <c r="E772" s="1" t="s">
        <v>40</v>
      </c>
      <c r="F772" s="1" t="s">
        <v>934</v>
      </c>
      <c r="G772" s="2">
        <v>45907</v>
      </c>
      <c r="H772" s="1">
        <v>4</v>
      </c>
      <c r="I772" s="1" t="s">
        <v>27</v>
      </c>
      <c r="J772" s="2">
        <v>45174</v>
      </c>
      <c r="K772" s="1" t="s">
        <v>3963</v>
      </c>
      <c r="L772" s="1">
        <v>2</v>
      </c>
      <c r="M772" s="1">
        <v>41</v>
      </c>
      <c r="N772" s="1" t="s">
        <v>45</v>
      </c>
      <c r="O772" s="1" t="s">
        <v>99</v>
      </c>
      <c r="P772" s="1" t="s">
        <v>56</v>
      </c>
      <c r="Q772" s="1" t="s">
        <v>32</v>
      </c>
      <c r="R772" s="1">
        <v>691.76</v>
      </c>
      <c r="S772" s="1" t="s">
        <v>46</v>
      </c>
      <c r="T772" s="1" t="s">
        <v>57</v>
      </c>
      <c r="U772" s="1" t="s">
        <v>35</v>
      </c>
      <c r="V772" s="1" t="s">
        <v>188</v>
      </c>
    </row>
    <row r="773" spans="1:22" x14ac:dyDescent="0.3">
      <c r="A773" s="1" t="s">
        <v>3964</v>
      </c>
      <c r="B773" s="1" t="s">
        <v>3965</v>
      </c>
      <c r="C773" s="1">
        <v>23</v>
      </c>
      <c r="D773" s="1" t="s">
        <v>3966</v>
      </c>
      <c r="E773" s="1" t="s">
        <v>88</v>
      </c>
      <c r="F773" s="1" t="s">
        <v>3967</v>
      </c>
      <c r="G773" s="2">
        <v>45026</v>
      </c>
      <c r="H773" s="1">
        <v>0</v>
      </c>
      <c r="I773" s="1" t="s">
        <v>27</v>
      </c>
      <c r="J773" s="1" t="s">
        <v>2810</v>
      </c>
      <c r="K773" s="1" t="s">
        <v>3968</v>
      </c>
      <c r="L773" s="1">
        <v>9</v>
      </c>
      <c r="M773" s="1">
        <v>26</v>
      </c>
      <c r="N773" s="1" t="s">
        <v>30</v>
      </c>
      <c r="O773" s="1" t="s">
        <v>610</v>
      </c>
      <c r="P773" s="1" t="s">
        <v>68</v>
      </c>
      <c r="Q773" s="1" t="s">
        <v>69</v>
      </c>
      <c r="R773" s="1">
        <v>944.1</v>
      </c>
      <c r="S773" s="1" t="s">
        <v>46</v>
      </c>
      <c r="T773" s="1" t="s">
        <v>100</v>
      </c>
      <c r="U773" s="1" t="s">
        <v>35</v>
      </c>
      <c r="V773" s="1" t="s">
        <v>36</v>
      </c>
    </row>
    <row r="774" spans="1:22" x14ac:dyDescent="0.3">
      <c r="A774" s="1" t="s">
        <v>3969</v>
      </c>
      <c r="B774" s="1" t="s">
        <v>3970</v>
      </c>
      <c r="C774" s="1">
        <v>67</v>
      </c>
      <c r="D774" s="1" t="s">
        <v>3971</v>
      </c>
      <c r="E774" s="1" t="s">
        <v>40</v>
      </c>
      <c r="F774" s="1" t="s">
        <v>220</v>
      </c>
      <c r="G774" s="1" t="s">
        <v>946</v>
      </c>
      <c r="H774" s="1">
        <v>1</v>
      </c>
      <c r="I774" s="1" t="s">
        <v>27</v>
      </c>
      <c r="J774" s="1" t="s">
        <v>3972</v>
      </c>
      <c r="K774" s="1" t="s">
        <v>3973</v>
      </c>
      <c r="L774" s="1">
        <v>4</v>
      </c>
      <c r="M774" s="1">
        <v>19</v>
      </c>
      <c r="N774" s="1" t="s">
        <v>45</v>
      </c>
      <c r="O774" s="1" t="s">
        <v>231</v>
      </c>
      <c r="P774" s="1" t="s">
        <v>30</v>
      </c>
      <c r="Q774" s="1" t="s">
        <v>69</v>
      </c>
      <c r="R774" s="1">
        <v>1877.52</v>
      </c>
      <c r="S774" s="1" t="s">
        <v>46</v>
      </c>
      <c r="T774" s="1" t="s">
        <v>232</v>
      </c>
      <c r="U774" s="1" t="s">
        <v>35</v>
      </c>
      <c r="V774" s="1" t="s">
        <v>36</v>
      </c>
    </row>
    <row r="775" spans="1:22" x14ac:dyDescent="0.3">
      <c r="A775" s="1" t="s">
        <v>3974</v>
      </c>
      <c r="B775" s="1" t="s">
        <v>3975</v>
      </c>
      <c r="C775" s="1">
        <v>30</v>
      </c>
      <c r="D775" s="1" t="s">
        <v>3976</v>
      </c>
      <c r="E775" s="1" t="s">
        <v>95</v>
      </c>
      <c r="F775" s="1" t="s">
        <v>3977</v>
      </c>
      <c r="G775" s="1" t="s">
        <v>912</v>
      </c>
      <c r="H775" s="1">
        <v>2</v>
      </c>
      <c r="I775" s="1" t="s">
        <v>27</v>
      </c>
      <c r="J775" s="1" t="s">
        <v>2858</v>
      </c>
      <c r="K775" s="1" t="s">
        <v>3978</v>
      </c>
      <c r="L775" s="1">
        <v>1</v>
      </c>
      <c r="M775" s="1">
        <v>11</v>
      </c>
      <c r="N775" s="1" t="s">
        <v>68</v>
      </c>
      <c r="O775" s="1" t="s">
        <v>425</v>
      </c>
      <c r="P775" s="1" t="s">
        <v>30</v>
      </c>
      <c r="Q775" s="1" t="s">
        <v>32</v>
      </c>
      <c r="R775" s="1">
        <v>1603.98</v>
      </c>
      <c r="S775" s="1" t="s">
        <v>46</v>
      </c>
      <c r="T775" s="1" t="s">
        <v>57</v>
      </c>
      <c r="U775" s="1" t="s">
        <v>35</v>
      </c>
      <c r="V775" s="1" t="s">
        <v>36</v>
      </c>
    </row>
    <row r="776" spans="1:22" x14ac:dyDescent="0.3">
      <c r="A776" s="1" t="s">
        <v>3979</v>
      </c>
      <c r="B776" s="1" t="s">
        <v>3980</v>
      </c>
      <c r="C776" s="1">
        <v>50</v>
      </c>
      <c r="D776" s="1" t="s">
        <v>3981</v>
      </c>
      <c r="E776" s="1" t="s">
        <v>40</v>
      </c>
      <c r="F776" s="1" t="s">
        <v>2538</v>
      </c>
      <c r="G776" s="2">
        <v>44414</v>
      </c>
      <c r="H776" s="1">
        <v>4</v>
      </c>
      <c r="I776" s="1" t="s">
        <v>27</v>
      </c>
      <c r="J776" s="2">
        <v>44968</v>
      </c>
      <c r="K776" s="1" t="s">
        <v>3982</v>
      </c>
      <c r="L776" s="1">
        <v>9</v>
      </c>
      <c r="M776" s="1">
        <v>35</v>
      </c>
      <c r="N776" s="1" t="s">
        <v>30</v>
      </c>
      <c r="O776" s="1" t="s">
        <v>597</v>
      </c>
      <c r="P776" s="1" t="s">
        <v>45</v>
      </c>
      <c r="Q776" s="1" t="s">
        <v>322</v>
      </c>
      <c r="R776" s="1">
        <v>852.39</v>
      </c>
      <c r="S776" s="1" t="s">
        <v>46</v>
      </c>
      <c r="T776" s="1" t="s">
        <v>47</v>
      </c>
      <c r="U776" s="1" t="s">
        <v>35</v>
      </c>
      <c r="V776" s="1" t="s">
        <v>188</v>
      </c>
    </row>
    <row r="777" spans="1:22" x14ac:dyDescent="0.3">
      <c r="A777" s="1" t="s">
        <v>3983</v>
      </c>
      <c r="B777" s="1" t="s">
        <v>3984</v>
      </c>
      <c r="C777" s="1">
        <v>47</v>
      </c>
      <c r="D777" s="1" t="s">
        <v>3985</v>
      </c>
      <c r="E777" s="1" t="s">
        <v>61</v>
      </c>
      <c r="F777" s="1" t="s">
        <v>3407</v>
      </c>
      <c r="G777" s="1" t="s">
        <v>2479</v>
      </c>
      <c r="H777" s="1">
        <v>2</v>
      </c>
      <c r="I777" s="1" t="s">
        <v>27</v>
      </c>
      <c r="J777" s="2">
        <v>45209</v>
      </c>
      <c r="K777" s="1" t="s">
        <v>3986</v>
      </c>
      <c r="L777" s="1">
        <v>3</v>
      </c>
      <c r="M777" s="1">
        <v>10</v>
      </c>
      <c r="N777" s="1" t="s">
        <v>54</v>
      </c>
      <c r="O777" s="1" t="s">
        <v>238</v>
      </c>
      <c r="P777" s="1" t="s">
        <v>45</v>
      </c>
      <c r="Q777" s="1" t="s">
        <v>69</v>
      </c>
      <c r="R777" s="1">
        <v>1069.92</v>
      </c>
      <c r="S777" s="1" t="s">
        <v>46</v>
      </c>
      <c r="T777" s="1" t="s">
        <v>34</v>
      </c>
      <c r="U777" s="1" t="s">
        <v>35</v>
      </c>
      <c r="V777" s="1" t="s">
        <v>36</v>
      </c>
    </row>
    <row r="778" spans="1:22" x14ac:dyDescent="0.3">
      <c r="A778" s="1" t="s">
        <v>3987</v>
      </c>
      <c r="B778" s="1" t="s">
        <v>3988</v>
      </c>
      <c r="C778" s="1">
        <v>46</v>
      </c>
      <c r="D778" s="1" t="s">
        <v>3989</v>
      </c>
      <c r="E778" s="1" t="s">
        <v>51</v>
      </c>
      <c r="F778" s="2">
        <v>44749</v>
      </c>
      <c r="G778" s="2">
        <v>45566</v>
      </c>
      <c r="H778" s="1">
        <v>2</v>
      </c>
      <c r="I778" s="1" t="s">
        <v>52</v>
      </c>
      <c r="J778" s="1" t="s">
        <v>1572</v>
      </c>
      <c r="K778" s="1" t="s">
        <v>3990</v>
      </c>
      <c r="L778" s="1">
        <v>1</v>
      </c>
      <c r="M778" s="1">
        <v>22</v>
      </c>
      <c r="N778" s="1" t="s">
        <v>68</v>
      </c>
      <c r="O778" s="1" t="s">
        <v>142</v>
      </c>
      <c r="P778" s="1" t="s">
        <v>68</v>
      </c>
      <c r="Q778" s="1" t="s">
        <v>32</v>
      </c>
      <c r="R778" s="1">
        <v>1866.7</v>
      </c>
      <c r="S778" s="1" t="s">
        <v>33</v>
      </c>
      <c r="T778" s="1" t="s">
        <v>34</v>
      </c>
      <c r="U778" s="1" t="s">
        <v>35</v>
      </c>
      <c r="V778" s="1" t="s">
        <v>36</v>
      </c>
    </row>
    <row r="779" spans="1:22" x14ac:dyDescent="0.3">
      <c r="A779" s="1" t="s">
        <v>3991</v>
      </c>
      <c r="B779" s="1" t="s">
        <v>3992</v>
      </c>
      <c r="C779" s="1">
        <v>34</v>
      </c>
      <c r="D779" s="1" t="s">
        <v>3993</v>
      </c>
      <c r="E779" s="1" t="s">
        <v>40</v>
      </c>
      <c r="F779" s="1" t="s">
        <v>2790</v>
      </c>
      <c r="G779" s="1" t="s">
        <v>3994</v>
      </c>
      <c r="H779" s="1">
        <v>0</v>
      </c>
      <c r="I779" s="1" t="s">
        <v>27</v>
      </c>
      <c r="J779" s="1" t="s">
        <v>291</v>
      </c>
      <c r="K779" s="1" t="s">
        <v>3995</v>
      </c>
      <c r="L779" s="1">
        <v>9</v>
      </c>
      <c r="M779" s="1">
        <v>14</v>
      </c>
      <c r="N779" s="1" t="s">
        <v>56</v>
      </c>
      <c r="O779" s="1" t="s">
        <v>610</v>
      </c>
      <c r="P779" s="1" t="s">
        <v>68</v>
      </c>
      <c r="Q779" s="1" t="s">
        <v>32</v>
      </c>
      <c r="R779" s="1">
        <v>1473.3</v>
      </c>
      <c r="S779" s="1" t="s">
        <v>46</v>
      </c>
      <c r="T779" s="1" t="s">
        <v>57</v>
      </c>
      <c r="U779" s="1" t="s">
        <v>35</v>
      </c>
      <c r="V779" s="1" t="s">
        <v>36</v>
      </c>
    </row>
    <row r="780" spans="1:22" x14ac:dyDescent="0.3">
      <c r="A780" s="1" t="s">
        <v>3996</v>
      </c>
      <c r="B780" s="1" t="s">
        <v>3997</v>
      </c>
      <c r="C780" s="1">
        <v>45</v>
      </c>
      <c r="D780" s="1" t="s">
        <v>3998</v>
      </c>
      <c r="E780" s="1" t="s">
        <v>51</v>
      </c>
      <c r="F780" s="2">
        <v>44146</v>
      </c>
      <c r="G780" s="1" t="s">
        <v>2098</v>
      </c>
      <c r="H780" s="1">
        <v>4</v>
      </c>
      <c r="I780" s="1" t="s">
        <v>52</v>
      </c>
      <c r="J780" s="1" t="s">
        <v>2848</v>
      </c>
      <c r="K780" s="1" t="s">
        <v>3999</v>
      </c>
      <c r="L780" s="1">
        <v>4</v>
      </c>
      <c r="M780" s="1">
        <v>12</v>
      </c>
      <c r="N780" s="1" t="s">
        <v>30</v>
      </c>
      <c r="O780" s="1" t="s">
        <v>149</v>
      </c>
      <c r="P780" s="1" t="s">
        <v>30</v>
      </c>
      <c r="Q780" s="1" t="s">
        <v>32</v>
      </c>
      <c r="R780" s="1">
        <v>623.28</v>
      </c>
      <c r="S780" s="1" t="s">
        <v>33</v>
      </c>
      <c r="T780" s="1" t="s">
        <v>34</v>
      </c>
      <c r="U780" s="1" t="s">
        <v>35</v>
      </c>
      <c r="V780" s="1" t="s">
        <v>36</v>
      </c>
    </row>
    <row r="781" spans="1:22" x14ac:dyDescent="0.3">
      <c r="A781" s="1" t="s">
        <v>4000</v>
      </c>
      <c r="B781" s="1" t="s">
        <v>4001</v>
      </c>
      <c r="C781" s="1">
        <v>48</v>
      </c>
      <c r="D781" s="1" t="s">
        <v>4002</v>
      </c>
      <c r="E781" s="1" t="s">
        <v>95</v>
      </c>
      <c r="F781" s="1" t="s">
        <v>1534</v>
      </c>
      <c r="G781" s="1" t="s">
        <v>1950</v>
      </c>
      <c r="H781" s="1">
        <v>0</v>
      </c>
      <c r="I781" s="1" t="s">
        <v>64</v>
      </c>
      <c r="J781" s="1" t="s">
        <v>2843</v>
      </c>
      <c r="K781" s="1" t="s">
        <v>4003</v>
      </c>
      <c r="L781" s="1">
        <v>8</v>
      </c>
      <c r="M781" s="1">
        <v>4</v>
      </c>
      <c r="N781" s="1" t="s">
        <v>56</v>
      </c>
      <c r="O781" s="1" t="s">
        <v>44</v>
      </c>
      <c r="P781" s="1" t="s">
        <v>45</v>
      </c>
      <c r="Q781" s="1" t="s">
        <v>69</v>
      </c>
      <c r="R781" s="1">
        <v>848.8</v>
      </c>
      <c r="S781" s="1" t="s">
        <v>46</v>
      </c>
      <c r="T781" s="1" t="s">
        <v>34</v>
      </c>
      <c r="U781" s="1" t="s">
        <v>35</v>
      </c>
      <c r="V781" s="1" t="s">
        <v>71</v>
      </c>
    </row>
    <row r="782" spans="1:22" x14ac:dyDescent="0.3">
      <c r="A782" s="1" t="s">
        <v>4004</v>
      </c>
      <c r="B782" s="1" t="s">
        <v>4005</v>
      </c>
      <c r="C782" s="1">
        <v>22</v>
      </c>
      <c r="D782" s="1" t="s">
        <v>4006</v>
      </c>
      <c r="E782" s="1" t="s">
        <v>61</v>
      </c>
      <c r="F782" s="1" t="s">
        <v>1955</v>
      </c>
      <c r="G782" s="2">
        <v>45234</v>
      </c>
      <c r="H782" s="1">
        <v>4</v>
      </c>
      <c r="I782" s="1" t="s">
        <v>27</v>
      </c>
      <c r="J782" s="1" t="s">
        <v>1169</v>
      </c>
      <c r="K782" s="1" t="s">
        <v>4007</v>
      </c>
      <c r="L782" s="1">
        <v>1</v>
      </c>
      <c r="M782" s="1">
        <v>17</v>
      </c>
      <c r="N782" s="1" t="s">
        <v>54</v>
      </c>
      <c r="O782" s="1" t="s">
        <v>67</v>
      </c>
      <c r="P782" s="1" t="s">
        <v>68</v>
      </c>
      <c r="Q782" s="1" t="s">
        <v>32</v>
      </c>
      <c r="R782" s="1">
        <v>1612.53</v>
      </c>
      <c r="S782" s="1" t="s">
        <v>46</v>
      </c>
      <c r="T782" s="1" t="s">
        <v>100</v>
      </c>
      <c r="U782" s="1" t="s">
        <v>35</v>
      </c>
      <c r="V782" s="1" t="s">
        <v>188</v>
      </c>
    </row>
    <row r="783" spans="1:22" x14ac:dyDescent="0.3">
      <c r="A783" s="1" t="s">
        <v>4008</v>
      </c>
      <c r="B783" s="1" t="s">
        <v>4009</v>
      </c>
      <c r="C783" s="1">
        <v>25</v>
      </c>
      <c r="D783" s="1" t="s">
        <v>4010</v>
      </c>
      <c r="E783" s="1" t="s">
        <v>40</v>
      </c>
      <c r="F783" s="2">
        <v>44867</v>
      </c>
      <c r="G783" s="1" t="s">
        <v>1189</v>
      </c>
      <c r="H783" s="1">
        <v>1</v>
      </c>
      <c r="I783" s="1" t="s">
        <v>27</v>
      </c>
      <c r="J783" s="2">
        <v>44632</v>
      </c>
      <c r="K783" s="1" t="s">
        <v>4011</v>
      </c>
      <c r="L783" s="1">
        <v>9</v>
      </c>
      <c r="M783" s="1">
        <v>25</v>
      </c>
      <c r="N783" s="1" t="s">
        <v>54</v>
      </c>
      <c r="O783" s="1" t="s">
        <v>116</v>
      </c>
      <c r="P783" s="1" t="s">
        <v>54</v>
      </c>
      <c r="Q783" s="1" t="s">
        <v>32</v>
      </c>
      <c r="R783" s="1">
        <v>563.66999999999996</v>
      </c>
      <c r="S783" s="1" t="s">
        <v>33</v>
      </c>
      <c r="T783" s="1" t="s">
        <v>57</v>
      </c>
      <c r="U783" s="1" t="s">
        <v>35</v>
      </c>
      <c r="V783" s="1" t="s">
        <v>36</v>
      </c>
    </row>
    <row r="784" spans="1:22" x14ac:dyDescent="0.3">
      <c r="A784" s="1" t="s">
        <v>4012</v>
      </c>
      <c r="B784" s="1" t="s">
        <v>4013</v>
      </c>
      <c r="C784" s="1">
        <v>57</v>
      </c>
      <c r="D784" s="1" t="s">
        <v>4014</v>
      </c>
      <c r="E784" s="1" t="s">
        <v>61</v>
      </c>
      <c r="F784" s="2">
        <v>45084</v>
      </c>
      <c r="G784" s="1" t="s">
        <v>2455</v>
      </c>
      <c r="H784" s="1">
        <v>2</v>
      </c>
      <c r="I784" s="1" t="s">
        <v>27</v>
      </c>
      <c r="J784" s="1" t="s">
        <v>4015</v>
      </c>
      <c r="K784" s="1" t="s">
        <v>4016</v>
      </c>
      <c r="L784" s="1">
        <v>8</v>
      </c>
      <c r="M784" s="1">
        <v>27</v>
      </c>
      <c r="N784" s="1" t="s">
        <v>54</v>
      </c>
      <c r="O784" s="1" t="s">
        <v>245</v>
      </c>
      <c r="P784" s="1" t="s">
        <v>54</v>
      </c>
      <c r="Q784" s="1" t="s">
        <v>32</v>
      </c>
      <c r="R784" s="1">
        <v>957.36</v>
      </c>
      <c r="S784" s="1" t="s">
        <v>33</v>
      </c>
      <c r="T784" s="1" t="s">
        <v>47</v>
      </c>
      <c r="U784" s="1" t="s">
        <v>35</v>
      </c>
      <c r="V784" s="1" t="s">
        <v>36</v>
      </c>
    </row>
    <row r="785" spans="1:22" x14ac:dyDescent="0.3">
      <c r="A785" s="1" t="s">
        <v>4017</v>
      </c>
      <c r="B785" s="1" t="s">
        <v>4018</v>
      </c>
      <c r="C785" s="1">
        <v>47</v>
      </c>
      <c r="D785" s="1" t="s">
        <v>4019</v>
      </c>
      <c r="E785" s="1" t="s">
        <v>51</v>
      </c>
      <c r="F785" s="1" t="s">
        <v>2408</v>
      </c>
      <c r="G785" s="2">
        <v>44934</v>
      </c>
      <c r="H785" s="1">
        <v>1</v>
      </c>
      <c r="I785" s="1" t="s">
        <v>27</v>
      </c>
      <c r="J785" s="1" t="s">
        <v>912</v>
      </c>
      <c r="K785" s="1" t="s">
        <v>4020</v>
      </c>
      <c r="L785" s="1">
        <v>2</v>
      </c>
      <c r="M785" s="1">
        <v>45</v>
      </c>
      <c r="N785" s="1" t="s">
        <v>54</v>
      </c>
      <c r="O785" s="1" t="s">
        <v>122</v>
      </c>
      <c r="P785" s="1" t="s">
        <v>30</v>
      </c>
      <c r="Q785" s="1" t="s">
        <v>69</v>
      </c>
      <c r="R785" s="1">
        <v>1042.78</v>
      </c>
      <c r="S785" s="1" t="s">
        <v>46</v>
      </c>
      <c r="T785" s="1" t="s">
        <v>34</v>
      </c>
      <c r="U785" s="1" t="s">
        <v>35</v>
      </c>
      <c r="V785" s="1" t="s">
        <v>36</v>
      </c>
    </row>
    <row r="786" spans="1:22" x14ac:dyDescent="0.3">
      <c r="A786" s="1" t="s">
        <v>4021</v>
      </c>
      <c r="B786" s="1" t="s">
        <v>4022</v>
      </c>
      <c r="C786" s="1">
        <v>50</v>
      </c>
      <c r="D786" s="1" t="s">
        <v>4023</v>
      </c>
      <c r="E786" s="1" t="s">
        <v>95</v>
      </c>
      <c r="F786" s="2">
        <v>45172</v>
      </c>
      <c r="G786" s="2">
        <v>45333</v>
      </c>
      <c r="H786" s="1">
        <v>5</v>
      </c>
      <c r="I786" s="1" t="s">
        <v>64</v>
      </c>
      <c r="J786" s="2">
        <v>45263</v>
      </c>
      <c r="K786" s="1" t="s">
        <v>4024</v>
      </c>
      <c r="L786" s="1">
        <v>9</v>
      </c>
      <c r="M786" s="1">
        <v>8</v>
      </c>
      <c r="N786" s="1" t="s">
        <v>56</v>
      </c>
      <c r="O786" s="1" t="s">
        <v>536</v>
      </c>
      <c r="P786" s="1" t="s">
        <v>68</v>
      </c>
      <c r="Q786" s="1" t="s">
        <v>32</v>
      </c>
      <c r="R786" s="1">
        <v>1857.33</v>
      </c>
      <c r="S786" s="1" t="s">
        <v>46</v>
      </c>
      <c r="T786" s="1" t="s">
        <v>47</v>
      </c>
      <c r="U786" s="1" t="s">
        <v>35</v>
      </c>
      <c r="V786" s="1" t="s">
        <v>71</v>
      </c>
    </row>
    <row r="787" spans="1:22" x14ac:dyDescent="0.3">
      <c r="A787" s="1" t="s">
        <v>4025</v>
      </c>
      <c r="B787" s="1" t="s">
        <v>4026</v>
      </c>
      <c r="C787" s="1">
        <v>43</v>
      </c>
      <c r="D787" s="1" t="s">
        <v>4027</v>
      </c>
      <c r="E787" s="1" t="s">
        <v>61</v>
      </c>
      <c r="F787" s="2">
        <v>45234</v>
      </c>
      <c r="G787" s="1" t="s">
        <v>1074</v>
      </c>
      <c r="H787" s="1">
        <v>1</v>
      </c>
      <c r="I787" s="1" t="s">
        <v>27</v>
      </c>
      <c r="J787" s="1" t="s">
        <v>4028</v>
      </c>
      <c r="K787" s="1" t="s">
        <v>4029</v>
      </c>
      <c r="L787" s="1">
        <v>4</v>
      </c>
      <c r="M787" s="1">
        <v>17</v>
      </c>
      <c r="N787" s="1" t="s">
        <v>30</v>
      </c>
      <c r="O787" s="1" t="s">
        <v>109</v>
      </c>
      <c r="P787" s="1" t="s">
        <v>68</v>
      </c>
      <c r="Q787" s="1" t="s">
        <v>69</v>
      </c>
      <c r="R787" s="1">
        <v>1661.28</v>
      </c>
      <c r="S787" s="1" t="s">
        <v>46</v>
      </c>
      <c r="T787" s="1" t="s">
        <v>34</v>
      </c>
      <c r="U787" s="1" t="s">
        <v>35</v>
      </c>
      <c r="V787" s="1" t="s">
        <v>36</v>
      </c>
    </row>
    <row r="788" spans="1:22" x14ac:dyDescent="0.3">
      <c r="A788" s="1" t="s">
        <v>4030</v>
      </c>
      <c r="B788" s="1" t="s">
        <v>4031</v>
      </c>
      <c r="C788" s="1">
        <v>31</v>
      </c>
      <c r="D788" s="1" t="s">
        <v>4032</v>
      </c>
      <c r="E788" s="1" t="s">
        <v>88</v>
      </c>
      <c r="F788" s="1" t="s">
        <v>388</v>
      </c>
      <c r="G788" s="2">
        <v>45876</v>
      </c>
      <c r="H788" s="1">
        <v>5</v>
      </c>
      <c r="I788" s="1" t="s">
        <v>27</v>
      </c>
      <c r="J788" s="1" t="s">
        <v>4033</v>
      </c>
      <c r="K788" s="1" t="s">
        <v>4034</v>
      </c>
      <c r="L788" s="1">
        <v>2</v>
      </c>
      <c r="M788" s="1">
        <v>27</v>
      </c>
      <c r="N788" s="1" t="s">
        <v>56</v>
      </c>
      <c r="O788" s="1" t="s">
        <v>128</v>
      </c>
      <c r="P788" s="1" t="s">
        <v>54</v>
      </c>
      <c r="Q788" s="1" t="s">
        <v>69</v>
      </c>
      <c r="R788" s="1">
        <v>1183.48</v>
      </c>
      <c r="S788" s="1" t="s">
        <v>46</v>
      </c>
      <c r="T788" s="1" t="s">
        <v>57</v>
      </c>
      <c r="U788" s="1" t="s">
        <v>35</v>
      </c>
      <c r="V788" s="1" t="s">
        <v>188</v>
      </c>
    </row>
    <row r="789" spans="1:22" x14ac:dyDescent="0.3">
      <c r="A789" s="1" t="s">
        <v>4035</v>
      </c>
      <c r="B789" s="1" t="s">
        <v>4036</v>
      </c>
      <c r="C789" s="1">
        <v>47</v>
      </c>
      <c r="D789" s="1" t="s">
        <v>4037</v>
      </c>
      <c r="E789" s="1" t="s">
        <v>25</v>
      </c>
      <c r="F789" s="1" t="s">
        <v>1873</v>
      </c>
      <c r="G789" s="1" t="s">
        <v>1536</v>
      </c>
      <c r="H789" s="1">
        <v>3</v>
      </c>
      <c r="I789" s="1" t="s">
        <v>52</v>
      </c>
      <c r="J789" s="2">
        <v>45994</v>
      </c>
      <c r="K789" s="1" t="s">
        <v>4038</v>
      </c>
      <c r="L789" s="1">
        <v>8</v>
      </c>
      <c r="M789" s="1">
        <v>33</v>
      </c>
      <c r="N789" s="1" t="s">
        <v>45</v>
      </c>
      <c r="O789" s="1" t="s">
        <v>194</v>
      </c>
      <c r="P789" s="1" t="s">
        <v>56</v>
      </c>
      <c r="Q789" s="1" t="s">
        <v>32</v>
      </c>
      <c r="R789" s="1">
        <v>645.91999999999996</v>
      </c>
      <c r="S789" s="1" t="s">
        <v>46</v>
      </c>
      <c r="T789" s="1" t="s">
        <v>34</v>
      </c>
      <c r="U789" s="1" t="s">
        <v>35</v>
      </c>
      <c r="V789" s="1" t="s">
        <v>36</v>
      </c>
    </row>
    <row r="790" spans="1:22" x14ac:dyDescent="0.3">
      <c r="A790" s="1" t="s">
        <v>4039</v>
      </c>
      <c r="B790" s="1" t="s">
        <v>4040</v>
      </c>
      <c r="C790" s="1">
        <v>24</v>
      </c>
      <c r="D790" s="1" t="s">
        <v>4041</v>
      </c>
      <c r="E790" s="1" t="s">
        <v>25</v>
      </c>
      <c r="F790" s="1" t="s">
        <v>4042</v>
      </c>
      <c r="G790" s="1" t="s">
        <v>4043</v>
      </c>
      <c r="H790" s="1">
        <v>2</v>
      </c>
      <c r="I790" s="1" t="s">
        <v>27</v>
      </c>
      <c r="J790" s="1" t="s">
        <v>209</v>
      </c>
      <c r="K790" s="1" t="s">
        <v>4044</v>
      </c>
      <c r="L790" s="1">
        <v>6</v>
      </c>
      <c r="M790" s="1">
        <v>3</v>
      </c>
      <c r="N790" s="1" t="s">
        <v>30</v>
      </c>
      <c r="O790" s="1" t="s">
        <v>109</v>
      </c>
      <c r="P790" s="1" t="s">
        <v>68</v>
      </c>
      <c r="Q790" s="1" t="s">
        <v>32</v>
      </c>
      <c r="R790" s="1">
        <v>1839.36</v>
      </c>
      <c r="S790" s="1" t="s">
        <v>46</v>
      </c>
      <c r="T790" s="1" t="s">
        <v>100</v>
      </c>
      <c r="U790" s="1" t="s">
        <v>35</v>
      </c>
      <c r="V790" s="1" t="s">
        <v>36</v>
      </c>
    </row>
    <row r="791" spans="1:22" x14ac:dyDescent="0.3">
      <c r="A791" s="1" t="s">
        <v>4045</v>
      </c>
      <c r="B791" s="1" t="s">
        <v>4046</v>
      </c>
      <c r="C791" s="1">
        <v>21</v>
      </c>
      <c r="D791" s="1" t="s">
        <v>4047</v>
      </c>
      <c r="E791" s="1" t="s">
        <v>25</v>
      </c>
      <c r="F791" s="1" t="s">
        <v>457</v>
      </c>
      <c r="G791" s="2">
        <v>45811</v>
      </c>
      <c r="H791" s="1">
        <v>4</v>
      </c>
      <c r="I791" s="1" t="s">
        <v>52</v>
      </c>
      <c r="J791" s="1" t="s">
        <v>4048</v>
      </c>
      <c r="K791" s="1" t="s">
        <v>4049</v>
      </c>
      <c r="L791" s="1">
        <v>5</v>
      </c>
      <c r="M791" s="1">
        <v>34</v>
      </c>
      <c r="N791" s="1" t="s">
        <v>68</v>
      </c>
      <c r="O791" s="1" t="s">
        <v>373</v>
      </c>
      <c r="P791" s="1" t="s">
        <v>54</v>
      </c>
      <c r="Q791" s="1" t="s">
        <v>32</v>
      </c>
      <c r="R791" s="1">
        <v>1779.2</v>
      </c>
      <c r="S791" s="1" t="s">
        <v>46</v>
      </c>
      <c r="T791" s="1" t="s">
        <v>100</v>
      </c>
      <c r="U791" s="1" t="s">
        <v>35</v>
      </c>
      <c r="V791" s="1" t="s">
        <v>36</v>
      </c>
    </row>
    <row r="792" spans="1:22" x14ac:dyDescent="0.3">
      <c r="A792" s="1" t="s">
        <v>4050</v>
      </c>
      <c r="B792" s="1" t="s">
        <v>4051</v>
      </c>
      <c r="C792" s="1">
        <v>61</v>
      </c>
      <c r="D792" s="1" t="s">
        <v>4052</v>
      </c>
      <c r="E792" s="1" t="s">
        <v>51</v>
      </c>
      <c r="F792" s="2">
        <v>44235</v>
      </c>
      <c r="G792" s="1" t="s">
        <v>1420</v>
      </c>
      <c r="H792" s="1">
        <v>4</v>
      </c>
      <c r="I792" s="1" t="s">
        <v>64</v>
      </c>
      <c r="J792" s="2">
        <v>45359</v>
      </c>
      <c r="K792" s="1" t="s">
        <v>4053</v>
      </c>
      <c r="L792" s="1">
        <v>1</v>
      </c>
      <c r="M792" s="1">
        <v>38</v>
      </c>
      <c r="N792" s="1" t="s">
        <v>56</v>
      </c>
      <c r="O792" s="1" t="s">
        <v>44</v>
      </c>
      <c r="P792" s="1" t="s">
        <v>45</v>
      </c>
      <c r="Q792" s="1" t="s">
        <v>32</v>
      </c>
      <c r="R792" s="1">
        <v>1830.76</v>
      </c>
      <c r="S792" s="1" t="s">
        <v>46</v>
      </c>
      <c r="T792" s="1" t="s">
        <v>47</v>
      </c>
      <c r="U792" s="1" t="s">
        <v>35</v>
      </c>
      <c r="V792" s="1" t="s">
        <v>71</v>
      </c>
    </row>
    <row r="793" spans="1:22" x14ac:dyDescent="0.3">
      <c r="A793" s="1" t="s">
        <v>4054</v>
      </c>
      <c r="B793" s="1" t="s">
        <v>4055</v>
      </c>
      <c r="C793" s="1">
        <v>30</v>
      </c>
      <c r="D793" s="1" t="s">
        <v>4056</v>
      </c>
      <c r="E793" s="1" t="s">
        <v>51</v>
      </c>
      <c r="F793" s="1" t="s">
        <v>4057</v>
      </c>
      <c r="G793" s="2">
        <v>45242</v>
      </c>
      <c r="H793" s="1">
        <v>2</v>
      </c>
      <c r="I793" s="1" t="s">
        <v>27</v>
      </c>
      <c r="J793" s="1" t="s">
        <v>2858</v>
      </c>
      <c r="K793" s="1" t="s">
        <v>4058</v>
      </c>
      <c r="L793" s="1">
        <v>7</v>
      </c>
      <c r="M793" s="1">
        <v>5</v>
      </c>
      <c r="N793" s="1" t="s">
        <v>56</v>
      </c>
      <c r="O793" s="1" t="s">
        <v>67</v>
      </c>
      <c r="P793" s="1" t="s">
        <v>68</v>
      </c>
      <c r="Q793" s="1" t="s">
        <v>69</v>
      </c>
      <c r="R793" s="1">
        <v>1121.26</v>
      </c>
      <c r="S793" s="1" t="s">
        <v>46</v>
      </c>
      <c r="T793" s="1" t="s">
        <v>57</v>
      </c>
      <c r="U793" s="1" t="s">
        <v>35</v>
      </c>
      <c r="V793" s="1" t="s">
        <v>36</v>
      </c>
    </row>
    <row r="794" spans="1:22" x14ac:dyDescent="0.3">
      <c r="A794" s="1" t="s">
        <v>4059</v>
      </c>
      <c r="B794" s="1" t="s">
        <v>4060</v>
      </c>
      <c r="C794" s="1">
        <v>40</v>
      </c>
      <c r="D794" s="1" t="s">
        <v>4061</v>
      </c>
      <c r="E794" s="1" t="s">
        <v>61</v>
      </c>
      <c r="F794" s="1" t="s">
        <v>4062</v>
      </c>
      <c r="G794" s="1" t="s">
        <v>4063</v>
      </c>
      <c r="H794" s="1">
        <v>0</v>
      </c>
      <c r="I794" s="1" t="s">
        <v>27</v>
      </c>
      <c r="J794" s="2">
        <v>45149</v>
      </c>
      <c r="K794" s="1" t="s">
        <v>4064</v>
      </c>
      <c r="L794" s="1">
        <v>3</v>
      </c>
      <c r="M794" s="1">
        <v>24</v>
      </c>
      <c r="N794" s="1" t="s">
        <v>68</v>
      </c>
      <c r="O794" s="1" t="s">
        <v>157</v>
      </c>
      <c r="P794" s="1" t="s">
        <v>68</v>
      </c>
      <c r="Q794" s="1" t="s">
        <v>32</v>
      </c>
      <c r="R794" s="1">
        <v>1852.89</v>
      </c>
      <c r="S794" s="1" t="s">
        <v>33</v>
      </c>
      <c r="T794" s="1" t="s">
        <v>34</v>
      </c>
      <c r="U794" s="1" t="s">
        <v>35</v>
      </c>
      <c r="V794" s="1" t="s">
        <v>36</v>
      </c>
    </row>
    <row r="795" spans="1:22" x14ac:dyDescent="0.3">
      <c r="A795" s="1" t="s">
        <v>4065</v>
      </c>
      <c r="B795" s="1" t="s">
        <v>4066</v>
      </c>
      <c r="C795" s="1">
        <v>50</v>
      </c>
      <c r="D795" s="1" t="s">
        <v>4067</v>
      </c>
      <c r="E795" s="1" t="s">
        <v>61</v>
      </c>
      <c r="F795" s="1" t="s">
        <v>429</v>
      </c>
      <c r="G795" s="1" t="s">
        <v>2250</v>
      </c>
      <c r="H795" s="1">
        <v>2</v>
      </c>
      <c r="I795" s="1" t="s">
        <v>52</v>
      </c>
      <c r="J795" s="1" t="s">
        <v>4068</v>
      </c>
      <c r="K795" s="1" t="s">
        <v>4069</v>
      </c>
      <c r="L795" s="1">
        <v>3</v>
      </c>
      <c r="M795" s="1">
        <v>1</v>
      </c>
      <c r="N795" s="1" t="s">
        <v>54</v>
      </c>
      <c r="O795" s="1" t="s">
        <v>31</v>
      </c>
      <c r="P795" s="1" t="s">
        <v>30</v>
      </c>
      <c r="Q795" s="1" t="s">
        <v>32</v>
      </c>
      <c r="R795" s="1">
        <v>1606.56</v>
      </c>
      <c r="S795" s="1" t="s">
        <v>46</v>
      </c>
      <c r="T795" s="1" t="s">
        <v>47</v>
      </c>
      <c r="U795" s="1" t="s">
        <v>101</v>
      </c>
      <c r="V795" s="1" t="s">
        <v>36</v>
      </c>
    </row>
    <row r="796" spans="1:22" x14ac:dyDescent="0.3">
      <c r="A796" s="1" t="s">
        <v>4070</v>
      </c>
      <c r="B796" s="1" t="s">
        <v>4071</v>
      </c>
      <c r="C796" s="1">
        <v>67</v>
      </c>
      <c r="D796" s="1" t="s">
        <v>4072</v>
      </c>
      <c r="E796" s="1" t="s">
        <v>61</v>
      </c>
      <c r="F796" s="1" t="s">
        <v>4073</v>
      </c>
      <c r="G796" s="2">
        <v>45938</v>
      </c>
      <c r="H796" s="1">
        <v>2</v>
      </c>
      <c r="I796" s="1" t="s">
        <v>52</v>
      </c>
      <c r="J796" s="1" t="s">
        <v>4074</v>
      </c>
      <c r="K796" s="1" t="s">
        <v>4075</v>
      </c>
      <c r="L796" s="1">
        <v>5</v>
      </c>
      <c r="M796" s="1">
        <v>19</v>
      </c>
      <c r="N796" s="1" t="s">
        <v>45</v>
      </c>
      <c r="O796" s="1" t="s">
        <v>175</v>
      </c>
      <c r="P796" s="1" t="s">
        <v>56</v>
      </c>
      <c r="Q796" s="1" t="s">
        <v>69</v>
      </c>
      <c r="R796" s="1">
        <v>910.95</v>
      </c>
      <c r="S796" s="1" t="s">
        <v>46</v>
      </c>
      <c r="T796" s="1" t="s">
        <v>232</v>
      </c>
      <c r="U796" s="1" t="s">
        <v>35</v>
      </c>
      <c r="V796" s="1" t="s">
        <v>36</v>
      </c>
    </row>
    <row r="797" spans="1:22" x14ac:dyDescent="0.3">
      <c r="A797" s="1" t="s">
        <v>4076</v>
      </c>
      <c r="B797" s="1" t="s">
        <v>4077</v>
      </c>
      <c r="C797" s="1">
        <v>46</v>
      </c>
      <c r="D797" s="1" t="s">
        <v>4078</v>
      </c>
      <c r="E797" s="1" t="s">
        <v>95</v>
      </c>
      <c r="F797" s="2">
        <v>45019</v>
      </c>
      <c r="G797" s="2">
        <v>45356</v>
      </c>
      <c r="H797" s="1">
        <v>2</v>
      </c>
      <c r="I797" s="1" t="s">
        <v>27</v>
      </c>
      <c r="J797" s="1" t="s">
        <v>4079</v>
      </c>
      <c r="K797" s="1" t="s">
        <v>4080</v>
      </c>
      <c r="L797" s="1">
        <v>4</v>
      </c>
      <c r="M797" s="1">
        <v>41</v>
      </c>
      <c r="N797" s="1" t="s">
        <v>45</v>
      </c>
      <c r="O797" s="1" t="s">
        <v>44</v>
      </c>
      <c r="P797" s="1" t="s">
        <v>45</v>
      </c>
      <c r="Q797" s="1" t="s">
        <v>32</v>
      </c>
      <c r="R797" s="1">
        <v>372.08</v>
      </c>
      <c r="S797" s="1" t="s">
        <v>33</v>
      </c>
      <c r="T797" s="1" t="s">
        <v>34</v>
      </c>
      <c r="U797" s="1" t="s">
        <v>35</v>
      </c>
      <c r="V797" s="1" t="s">
        <v>36</v>
      </c>
    </row>
    <row r="798" spans="1:22" x14ac:dyDescent="0.3">
      <c r="A798" s="1" t="s">
        <v>4081</v>
      </c>
      <c r="B798" s="1" t="s">
        <v>4082</v>
      </c>
      <c r="C798" s="1">
        <v>20</v>
      </c>
      <c r="D798" s="1" t="s">
        <v>4083</v>
      </c>
      <c r="E798" s="1" t="s">
        <v>25</v>
      </c>
      <c r="F798" s="1" t="s">
        <v>2168</v>
      </c>
      <c r="G798" s="2">
        <v>45052</v>
      </c>
      <c r="H798" s="1">
        <v>1</v>
      </c>
      <c r="I798" s="1" t="s">
        <v>27</v>
      </c>
      <c r="J798" s="1" t="s">
        <v>745</v>
      </c>
      <c r="K798" s="1" t="s">
        <v>4084</v>
      </c>
      <c r="L798" s="1">
        <v>8</v>
      </c>
      <c r="M798" s="1">
        <v>39</v>
      </c>
      <c r="N798" s="1" t="s">
        <v>68</v>
      </c>
      <c r="O798" s="1" t="s">
        <v>604</v>
      </c>
      <c r="P798" s="1" t="s">
        <v>45</v>
      </c>
      <c r="Q798" s="1" t="s">
        <v>69</v>
      </c>
      <c r="R798" s="1">
        <v>1328</v>
      </c>
      <c r="S798" s="1" t="s">
        <v>46</v>
      </c>
      <c r="T798" s="1" t="s">
        <v>100</v>
      </c>
      <c r="U798" s="1" t="s">
        <v>35</v>
      </c>
      <c r="V798" s="1" t="s">
        <v>36</v>
      </c>
    </row>
    <row r="799" spans="1:22" x14ac:dyDescent="0.3">
      <c r="A799" s="1" t="s">
        <v>4085</v>
      </c>
      <c r="B799" s="1" t="s">
        <v>4086</v>
      </c>
      <c r="C799" s="1">
        <v>54</v>
      </c>
      <c r="D799" s="1" t="s">
        <v>4087</v>
      </c>
      <c r="E799" s="1" t="s">
        <v>61</v>
      </c>
      <c r="F799" s="1" t="s">
        <v>632</v>
      </c>
      <c r="G799" s="2">
        <v>44813</v>
      </c>
      <c r="H799" s="1">
        <v>0</v>
      </c>
      <c r="I799" s="1" t="s">
        <v>27</v>
      </c>
      <c r="J799" s="1" t="s">
        <v>4088</v>
      </c>
      <c r="K799" s="1" t="s">
        <v>4089</v>
      </c>
      <c r="L799" s="1">
        <v>6</v>
      </c>
      <c r="M799" s="1">
        <v>38</v>
      </c>
      <c r="N799" s="1" t="s">
        <v>30</v>
      </c>
      <c r="O799" s="1" t="s">
        <v>238</v>
      </c>
      <c r="P799" s="1" t="s">
        <v>45</v>
      </c>
      <c r="Q799" s="1" t="s">
        <v>32</v>
      </c>
      <c r="R799" s="1">
        <v>424.14</v>
      </c>
      <c r="S799" s="1" t="s">
        <v>46</v>
      </c>
      <c r="T799" s="1" t="s">
        <v>47</v>
      </c>
      <c r="U799" s="1" t="s">
        <v>35</v>
      </c>
      <c r="V799" s="1" t="s">
        <v>36</v>
      </c>
    </row>
    <row r="800" spans="1:22" x14ac:dyDescent="0.3">
      <c r="A800" s="1" t="s">
        <v>4090</v>
      </c>
      <c r="B800" s="1" t="s">
        <v>4091</v>
      </c>
      <c r="C800" s="1">
        <v>42</v>
      </c>
      <c r="D800" s="1" t="s">
        <v>4092</v>
      </c>
      <c r="E800" s="1" t="s">
        <v>95</v>
      </c>
      <c r="F800" s="2">
        <v>44410</v>
      </c>
      <c r="G800" s="1" t="s">
        <v>2368</v>
      </c>
      <c r="H800" s="1">
        <v>1</v>
      </c>
      <c r="I800" s="1" t="s">
        <v>52</v>
      </c>
      <c r="J800" s="1" t="s">
        <v>3069</v>
      </c>
      <c r="K800" s="1" t="s">
        <v>4093</v>
      </c>
      <c r="L800" s="1">
        <v>4</v>
      </c>
      <c r="M800" s="1">
        <v>38</v>
      </c>
      <c r="N800" s="1" t="s">
        <v>30</v>
      </c>
      <c r="O800" s="1" t="s">
        <v>425</v>
      </c>
      <c r="P800" s="1" t="s">
        <v>30</v>
      </c>
      <c r="Q800" s="1" t="s">
        <v>32</v>
      </c>
      <c r="R800" s="1">
        <v>1556.52</v>
      </c>
      <c r="S800" s="1" t="s">
        <v>33</v>
      </c>
      <c r="T800" s="1" t="s">
        <v>34</v>
      </c>
      <c r="U800" s="1" t="s">
        <v>35</v>
      </c>
      <c r="V800" s="1" t="s">
        <v>36</v>
      </c>
    </row>
    <row r="801" spans="1:22" x14ac:dyDescent="0.3">
      <c r="A801" s="1" t="s">
        <v>4094</v>
      </c>
      <c r="B801" s="1" t="s">
        <v>4095</v>
      </c>
      <c r="C801" s="1">
        <v>49</v>
      </c>
      <c r="D801" s="1" t="s">
        <v>4096</v>
      </c>
      <c r="E801" s="1" t="s">
        <v>88</v>
      </c>
      <c r="F801" s="1" t="s">
        <v>739</v>
      </c>
      <c r="G801" s="2">
        <v>45081</v>
      </c>
      <c r="H801" s="1">
        <v>3</v>
      </c>
      <c r="I801" s="1" t="s">
        <v>27</v>
      </c>
      <c r="J801" s="1" t="s">
        <v>2843</v>
      </c>
      <c r="K801" s="1" t="s">
        <v>4097</v>
      </c>
      <c r="L801" s="1">
        <v>1</v>
      </c>
      <c r="M801" s="1">
        <v>36</v>
      </c>
      <c r="N801" s="1" t="s">
        <v>45</v>
      </c>
      <c r="O801" s="1" t="s">
        <v>624</v>
      </c>
      <c r="P801" s="1" t="s">
        <v>30</v>
      </c>
      <c r="Q801" s="1" t="s">
        <v>69</v>
      </c>
      <c r="R801" s="1">
        <v>775.47</v>
      </c>
      <c r="S801" s="1" t="s">
        <v>46</v>
      </c>
      <c r="T801" s="1" t="s">
        <v>34</v>
      </c>
      <c r="U801" s="1" t="s">
        <v>35</v>
      </c>
      <c r="V801" s="1" t="s">
        <v>36</v>
      </c>
    </row>
    <row r="802" spans="1:22" x14ac:dyDescent="0.3">
      <c r="A802" s="1" t="s">
        <v>4098</v>
      </c>
      <c r="B802" s="1" t="s">
        <v>4099</v>
      </c>
      <c r="C802" s="1">
        <v>46</v>
      </c>
      <c r="D802" s="1" t="s">
        <v>4100</v>
      </c>
      <c r="E802" s="1" t="s">
        <v>95</v>
      </c>
      <c r="F802" s="1" t="s">
        <v>1454</v>
      </c>
      <c r="G802" s="2">
        <v>45540</v>
      </c>
      <c r="H802" s="1">
        <v>2</v>
      </c>
      <c r="I802" s="1" t="s">
        <v>27</v>
      </c>
      <c r="J802" s="1" t="s">
        <v>4101</v>
      </c>
      <c r="K802" s="1" t="s">
        <v>4102</v>
      </c>
      <c r="L802" s="1">
        <v>6</v>
      </c>
      <c r="M802" s="1">
        <v>30</v>
      </c>
      <c r="N802" s="1" t="s">
        <v>30</v>
      </c>
      <c r="O802" s="1" t="s">
        <v>199</v>
      </c>
      <c r="P802" s="1" t="s">
        <v>54</v>
      </c>
      <c r="Q802" s="1" t="s">
        <v>32</v>
      </c>
      <c r="R802" s="1">
        <v>1652.22</v>
      </c>
      <c r="S802" s="1" t="s">
        <v>46</v>
      </c>
      <c r="T802" s="1" t="s">
        <v>34</v>
      </c>
      <c r="U802" s="1" t="s">
        <v>35</v>
      </c>
      <c r="V802" s="1" t="s">
        <v>36</v>
      </c>
    </row>
    <row r="803" spans="1:22" x14ac:dyDescent="0.3">
      <c r="A803" s="1" t="s">
        <v>4103</v>
      </c>
      <c r="B803" s="1" t="s">
        <v>4104</v>
      </c>
      <c r="C803" s="1">
        <v>24</v>
      </c>
      <c r="D803" s="1" t="s">
        <v>4105</v>
      </c>
      <c r="E803" s="1" t="s">
        <v>95</v>
      </c>
      <c r="F803" s="1" t="s">
        <v>4106</v>
      </c>
      <c r="G803" s="1" t="s">
        <v>4107</v>
      </c>
      <c r="H803" s="1">
        <v>2</v>
      </c>
      <c r="I803" s="1" t="s">
        <v>27</v>
      </c>
      <c r="J803" s="1" t="s">
        <v>2049</v>
      </c>
      <c r="K803" s="1" t="s">
        <v>4108</v>
      </c>
      <c r="L803" s="1">
        <v>8</v>
      </c>
      <c r="M803" s="1">
        <v>45</v>
      </c>
      <c r="N803" s="1" t="s">
        <v>45</v>
      </c>
      <c r="O803" s="1" t="s">
        <v>269</v>
      </c>
      <c r="P803" s="1" t="s">
        <v>56</v>
      </c>
      <c r="Q803" s="1" t="s">
        <v>32</v>
      </c>
      <c r="R803" s="1">
        <v>562.88</v>
      </c>
      <c r="S803" s="1" t="s">
        <v>46</v>
      </c>
      <c r="T803" s="1" t="s">
        <v>100</v>
      </c>
      <c r="U803" s="1" t="s">
        <v>35</v>
      </c>
      <c r="V803" s="1" t="s">
        <v>36</v>
      </c>
    </row>
    <row r="804" spans="1:22" x14ac:dyDescent="0.3">
      <c r="A804" s="1" t="s">
        <v>4109</v>
      </c>
      <c r="B804" s="1" t="s">
        <v>4110</v>
      </c>
      <c r="C804" s="1">
        <v>19</v>
      </c>
      <c r="D804" s="1" t="s">
        <v>4111</v>
      </c>
      <c r="E804" s="1" t="s">
        <v>95</v>
      </c>
      <c r="F804" s="1" t="s">
        <v>4112</v>
      </c>
      <c r="G804" s="1" t="s">
        <v>89</v>
      </c>
      <c r="H804" s="1">
        <v>1</v>
      </c>
      <c r="I804" s="1" t="s">
        <v>27</v>
      </c>
      <c r="J804" s="1" t="s">
        <v>4113</v>
      </c>
      <c r="K804" s="1" t="s">
        <v>4114</v>
      </c>
      <c r="L804" s="1">
        <v>2</v>
      </c>
      <c r="M804" s="1">
        <v>38</v>
      </c>
      <c r="N804" s="1" t="s">
        <v>56</v>
      </c>
      <c r="O804" s="1" t="s">
        <v>109</v>
      </c>
      <c r="P804" s="1" t="s">
        <v>68</v>
      </c>
      <c r="Q804" s="1" t="s">
        <v>69</v>
      </c>
      <c r="R804" s="1">
        <v>1168.24</v>
      </c>
      <c r="S804" s="1" t="s">
        <v>46</v>
      </c>
      <c r="T804" s="1" t="s">
        <v>100</v>
      </c>
      <c r="U804" s="1" t="s">
        <v>35</v>
      </c>
      <c r="V804" s="1" t="s">
        <v>36</v>
      </c>
    </row>
    <row r="805" spans="1:22" x14ac:dyDescent="0.3">
      <c r="A805" s="1" t="s">
        <v>4115</v>
      </c>
      <c r="B805" s="1" t="s">
        <v>4116</v>
      </c>
      <c r="C805" s="1">
        <v>65</v>
      </c>
      <c r="D805" s="1" t="s">
        <v>4117</v>
      </c>
      <c r="E805" s="1" t="s">
        <v>25</v>
      </c>
      <c r="F805" s="2">
        <v>44259</v>
      </c>
      <c r="G805" s="2">
        <v>45634</v>
      </c>
      <c r="H805" s="1">
        <v>1</v>
      </c>
      <c r="I805" s="1" t="s">
        <v>52</v>
      </c>
      <c r="J805" s="1" t="s">
        <v>4118</v>
      </c>
      <c r="K805" s="1" t="s">
        <v>4119</v>
      </c>
      <c r="L805" s="1">
        <v>7</v>
      </c>
      <c r="M805" s="1">
        <v>25</v>
      </c>
      <c r="N805" s="1" t="s">
        <v>30</v>
      </c>
      <c r="O805" s="1" t="s">
        <v>610</v>
      </c>
      <c r="P805" s="1" t="s">
        <v>68</v>
      </c>
      <c r="Q805" s="1" t="s">
        <v>69</v>
      </c>
      <c r="R805" s="1">
        <v>1925.49</v>
      </c>
      <c r="S805" s="1" t="s">
        <v>46</v>
      </c>
      <c r="T805" s="1" t="s">
        <v>232</v>
      </c>
      <c r="U805" s="1" t="s">
        <v>35</v>
      </c>
      <c r="V805" s="1" t="s">
        <v>36</v>
      </c>
    </row>
    <row r="806" spans="1:22" x14ac:dyDescent="0.3">
      <c r="A806" s="1" t="s">
        <v>4120</v>
      </c>
      <c r="B806" s="1" t="s">
        <v>4121</v>
      </c>
      <c r="C806" s="1">
        <v>19</v>
      </c>
      <c r="D806" s="1" t="s">
        <v>4122</v>
      </c>
      <c r="E806" s="1" t="s">
        <v>40</v>
      </c>
      <c r="F806" s="1" t="s">
        <v>3501</v>
      </c>
      <c r="G806" s="1" t="s">
        <v>3685</v>
      </c>
      <c r="H806" s="1">
        <v>3</v>
      </c>
      <c r="I806" s="1" t="s">
        <v>27</v>
      </c>
      <c r="J806" s="2">
        <v>44599</v>
      </c>
      <c r="K806" s="1" t="s">
        <v>4123</v>
      </c>
      <c r="L806" s="1">
        <v>6</v>
      </c>
      <c r="M806" s="1">
        <v>18</v>
      </c>
      <c r="N806" s="1" t="s">
        <v>68</v>
      </c>
      <c r="O806" s="1" t="s">
        <v>293</v>
      </c>
      <c r="P806" s="1" t="s">
        <v>45</v>
      </c>
      <c r="Q806" s="1" t="s">
        <v>69</v>
      </c>
      <c r="R806" s="1">
        <v>1371.24</v>
      </c>
      <c r="S806" s="1" t="s">
        <v>46</v>
      </c>
      <c r="T806" s="1" t="s">
        <v>100</v>
      </c>
      <c r="U806" s="1" t="s">
        <v>35</v>
      </c>
      <c r="V806" s="1" t="s">
        <v>36</v>
      </c>
    </row>
    <row r="807" spans="1:22" x14ac:dyDescent="0.3">
      <c r="A807" s="1" t="s">
        <v>4124</v>
      </c>
      <c r="B807" s="1" t="s">
        <v>4125</v>
      </c>
      <c r="C807" s="1">
        <v>42</v>
      </c>
      <c r="D807" s="1" t="s">
        <v>4126</v>
      </c>
      <c r="E807" s="1" t="s">
        <v>88</v>
      </c>
      <c r="F807" s="2">
        <v>45261</v>
      </c>
      <c r="G807" s="1" t="s">
        <v>2162</v>
      </c>
      <c r="H807" s="1">
        <v>2</v>
      </c>
      <c r="I807" s="1" t="s">
        <v>52</v>
      </c>
      <c r="J807" s="2">
        <v>45361</v>
      </c>
      <c r="K807" s="1" t="s">
        <v>4127</v>
      </c>
      <c r="L807" s="1">
        <v>6</v>
      </c>
      <c r="M807" s="1">
        <v>3</v>
      </c>
      <c r="N807" s="1" t="s">
        <v>45</v>
      </c>
      <c r="O807" s="1" t="s">
        <v>597</v>
      </c>
      <c r="P807" s="1" t="s">
        <v>45</v>
      </c>
      <c r="Q807" s="1" t="s">
        <v>32</v>
      </c>
      <c r="R807" s="1">
        <v>1240.98</v>
      </c>
      <c r="S807" s="1" t="s">
        <v>33</v>
      </c>
      <c r="T807" s="1" t="s">
        <v>34</v>
      </c>
      <c r="U807" s="1" t="s">
        <v>35</v>
      </c>
      <c r="V807" s="1" t="s">
        <v>36</v>
      </c>
    </row>
    <row r="808" spans="1:22" x14ac:dyDescent="0.3">
      <c r="A808" s="1" t="s">
        <v>4128</v>
      </c>
      <c r="B808" s="1" t="s">
        <v>4129</v>
      </c>
      <c r="C808" s="1">
        <v>30</v>
      </c>
      <c r="D808" s="1" t="s">
        <v>4130</v>
      </c>
      <c r="E808" s="1" t="s">
        <v>51</v>
      </c>
      <c r="F808" s="1" t="s">
        <v>690</v>
      </c>
      <c r="G808" s="1" t="s">
        <v>1273</v>
      </c>
      <c r="H808" s="1">
        <v>1</v>
      </c>
      <c r="I808" s="1" t="s">
        <v>27</v>
      </c>
      <c r="J808" s="1" t="s">
        <v>377</v>
      </c>
      <c r="K808" s="1" t="s">
        <v>4131</v>
      </c>
      <c r="L808" s="1">
        <v>3</v>
      </c>
      <c r="M808" s="1">
        <v>8</v>
      </c>
      <c r="N808" s="1" t="s">
        <v>30</v>
      </c>
      <c r="O808" s="1" t="s">
        <v>821</v>
      </c>
      <c r="P808" s="1" t="s">
        <v>68</v>
      </c>
      <c r="Q808" s="1" t="s">
        <v>69</v>
      </c>
      <c r="R808" s="1">
        <v>492.75</v>
      </c>
      <c r="S808" s="1" t="s">
        <v>46</v>
      </c>
      <c r="T808" s="1" t="s">
        <v>57</v>
      </c>
      <c r="U808" s="1" t="s">
        <v>35</v>
      </c>
      <c r="V808" s="1" t="s">
        <v>36</v>
      </c>
    </row>
    <row r="809" spans="1:22" x14ac:dyDescent="0.3">
      <c r="A809" s="1" t="s">
        <v>4132</v>
      </c>
      <c r="B809" s="1" t="s">
        <v>4133</v>
      </c>
      <c r="C809" s="1">
        <v>54</v>
      </c>
      <c r="D809" s="1" t="s">
        <v>4134</v>
      </c>
      <c r="E809" s="1" t="s">
        <v>61</v>
      </c>
      <c r="F809" s="1" t="s">
        <v>1420</v>
      </c>
      <c r="G809" s="1" t="s">
        <v>1918</v>
      </c>
      <c r="H809" s="1">
        <v>5</v>
      </c>
      <c r="I809" s="1" t="s">
        <v>64</v>
      </c>
      <c r="J809" s="2">
        <v>45723</v>
      </c>
      <c r="K809" s="1" t="s">
        <v>4135</v>
      </c>
      <c r="L809" s="1">
        <v>9</v>
      </c>
      <c r="M809" s="1">
        <v>15</v>
      </c>
      <c r="N809" s="1" t="s">
        <v>30</v>
      </c>
      <c r="O809" s="1" t="s">
        <v>122</v>
      </c>
      <c r="P809" s="1" t="s">
        <v>30</v>
      </c>
      <c r="Q809" s="1" t="s">
        <v>32</v>
      </c>
      <c r="R809" s="1">
        <v>536.04</v>
      </c>
      <c r="S809" s="1" t="s">
        <v>33</v>
      </c>
      <c r="T809" s="1" t="s">
        <v>47</v>
      </c>
      <c r="U809" s="1" t="s">
        <v>35</v>
      </c>
      <c r="V809" s="1" t="s">
        <v>71</v>
      </c>
    </row>
    <row r="810" spans="1:22" x14ac:dyDescent="0.3">
      <c r="A810" s="1" t="s">
        <v>4136</v>
      </c>
      <c r="B810" s="1" t="s">
        <v>4137</v>
      </c>
      <c r="C810" s="1">
        <v>68</v>
      </c>
      <c r="D810" s="1" t="s">
        <v>4138</v>
      </c>
      <c r="E810" s="1" t="s">
        <v>88</v>
      </c>
      <c r="F810" s="1" t="s">
        <v>1982</v>
      </c>
      <c r="G810" s="1" t="s">
        <v>2397</v>
      </c>
      <c r="H810" s="1">
        <v>0</v>
      </c>
      <c r="I810" s="1" t="s">
        <v>27</v>
      </c>
      <c r="J810" s="2">
        <v>44509</v>
      </c>
      <c r="K810" s="1" t="s">
        <v>4139</v>
      </c>
      <c r="L810" s="1">
        <v>6</v>
      </c>
      <c r="M810" s="1">
        <v>37</v>
      </c>
      <c r="N810" s="1" t="s">
        <v>56</v>
      </c>
      <c r="O810" s="1" t="s">
        <v>31</v>
      </c>
      <c r="P810" s="1" t="s">
        <v>30</v>
      </c>
      <c r="Q810" s="1" t="s">
        <v>69</v>
      </c>
      <c r="R810" s="1">
        <v>1926.42</v>
      </c>
      <c r="S810" s="1" t="s">
        <v>46</v>
      </c>
      <c r="T810" s="1" t="s">
        <v>232</v>
      </c>
      <c r="U810" s="1" t="s">
        <v>35</v>
      </c>
      <c r="V810" s="1" t="s">
        <v>36</v>
      </c>
    </row>
    <row r="811" spans="1:22" x14ac:dyDescent="0.3">
      <c r="A811" s="1" t="s">
        <v>4140</v>
      </c>
      <c r="B811" s="1" t="s">
        <v>4141</v>
      </c>
      <c r="C811" s="1">
        <v>39</v>
      </c>
      <c r="D811" s="1" t="s">
        <v>4142</v>
      </c>
      <c r="E811" s="1" t="s">
        <v>61</v>
      </c>
      <c r="F811" s="2">
        <v>44415</v>
      </c>
      <c r="G811" s="1" t="s">
        <v>1622</v>
      </c>
      <c r="H811" s="1">
        <v>5</v>
      </c>
      <c r="I811" s="1" t="s">
        <v>52</v>
      </c>
      <c r="J811" s="2">
        <v>45206</v>
      </c>
      <c r="K811" s="1" t="s">
        <v>4143</v>
      </c>
      <c r="L811" s="1">
        <v>1</v>
      </c>
      <c r="M811" s="1">
        <v>38</v>
      </c>
      <c r="N811" s="1" t="s">
        <v>54</v>
      </c>
      <c r="O811" s="1" t="s">
        <v>199</v>
      </c>
      <c r="P811" s="1" t="s">
        <v>54</v>
      </c>
      <c r="Q811" s="1" t="s">
        <v>69</v>
      </c>
      <c r="R811" s="1">
        <v>1727.6</v>
      </c>
      <c r="S811" s="1" t="s">
        <v>33</v>
      </c>
      <c r="T811" s="1" t="s">
        <v>34</v>
      </c>
      <c r="U811" s="1" t="s">
        <v>35</v>
      </c>
      <c r="V811" s="1" t="s">
        <v>36</v>
      </c>
    </row>
    <row r="812" spans="1:22" x14ac:dyDescent="0.3">
      <c r="A812" s="1" t="s">
        <v>4144</v>
      </c>
      <c r="B812" s="1" t="s">
        <v>4145</v>
      </c>
      <c r="C812" s="1">
        <v>39</v>
      </c>
      <c r="D812" s="1" t="s">
        <v>4146</v>
      </c>
      <c r="E812" s="1" t="s">
        <v>95</v>
      </c>
      <c r="F812" s="1" t="s">
        <v>466</v>
      </c>
      <c r="G812" s="1" t="s">
        <v>2103</v>
      </c>
      <c r="H812" s="1">
        <v>5</v>
      </c>
      <c r="I812" s="1" t="s">
        <v>27</v>
      </c>
      <c r="J812" s="1" t="s">
        <v>4147</v>
      </c>
      <c r="K812" s="1" t="s">
        <v>4148</v>
      </c>
      <c r="L812" s="1">
        <v>1</v>
      </c>
      <c r="M812" s="1">
        <v>38</v>
      </c>
      <c r="N812" s="1" t="s">
        <v>56</v>
      </c>
      <c r="O812" s="1" t="s">
        <v>142</v>
      </c>
      <c r="P812" s="1" t="s">
        <v>68</v>
      </c>
      <c r="Q812" s="1" t="s">
        <v>69</v>
      </c>
      <c r="R812" s="1">
        <v>636.4</v>
      </c>
      <c r="S812" s="1" t="s">
        <v>46</v>
      </c>
      <c r="T812" s="1" t="s">
        <v>34</v>
      </c>
      <c r="U812" s="1" t="s">
        <v>35</v>
      </c>
      <c r="V812" s="1" t="s">
        <v>188</v>
      </c>
    </row>
    <row r="813" spans="1:22" x14ac:dyDescent="0.3">
      <c r="A813" s="1" t="s">
        <v>4149</v>
      </c>
      <c r="B813" s="1" t="s">
        <v>4150</v>
      </c>
      <c r="C813" s="1">
        <v>19</v>
      </c>
      <c r="D813" s="1" t="s">
        <v>4151</v>
      </c>
      <c r="E813" s="1" t="s">
        <v>40</v>
      </c>
      <c r="F813" s="1" t="s">
        <v>1447</v>
      </c>
      <c r="G813" s="2">
        <v>45020</v>
      </c>
      <c r="H813" s="1">
        <v>1</v>
      </c>
      <c r="I813" s="1" t="s">
        <v>27</v>
      </c>
      <c r="J813" s="1" t="s">
        <v>2072</v>
      </c>
      <c r="K813" s="1" t="s">
        <v>4152</v>
      </c>
      <c r="L813" s="1">
        <v>8</v>
      </c>
      <c r="M813" s="1">
        <v>29</v>
      </c>
      <c r="N813" s="1" t="s">
        <v>68</v>
      </c>
      <c r="O813" s="1" t="s">
        <v>269</v>
      </c>
      <c r="P813" s="1" t="s">
        <v>56</v>
      </c>
      <c r="Q813" s="1" t="s">
        <v>69</v>
      </c>
      <c r="R813" s="1">
        <v>25.76</v>
      </c>
      <c r="S813" s="1" t="s">
        <v>46</v>
      </c>
      <c r="T813" s="1" t="s">
        <v>100</v>
      </c>
      <c r="U813" s="1" t="s">
        <v>70</v>
      </c>
      <c r="V813" s="1" t="s">
        <v>36</v>
      </c>
    </row>
    <row r="814" spans="1:22" x14ac:dyDescent="0.3">
      <c r="A814" s="1" t="s">
        <v>4153</v>
      </c>
      <c r="B814" s="1" t="s">
        <v>4154</v>
      </c>
      <c r="C814" s="1">
        <v>31</v>
      </c>
      <c r="D814" s="1" t="s">
        <v>4155</v>
      </c>
      <c r="E814" s="1" t="s">
        <v>61</v>
      </c>
      <c r="F814" s="2">
        <v>44445</v>
      </c>
      <c r="G814" s="2">
        <v>44659</v>
      </c>
      <c r="H814" s="1">
        <v>3</v>
      </c>
      <c r="I814" s="1" t="s">
        <v>64</v>
      </c>
      <c r="J814" s="2">
        <v>44686</v>
      </c>
      <c r="K814" s="1" t="s">
        <v>4156</v>
      </c>
      <c r="L814" s="1">
        <v>3</v>
      </c>
      <c r="M814" s="1">
        <v>15</v>
      </c>
      <c r="N814" s="1" t="s">
        <v>30</v>
      </c>
      <c r="O814" s="1" t="s">
        <v>604</v>
      </c>
      <c r="P814" s="1" t="s">
        <v>45</v>
      </c>
      <c r="Q814" s="1" t="s">
        <v>69</v>
      </c>
      <c r="R814" s="1">
        <v>1237.5899999999999</v>
      </c>
      <c r="S814" s="1" t="s">
        <v>46</v>
      </c>
      <c r="T814" s="1" t="s">
        <v>57</v>
      </c>
      <c r="U814" s="1" t="s">
        <v>35</v>
      </c>
      <c r="V814" s="1" t="s">
        <v>71</v>
      </c>
    </row>
    <row r="815" spans="1:22" x14ac:dyDescent="0.3">
      <c r="A815" s="1" t="s">
        <v>4157</v>
      </c>
      <c r="B815" s="1" t="s">
        <v>4158</v>
      </c>
      <c r="C815" s="1">
        <v>36</v>
      </c>
      <c r="D815" s="1" t="s">
        <v>4159</v>
      </c>
      <c r="E815" s="1" t="s">
        <v>88</v>
      </c>
      <c r="F815" s="2">
        <v>45079</v>
      </c>
      <c r="G815" s="1" t="s">
        <v>1063</v>
      </c>
      <c r="H815" s="1">
        <v>0</v>
      </c>
      <c r="I815" s="1" t="s">
        <v>27</v>
      </c>
      <c r="J815" s="1" t="s">
        <v>2231</v>
      </c>
      <c r="K815" s="1" t="s">
        <v>4160</v>
      </c>
      <c r="L815" s="1">
        <v>6</v>
      </c>
      <c r="M815" s="1">
        <v>23</v>
      </c>
      <c r="N815" s="1" t="s">
        <v>45</v>
      </c>
      <c r="O815" s="1" t="s">
        <v>99</v>
      </c>
      <c r="P815" s="1" t="s">
        <v>56</v>
      </c>
      <c r="Q815" s="1" t="s">
        <v>32</v>
      </c>
      <c r="R815" s="1">
        <v>37.68</v>
      </c>
      <c r="S815" s="1" t="s">
        <v>46</v>
      </c>
      <c r="T815" s="1" t="s">
        <v>34</v>
      </c>
      <c r="U815" s="1" t="s">
        <v>101</v>
      </c>
      <c r="V815" s="1" t="s">
        <v>36</v>
      </c>
    </row>
    <row r="816" spans="1:22" x14ac:dyDescent="0.3">
      <c r="A816" s="1" t="s">
        <v>4161</v>
      </c>
      <c r="B816" s="1" t="s">
        <v>4162</v>
      </c>
      <c r="C816" s="1">
        <v>48</v>
      </c>
      <c r="D816" s="1" t="s">
        <v>4163</v>
      </c>
      <c r="E816" s="1" t="s">
        <v>40</v>
      </c>
      <c r="F816" s="1" t="s">
        <v>4164</v>
      </c>
      <c r="G816" s="2">
        <v>45237</v>
      </c>
      <c r="H816" s="1">
        <v>4</v>
      </c>
      <c r="I816" s="1" t="s">
        <v>27</v>
      </c>
      <c r="J816" s="1" t="s">
        <v>711</v>
      </c>
      <c r="K816" s="1" t="s">
        <v>4165</v>
      </c>
      <c r="L816" s="1">
        <v>4</v>
      </c>
      <c r="M816" s="1">
        <v>11</v>
      </c>
      <c r="N816" s="1" t="s">
        <v>30</v>
      </c>
      <c r="O816" s="1" t="s">
        <v>211</v>
      </c>
      <c r="P816" s="1" t="s">
        <v>68</v>
      </c>
      <c r="Q816" s="1" t="s">
        <v>32</v>
      </c>
      <c r="R816" s="1">
        <v>880.6</v>
      </c>
      <c r="S816" s="1" t="s">
        <v>46</v>
      </c>
      <c r="T816" s="1" t="s">
        <v>34</v>
      </c>
      <c r="U816" s="1" t="s">
        <v>35</v>
      </c>
      <c r="V816" s="1" t="s">
        <v>188</v>
      </c>
    </row>
    <row r="817" spans="1:22" x14ac:dyDescent="0.3">
      <c r="A817" s="1" t="s">
        <v>4166</v>
      </c>
      <c r="B817" s="1" t="s">
        <v>4167</v>
      </c>
      <c r="C817" s="1">
        <v>32</v>
      </c>
      <c r="D817" s="1" t="s">
        <v>4168</v>
      </c>
      <c r="E817" s="1" t="s">
        <v>61</v>
      </c>
      <c r="F817" s="1" t="s">
        <v>4169</v>
      </c>
      <c r="G817" s="1" t="s">
        <v>1179</v>
      </c>
      <c r="H817" s="1">
        <v>1</v>
      </c>
      <c r="I817" s="1" t="s">
        <v>27</v>
      </c>
      <c r="J817" s="1" t="s">
        <v>572</v>
      </c>
      <c r="K817" s="1" t="s">
        <v>4170</v>
      </c>
      <c r="L817" s="1">
        <v>3</v>
      </c>
      <c r="M817" s="1">
        <v>13</v>
      </c>
      <c r="N817" s="1" t="s">
        <v>68</v>
      </c>
      <c r="O817" s="1" t="s">
        <v>269</v>
      </c>
      <c r="P817" s="1" t="s">
        <v>56</v>
      </c>
      <c r="Q817" s="1" t="s">
        <v>69</v>
      </c>
      <c r="R817" s="1">
        <v>1159.83</v>
      </c>
      <c r="S817" s="1" t="s">
        <v>46</v>
      </c>
      <c r="T817" s="1" t="s">
        <v>57</v>
      </c>
      <c r="U817" s="1" t="s">
        <v>35</v>
      </c>
      <c r="V817" s="1" t="s">
        <v>36</v>
      </c>
    </row>
    <row r="818" spans="1:22" x14ac:dyDescent="0.3">
      <c r="A818" s="1" t="s">
        <v>4171</v>
      </c>
      <c r="B818" s="1" t="s">
        <v>4172</v>
      </c>
      <c r="C818" s="1">
        <v>66</v>
      </c>
      <c r="D818" s="1" t="s">
        <v>4173</v>
      </c>
      <c r="E818" s="1" t="s">
        <v>95</v>
      </c>
      <c r="F818" s="2">
        <v>44663</v>
      </c>
      <c r="G818" s="1" t="s">
        <v>3088</v>
      </c>
      <c r="H818" s="1">
        <v>1</v>
      </c>
      <c r="I818" s="1" t="s">
        <v>27</v>
      </c>
      <c r="J818" s="2">
        <v>45901</v>
      </c>
      <c r="K818" s="1" t="s">
        <v>4174</v>
      </c>
      <c r="L818" s="1">
        <v>8</v>
      </c>
      <c r="M818" s="1">
        <v>33</v>
      </c>
      <c r="N818" s="1" t="s">
        <v>56</v>
      </c>
      <c r="O818" s="1" t="s">
        <v>99</v>
      </c>
      <c r="P818" s="1" t="s">
        <v>56</v>
      </c>
      <c r="Q818" s="1" t="s">
        <v>69</v>
      </c>
      <c r="R818" s="1">
        <v>1066.96</v>
      </c>
      <c r="S818" s="1" t="s">
        <v>33</v>
      </c>
      <c r="T818" s="1" t="s">
        <v>232</v>
      </c>
      <c r="U818" s="1" t="s">
        <v>35</v>
      </c>
      <c r="V818" s="1" t="s">
        <v>36</v>
      </c>
    </row>
    <row r="819" spans="1:22" x14ac:dyDescent="0.3">
      <c r="A819" s="1" t="s">
        <v>4175</v>
      </c>
      <c r="B819" s="1" t="s">
        <v>4176</v>
      </c>
      <c r="C819" s="1">
        <v>46</v>
      </c>
      <c r="D819" s="1" t="s">
        <v>4177</v>
      </c>
      <c r="E819" s="1" t="s">
        <v>88</v>
      </c>
      <c r="F819" s="2">
        <v>44871</v>
      </c>
      <c r="G819" s="1" t="s">
        <v>3112</v>
      </c>
      <c r="H819" s="1">
        <v>4</v>
      </c>
      <c r="I819" s="1" t="s">
        <v>64</v>
      </c>
      <c r="J819" s="2">
        <v>44962</v>
      </c>
      <c r="K819" s="1" t="s">
        <v>4178</v>
      </c>
      <c r="L819" s="1">
        <v>8</v>
      </c>
      <c r="M819" s="1">
        <v>27</v>
      </c>
      <c r="N819" s="1" t="s">
        <v>68</v>
      </c>
      <c r="O819" s="1" t="s">
        <v>77</v>
      </c>
      <c r="P819" s="1" t="s">
        <v>54</v>
      </c>
      <c r="Q819" s="1" t="s">
        <v>32</v>
      </c>
      <c r="R819" s="1">
        <v>1277.28</v>
      </c>
      <c r="S819" s="1" t="s">
        <v>46</v>
      </c>
      <c r="T819" s="1" t="s">
        <v>34</v>
      </c>
      <c r="U819" s="1" t="s">
        <v>35</v>
      </c>
      <c r="V819" s="1" t="s">
        <v>71</v>
      </c>
    </row>
    <row r="820" spans="1:22" x14ac:dyDescent="0.3">
      <c r="A820" s="1" t="s">
        <v>4179</v>
      </c>
      <c r="B820" s="1" t="s">
        <v>4180</v>
      </c>
      <c r="C820" s="1">
        <v>47</v>
      </c>
      <c r="D820" s="1" t="s">
        <v>4181</v>
      </c>
      <c r="E820" s="1" t="s">
        <v>88</v>
      </c>
      <c r="F820" s="1" t="s">
        <v>3107</v>
      </c>
      <c r="G820" s="1" t="s">
        <v>1020</v>
      </c>
      <c r="H820" s="1">
        <v>1</v>
      </c>
      <c r="I820" s="1" t="s">
        <v>64</v>
      </c>
      <c r="J820" s="2">
        <v>45141</v>
      </c>
      <c r="K820" s="1" t="s">
        <v>4182</v>
      </c>
      <c r="L820" s="1">
        <v>2</v>
      </c>
      <c r="M820" s="1">
        <v>5</v>
      </c>
      <c r="N820" s="1" t="s">
        <v>56</v>
      </c>
      <c r="O820" s="1" t="s">
        <v>610</v>
      </c>
      <c r="P820" s="1" t="s">
        <v>68</v>
      </c>
      <c r="Q820" s="1" t="s">
        <v>69</v>
      </c>
      <c r="R820" s="1">
        <v>1555.26</v>
      </c>
      <c r="S820" s="1" t="s">
        <v>46</v>
      </c>
      <c r="T820" s="1" t="s">
        <v>34</v>
      </c>
      <c r="U820" s="1" t="s">
        <v>35</v>
      </c>
      <c r="V820" s="1" t="s">
        <v>71</v>
      </c>
    </row>
    <row r="821" spans="1:22" x14ac:dyDescent="0.3">
      <c r="A821" s="1" t="s">
        <v>4183</v>
      </c>
      <c r="B821" s="1" t="s">
        <v>4184</v>
      </c>
      <c r="C821" s="1">
        <v>65</v>
      </c>
      <c r="D821" s="1" t="s">
        <v>4185</v>
      </c>
      <c r="E821" s="1" t="s">
        <v>25</v>
      </c>
      <c r="F821" s="1" t="s">
        <v>797</v>
      </c>
      <c r="G821" s="1" t="s">
        <v>4186</v>
      </c>
      <c r="H821" s="1">
        <v>0</v>
      </c>
      <c r="I821" s="1" t="s">
        <v>27</v>
      </c>
      <c r="J821" s="1" t="s">
        <v>1696</v>
      </c>
      <c r="K821" s="1" t="s">
        <v>4187</v>
      </c>
      <c r="L821" s="1">
        <v>8</v>
      </c>
      <c r="M821" s="1">
        <v>49</v>
      </c>
      <c r="N821" s="1" t="s">
        <v>54</v>
      </c>
      <c r="O821" s="1" t="s">
        <v>231</v>
      </c>
      <c r="P821" s="1" t="s">
        <v>30</v>
      </c>
      <c r="Q821" s="1" t="s">
        <v>32</v>
      </c>
      <c r="R821" s="1">
        <v>1282.6400000000001</v>
      </c>
      <c r="S821" s="1" t="s">
        <v>46</v>
      </c>
      <c r="T821" s="1" t="s">
        <v>232</v>
      </c>
      <c r="U821" s="1" t="s">
        <v>35</v>
      </c>
      <c r="V821" s="1" t="s">
        <v>36</v>
      </c>
    </row>
    <row r="822" spans="1:22" x14ac:dyDescent="0.3">
      <c r="A822" s="1" t="s">
        <v>4188</v>
      </c>
      <c r="B822" s="1" t="s">
        <v>4189</v>
      </c>
      <c r="C822" s="1">
        <v>36</v>
      </c>
      <c r="D822" s="1" t="s">
        <v>4190</v>
      </c>
      <c r="E822" s="1" t="s">
        <v>40</v>
      </c>
      <c r="F822" s="1" t="s">
        <v>2533</v>
      </c>
      <c r="G822" s="1" t="s">
        <v>1205</v>
      </c>
      <c r="H822" s="1">
        <v>3</v>
      </c>
      <c r="I822" s="1" t="s">
        <v>52</v>
      </c>
      <c r="J822" s="1" t="s">
        <v>4191</v>
      </c>
      <c r="K822" s="1" t="s">
        <v>4192</v>
      </c>
      <c r="L822" s="1">
        <v>6</v>
      </c>
      <c r="M822" s="1">
        <v>38</v>
      </c>
      <c r="N822" s="1" t="s">
        <v>54</v>
      </c>
      <c r="O822" s="1" t="s">
        <v>211</v>
      </c>
      <c r="P822" s="1" t="s">
        <v>68</v>
      </c>
      <c r="Q822" s="1" t="s">
        <v>32</v>
      </c>
      <c r="R822" s="1">
        <v>1690.92</v>
      </c>
      <c r="S822" s="1" t="s">
        <v>46</v>
      </c>
      <c r="T822" s="1" t="s">
        <v>34</v>
      </c>
      <c r="U822" s="1" t="s">
        <v>35</v>
      </c>
      <c r="V822" s="1" t="s">
        <v>36</v>
      </c>
    </row>
    <row r="823" spans="1:22" x14ac:dyDescent="0.3">
      <c r="A823" s="1" t="s">
        <v>4193</v>
      </c>
      <c r="B823" s="1" t="s">
        <v>4194</v>
      </c>
      <c r="C823" s="1">
        <v>54</v>
      </c>
      <c r="D823" s="1" t="s">
        <v>4195</v>
      </c>
      <c r="E823" s="1" t="s">
        <v>25</v>
      </c>
      <c r="F823" s="2">
        <v>44326</v>
      </c>
      <c r="G823" s="2">
        <v>45237</v>
      </c>
      <c r="H823" s="1">
        <v>2</v>
      </c>
      <c r="I823" s="1" t="s">
        <v>27</v>
      </c>
      <c r="J823" s="2">
        <v>44717</v>
      </c>
      <c r="K823" s="1" t="s">
        <v>4196</v>
      </c>
      <c r="L823" s="1">
        <v>5</v>
      </c>
      <c r="M823" s="1">
        <v>8</v>
      </c>
      <c r="N823" s="1" t="s">
        <v>30</v>
      </c>
      <c r="O823" s="1" t="s">
        <v>536</v>
      </c>
      <c r="P823" s="1" t="s">
        <v>68</v>
      </c>
      <c r="Q823" s="1" t="s">
        <v>69</v>
      </c>
      <c r="R823" s="1">
        <v>163.95</v>
      </c>
      <c r="S823" s="1" t="s">
        <v>46</v>
      </c>
      <c r="T823" s="1" t="s">
        <v>47</v>
      </c>
      <c r="U823" s="1" t="s">
        <v>101</v>
      </c>
      <c r="V823" s="1" t="s">
        <v>36</v>
      </c>
    </row>
    <row r="824" spans="1:22" x14ac:dyDescent="0.3">
      <c r="A824" s="1" t="s">
        <v>4197</v>
      </c>
      <c r="B824" s="1" t="s">
        <v>4198</v>
      </c>
      <c r="C824" s="1">
        <v>67</v>
      </c>
      <c r="D824" s="1" t="s">
        <v>4199</v>
      </c>
      <c r="E824" s="1" t="s">
        <v>40</v>
      </c>
      <c r="F824" s="1" t="s">
        <v>4200</v>
      </c>
      <c r="G824" s="2">
        <v>45239</v>
      </c>
      <c r="H824" s="1">
        <v>0</v>
      </c>
      <c r="I824" s="1" t="s">
        <v>27</v>
      </c>
      <c r="J824" s="2">
        <v>45575</v>
      </c>
      <c r="K824" s="1" t="s">
        <v>43</v>
      </c>
      <c r="L824" s="1">
        <v>9</v>
      </c>
      <c r="M824" s="1">
        <v>49</v>
      </c>
      <c r="N824" s="1" t="s">
        <v>68</v>
      </c>
      <c r="O824" s="1" t="s">
        <v>821</v>
      </c>
      <c r="P824" s="1" t="s">
        <v>68</v>
      </c>
      <c r="Q824" s="1" t="s">
        <v>69</v>
      </c>
      <c r="R824" s="1">
        <v>576.17999999999995</v>
      </c>
      <c r="S824" s="1" t="s">
        <v>33</v>
      </c>
      <c r="T824" s="1" t="s">
        <v>232</v>
      </c>
      <c r="U824" s="1" t="s">
        <v>35</v>
      </c>
      <c r="V824" s="1" t="s">
        <v>36</v>
      </c>
    </row>
    <row r="825" spans="1:22" x14ac:dyDescent="0.3">
      <c r="A825" s="1" t="s">
        <v>4201</v>
      </c>
      <c r="B825" s="1" t="s">
        <v>4202</v>
      </c>
      <c r="C825" s="1">
        <v>65</v>
      </c>
      <c r="D825" s="1" t="s">
        <v>4203</v>
      </c>
      <c r="E825" s="1" t="s">
        <v>25</v>
      </c>
      <c r="F825" s="2">
        <v>44297</v>
      </c>
      <c r="G825" s="1" t="s">
        <v>545</v>
      </c>
      <c r="H825" s="1">
        <v>5</v>
      </c>
      <c r="I825" s="1" t="s">
        <v>27</v>
      </c>
      <c r="J825" s="2">
        <v>44777</v>
      </c>
      <c r="K825" s="1" t="s">
        <v>4204</v>
      </c>
      <c r="L825" s="1">
        <v>6</v>
      </c>
      <c r="M825" s="1">
        <v>7</v>
      </c>
      <c r="N825" s="1" t="s">
        <v>56</v>
      </c>
      <c r="O825" s="1" t="s">
        <v>135</v>
      </c>
      <c r="P825" s="1" t="s">
        <v>45</v>
      </c>
      <c r="Q825" s="1" t="s">
        <v>32</v>
      </c>
      <c r="R825" s="1">
        <v>1315.5</v>
      </c>
      <c r="S825" s="1" t="s">
        <v>46</v>
      </c>
      <c r="T825" s="1" t="s">
        <v>232</v>
      </c>
      <c r="U825" s="1" t="s">
        <v>35</v>
      </c>
      <c r="V825" s="1" t="s">
        <v>188</v>
      </c>
    </row>
    <row r="826" spans="1:22" x14ac:dyDescent="0.3">
      <c r="A826" s="1" t="s">
        <v>4205</v>
      </c>
      <c r="B826" s="1" t="s">
        <v>4206</v>
      </c>
      <c r="C826" s="1">
        <v>36</v>
      </c>
      <c r="D826" s="1" t="s">
        <v>4207</v>
      </c>
      <c r="E826" s="1" t="s">
        <v>88</v>
      </c>
      <c r="F826" s="2">
        <v>44630</v>
      </c>
      <c r="G826" s="1" t="s">
        <v>792</v>
      </c>
      <c r="H826" s="1">
        <v>3</v>
      </c>
      <c r="I826" s="1" t="s">
        <v>52</v>
      </c>
      <c r="J826" s="1" t="s">
        <v>519</v>
      </c>
      <c r="K826" s="1" t="s">
        <v>4208</v>
      </c>
      <c r="L826" s="1">
        <v>3</v>
      </c>
      <c r="M826" s="1">
        <v>12</v>
      </c>
      <c r="N826" s="1" t="s">
        <v>45</v>
      </c>
      <c r="O826" s="1" t="s">
        <v>128</v>
      </c>
      <c r="P826" s="1" t="s">
        <v>54</v>
      </c>
      <c r="Q826" s="1" t="s">
        <v>32</v>
      </c>
      <c r="R826" s="1">
        <v>722.91</v>
      </c>
      <c r="S826" s="1" t="s">
        <v>46</v>
      </c>
      <c r="T826" s="1" t="s">
        <v>34</v>
      </c>
      <c r="U826" s="1" t="s">
        <v>35</v>
      </c>
      <c r="V826" s="1" t="s">
        <v>36</v>
      </c>
    </row>
    <row r="827" spans="1:22" x14ac:dyDescent="0.3">
      <c r="A827" s="1" t="s">
        <v>4209</v>
      </c>
      <c r="B827" s="1" t="s">
        <v>4210</v>
      </c>
      <c r="C827" s="1">
        <v>59</v>
      </c>
      <c r="D827" s="1" t="s">
        <v>4211</v>
      </c>
      <c r="E827" s="1" t="s">
        <v>88</v>
      </c>
      <c r="F827" s="1" t="s">
        <v>4212</v>
      </c>
      <c r="G827" s="2">
        <v>45203</v>
      </c>
      <c r="H827" s="1">
        <v>0</v>
      </c>
      <c r="I827" s="1" t="s">
        <v>52</v>
      </c>
      <c r="J827" s="2">
        <v>45451</v>
      </c>
      <c r="K827" s="1" t="s">
        <v>4213</v>
      </c>
      <c r="L827" s="1">
        <v>8</v>
      </c>
      <c r="M827" s="1">
        <v>33</v>
      </c>
      <c r="N827" s="1" t="s">
        <v>30</v>
      </c>
      <c r="O827" s="1" t="s">
        <v>211</v>
      </c>
      <c r="P827" s="1" t="s">
        <v>68</v>
      </c>
      <c r="Q827" s="1" t="s">
        <v>322</v>
      </c>
      <c r="R827" s="1">
        <v>877.2</v>
      </c>
      <c r="S827" s="1" t="s">
        <v>46</v>
      </c>
      <c r="T827" s="1" t="s">
        <v>47</v>
      </c>
      <c r="U827" s="1" t="s">
        <v>35</v>
      </c>
      <c r="V827" s="1" t="s">
        <v>36</v>
      </c>
    </row>
    <row r="828" spans="1:22" x14ac:dyDescent="0.3">
      <c r="A828" s="1" t="s">
        <v>4214</v>
      </c>
      <c r="B828" s="1" t="s">
        <v>4215</v>
      </c>
      <c r="C828" s="1">
        <v>63</v>
      </c>
      <c r="D828" s="1" t="s">
        <v>4216</v>
      </c>
      <c r="E828" s="1" t="s">
        <v>95</v>
      </c>
      <c r="F828" s="2">
        <v>44689</v>
      </c>
      <c r="G828" s="2">
        <v>45231</v>
      </c>
      <c r="H828" s="1">
        <v>5</v>
      </c>
      <c r="I828" s="1" t="s">
        <v>64</v>
      </c>
      <c r="J828" s="2">
        <v>45993</v>
      </c>
      <c r="K828" s="1" t="s">
        <v>4217</v>
      </c>
      <c r="L828" s="1">
        <v>4</v>
      </c>
      <c r="M828" s="1">
        <v>33</v>
      </c>
      <c r="N828" s="1" t="s">
        <v>54</v>
      </c>
      <c r="O828" s="1" t="s">
        <v>91</v>
      </c>
      <c r="P828" s="1" t="s">
        <v>54</v>
      </c>
      <c r="Q828" s="1" t="s">
        <v>32</v>
      </c>
      <c r="R828" s="1">
        <v>589.91999999999996</v>
      </c>
      <c r="S828" s="1" t="s">
        <v>33</v>
      </c>
      <c r="T828" s="1" t="s">
        <v>47</v>
      </c>
      <c r="U828" s="1" t="s">
        <v>35</v>
      </c>
      <c r="V828" s="1" t="s">
        <v>71</v>
      </c>
    </row>
    <row r="829" spans="1:22" x14ac:dyDescent="0.3">
      <c r="A829" s="1" t="s">
        <v>4218</v>
      </c>
      <c r="B829" s="1" t="s">
        <v>4219</v>
      </c>
      <c r="C829" s="1">
        <v>29</v>
      </c>
      <c r="D829" s="1" t="s">
        <v>4220</v>
      </c>
      <c r="E829" s="1" t="s">
        <v>88</v>
      </c>
      <c r="F829" s="1" t="s">
        <v>4221</v>
      </c>
      <c r="G829" s="1" t="s">
        <v>790</v>
      </c>
      <c r="H829" s="1">
        <v>0</v>
      </c>
      <c r="I829" s="1" t="s">
        <v>52</v>
      </c>
      <c r="J829" s="1" t="s">
        <v>4222</v>
      </c>
      <c r="K829" s="1" t="s">
        <v>4223</v>
      </c>
      <c r="L829" s="1">
        <v>4</v>
      </c>
      <c r="M829" s="1">
        <v>22</v>
      </c>
      <c r="N829" s="1" t="s">
        <v>30</v>
      </c>
      <c r="O829" s="1" t="s">
        <v>821</v>
      </c>
      <c r="P829" s="1" t="s">
        <v>68</v>
      </c>
      <c r="Q829" s="1" t="s">
        <v>32</v>
      </c>
      <c r="R829" s="1">
        <v>1143.24</v>
      </c>
      <c r="S829" s="1" t="s">
        <v>46</v>
      </c>
      <c r="T829" s="1" t="s">
        <v>57</v>
      </c>
      <c r="U829" s="1" t="s">
        <v>35</v>
      </c>
      <c r="V829" s="1" t="s">
        <v>36</v>
      </c>
    </row>
    <row r="830" spans="1:22" x14ac:dyDescent="0.3">
      <c r="A830" s="1" t="s">
        <v>4224</v>
      </c>
      <c r="B830" s="1" t="s">
        <v>4225</v>
      </c>
      <c r="C830" s="1">
        <v>46</v>
      </c>
      <c r="D830" s="1" t="s">
        <v>4226</v>
      </c>
      <c r="E830" s="1" t="s">
        <v>95</v>
      </c>
      <c r="F830" s="2">
        <v>44416</v>
      </c>
      <c r="G830" s="1" t="s">
        <v>3699</v>
      </c>
      <c r="H830" s="1">
        <v>4</v>
      </c>
      <c r="I830" s="1" t="s">
        <v>64</v>
      </c>
      <c r="J830" s="2">
        <v>45780</v>
      </c>
      <c r="K830" s="1" t="s">
        <v>4227</v>
      </c>
      <c r="L830" s="1">
        <v>2</v>
      </c>
      <c r="M830" s="1">
        <v>4</v>
      </c>
      <c r="N830" s="1" t="s">
        <v>54</v>
      </c>
      <c r="O830" s="1" t="s">
        <v>269</v>
      </c>
      <c r="P830" s="1" t="s">
        <v>56</v>
      </c>
      <c r="Q830" s="1" t="s">
        <v>69</v>
      </c>
      <c r="R830" s="1">
        <v>494.88</v>
      </c>
      <c r="S830" s="1" t="s">
        <v>46</v>
      </c>
      <c r="T830" s="1" t="s">
        <v>34</v>
      </c>
      <c r="U830" s="1" t="s">
        <v>101</v>
      </c>
      <c r="V830" s="1" t="s">
        <v>71</v>
      </c>
    </row>
    <row r="831" spans="1:22" x14ac:dyDescent="0.3">
      <c r="A831" s="1" t="s">
        <v>4228</v>
      </c>
      <c r="B831" s="1" t="s">
        <v>4229</v>
      </c>
      <c r="C831" s="1">
        <v>61</v>
      </c>
      <c r="D831" s="1" t="s">
        <v>4230</v>
      </c>
      <c r="E831" s="1" t="s">
        <v>51</v>
      </c>
      <c r="F831" s="2">
        <v>43932</v>
      </c>
      <c r="G831" s="1" t="s">
        <v>1535</v>
      </c>
      <c r="H831" s="1">
        <v>4</v>
      </c>
      <c r="I831" s="1" t="s">
        <v>27</v>
      </c>
      <c r="J831" s="1" t="s">
        <v>918</v>
      </c>
      <c r="K831" s="1" t="s">
        <v>4231</v>
      </c>
      <c r="L831" s="1">
        <v>5</v>
      </c>
      <c r="M831" s="1">
        <v>24</v>
      </c>
      <c r="N831" s="1" t="s">
        <v>30</v>
      </c>
      <c r="O831" s="1" t="s">
        <v>122</v>
      </c>
      <c r="P831" s="1" t="s">
        <v>30</v>
      </c>
      <c r="Q831" s="1" t="s">
        <v>69</v>
      </c>
      <c r="R831" s="1">
        <v>1963.4</v>
      </c>
      <c r="S831" s="1" t="s">
        <v>33</v>
      </c>
      <c r="T831" s="1" t="s">
        <v>47</v>
      </c>
      <c r="U831" s="1" t="s">
        <v>35</v>
      </c>
      <c r="V831" s="1" t="s">
        <v>188</v>
      </c>
    </row>
    <row r="832" spans="1:22" x14ac:dyDescent="0.3">
      <c r="A832" s="1" t="s">
        <v>4232</v>
      </c>
      <c r="B832" s="1" t="s">
        <v>4233</v>
      </c>
      <c r="C832" s="1">
        <v>21</v>
      </c>
      <c r="D832" s="1" t="s">
        <v>4234</v>
      </c>
      <c r="E832" s="1" t="s">
        <v>40</v>
      </c>
      <c r="F832" s="2">
        <v>44451</v>
      </c>
      <c r="G832" s="1" t="s">
        <v>1221</v>
      </c>
      <c r="H832" s="1">
        <v>1</v>
      </c>
      <c r="I832" s="1" t="s">
        <v>64</v>
      </c>
      <c r="J832" s="2">
        <v>44898</v>
      </c>
      <c r="K832" s="1" t="s">
        <v>4235</v>
      </c>
      <c r="L832" s="1">
        <v>2</v>
      </c>
      <c r="M832" s="1">
        <v>47</v>
      </c>
      <c r="N832" s="1" t="s">
        <v>68</v>
      </c>
      <c r="O832" s="1" t="s">
        <v>77</v>
      </c>
      <c r="P832" s="1" t="s">
        <v>54</v>
      </c>
      <c r="Q832" s="1" t="s">
        <v>32</v>
      </c>
      <c r="R832" s="1">
        <v>1142.04</v>
      </c>
      <c r="S832" s="1" t="s">
        <v>46</v>
      </c>
      <c r="T832" s="1" t="s">
        <v>100</v>
      </c>
      <c r="U832" s="1" t="s">
        <v>35</v>
      </c>
      <c r="V832" s="1" t="s">
        <v>71</v>
      </c>
    </row>
    <row r="833" spans="1:22" x14ac:dyDescent="0.3">
      <c r="A833" s="1" t="s">
        <v>4236</v>
      </c>
      <c r="B833" s="1" t="s">
        <v>4237</v>
      </c>
      <c r="C833" s="1">
        <v>67</v>
      </c>
      <c r="D833" s="1" t="s">
        <v>4238</v>
      </c>
      <c r="E833" s="1" t="s">
        <v>88</v>
      </c>
      <c r="F833" s="1" t="s">
        <v>1594</v>
      </c>
      <c r="G833" s="1" t="s">
        <v>1617</v>
      </c>
      <c r="H833" s="1">
        <v>0</v>
      </c>
      <c r="I833" s="1" t="s">
        <v>27</v>
      </c>
      <c r="J833" s="2">
        <v>45323</v>
      </c>
      <c r="K833" s="1" t="s">
        <v>4239</v>
      </c>
      <c r="L833" s="1">
        <v>9</v>
      </c>
      <c r="M833" s="1">
        <v>1</v>
      </c>
      <c r="N833" s="1" t="s">
        <v>68</v>
      </c>
      <c r="O833" s="1" t="s">
        <v>67</v>
      </c>
      <c r="P833" s="1" t="s">
        <v>68</v>
      </c>
      <c r="Q833" s="1" t="s">
        <v>32</v>
      </c>
      <c r="R833" s="1">
        <v>1741.14</v>
      </c>
      <c r="S833" s="1" t="s">
        <v>33</v>
      </c>
      <c r="T833" s="1" t="s">
        <v>232</v>
      </c>
      <c r="U833" s="1" t="s">
        <v>101</v>
      </c>
      <c r="V833" s="1" t="s">
        <v>36</v>
      </c>
    </row>
    <row r="834" spans="1:22" x14ac:dyDescent="0.3">
      <c r="A834" s="1" t="s">
        <v>4240</v>
      </c>
      <c r="B834" s="1" t="s">
        <v>4241</v>
      </c>
      <c r="C834" s="1">
        <v>60</v>
      </c>
      <c r="D834" s="1" t="s">
        <v>4242</v>
      </c>
      <c r="E834" s="1" t="s">
        <v>25</v>
      </c>
      <c r="F834" s="1" t="s">
        <v>4243</v>
      </c>
      <c r="G834" s="2">
        <v>45903</v>
      </c>
      <c r="H834" s="1">
        <v>0</v>
      </c>
      <c r="I834" s="1" t="s">
        <v>52</v>
      </c>
      <c r="J834" s="1" t="s">
        <v>4244</v>
      </c>
      <c r="K834" s="1" t="s">
        <v>4245</v>
      </c>
      <c r="L834" s="1">
        <v>9</v>
      </c>
      <c r="M834" s="1">
        <v>10</v>
      </c>
      <c r="N834" s="1" t="s">
        <v>68</v>
      </c>
      <c r="O834" s="1" t="s">
        <v>597</v>
      </c>
      <c r="P834" s="1" t="s">
        <v>45</v>
      </c>
      <c r="Q834" s="1" t="s">
        <v>32</v>
      </c>
      <c r="R834" s="1">
        <v>1914.12</v>
      </c>
      <c r="S834" s="1" t="s">
        <v>46</v>
      </c>
      <c r="T834" s="1" t="s">
        <v>47</v>
      </c>
      <c r="U834" s="1" t="s">
        <v>35</v>
      </c>
      <c r="V834" s="1" t="s">
        <v>36</v>
      </c>
    </row>
    <row r="835" spans="1:22" x14ac:dyDescent="0.3">
      <c r="A835" s="1" t="s">
        <v>4246</v>
      </c>
      <c r="B835" s="1" t="s">
        <v>4247</v>
      </c>
      <c r="C835" s="1">
        <v>26</v>
      </c>
      <c r="D835" s="1" t="s">
        <v>4248</v>
      </c>
      <c r="E835" s="1" t="s">
        <v>61</v>
      </c>
      <c r="F835" s="1" t="s">
        <v>3493</v>
      </c>
      <c r="G835" s="1" t="s">
        <v>393</v>
      </c>
      <c r="H835" s="1">
        <v>5</v>
      </c>
      <c r="I835" s="1" t="s">
        <v>27</v>
      </c>
      <c r="J835" s="1" t="s">
        <v>756</v>
      </c>
      <c r="K835" s="1" t="s">
        <v>4249</v>
      </c>
      <c r="L835" s="1">
        <v>3</v>
      </c>
      <c r="M835" s="1">
        <v>26</v>
      </c>
      <c r="N835" s="1" t="s">
        <v>68</v>
      </c>
      <c r="O835" s="1" t="s">
        <v>55</v>
      </c>
      <c r="P835" s="1" t="s">
        <v>56</v>
      </c>
      <c r="Q835" s="1" t="s">
        <v>69</v>
      </c>
      <c r="R835" s="1">
        <v>1892.82</v>
      </c>
      <c r="S835" s="1" t="s">
        <v>46</v>
      </c>
      <c r="T835" s="1" t="s">
        <v>57</v>
      </c>
      <c r="U835" s="1" t="s">
        <v>35</v>
      </c>
      <c r="V835" s="1" t="s">
        <v>188</v>
      </c>
    </row>
    <row r="836" spans="1:22" x14ac:dyDescent="0.3">
      <c r="A836" s="1" t="s">
        <v>4250</v>
      </c>
      <c r="B836" s="1" t="s">
        <v>4251</v>
      </c>
      <c r="C836" s="1">
        <v>47</v>
      </c>
      <c r="D836" s="1" t="s">
        <v>4252</v>
      </c>
      <c r="E836" s="1" t="s">
        <v>51</v>
      </c>
      <c r="F836" s="2">
        <v>44022</v>
      </c>
      <c r="G836" s="1" t="s">
        <v>1934</v>
      </c>
      <c r="H836" s="1">
        <v>1</v>
      </c>
      <c r="I836" s="1" t="s">
        <v>64</v>
      </c>
      <c r="J836" s="1" t="s">
        <v>4253</v>
      </c>
      <c r="K836" s="1" t="s">
        <v>4254</v>
      </c>
      <c r="L836" s="1">
        <v>1</v>
      </c>
      <c r="M836" s="1">
        <v>18</v>
      </c>
      <c r="N836" s="1" t="s">
        <v>68</v>
      </c>
      <c r="O836" s="1" t="s">
        <v>122</v>
      </c>
      <c r="P836" s="1" t="s">
        <v>30</v>
      </c>
      <c r="Q836" s="1" t="s">
        <v>69</v>
      </c>
      <c r="R836" s="1">
        <v>1649.05</v>
      </c>
      <c r="S836" s="1" t="s">
        <v>46</v>
      </c>
      <c r="T836" s="1" t="s">
        <v>34</v>
      </c>
      <c r="U836" s="1" t="s">
        <v>35</v>
      </c>
      <c r="V836" s="1" t="s">
        <v>71</v>
      </c>
    </row>
    <row r="837" spans="1:22" x14ac:dyDescent="0.3">
      <c r="A837" s="1" t="s">
        <v>4255</v>
      </c>
      <c r="B837" s="1" t="s">
        <v>4256</v>
      </c>
      <c r="C837" s="1">
        <v>67</v>
      </c>
      <c r="D837" s="1" t="s">
        <v>4257</v>
      </c>
      <c r="E837" s="1" t="s">
        <v>95</v>
      </c>
      <c r="F837" s="1" t="s">
        <v>690</v>
      </c>
      <c r="G837" s="1" t="s">
        <v>1514</v>
      </c>
      <c r="H837" s="1">
        <v>5</v>
      </c>
      <c r="I837" s="1" t="s">
        <v>27</v>
      </c>
      <c r="J837" s="1" t="s">
        <v>133</v>
      </c>
      <c r="K837" s="1" t="s">
        <v>4258</v>
      </c>
      <c r="L837" s="1">
        <v>7</v>
      </c>
      <c r="M837" s="1">
        <v>4</v>
      </c>
      <c r="N837" s="1" t="s">
        <v>68</v>
      </c>
      <c r="O837" s="1" t="s">
        <v>135</v>
      </c>
      <c r="P837" s="1" t="s">
        <v>45</v>
      </c>
      <c r="Q837" s="1" t="s">
        <v>32</v>
      </c>
      <c r="R837" s="1">
        <v>1650.18</v>
      </c>
      <c r="S837" s="1" t="s">
        <v>46</v>
      </c>
      <c r="T837" s="1" t="s">
        <v>232</v>
      </c>
      <c r="U837" s="1" t="s">
        <v>35</v>
      </c>
      <c r="V837" s="1" t="s">
        <v>188</v>
      </c>
    </row>
    <row r="838" spans="1:22" x14ac:dyDescent="0.3">
      <c r="A838" s="1" t="s">
        <v>4259</v>
      </c>
      <c r="B838" s="1" t="s">
        <v>4260</v>
      </c>
      <c r="C838" s="1">
        <v>57</v>
      </c>
      <c r="D838" s="1" t="s">
        <v>4261</v>
      </c>
      <c r="E838" s="1" t="s">
        <v>61</v>
      </c>
      <c r="F838" s="1" t="s">
        <v>3278</v>
      </c>
      <c r="G838" s="1" t="s">
        <v>601</v>
      </c>
      <c r="H838" s="1">
        <v>0</v>
      </c>
      <c r="I838" s="1" t="s">
        <v>52</v>
      </c>
      <c r="J838" s="1" t="s">
        <v>773</v>
      </c>
      <c r="K838" s="1" t="s">
        <v>4262</v>
      </c>
      <c r="L838" s="1">
        <v>2</v>
      </c>
      <c r="M838" s="1">
        <v>36</v>
      </c>
      <c r="N838" s="1" t="s">
        <v>45</v>
      </c>
      <c r="O838" s="1" t="s">
        <v>624</v>
      </c>
      <c r="P838" s="1" t="s">
        <v>30</v>
      </c>
      <c r="Q838" s="1" t="s">
        <v>322</v>
      </c>
      <c r="R838" s="1">
        <v>560.12</v>
      </c>
      <c r="S838" s="1" t="s">
        <v>46</v>
      </c>
      <c r="T838" s="1" t="s">
        <v>47</v>
      </c>
      <c r="U838" s="1" t="s">
        <v>35</v>
      </c>
      <c r="V838" s="1" t="s">
        <v>36</v>
      </c>
    </row>
    <row r="839" spans="1:22" x14ac:dyDescent="0.3">
      <c r="A839" s="1" t="s">
        <v>4263</v>
      </c>
      <c r="B839" s="1" t="s">
        <v>4264</v>
      </c>
      <c r="C839" s="1">
        <v>61</v>
      </c>
      <c r="D839" s="1" t="s">
        <v>4265</v>
      </c>
      <c r="E839" s="1" t="s">
        <v>25</v>
      </c>
      <c r="F839" s="2">
        <v>44265</v>
      </c>
      <c r="G839" s="1" t="s">
        <v>1600</v>
      </c>
      <c r="H839" s="1">
        <v>3</v>
      </c>
      <c r="I839" s="1" t="s">
        <v>64</v>
      </c>
      <c r="J839" s="2">
        <v>45871</v>
      </c>
      <c r="K839" s="1" t="s">
        <v>4266</v>
      </c>
      <c r="L839" s="1">
        <v>2</v>
      </c>
      <c r="M839" s="1">
        <v>7</v>
      </c>
      <c r="N839" s="1" t="s">
        <v>45</v>
      </c>
      <c r="O839" s="1" t="s">
        <v>597</v>
      </c>
      <c r="P839" s="1" t="s">
        <v>45</v>
      </c>
      <c r="Q839" s="1" t="s">
        <v>322</v>
      </c>
      <c r="R839" s="1">
        <v>814.72</v>
      </c>
      <c r="S839" s="1" t="s">
        <v>33</v>
      </c>
      <c r="T839" s="1" t="s">
        <v>47</v>
      </c>
      <c r="U839" s="1" t="s">
        <v>35</v>
      </c>
      <c r="V839" s="1" t="s">
        <v>71</v>
      </c>
    </row>
    <row r="840" spans="1:22" x14ac:dyDescent="0.3">
      <c r="A840" s="1" t="s">
        <v>4267</v>
      </c>
      <c r="B840" s="1" t="s">
        <v>4268</v>
      </c>
      <c r="C840" s="1">
        <v>49</v>
      </c>
      <c r="D840" s="1" t="s">
        <v>4269</v>
      </c>
      <c r="E840" s="1" t="s">
        <v>61</v>
      </c>
      <c r="F840" s="2">
        <v>44201</v>
      </c>
      <c r="G840" s="1" t="s">
        <v>2408</v>
      </c>
      <c r="H840" s="1">
        <v>0</v>
      </c>
      <c r="I840" s="1" t="s">
        <v>52</v>
      </c>
      <c r="J840" s="1" t="s">
        <v>2225</v>
      </c>
      <c r="K840" s="1" t="s">
        <v>4270</v>
      </c>
      <c r="L840" s="1">
        <v>6</v>
      </c>
      <c r="M840" s="1">
        <v>38</v>
      </c>
      <c r="N840" s="1" t="s">
        <v>68</v>
      </c>
      <c r="O840" s="1" t="s">
        <v>31</v>
      </c>
      <c r="P840" s="1" t="s">
        <v>30</v>
      </c>
      <c r="Q840" s="1" t="s">
        <v>69</v>
      </c>
      <c r="R840" s="1">
        <v>94.44</v>
      </c>
      <c r="S840" s="1" t="s">
        <v>46</v>
      </c>
      <c r="T840" s="1" t="s">
        <v>34</v>
      </c>
      <c r="U840" s="1" t="s">
        <v>35</v>
      </c>
      <c r="V840" s="1" t="s">
        <v>36</v>
      </c>
    </row>
    <row r="841" spans="1:22" x14ac:dyDescent="0.3">
      <c r="A841" s="1" t="s">
        <v>4271</v>
      </c>
      <c r="B841" s="1" t="s">
        <v>4272</v>
      </c>
      <c r="C841" s="1">
        <v>36</v>
      </c>
      <c r="D841" s="1" t="s">
        <v>4273</v>
      </c>
      <c r="E841" s="1" t="s">
        <v>51</v>
      </c>
      <c r="F841" s="1" t="s">
        <v>2971</v>
      </c>
      <c r="G841" s="2">
        <v>45511</v>
      </c>
      <c r="H841" s="1">
        <v>5</v>
      </c>
      <c r="I841" s="1" t="s">
        <v>52</v>
      </c>
      <c r="J841" s="1" t="s">
        <v>4274</v>
      </c>
      <c r="K841" s="1" t="s">
        <v>4275</v>
      </c>
      <c r="L841" s="1">
        <v>6</v>
      </c>
      <c r="M841" s="1">
        <v>6</v>
      </c>
      <c r="N841" s="1" t="s">
        <v>54</v>
      </c>
      <c r="O841" s="1" t="s">
        <v>373</v>
      </c>
      <c r="P841" s="1" t="s">
        <v>54</v>
      </c>
      <c r="Q841" s="1" t="s">
        <v>32</v>
      </c>
      <c r="R841" s="1">
        <v>1156.2</v>
      </c>
      <c r="S841" s="1" t="s">
        <v>33</v>
      </c>
      <c r="T841" s="1" t="s">
        <v>34</v>
      </c>
      <c r="U841" s="1" t="s">
        <v>35</v>
      </c>
      <c r="V841" s="1" t="s">
        <v>36</v>
      </c>
    </row>
    <row r="842" spans="1:22" x14ac:dyDescent="0.3">
      <c r="A842" s="1" t="s">
        <v>4276</v>
      </c>
      <c r="B842" s="1" t="s">
        <v>4277</v>
      </c>
      <c r="C842" s="1">
        <v>27</v>
      </c>
      <c r="D842" s="1" t="s">
        <v>4278</v>
      </c>
      <c r="E842" s="1" t="s">
        <v>88</v>
      </c>
      <c r="F842" s="1" t="s">
        <v>4106</v>
      </c>
      <c r="G842" s="1" t="s">
        <v>2982</v>
      </c>
      <c r="H842" s="1">
        <v>3</v>
      </c>
      <c r="I842" s="1" t="s">
        <v>27</v>
      </c>
      <c r="J842" s="2">
        <v>45144</v>
      </c>
      <c r="K842" s="1" t="s">
        <v>4279</v>
      </c>
      <c r="L842" s="1">
        <v>5</v>
      </c>
      <c r="M842" s="1">
        <v>36</v>
      </c>
      <c r="N842" s="1" t="s">
        <v>68</v>
      </c>
      <c r="O842" s="1" t="s">
        <v>597</v>
      </c>
      <c r="P842" s="1" t="s">
        <v>45</v>
      </c>
      <c r="Q842" s="1" t="s">
        <v>32</v>
      </c>
      <c r="R842" s="1">
        <v>345.9</v>
      </c>
      <c r="S842" s="1" t="s">
        <v>46</v>
      </c>
      <c r="T842" s="1" t="s">
        <v>57</v>
      </c>
      <c r="U842" s="1" t="s">
        <v>35</v>
      </c>
      <c r="V842" s="1" t="s">
        <v>36</v>
      </c>
    </row>
    <row r="843" spans="1:22" x14ac:dyDescent="0.3">
      <c r="A843" s="1" t="s">
        <v>4280</v>
      </c>
      <c r="B843" s="1" t="s">
        <v>4281</v>
      </c>
      <c r="C843" s="1">
        <v>42</v>
      </c>
      <c r="D843" s="1" t="s">
        <v>4282</v>
      </c>
      <c r="E843" s="1" t="s">
        <v>88</v>
      </c>
      <c r="F843" s="1" t="s">
        <v>4283</v>
      </c>
      <c r="G843" s="1" t="s">
        <v>256</v>
      </c>
      <c r="H843" s="1">
        <v>5</v>
      </c>
      <c r="I843" s="1" t="s">
        <v>52</v>
      </c>
      <c r="J843" s="1" t="s">
        <v>784</v>
      </c>
      <c r="K843" s="1" t="s">
        <v>4284</v>
      </c>
      <c r="L843" s="1">
        <v>3</v>
      </c>
      <c r="M843" s="1">
        <v>40</v>
      </c>
      <c r="N843" s="1" t="s">
        <v>30</v>
      </c>
      <c r="O843" s="1" t="s">
        <v>837</v>
      </c>
      <c r="P843" s="1" t="s">
        <v>56</v>
      </c>
      <c r="Q843" s="1" t="s">
        <v>69</v>
      </c>
      <c r="R843" s="1">
        <v>1738.11</v>
      </c>
      <c r="S843" s="1" t="s">
        <v>46</v>
      </c>
      <c r="T843" s="1" t="s">
        <v>34</v>
      </c>
      <c r="U843" s="1" t="s">
        <v>35</v>
      </c>
      <c r="V843" s="1" t="s">
        <v>36</v>
      </c>
    </row>
    <row r="844" spans="1:22" x14ac:dyDescent="0.3">
      <c r="A844" s="1" t="s">
        <v>4285</v>
      </c>
      <c r="B844" s="1" t="s">
        <v>4286</v>
      </c>
      <c r="C844" s="1">
        <v>32</v>
      </c>
      <c r="D844" s="1" t="s">
        <v>4287</v>
      </c>
      <c r="E844" s="1" t="s">
        <v>61</v>
      </c>
      <c r="F844" s="1" t="s">
        <v>3775</v>
      </c>
      <c r="G844" s="2">
        <v>44837</v>
      </c>
      <c r="H844" s="1">
        <v>1</v>
      </c>
      <c r="I844" s="1" t="s">
        <v>64</v>
      </c>
      <c r="J844" s="2">
        <v>44962</v>
      </c>
      <c r="K844" s="1" t="s">
        <v>4288</v>
      </c>
      <c r="L844" s="1">
        <v>3</v>
      </c>
      <c r="M844" s="1">
        <v>39</v>
      </c>
      <c r="N844" s="1" t="s">
        <v>68</v>
      </c>
      <c r="O844" s="1" t="s">
        <v>624</v>
      </c>
      <c r="P844" s="1" t="s">
        <v>30</v>
      </c>
      <c r="Q844" s="1" t="s">
        <v>32</v>
      </c>
      <c r="R844" s="1">
        <v>1183.74</v>
      </c>
      <c r="S844" s="1" t="s">
        <v>46</v>
      </c>
      <c r="T844" s="1" t="s">
        <v>57</v>
      </c>
      <c r="U844" s="1" t="s">
        <v>35</v>
      </c>
      <c r="V844" s="1" t="s">
        <v>71</v>
      </c>
    </row>
    <row r="845" spans="1:22" x14ac:dyDescent="0.3">
      <c r="A845" s="1" t="s">
        <v>4289</v>
      </c>
      <c r="B845" s="1" t="s">
        <v>4290</v>
      </c>
      <c r="C845" s="1">
        <v>62</v>
      </c>
      <c r="D845" s="1" t="s">
        <v>4291</v>
      </c>
      <c r="E845" s="1" t="s">
        <v>25</v>
      </c>
      <c r="F845" s="1" t="s">
        <v>4292</v>
      </c>
      <c r="G845" s="2">
        <v>45906</v>
      </c>
      <c r="H845" s="1">
        <v>0</v>
      </c>
      <c r="I845" s="1" t="s">
        <v>27</v>
      </c>
      <c r="J845" s="1" t="s">
        <v>4293</v>
      </c>
      <c r="K845" s="1" t="s">
        <v>4294</v>
      </c>
      <c r="L845" s="1">
        <v>5</v>
      </c>
      <c r="M845" s="1">
        <v>38</v>
      </c>
      <c r="N845" s="1" t="s">
        <v>68</v>
      </c>
      <c r="O845" s="1" t="s">
        <v>837</v>
      </c>
      <c r="P845" s="1" t="s">
        <v>56</v>
      </c>
      <c r="Q845" s="1" t="s">
        <v>32</v>
      </c>
      <c r="R845" s="1">
        <v>1126.8499999999999</v>
      </c>
      <c r="S845" s="1" t="s">
        <v>46</v>
      </c>
      <c r="T845" s="1" t="s">
        <v>47</v>
      </c>
      <c r="U845" s="1" t="s">
        <v>35</v>
      </c>
      <c r="V845" s="1" t="s">
        <v>36</v>
      </c>
    </row>
    <row r="846" spans="1:22" x14ac:dyDescent="0.3">
      <c r="A846" s="1" t="s">
        <v>4295</v>
      </c>
      <c r="B846" s="1" t="s">
        <v>4296</v>
      </c>
      <c r="C846" s="1">
        <v>29</v>
      </c>
      <c r="D846" s="1" t="s">
        <v>4297</v>
      </c>
      <c r="E846" s="1" t="s">
        <v>95</v>
      </c>
      <c r="F846" s="2">
        <v>45083</v>
      </c>
      <c r="G846" s="2">
        <v>45782</v>
      </c>
      <c r="H846" s="1">
        <v>2</v>
      </c>
      <c r="I846" s="1" t="s">
        <v>52</v>
      </c>
      <c r="J846" s="1" t="s">
        <v>2455</v>
      </c>
      <c r="K846" s="1" t="s">
        <v>4298</v>
      </c>
      <c r="L846" s="1">
        <v>3</v>
      </c>
      <c r="M846" s="1">
        <v>34</v>
      </c>
      <c r="N846" s="1" t="s">
        <v>68</v>
      </c>
      <c r="O846" s="1" t="s">
        <v>418</v>
      </c>
      <c r="P846" s="1" t="s">
        <v>56</v>
      </c>
      <c r="Q846" s="1" t="s">
        <v>322</v>
      </c>
      <c r="R846" s="1">
        <v>402.3</v>
      </c>
      <c r="S846" s="1" t="s">
        <v>46</v>
      </c>
      <c r="T846" s="1" t="s">
        <v>57</v>
      </c>
      <c r="U846" s="1" t="s">
        <v>35</v>
      </c>
      <c r="V846" s="1" t="s">
        <v>36</v>
      </c>
    </row>
    <row r="847" spans="1:22" x14ac:dyDescent="0.3">
      <c r="A847" s="1" t="s">
        <v>4299</v>
      </c>
      <c r="B847" s="1" t="s">
        <v>4300</v>
      </c>
      <c r="C847" s="1">
        <v>60</v>
      </c>
      <c r="D847" s="1" t="s">
        <v>4301</v>
      </c>
      <c r="E847" s="1" t="s">
        <v>25</v>
      </c>
      <c r="F847" s="1" t="s">
        <v>945</v>
      </c>
      <c r="G847" s="1" t="s">
        <v>4302</v>
      </c>
      <c r="H847" s="1">
        <v>2</v>
      </c>
      <c r="I847" s="1" t="s">
        <v>52</v>
      </c>
      <c r="J847" s="2">
        <v>45452</v>
      </c>
      <c r="K847" s="1" t="s">
        <v>4303</v>
      </c>
      <c r="L847" s="1">
        <v>5</v>
      </c>
      <c r="M847" s="1">
        <v>45</v>
      </c>
      <c r="N847" s="1" t="s">
        <v>68</v>
      </c>
      <c r="O847" s="1" t="s">
        <v>135</v>
      </c>
      <c r="P847" s="1" t="s">
        <v>45</v>
      </c>
      <c r="Q847" s="1" t="s">
        <v>32</v>
      </c>
      <c r="R847" s="1">
        <v>1357.65</v>
      </c>
      <c r="S847" s="1" t="s">
        <v>46</v>
      </c>
      <c r="T847" s="1" t="s">
        <v>47</v>
      </c>
      <c r="U847" s="1" t="s">
        <v>35</v>
      </c>
      <c r="V847" s="1" t="s">
        <v>36</v>
      </c>
    </row>
    <row r="848" spans="1:22" x14ac:dyDescent="0.3">
      <c r="A848" s="1" t="s">
        <v>4304</v>
      </c>
      <c r="B848" s="1" t="s">
        <v>4305</v>
      </c>
      <c r="C848" s="1">
        <v>53</v>
      </c>
      <c r="D848" s="1" t="s">
        <v>4306</v>
      </c>
      <c r="E848" s="1" t="s">
        <v>61</v>
      </c>
      <c r="F848" s="1" t="s">
        <v>945</v>
      </c>
      <c r="G848" s="2">
        <v>45779</v>
      </c>
      <c r="H848" s="1">
        <v>3</v>
      </c>
      <c r="I848" s="1" t="s">
        <v>52</v>
      </c>
      <c r="J848" s="1" t="s">
        <v>2743</v>
      </c>
      <c r="K848" s="1" t="s">
        <v>4307</v>
      </c>
      <c r="L848" s="1">
        <v>4</v>
      </c>
      <c r="M848" s="1">
        <v>5</v>
      </c>
      <c r="N848" s="1" t="s">
        <v>68</v>
      </c>
      <c r="O848" s="1" t="s">
        <v>366</v>
      </c>
      <c r="P848" s="1" t="s">
        <v>54</v>
      </c>
      <c r="Q848" s="1" t="s">
        <v>32</v>
      </c>
      <c r="R848" s="1">
        <v>740.92</v>
      </c>
      <c r="S848" s="1" t="s">
        <v>46</v>
      </c>
      <c r="T848" s="1" t="s">
        <v>47</v>
      </c>
      <c r="U848" s="1" t="s">
        <v>35</v>
      </c>
      <c r="V848" s="1" t="s">
        <v>36</v>
      </c>
    </row>
    <row r="849" spans="1:22" x14ac:dyDescent="0.3">
      <c r="A849" s="1" t="s">
        <v>4308</v>
      </c>
      <c r="B849" s="1" t="s">
        <v>4309</v>
      </c>
      <c r="C849" s="1">
        <v>28</v>
      </c>
      <c r="D849" s="1" t="s">
        <v>4310</v>
      </c>
      <c r="E849" s="1" t="s">
        <v>88</v>
      </c>
      <c r="F849" s="1" t="s">
        <v>1090</v>
      </c>
      <c r="G849" s="2">
        <v>44509</v>
      </c>
      <c r="H849" s="1">
        <v>1</v>
      </c>
      <c r="I849" s="1" t="s">
        <v>27</v>
      </c>
      <c r="J849" s="1" t="s">
        <v>2219</v>
      </c>
      <c r="K849" s="1" t="s">
        <v>4311</v>
      </c>
      <c r="L849" s="1">
        <v>3</v>
      </c>
      <c r="M849" s="1">
        <v>1</v>
      </c>
      <c r="N849" s="1" t="s">
        <v>68</v>
      </c>
      <c r="O849" s="1" t="s">
        <v>91</v>
      </c>
      <c r="P849" s="1" t="s">
        <v>54</v>
      </c>
      <c r="Q849" s="1" t="s">
        <v>69</v>
      </c>
      <c r="R849" s="1">
        <v>1978.02</v>
      </c>
      <c r="S849" s="1" t="s">
        <v>46</v>
      </c>
      <c r="T849" s="1" t="s">
        <v>57</v>
      </c>
      <c r="U849" s="1" t="s">
        <v>101</v>
      </c>
      <c r="V849" s="1" t="s">
        <v>36</v>
      </c>
    </row>
    <row r="850" spans="1:22" x14ac:dyDescent="0.3">
      <c r="A850" s="1" t="s">
        <v>4312</v>
      </c>
      <c r="B850" s="1" t="s">
        <v>4313</v>
      </c>
      <c r="C850" s="1">
        <v>69</v>
      </c>
      <c r="D850" s="1" t="s">
        <v>4314</v>
      </c>
      <c r="E850" s="1" t="s">
        <v>88</v>
      </c>
      <c r="F850" s="1" t="s">
        <v>1955</v>
      </c>
      <c r="G850" s="1" t="s">
        <v>1755</v>
      </c>
      <c r="H850" s="1">
        <v>4</v>
      </c>
      <c r="I850" s="1" t="s">
        <v>52</v>
      </c>
      <c r="J850" s="1" t="s">
        <v>1324</v>
      </c>
      <c r="K850" s="1" t="s">
        <v>4315</v>
      </c>
      <c r="L850" s="1">
        <v>2</v>
      </c>
      <c r="M850" s="1">
        <v>35</v>
      </c>
      <c r="N850" s="1" t="s">
        <v>68</v>
      </c>
      <c r="O850" s="1" t="s">
        <v>169</v>
      </c>
      <c r="P850" s="1" t="s">
        <v>30</v>
      </c>
      <c r="Q850" s="1" t="s">
        <v>32</v>
      </c>
      <c r="R850" s="1">
        <v>230.96</v>
      </c>
      <c r="S850" s="1" t="s">
        <v>46</v>
      </c>
      <c r="T850" s="1" t="s">
        <v>232</v>
      </c>
      <c r="U850" s="1" t="s">
        <v>35</v>
      </c>
      <c r="V850" s="1" t="s">
        <v>36</v>
      </c>
    </row>
    <row r="851" spans="1:22" x14ac:dyDescent="0.3">
      <c r="A851" s="1" t="s">
        <v>4316</v>
      </c>
      <c r="B851" s="1" t="s">
        <v>4317</v>
      </c>
      <c r="C851" s="1">
        <v>23</v>
      </c>
      <c r="D851" s="1" t="s">
        <v>4318</v>
      </c>
      <c r="E851" s="1" t="s">
        <v>88</v>
      </c>
      <c r="F851" s="2">
        <v>44200</v>
      </c>
      <c r="G851" s="1" t="s">
        <v>1020</v>
      </c>
      <c r="H851" s="1">
        <v>0</v>
      </c>
      <c r="I851" s="1" t="s">
        <v>27</v>
      </c>
      <c r="J851" s="1" t="s">
        <v>4319</v>
      </c>
      <c r="K851" s="1" t="s">
        <v>4320</v>
      </c>
      <c r="L851" s="1">
        <v>4</v>
      </c>
      <c r="M851" s="1">
        <v>41</v>
      </c>
      <c r="N851" s="1" t="s">
        <v>68</v>
      </c>
      <c r="O851" s="1" t="s">
        <v>175</v>
      </c>
      <c r="P851" s="1" t="s">
        <v>56</v>
      </c>
      <c r="Q851" s="1" t="s">
        <v>69</v>
      </c>
      <c r="R851" s="1">
        <v>867.64</v>
      </c>
      <c r="S851" s="1" t="s">
        <v>46</v>
      </c>
      <c r="T851" s="1" t="s">
        <v>100</v>
      </c>
      <c r="U851" s="1" t="s">
        <v>35</v>
      </c>
      <c r="V851" s="1" t="s">
        <v>36</v>
      </c>
    </row>
    <row r="852" spans="1:22" x14ac:dyDescent="0.3">
      <c r="A852" s="1" t="s">
        <v>4321</v>
      </c>
      <c r="B852" s="1" t="s">
        <v>4322</v>
      </c>
      <c r="C852" s="1">
        <v>55</v>
      </c>
      <c r="D852" s="1" t="s">
        <v>4323</v>
      </c>
      <c r="E852" s="1" t="s">
        <v>88</v>
      </c>
      <c r="F852" s="1" t="s">
        <v>3107</v>
      </c>
      <c r="G852" s="1" t="s">
        <v>1431</v>
      </c>
      <c r="H852" s="1">
        <v>1</v>
      </c>
      <c r="I852" s="1" t="s">
        <v>27</v>
      </c>
      <c r="J852" s="1" t="s">
        <v>3832</v>
      </c>
      <c r="K852" s="1" t="s">
        <v>4324</v>
      </c>
      <c r="L852" s="1">
        <v>2</v>
      </c>
      <c r="M852" s="1">
        <v>15</v>
      </c>
      <c r="N852" s="1" t="s">
        <v>30</v>
      </c>
      <c r="O852" s="1" t="s">
        <v>269</v>
      </c>
      <c r="P852" s="1" t="s">
        <v>56</v>
      </c>
      <c r="Q852" s="1" t="s">
        <v>69</v>
      </c>
      <c r="R852" s="1">
        <v>1131.08</v>
      </c>
      <c r="S852" s="1" t="s">
        <v>46</v>
      </c>
      <c r="T852" s="1" t="s">
        <v>47</v>
      </c>
      <c r="U852" s="1" t="s">
        <v>35</v>
      </c>
      <c r="V852" s="1" t="s">
        <v>36</v>
      </c>
    </row>
    <row r="853" spans="1:22" x14ac:dyDescent="0.3">
      <c r="A853" s="1" t="s">
        <v>4325</v>
      </c>
      <c r="B853" s="1" t="s">
        <v>4326</v>
      </c>
      <c r="C853" s="1">
        <v>38</v>
      </c>
      <c r="D853" s="1" t="s">
        <v>4327</v>
      </c>
      <c r="E853" s="1" t="s">
        <v>88</v>
      </c>
      <c r="F853" s="1" t="s">
        <v>1205</v>
      </c>
      <c r="G853" s="2">
        <v>45810</v>
      </c>
      <c r="H853" s="1">
        <v>2</v>
      </c>
      <c r="I853" s="1" t="s">
        <v>52</v>
      </c>
      <c r="J853" s="2">
        <v>45181</v>
      </c>
      <c r="K853" s="1" t="s">
        <v>4328</v>
      </c>
      <c r="L853" s="1">
        <v>1</v>
      </c>
      <c r="M853" s="1">
        <v>31</v>
      </c>
      <c r="N853" s="1" t="s">
        <v>30</v>
      </c>
      <c r="O853" s="1" t="s">
        <v>231</v>
      </c>
      <c r="P853" s="1" t="s">
        <v>30</v>
      </c>
      <c r="Q853" s="1" t="s">
        <v>32</v>
      </c>
      <c r="R853" s="1">
        <v>1146.75</v>
      </c>
      <c r="S853" s="1" t="s">
        <v>33</v>
      </c>
      <c r="T853" s="1" t="s">
        <v>34</v>
      </c>
      <c r="U853" s="1" t="s">
        <v>35</v>
      </c>
      <c r="V853" s="1" t="s">
        <v>36</v>
      </c>
    </row>
    <row r="854" spans="1:22" x14ac:dyDescent="0.3">
      <c r="A854" s="1" t="s">
        <v>4329</v>
      </c>
      <c r="B854" s="1" t="s">
        <v>4330</v>
      </c>
      <c r="C854" s="1">
        <v>21</v>
      </c>
      <c r="D854" s="1" t="s">
        <v>4331</v>
      </c>
      <c r="E854" s="1" t="s">
        <v>61</v>
      </c>
      <c r="F854" s="2">
        <v>44233</v>
      </c>
      <c r="G854" s="1" t="s">
        <v>1821</v>
      </c>
      <c r="H854" s="1">
        <v>4</v>
      </c>
      <c r="I854" s="1" t="s">
        <v>64</v>
      </c>
      <c r="J854" s="2">
        <v>44263</v>
      </c>
      <c r="K854" s="1" t="s">
        <v>4332</v>
      </c>
      <c r="L854" s="1">
        <v>6</v>
      </c>
      <c r="M854" s="1">
        <v>29</v>
      </c>
      <c r="N854" s="1" t="s">
        <v>45</v>
      </c>
      <c r="O854" s="1" t="s">
        <v>175</v>
      </c>
      <c r="P854" s="1" t="s">
        <v>56</v>
      </c>
      <c r="Q854" s="1" t="s">
        <v>69</v>
      </c>
      <c r="R854" s="1">
        <v>1849.62</v>
      </c>
      <c r="S854" s="1" t="s">
        <v>46</v>
      </c>
      <c r="T854" s="1" t="s">
        <v>100</v>
      </c>
      <c r="U854" s="1" t="s">
        <v>35</v>
      </c>
      <c r="V854" s="1" t="s">
        <v>71</v>
      </c>
    </row>
    <row r="855" spans="1:22" x14ac:dyDescent="0.3">
      <c r="A855" s="1" t="s">
        <v>4333</v>
      </c>
      <c r="B855" s="1" t="s">
        <v>4334</v>
      </c>
      <c r="C855" s="1">
        <v>57</v>
      </c>
      <c r="D855" s="1" t="s">
        <v>4335</v>
      </c>
      <c r="E855" s="1" t="s">
        <v>40</v>
      </c>
      <c r="F855" s="2">
        <v>44298</v>
      </c>
      <c r="G855" s="1" t="s">
        <v>519</v>
      </c>
      <c r="H855" s="1">
        <v>0</v>
      </c>
      <c r="I855" s="1" t="s">
        <v>27</v>
      </c>
      <c r="J855" s="1" t="s">
        <v>4336</v>
      </c>
      <c r="K855" s="1" t="s">
        <v>4337</v>
      </c>
      <c r="L855" s="1">
        <v>6</v>
      </c>
      <c r="M855" s="1">
        <v>47</v>
      </c>
      <c r="N855" s="1" t="s">
        <v>45</v>
      </c>
      <c r="O855" s="1" t="s">
        <v>31</v>
      </c>
      <c r="P855" s="1" t="s">
        <v>30</v>
      </c>
      <c r="Q855" s="1" t="s">
        <v>69</v>
      </c>
      <c r="R855" s="1">
        <v>215.64</v>
      </c>
      <c r="S855" s="1" t="s">
        <v>46</v>
      </c>
      <c r="T855" s="1" t="s">
        <v>47</v>
      </c>
      <c r="U855" s="1" t="s">
        <v>35</v>
      </c>
      <c r="V855" s="1" t="s">
        <v>36</v>
      </c>
    </row>
    <row r="856" spans="1:22" x14ac:dyDescent="0.3">
      <c r="A856" s="1" t="s">
        <v>4338</v>
      </c>
      <c r="B856" s="1" t="s">
        <v>4339</v>
      </c>
      <c r="C856" s="1">
        <v>42</v>
      </c>
      <c r="D856" s="1" t="s">
        <v>4340</v>
      </c>
      <c r="E856" s="1" t="s">
        <v>25</v>
      </c>
      <c r="F856" s="1" t="s">
        <v>4118</v>
      </c>
      <c r="G856" s="1" t="s">
        <v>4341</v>
      </c>
      <c r="H856" s="1">
        <v>4</v>
      </c>
      <c r="I856" s="1" t="s">
        <v>27</v>
      </c>
      <c r="J856" s="2">
        <v>44903</v>
      </c>
      <c r="K856" s="1" t="s">
        <v>4342</v>
      </c>
      <c r="L856" s="1">
        <v>7</v>
      </c>
      <c r="M856" s="1">
        <v>40</v>
      </c>
      <c r="N856" s="1" t="s">
        <v>54</v>
      </c>
      <c r="O856" s="1" t="s">
        <v>231</v>
      </c>
      <c r="P856" s="1" t="s">
        <v>30</v>
      </c>
      <c r="Q856" s="1" t="s">
        <v>32</v>
      </c>
      <c r="R856" s="1">
        <v>418.81</v>
      </c>
      <c r="S856" s="1" t="s">
        <v>46</v>
      </c>
      <c r="T856" s="1" t="s">
        <v>34</v>
      </c>
      <c r="U856" s="1" t="s">
        <v>35</v>
      </c>
      <c r="V856" s="1" t="s">
        <v>188</v>
      </c>
    </row>
    <row r="857" spans="1:22" x14ac:dyDescent="0.3">
      <c r="A857" s="1" t="s">
        <v>4343</v>
      </c>
      <c r="B857" s="1" t="s">
        <v>4344</v>
      </c>
      <c r="C857" s="1">
        <v>49</v>
      </c>
      <c r="D857" s="1" t="s">
        <v>4345</v>
      </c>
      <c r="E857" s="1" t="s">
        <v>40</v>
      </c>
      <c r="F857" s="2">
        <v>44991</v>
      </c>
      <c r="G857" s="2">
        <v>45812</v>
      </c>
      <c r="H857" s="1">
        <v>0</v>
      </c>
      <c r="I857" s="1" t="s">
        <v>27</v>
      </c>
      <c r="J857" s="2">
        <v>45421</v>
      </c>
      <c r="K857" s="1" t="s">
        <v>4346</v>
      </c>
      <c r="L857" s="1">
        <v>5</v>
      </c>
      <c r="M857" s="1">
        <v>28</v>
      </c>
      <c r="N857" s="1" t="s">
        <v>30</v>
      </c>
      <c r="O857" s="1" t="s">
        <v>142</v>
      </c>
      <c r="P857" s="1" t="s">
        <v>68</v>
      </c>
      <c r="Q857" s="1" t="s">
        <v>32</v>
      </c>
      <c r="R857" s="1">
        <v>356.15</v>
      </c>
      <c r="S857" s="1" t="s">
        <v>46</v>
      </c>
      <c r="T857" s="1" t="s">
        <v>34</v>
      </c>
      <c r="U857" s="1" t="s">
        <v>35</v>
      </c>
      <c r="V857" s="1" t="s">
        <v>36</v>
      </c>
    </row>
    <row r="858" spans="1:22" x14ac:dyDescent="0.3">
      <c r="A858" s="1" t="s">
        <v>4347</v>
      </c>
      <c r="B858" s="1" t="s">
        <v>4348</v>
      </c>
      <c r="C858" s="1">
        <v>57</v>
      </c>
      <c r="D858" s="1" t="s">
        <v>4349</v>
      </c>
      <c r="E858" s="1" t="s">
        <v>88</v>
      </c>
      <c r="F858" s="2">
        <v>45266</v>
      </c>
      <c r="G858" s="2">
        <v>44933</v>
      </c>
      <c r="H858" s="1">
        <v>3</v>
      </c>
      <c r="I858" s="1" t="s">
        <v>27</v>
      </c>
      <c r="J858" s="2">
        <v>45421</v>
      </c>
      <c r="K858" s="1" t="s">
        <v>4350</v>
      </c>
      <c r="L858" s="1">
        <v>9</v>
      </c>
      <c r="M858" s="1">
        <v>37</v>
      </c>
      <c r="N858" s="1" t="s">
        <v>45</v>
      </c>
      <c r="O858" s="1" t="s">
        <v>44</v>
      </c>
      <c r="P858" s="1" t="s">
        <v>45</v>
      </c>
      <c r="Q858" s="1" t="s">
        <v>32</v>
      </c>
      <c r="R858" s="1">
        <v>520.20000000000005</v>
      </c>
      <c r="S858" s="1" t="s">
        <v>33</v>
      </c>
      <c r="T858" s="1" t="s">
        <v>47</v>
      </c>
      <c r="U858" s="1" t="s">
        <v>35</v>
      </c>
      <c r="V858" s="1" t="s">
        <v>36</v>
      </c>
    </row>
    <row r="859" spans="1:22" x14ac:dyDescent="0.3">
      <c r="A859" s="1" t="s">
        <v>4351</v>
      </c>
      <c r="B859" s="1" t="s">
        <v>4352</v>
      </c>
      <c r="C859" s="1">
        <v>66</v>
      </c>
      <c r="D859" s="1" t="s">
        <v>4353</v>
      </c>
      <c r="E859" s="1" t="s">
        <v>40</v>
      </c>
      <c r="F859" s="1" t="s">
        <v>2598</v>
      </c>
      <c r="G859" s="2">
        <v>45143</v>
      </c>
      <c r="H859" s="1">
        <v>3</v>
      </c>
      <c r="I859" s="1" t="s">
        <v>27</v>
      </c>
      <c r="J859" s="1" t="s">
        <v>4354</v>
      </c>
      <c r="K859" s="1" t="s">
        <v>4355</v>
      </c>
      <c r="L859" s="1">
        <v>8</v>
      </c>
      <c r="M859" s="1">
        <v>36</v>
      </c>
      <c r="N859" s="1" t="s">
        <v>30</v>
      </c>
      <c r="O859" s="1" t="s">
        <v>149</v>
      </c>
      <c r="P859" s="1" t="s">
        <v>30</v>
      </c>
      <c r="Q859" s="1" t="s">
        <v>32</v>
      </c>
      <c r="R859" s="1">
        <v>1347.36</v>
      </c>
      <c r="S859" s="1" t="s">
        <v>33</v>
      </c>
      <c r="T859" s="1" t="s">
        <v>232</v>
      </c>
      <c r="U859" s="1" t="s">
        <v>35</v>
      </c>
      <c r="V859" s="1" t="s">
        <v>36</v>
      </c>
    </row>
    <row r="860" spans="1:22" x14ac:dyDescent="0.3">
      <c r="A860" s="1" t="s">
        <v>4356</v>
      </c>
      <c r="B860" s="1" t="s">
        <v>4357</v>
      </c>
      <c r="C860" s="1">
        <v>59</v>
      </c>
      <c r="D860" s="1" t="s">
        <v>4358</v>
      </c>
      <c r="E860" s="1" t="s">
        <v>40</v>
      </c>
      <c r="F860" s="2">
        <v>45143</v>
      </c>
      <c r="G860" s="1" t="s">
        <v>1726</v>
      </c>
      <c r="H860" s="1">
        <v>3</v>
      </c>
      <c r="I860" s="1" t="s">
        <v>27</v>
      </c>
      <c r="J860" s="1" t="s">
        <v>4359</v>
      </c>
      <c r="K860" s="1" t="s">
        <v>4360</v>
      </c>
      <c r="L860" s="1">
        <v>4</v>
      </c>
      <c r="M860" s="1">
        <v>20</v>
      </c>
      <c r="N860" s="1" t="s">
        <v>30</v>
      </c>
      <c r="O860" s="1" t="s">
        <v>269</v>
      </c>
      <c r="P860" s="1" t="s">
        <v>56</v>
      </c>
      <c r="Q860" s="1" t="s">
        <v>69</v>
      </c>
      <c r="R860" s="1">
        <v>1839.64</v>
      </c>
      <c r="S860" s="1" t="s">
        <v>46</v>
      </c>
      <c r="T860" s="1" t="s">
        <v>47</v>
      </c>
      <c r="U860" s="1" t="s">
        <v>35</v>
      </c>
      <c r="V860" s="1" t="s">
        <v>36</v>
      </c>
    </row>
    <row r="861" spans="1:22" x14ac:dyDescent="0.3">
      <c r="A861" s="1" t="s">
        <v>4361</v>
      </c>
      <c r="B861" s="1" t="s">
        <v>4362</v>
      </c>
      <c r="C861" s="1">
        <v>19</v>
      </c>
      <c r="D861" s="1" t="s">
        <v>4363</v>
      </c>
      <c r="E861" s="1" t="s">
        <v>61</v>
      </c>
      <c r="F861" s="1" t="s">
        <v>446</v>
      </c>
      <c r="G861" s="1" t="s">
        <v>3493</v>
      </c>
      <c r="H861" s="1">
        <v>3</v>
      </c>
      <c r="I861" s="1" t="s">
        <v>27</v>
      </c>
      <c r="J861" s="1" t="s">
        <v>3553</v>
      </c>
      <c r="K861" s="1" t="s">
        <v>4364</v>
      </c>
      <c r="L861" s="1">
        <v>3</v>
      </c>
      <c r="M861" s="1">
        <v>34</v>
      </c>
      <c r="N861" s="1" t="s">
        <v>56</v>
      </c>
      <c r="O861" s="1" t="s">
        <v>354</v>
      </c>
      <c r="P861" s="1" t="s">
        <v>45</v>
      </c>
      <c r="Q861" s="1" t="s">
        <v>69</v>
      </c>
      <c r="R861" s="1">
        <v>1661.1</v>
      </c>
      <c r="S861" s="1" t="s">
        <v>46</v>
      </c>
      <c r="T861" s="1" t="s">
        <v>100</v>
      </c>
      <c r="U861" s="1" t="s">
        <v>35</v>
      </c>
      <c r="V861" s="1" t="s">
        <v>36</v>
      </c>
    </row>
    <row r="862" spans="1:22" x14ac:dyDescent="0.3">
      <c r="A862" s="1" t="s">
        <v>4365</v>
      </c>
      <c r="B862" s="1" t="s">
        <v>4366</v>
      </c>
      <c r="C862" s="1">
        <v>35</v>
      </c>
      <c r="D862" s="1" t="s">
        <v>4367</v>
      </c>
      <c r="E862" s="1" t="s">
        <v>88</v>
      </c>
      <c r="F862" s="2">
        <v>44622</v>
      </c>
      <c r="G862" s="2">
        <v>45236</v>
      </c>
      <c r="H862" s="1">
        <v>1</v>
      </c>
      <c r="I862" s="1" t="s">
        <v>64</v>
      </c>
      <c r="J862" s="2">
        <v>45085</v>
      </c>
      <c r="K862" s="1" t="s">
        <v>4368</v>
      </c>
      <c r="L862" s="1">
        <v>9</v>
      </c>
      <c r="M862" s="1">
        <v>46</v>
      </c>
      <c r="N862" s="1" t="s">
        <v>45</v>
      </c>
      <c r="O862" s="1" t="s">
        <v>604</v>
      </c>
      <c r="P862" s="1" t="s">
        <v>45</v>
      </c>
      <c r="Q862" s="1" t="s">
        <v>32</v>
      </c>
      <c r="R862" s="1">
        <v>987.48</v>
      </c>
      <c r="S862" s="1" t="s">
        <v>33</v>
      </c>
      <c r="T862" s="1" t="s">
        <v>34</v>
      </c>
      <c r="U862" s="1" t="s">
        <v>35</v>
      </c>
      <c r="V862" s="1" t="s">
        <v>71</v>
      </c>
    </row>
    <row r="863" spans="1:22" x14ac:dyDescent="0.3">
      <c r="A863" s="1" t="s">
        <v>4369</v>
      </c>
      <c r="B863" s="1" t="s">
        <v>4370</v>
      </c>
      <c r="C863" s="1">
        <v>30</v>
      </c>
      <c r="D863" s="1" t="s">
        <v>4371</v>
      </c>
      <c r="E863" s="1" t="s">
        <v>25</v>
      </c>
      <c r="F863" s="2">
        <v>44260</v>
      </c>
      <c r="G863" s="1" t="s">
        <v>106</v>
      </c>
      <c r="H863" s="1">
        <v>4</v>
      </c>
      <c r="I863" s="1" t="s">
        <v>27</v>
      </c>
      <c r="J863" s="2">
        <v>44388</v>
      </c>
      <c r="K863" s="1" t="s">
        <v>4372</v>
      </c>
      <c r="L863" s="1">
        <v>8</v>
      </c>
      <c r="M863" s="1">
        <v>5</v>
      </c>
      <c r="N863" s="1" t="s">
        <v>30</v>
      </c>
      <c r="O863" s="1" t="s">
        <v>31</v>
      </c>
      <c r="P863" s="1" t="s">
        <v>30</v>
      </c>
      <c r="Q863" s="1" t="s">
        <v>32</v>
      </c>
      <c r="R863" s="1">
        <v>1483.92</v>
      </c>
      <c r="S863" s="1" t="s">
        <v>33</v>
      </c>
      <c r="T863" s="1" t="s">
        <v>57</v>
      </c>
      <c r="U863" s="1" t="s">
        <v>35</v>
      </c>
      <c r="V863" s="1" t="s">
        <v>188</v>
      </c>
    </row>
    <row r="864" spans="1:22" x14ac:dyDescent="0.3">
      <c r="A864" s="1" t="s">
        <v>4373</v>
      </c>
      <c r="B864" s="1" t="s">
        <v>4374</v>
      </c>
      <c r="C864" s="1">
        <v>65</v>
      </c>
      <c r="D864" s="1" t="s">
        <v>4375</v>
      </c>
      <c r="E864" s="1" t="s">
        <v>88</v>
      </c>
      <c r="F864" s="2">
        <v>44232</v>
      </c>
      <c r="G864" s="1" t="s">
        <v>351</v>
      </c>
      <c r="H864" s="1">
        <v>3</v>
      </c>
      <c r="I864" s="1" t="s">
        <v>52</v>
      </c>
      <c r="J864" s="2">
        <v>45418</v>
      </c>
      <c r="K864" s="1" t="s">
        <v>1738</v>
      </c>
      <c r="L864" s="1">
        <v>7</v>
      </c>
      <c r="M864" s="1">
        <v>43</v>
      </c>
      <c r="N864" s="1" t="s">
        <v>45</v>
      </c>
      <c r="O864" s="1" t="s">
        <v>135</v>
      </c>
      <c r="P864" s="1" t="s">
        <v>45</v>
      </c>
      <c r="Q864" s="1" t="s">
        <v>32</v>
      </c>
      <c r="R864" s="1">
        <v>844.34</v>
      </c>
      <c r="S864" s="1" t="s">
        <v>33</v>
      </c>
      <c r="T864" s="1" t="s">
        <v>232</v>
      </c>
      <c r="U864" s="1" t="s">
        <v>35</v>
      </c>
      <c r="V864" s="1" t="s">
        <v>36</v>
      </c>
    </row>
    <row r="865" spans="1:22" x14ac:dyDescent="0.3">
      <c r="A865" s="1" t="s">
        <v>4376</v>
      </c>
      <c r="B865" s="1" t="s">
        <v>4377</v>
      </c>
      <c r="C865" s="1">
        <v>31</v>
      </c>
      <c r="D865" s="1" t="s">
        <v>4378</v>
      </c>
      <c r="E865" s="1" t="s">
        <v>40</v>
      </c>
      <c r="F865" s="1" t="s">
        <v>1970</v>
      </c>
      <c r="G865" s="1" t="s">
        <v>4341</v>
      </c>
      <c r="H865" s="1">
        <v>4</v>
      </c>
      <c r="I865" s="1" t="s">
        <v>27</v>
      </c>
      <c r="J865" s="2">
        <v>45483</v>
      </c>
      <c r="K865" s="1" t="s">
        <v>4379</v>
      </c>
      <c r="L865" s="1">
        <v>8</v>
      </c>
      <c r="M865" s="1">
        <v>49</v>
      </c>
      <c r="N865" s="1" t="s">
        <v>54</v>
      </c>
      <c r="O865" s="1" t="s">
        <v>199</v>
      </c>
      <c r="P865" s="1" t="s">
        <v>54</v>
      </c>
      <c r="Q865" s="1" t="s">
        <v>69</v>
      </c>
      <c r="R865" s="1">
        <v>97.04</v>
      </c>
      <c r="S865" s="1" t="s">
        <v>33</v>
      </c>
      <c r="T865" s="1" t="s">
        <v>57</v>
      </c>
      <c r="U865" s="1" t="s">
        <v>35</v>
      </c>
      <c r="V865" s="1" t="s">
        <v>188</v>
      </c>
    </row>
    <row r="866" spans="1:22" x14ac:dyDescent="0.3">
      <c r="A866" s="1" t="s">
        <v>4380</v>
      </c>
      <c r="B866" s="1" t="s">
        <v>4381</v>
      </c>
      <c r="C866" s="1">
        <v>62</v>
      </c>
      <c r="D866" s="1" t="s">
        <v>4382</v>
      </c>
      <c r="E866" s="1" t="s">
        <v>51</v>
      </c>
      <c r="F866" s="1" t="s">
        <v>4383</v>
      </c>
      <c r="G866" s="2">
        <v>45540</v>
      </c>
      <c r="H866" s="1">
        <v>0</v>
      </c>
      <c r="I866" s="1" t="s">
        <v>27</v>
      </c>
      <c r="J866" s="1" t="s">
        <v>1154</v>
      </c>
      <c r="K866" s="1" t="s">
        <v>4384</v>
      </c>
      <c r="L866" s="1">
        <v>8</v>
      </c>
      <c r="M866" s="1">
        <v>4</v>
      </c>
      <c r="N866" s="1" t="s">
        <v>68</v>
      </c>
      <c r="O866" s="1" t="s">
        <v>536</v>
      </c>
      <c r="P866" s="1" t="s">
        <v>68</v>
      </c>
      <c r="Q866" s="1" t="s">
        <v>69</v>
      </c>
      <c r="R866" s="1">
        <v>1005.36</v>
      </c>
      <c r="S866" s="1" t="s">
        <v>33</v>
      </c>
      <c r="T866" s="1" t="s">
        <v>47</v>
      </c>
      <c r="U866" s="1" t="s">
        <v>35</v>
      </c>
      <c r="V866" s="1" t="s">
        <v>36</v>
      </c>
    </row>
    <row r="867" spans="1:22" x14ac:dyDescent="0.3">
      <c r="A867" s="1" t="s">
        <v>4385</v>
      </c>
      <c r="B867" s="1" t="s">
        <v>4386</v>
      </c>
      <c r="C867" s="1">
        <v>61</v>
      </c>
      <c r="D867" s="1" t="s">
        <v>4387</v>
      </c>
      <c r="E867" s="1" t="s">
        <v>88</v>
      </c>
      <c r="F867" s="2">
        <v>44294</v>
      </c>
      <c r="G867" s="1" t="s">
        <v>1356</v>
      </c>
      <c r="H867" s="1">
        <v>1</v>
      </c>
      <c r="I867" s="1" t="s">
        <v>27</v>
      </c>
      <c r="J867" s="2">
        <v>45294</v>
      </c>
      <c r="K867" s="1" t="s">
        <v>4388</v>
      </c>
      <c r="L867" s="1">
        <v>5</v>
      </c>
      <c r="M867" s="1">
        <v>11</v>
      </c>
      <c r="N867" s="1" t="s">
        <v>45</v>
      </c>
      <c r="O867" s="1" t="s">
        <v>354</v>
      </c>
      <c r="P867" s="1" t="s">
        <v>45</v>
      </c>
      <c r="Q867" s="1" t="s">
        <v>69</v>
      </c>
      <c r="R867" s="1">
        <v>1288.2</v>
      </c>
      <c r="S867" s="1" t="s">
        <v>33</v>
      </c>
      <c r="T867" s="1" t="s">
        <v>47</v>
      </c>
      <c r="U867" s="1" t="s">
        <v>35</v>
      </c>
      <c r="V867" s="1" t="s">
        <v>36</v>
      </c>
    </row>
    <row r="868" spans="1:22" x14ac:dyDescent="0.3">
      <c r="A868" s="1" t="s">
        <v>4389</v>
      </c>
      <c r="B868" s="1" t="s">
        <v>4390</v>
      </c>
      <c r="C868" s="1">
        <v>47</v>
      </c>
      <c r="D868" s="1" t="s">
        <v>4391</v>
      </c>
      <c r="E868" s="1" t="s">
        <v>51</v>
      </c>
      <c r="F868" s="2">
        <v>43871</v>
      </c>
      <c r="G868" s="2">
        <v>45750</v>
      </c>
      <c r="H868" s="1">
        <v>4</v>
      </c>
      <c r="I868" s="1" t="s">
        <v>52</v>
      </c>
      <c r="J868" s="1" t="s">
        <v>4392</v>
      </c>
      <c r="K868" s="1" t="s">
        <v>4393</v>
      </c>
      <c r="L868" s="1">
        <v>3</v>
      </c>
      <c r="M868" s="1">
        <v>30</v>
      </c>
      <c r="N868" s="1" t="s">
        <v>45</v>
      </c>
      <c r="O868" s="1" t="s">
        <v>624</v>
      </c>
      <c r="P868" s="1" t="s">
        <v>30</v>
      </c>
      <c r="Q868" s="1" t="s">
        <v>32</v>
      </c>
      <c r="R868" s="1">
        <v>813.33</v>
      </c>
      <c r="S868" s="1" t="s">
        <v>46</v>
      </c>
      <c r="T868" s="1" t="s">
        <v>34</v>
      </c>
      <c r="U868" s="1" t="s">
        <v>35</v>
      </c>
      <c r="V868" s="1" t="s">
        <v>36</v>
      </c>
    </row>
    <row r="869" spans="1:22" x14ac:dyDescent="0.3">
      <c r="A869" s="1" t="s">
        <v>4394</v>
      </c>
      <c r="B869" s="1" t="s">
        <v>4395</v>
      </c>
      <c r="C869" s="1">
        <v>48</v>
      </c>
      <c r="D869" s="1" t="s">
        <v>4396</v>
      </c>
      <c r="E869" s="1" t="s">
        <v>40</v>
      </c>
      <c r="F869" s="1" t="s">
        <v>4397</v>
      </c>
      <c r="G869" s="1" t="s">
        <v>466</v>
      </c>
      <c r="H869" s="1">
        <v>4</v>
      </c>
      <c r="I869" s="1" t="s">
        <v>52</v>
      </c>
      <c r="J869" s="1" t="s">
        <v>740</v>
      </c>
      <c r="K869" s="1" t="s">
        <v>4398</v>
      </c>
      <c r="L869" s="1">
        <v>9</v>
      </c>
      <c r="M869" s="1">
        <v>45</v>
      </c>
      <c r="N869" s="1" t="s">
        <v>68</v>
      </c>
      <c r="O869" s="1" t="s">
        <v>109</v>
      </c>
      <c r="P869" s="1" t="s">
        <v>68</v>
      </c>
      <c r="Q869" s="1" t="s">
        <v>32</v>
      </c>
      <c r="R869" s="1">
        <v>1469.88</v>
      </c>
      <c r="S869" s="1" t="s">
        <v>33</v>
      </c>
      <c r="T869" s="1" t="s">
        <v>34</v>
      </c>
      <c r="U869" s="1" t="s">
        <v>35</v>
      </c>
      <c r="V869" s="1" t="s">
        <v>36</v>
      </c>
    </row>
    <row r="870" spans="1:22" x14ac:dyDescent="0.3">
      <c r="A870" s="1" t="s">
        <v>4399</v>
      </c>
      <c r="B870" s="1" t="s">
        <v>4400</v>
      </c>
      <c r="C870" s="1">
        <v>53</v>
      </c>
      <c r="D870" s="1" t="s">
        <v>4401</v>
      </c>
      <c r="E870" s="1" t="s">
        <v>40</v>
      </c>
      <c r="F870" s="1" t="s">
        <v>4048</v>
      </c>
      <c r="G870" s="1" t="s">
        <v>4402</v>
      </c>
      <c r="H870" s="1">
        <v>4</v>
      </c>
      <c r="I870" s="1" t="s">
        <v>27</v>
      </c>
      <c r="J870" s="1" t="s">
        <v>4403</v>
      </c>
      <c r="K870" s="1" t="s">
        <v>4404</v>
      </c>
      <c r="L870" s="1">
        <v>5</v>
      </c>
      <c r="M870" s="1">
        <v>1</v>
      </c>
      <c r="N870" s="1" t="s">
        <v>30</v>
      </c>
      <c r="O870" s="1" t="s">
        <v>122</v>
      </c>
      <c r="P870" s="1" t="s">
        <v>30</v>
      </c>
      <c r="Q870" s="1" t="s">
        <v>32</v>
      </c>
      <c r="R870" s="1">
        <v>1961.3</v>
      </c>
      <c r="S870" s="1" t="s">
        <v>33</v>
      </c>
      <c r="T870" s="1" t="s">
        <v>47</v>
      </c>
      <c r="U870" s="1" t="s">
        <v>101</v>
      </c>
      <c r="V870" s="1" t="s">
        <v>188</v>
      </c>
    </row>
    <row r="871" spans="1:22" x14ac:dyDescent="0.3">
      <c r="A871" s="1" t="s">
        <v>4405</v>
      </c>
      <c r="B871" s="1" t="s">
        <v>4406</v>
      </c>
      <c r="C871" s="1">
        <v>55</v>
      </c>
      <c r="D871" s="1" t="s">
        <v>4407</v>
      </c>
      <c r="E871" s="1" t="s">
        <v>88</v>
      </c>
      <c r="F871" s="1" t="s">
        <v>2604</v>
      </c>
      <c r="G871" s="1" t="s">
        <v>485</v>
      </c>
      <c r="H871" s="1">
        <v>3</v>
      </c>
      <c r="I871" s="1" t="s">
        <v>27</v>
      </c>
      <c r="J871" s="2">
        <v>45394</v>
      </c>
      <c r="K871" s="1" t="s">
        <v>4408</v>
      </c>
      <c r="L871" s="1">
        <v>6</v>
      </c>
      <c r="M871" s="1">
        <v>4</v>
      </c>
      <c r="N871" s="1" t="s">
        <v>68</v>
      </c>
      <c r="O871" s="1" t="s">
        <v>821</v>
      </c>
      <c r="P871" s="1" t="s">
        <v>68</v>
      </c>
      <c r="Q871" s="1" t="s">
        <v>32</v>
      </c>
      <c r="R871" s="1">
        <v>81.66</v>
      </c>
      <c r="S871" s="1" t="s">
        <v>33</v>
      </c>
      <c r="T871" s="1" t="s">
        <v>47</v>
      </c>
      <c r="U871" s="1" t="s">
        <v>70</v>
      </c>
      <c r="V871" s="1" t="s">
        <v>36</v>
      </c>
    </row>
    <row r="872" spans="1:22" x14ac:dyDescent="0.3">
      <c r="A872" s="1" t="s">
        <v>4409</v>
      </c>
      <c r="B872" s="1" t="s">
        <v>4410</v>
      </c>
      <c r="C872" s="1">
        <v>68</v>
      </c>
      <c r="D872" s="1" t="s">
        <v>4411</v>
      </c>
      <c r="E872" s="1" t="s">
        <v>51</v>
      </c>
      <c r="F872" s="1" t="s">
        <v>589</v>
      </c>
      <c r="G872" s="2">
        <v>44807</v>
      </c>
      <c r="H872" s="1">
        <v>5</v>
      </c>
      <c r="I872" s="1" t="s">
        <v>27</v>
      </c>
      <c r="J872" s="1" t="s">
        <v>3493</v>
      </c>
      <c r="K872" s="1" t="s">
        <v>4412</v>
      </c>
      <c r="L872" s="1">
        <v>3</v>
      </c>
      <c r="M872" s="1">
        <v>7</v>
      </c>
      <c r="N872" s="1" t="s">
        <v>45</v>
      </c>
      <c r="O872" s="1" t="s">
        <v>55</v>
      </c>
      <c r="P872" s="1" t="s">
        <v>56</v>
      </c>
      <c r="Q872" s="1" t="s">
        <v>32</v>
      </c>
      <c r="R872" s="1">
        <v>649.95000000000005</v>
      </c>
      <c r="S872" s="1" t="s">
        <v>46</v>
      </c>
      <c r="T872" s="1" t="s">
        <v>232</v>
      </c>
      <c r="U872" s="1" t="s">
        <v>35</v>
      </c>
      <c r="V872" s="1" t="s">
        <v>188</v>
      </c>
    </row>
    <row r="873" spans="1:22" x14ac:dyDescent="0.3">
      <c r="A873" s="1" t="s">
        <v>4413</v>
      </c>
      <c r="B873" s="1" t="s">
        <v>4414</v>
      </c>
      <c r="C873" s="1">
        <v>67</v>
      </c>
      <c r="D873" s="1" t="s">
        <v>4415</v>
      </c>
      <c r="E873" s="1" t="s">
        <v>51</v>
      </c>
      <c r="F873" s="1" t="s">
        <v>4416</v>
      </c>
      <c r="G873" s="2">
        <v>44876</v>
      </c>
      <c r="H873" s="1">
        <v>3</v>
      </c>
      <c r="I873" s="1" t="s">
        <v>52</v>
      </c>
      <c r="J873" s="1" t="s">
        <v>4417</v>
      </c>
      <c r="K873" s="1" t="s">
        <v>4418</v>
      </c>
      <c r="L873" s="1">
        <v>2</v>
      </c>
      <c r="M873" s="1">
        <v>40</v>
      </c>
      <c r="N873" s="1" t="s">
        <v>56</v>
      </c>
      <c r="O873" s="1" t="s">
        <v>238</v>
      </c>
      <c r="P873" s="1" t="s">
        <v>45</v>
      </c>
      <c r="Q873" s="1" t="s">
        <v>32</v>
      </c>
      <c r="R873" s="1">
        <v>33.42</v>
      </c>
      <c r="S873" s="1" t="s">
        <v>46</v>
      </c>
      <c r="T873" s="1" t="s">
        <v>232</v>
      </c>
      <c r="U873" s="1" t="s">
        <v>101</v>
      </c>
      <c r="V873" s="1" t="s">
        <v>36</v>
      </c>
    </row>
    <row r="874" spans="1:22" x14ac:dyDescent="0.3">
      <c r="A874" s="1" t="s">
        <v>4419</v>
      </c>
      <c r="B874" s="1" t="s">
        <v>4420</v>
      </c>
      <c r="C874" s="1">
        <v>18</v>
      </c>
      <c r="D874" s="1" t="s">
        <v>4421</v>
      </c>
      <c r="E874" s="1" t="s">
        <v>25</v>
      </c>
      <c r="F874" s="1" t="s">
        <v>1562</v>
      </c>
      <c r="G874" s="2">
        <v>44622</v>
      </c>
      <c r="H874" s="1">
        <v>0</v>
      </c>
      <c r="I874" s="1" t="s">
        <v>64</v>
      </c>
      <c r="J874" s="2">
        <v>45086</v>
      </c>
      <c r="K874" s="1" t="s">
        <v>4422</v>
      </c>
      <c r="L874" s="1">
        <v>9</v>
      </c>
      <c r="M874" s="1">
        <v>22</v>
      </c>
      <c r="N874" s="1" t="s">
        <v>30</v>
      </c>
      <c r="O874" s="1" t="s">
        <v>238</v>
      </c>
      <c r="P874" s="1" t="s">
        <v>45</v>
      </c>
      <c r="Q874" s="1" t="s">
        <v>69</v>
      </c>
      <c r="R874" s="1">
        <v>1575.72</v>
      </c>
      <c r="S874" s="1" t="s">
        <v>46</v>
      </c>
      <c r="T874" s="1" t="s">
        <v>100</v>
      </c>
      <c r="U874" s="1" t="s">
        <v>35</v>
      </c>
      <c r="V874" s="1" t="s">
        <v>71</v>
      </c>
    </row>
    <row r="875" spans="1:22" x14ac:dyDescent="0.3">
      <c r="A875" s="1" t="s">
        <v>4423</v>
      </c>
      <c r="B875" s="1" t="s">
        <v>4424</v>
      </c>
      <c r="C875" s="1">
        <v>32</v>
      </c>
      <c r="D875" s="1" t="s">
        <v>4425</v>
      </c>
      <c r="E875" s="1" t="s">
        <v>88</v>
      </c>
      <c r="F875" s="1" t="s">
        <v>422</v>
      </c>
      <c r="G875" s="1" t="s">
        <v>4426</v>
      </c>
      <c r="H875" s="1">
        <v>1</v>
      </c>
      <c r="I875" s="1" t="s">
        <v>27</v>
      </c>
      <c r="J875" s="2">
        <v>45630</v>
      </c>
      <c r="K875" s="1" t="s">
        <v>4427</v>
      </c>
      <c r="L875" s="1">
        <v>3</v>
      </c>
      <c r="M875" s="1">
        <v>43</v>
      </c>
      <c r="N875" s="1" t="s">
        <v>56</v>
      </c>
      <c r="O875" s="1" t="s">
        <v>55</v>
      </c>
      <c r="P875" s="1" t="s">
        <v>56</v>
      </c>
      <c r="Q875" s="1" t="s">
        <v>69</v>
      </c>
      <c r="R875" s="1">
        <v>43.44</v>
      </c>
      <c r="S875" s="1" t="s">
        <v>33</v>
      </c>
      <c r="T875" s="1" t="s">
        <v>57</v>
      </c>
      <c r="U875" s="1" t="s">
        <v>101</v>
      </c>
      <c r="V875" s="1" t="s">
        <v>36</v>
      </c>
    </row>
    <row r="876" spans="1:22" x14ac:dyDescent="0.3">
      <c r="A876" s="1" t="s">
        <v>4428</v>
      </c>
      <c r="B876" s="1" t="s">
        <v>4429</v>
      </c>
      <c r="C876" s="1">
        <v>46</v>
      </c>
      <c r="D876" s="1" t="s">
        <v>4430</v>
      </c>
      <c r="E876" s="1" t="s">
        <v>88</v>
      </c>
      <c r="F876" s="1" t="s">
        <v>4293</v>
      </c>
      <c r="G876" s="2">
        <v>45658</v>
      </c>
      <c r="H876" s="1">
        <v>2</v>
      </c>
      <c r="I876" s="1" t="s">
        <v>27</v>
      </c>
      <c r="J876" s="2">
        <v>43962</v>
      </c>
      <c r="K876" s="1" t="s">
        <v>4431</v>
      </c>
      <c r="L876" s="1">
        <v>7</v>
      </c>
      <c r="M876" s="1">
        <v>46</v>
      </c>
      <c r="N876" s="1" t="s">
        <v>68</v>
      </c>
      <c r="O876" s="1" t="s">
        <v>194</v>
      </c>
      <c r="P876" s="1" t="s">
        <v>56</v>
      </c>
      <c r="Q876" s="1" t="s">
        <v>69</v>
      </c>
      <c r="R876" s="1">
        <v>1949.85</v>
      </c>
      <c r="S876" s="1" t="s">
        <v>46</v>
      </c>
      <c r="T876" s="1" t="s">
        <v>34</v>
      </c>
      <c r="U876" s="1" t="s">
        <v>35</v>
      </c>
      <c r="V876" s="1" t="s">
        <v>36</v>
      </c>
    </row>
    <row r="877" spans="1:22" x14ac:dyDescent="0.3">
      <c r="A877" s="1" t="s">
        <v>4432</v>
      </c>
      <c r="B877" s="1" t="s">
        <v>4433</v>
      </c>
      <c r="C877" s="1">
        <v>62</v>
      </c>
      <c r="D877" s="1" t="s">
        <v>4434</v>
      </c>
      <c r="E877" s="1" t="s">
        <v>61</v>
      </c>
      <c r="F877" s="1" t="s">
        <v>415</v>
      </c>
      <c r="G877" s="2">
        <v>45171</v>
      </c>
      <c r="H877" s="1">
        <v>1</v>
      </c>
      <c r="I877" s="1" t="s">
        <v>27</v>
      </c>
      <c r="J877" s="1" t="s">
        <v>2810</v>
      </c>
      <c r="K877" s="1" t="s">
        <v>4435</v>
      </c>
      <c r="L877" s="1">
        <v>9</v>
      </c>
      <c r="M877" s="1">
        <v>2</v>
      </c>
      <c r="N877" s="1" t="s">
        <v>30</v>
      </c>
      <c r="O877" s="1" t="s">
        <v>604</v>
      </c>
      <c r="P877" s="1" t="s">
        <v>45</v>
      </c>
      <c r="Q877" s="1" t="s">
        <v>32</v>
      </c>
      <c r="R877" s="1">
        <v>1927.62</v>
      </c>
      <c r="S877" s="1" t="s">
        <v>46</v>
      </c>
      <c r="T877" s="1" t="s">
        <v>47</v>
      </c>
      <c r="U877" s="1" t="s">
        <v>35</v>
      </c>
      <c r="V877" s="1" t="s">
        <v>36</v>
      </c>
    </row>
    <row r="878" spans="1:22" x14ac:dyDescent="0.3">
      <c r="A878" s="1" t="s">
        <v>4436</v>
      </c>
      <c r="B878" s="1" t="s">
        <v>4437</v>
      </c>
      <c r="C878" s="1">
        <v>23</v>
      </c>
      <c r="D878" s="1" t="s">
        <v>4438</v>
      </c>
      <c r="E878" s="1" t="s">
        <v>88</v>
      </c>
      <c r="F878" s="2">
        <v>44746</v>
      </c>
      <c r="G878" s="1" t="s">
        <v>274</v>
      </c>
      <c r="H878" s="1">
        <v>5</v>
      </c>
      <c r="I878" s="1" t="s">
        <v>52</v>
      </c>
      <c r="J878" s="1" t="s">
        <v>1307</v>
      </c>
      <c r="K878" s="1" t="s">
        <v>4439</v>
      </c>
      <c r="L878" s="1">
        <v>3</v>
      </c>
      <c r="M878" s="1">
        <v>49</v>
      </c>
      <c r="N878" s="1" t="s">
        <v>30</v>
      </c>
      <c r="O878" s="1" t="s">
        <v>624</v>
      </c>
      <c r="P878" s="1" t="s">
        <v>30</v>
      </c>
      <c r="Q878" s="1" t="s">
        <v>32</v>
      </c>
      <c r="R878" s="1">
        <v>691.62</v>
      </c>
      <c r="S878" s="1" t="s">
        <v>33</v>
      </c>
      <c r="T878" s="1" t="s">
        <v>100</v>
      </c>
      <c r="U878" s="1" t="s">
        <v>35</v>
      </c>
      <c r="V878" s="1" t="s">
        <v>36</v>
      </c>
    </row>
    <row r="879" spans="1:22" x14ac:dyDescent="0.3">
      <c r="A879" s="1" t="s">
        <v>4440</v>
      </c>
      <c r="B879" s="1" t="s">
        <v>4441</v>
      </c>
      <c r="C879" s="1">
        <v>20</v>
      </c>
      <c r="D879" s="1" t="s">
        <v>4442</v>
      </c>
      <c r="E879" s="1" t="s">
        <v>61</v>
      </c>
      <c r="F879" s="1" t="s">
        <v>3354</v>
      </c>
      <c r="G879" s="1" t="s">
        <v>900</v>
      </c>
      <c r="H879" s="1">
        <v>5</v>
      </c>
      <c r="I879" s="1" t="s">
        <v>64</v>
      </c>
      <c r="J879" s="1" t="s">
        <v>1988</v>
      </c>
      <c r="K879" s="1" t="s">
        <v>4443</v>
      </c>
      <c r="L879" s="1">
        <v>3</v>
      </c>
      <c r="M879" s="1">
        <v>32</v>
      </c>
      <c r="N879" s="1" t="s">
        <v>45</v>
      </c>
      <c r="O879" s="1" t="s">
        <v>99</v>
      </c>
      <c r="P879" s="1" t="s">
        <v>56</v>
      </c>
      <c r="Q879" s="1" t="s">
        <v>32</v>
      </c>
      <c r="R879" s="1">
        <v>1168.56</v>
      </c>
      <c r="S879" s="1" t="s">
        <v>46</v>
      </c>
      <c r="T879" s="1" t="s">
        <v>100</v>
      </c>
      <c r="U879" s="1" t="s">
        <v>35</v>
      </c>
      <c r="V879" s="1" t="s">
        <v>71</v>
      </c>
    </row>
    <row r="880" spans="1:22" x14ac:dyDescent="0.3">
      <c r="A880" s="1" t="s">
        <v>4444</v>
      </c>
      <c r="B880" s="1" t="s">
        <v>4445</v>
      </c>
      <c r="C880" s="1">
        <v>66</v>
      </c>
      <c r="D880" s="1" t="s">
        <v>4446</v>
      </c>
      <c r="E880" s="1" t="s">
        <v>88</v>
      </c>
      <c r="F880" s="1" t="s">
        <v>4447</v>
      </c>
      <c r="G880" s="1" t="s">
        <v>2208</v>
      </c>
      <c r="H880" s="1">
        <v>2</v>
      </c>
      <c r="I880" s="1" t="s">
        <v>64</v>
      </c>
      <c r="J880" s="1" t="s">
        <v>2649</v>
      </c>
      <c r="K880" s="1" t="s">
        <v>4448</v>
      </c>
      <c r="L880" s="1">
        <v>7</v>
      </c>
      <c r="M880" s="1">
        <v>38</v>
      </c>
      <c r="N880" s="1" t="s">
        <v>45</v>
      </c>
      <c r="O880" s="1" t="s">
        <v>122</v>
      </c>
      <c r="P880" s="1" t="s">
        <v>30</v>
      </c>
      <c r="Q880" s="1" t="s">
        <v>69</v>
      </c>
      <c r="R880" s="1">
        <v>359.59</v>
      </c>
      <c r="S880" s="1" t="s">
        <v>46</v>
      </c>
      <c r="T880" s="1" t="s">
        <v>232</v>
      </c>
      <c r="U880" s="1" t="s">
        <v>35</v>
      </c>
      <c r="V880" s="1" t="s">
        <v>71</v>
      </c>
    </row>
    <row r="881" spans="1:22" x14ac:dyDescent="0.3">
      <c r="A881" s="1" t="s">
        <v>4449</v>
      </c>
      <c r="B881" s="1" t="s">
        <v>4450</v>
      </c>
      <c r="C881" s="1">
        <v>57</v>
      </c>
      <c r="D881" s="1" t="s">
        <v>4451</v>
      </c>
      <c r="E881" s="1" t="s">
        <v>25</v>
      </c>
      <c r="F881" s="1" t="s">
        <v>3407</v>
      </c>
      <c r="G881" s="1" t="s">
        <v>2213</v>
      </c>
      <c r="H881" s="1">
        <v>1</v>
      </c>
      <c r="I881" s="1" t="s">
        <v>52</v>
      </c>
      <c r="J881" s="2">
        <v>45207</v>
      </c>
      <c r="K881" s="1" t="s">
        <v>4452</v>
      </c>
      <c r="L881" s="1">
        <v>3</v>
      </c>
      <c r="M881" s="1">
        <v>2</v>
      </c>
      <c r="N881" s="1" t="s">
        <v>54</v>
      </c>
      <c r="O881" s="1" t="s">
        <v>418</v>
      </c>
      <c r="P881" s="1" t="s">
        <v>56</v>
      </c>
      <c r="Q881" s="1" t="s">
        <v>32</v>
      </c>
      <c r="R881" s="1">
        <v>368.07</v>
      </c>
      <c r="S881" s="1" t="s">
        <v>46</v>
      </c>
      <c r="T881" s="1" t="s">
        <v>47</v>
      </c>
      <c r="U881" s="1" t="s">
        <v>70</v>
      </c>
      <c r="V881" s="1" t="s">
        <v>36</v>
      </c>
    </row>
    <row r="882" spans="1:22" x14ac:dyDescent="0.3">
      <c r="A882" s="1" t="s">
        <v>4453</v>
      </c>
      <c r="B882" s="1" t="s">
        <v>4454</v>
      </c>
      <c r="C882" s="1">
        <v>69</v>
      </c>
      <c r="D882" s="1" t="s">
        <v>4455</v>
      </c>
      <c r="E882" s="1" t="s">
        <v>40</v>
      </c>
      <c r="F882" s="1" t="s">
        <v>440</v>
      </c>
      <c r="G882" s="1" t="s">
        <v>4456</v>
      </c>
      <c r="H882" s="1">
        <v>2</v>
      </c>
      <c r="I882" s="1" t="s">
        <v>27</v>
      </c>
      <c r="J882" s="1" t="s">
        <v>4457</v>
      </c>
      <c r="K882" s="1" t="s">
        <v>4458</v>
      </c>
      <c r="L882" s="1">
        <v>6</v>
      </c>
      <c r="M882" s="1">
        <v>14</v>
      </c>
      <c r="N882" s="1" t="s">
        <v>30</v>
      </c>
      <c r="O882" s="1" t="s">
        <v>837</v>
      </c>
      <c r="P882" s="1" t="s">
        <v>56</v>
      </c>
      <c r="Q882" s="1" t="s">
        <v>322</v>
      </c>
      <c r="R882" s="1">
        <v>1983.72</v>
      </c>
      <c r="S882" s="1" t="s">
        <v>46</v>
      </c>
      <c r="T882" s="1" t="s">
        <v>232</v>
      </c>
      <c r="U882" s="1" t="s">
        <v>35</v>
      </c>
      <c r="V882" s="1" t="s">
        <v>36</v>
      </c>
    </row>
    <row r="883" spans="1:22" x14ac:dyDescent="0.3">
      <c r="A883" s="1" t="s">
        <v>4459</v>
      </c>
      <c r="B883" s="1" t="s">
        <v>4460</v>
      </c>
      <c r="C883" s="1">
        <v>18</v>
      </c>
      <c r="D883" s="1" t="s">
        <v>4461</v>
      </c>
      <c r="E883" s="1" t="s">
        <v>40</v>
      </c>
      <c r="F883" s="2">
        <v>44780</v>
      </c>
      <c r="G883" s="2">
        <v>44987</v>
      </c>
      <c r="H883" s="1">
        <v>3</v>
      </c>
      <c r="I883" s="1" t="s">
        <v>27</v>
      </c>
      <c r="J883" s="1" t="s">
        <v>2276</v>
      </c>
      <c r="K883" s="1" t="s">
        <v>4462</v>
      </c>
      <c r="L883" s="1">
        <v>9</v>
      </c>
      <c r="M883" s="1">
        <v>19</v>
      </c>
      <c r="N883" s="1" t="s">
        <v>54</v>
      </c>
      <c r="O883" s="1" t="s">
        <v>55</v>
      </c>
      <c r="P883" s="1" t="s">
        <v>56</v>
      </c>
      <c r="Q883" s="1" t="s">
        <v>69</v>
      </c>
      <c r="R883" s="1">
        <v>1422.36</v>
      </c>
      <c r="S883" s="1" t="s">
        <v>46</v>
      </c>
      <c r="T883" s="1" t="s">
        <v>100</v>
      </c>
      <c r="U883" s="1" t="s">
        <v>35</v>
      </c>
      <c r="V883" s="1" t="s">
        <v>36</v>
      </c>
    </row>
    <row r="884" spans="1:22" x14ac:dyDescent="0.3">
      <c r="A884" s="1" t="s">
        <v>4463</v>
      </c>
      <c r="B884" s="1" t="s">
        <v>4464</v>
      </c>
      <c r="C884" s="1">
        <v>33</v>
      </c>
      <c r="D884" s="1" t="s">
        <v>4465</v>
      </c>
      <c r="E884" s="1" t="s">
        <v>88</v>
      </c>
      <c r="F884" s="1" t="s">
        <v>3174</v>
      </c>
      <c r="G884" s="2">
        <v>45937</v>
      </c>
      <c r="H884" s="1">
        <v>4</v>
      </c>
      <c r="I884" s="1" t="s">
        <v>27</v>
      </c>
      <c r="J884" s="1" t="s">
        <v>4466</v>
      </c>
      <c r="K884" s="1" t="s">
        <v>4467</v>
      </c>
      <c r="L884" s="1">
        <v>3</v>
      </c>
      <c r="M884" s="1">
        <v>10</v>
      </c>
      <c r="N884" s="1" t="s">
        <v>54</v>
      </c>
      <c r="O884" s="1" t="s">
        <v>610</v>
      </c>
      <c r="P884" s="1" t="s">
        <v>68</v>
      </c>
      <c r="Q884" s="1" t="s">
        <v>69</v>
      </c>
      <c r="R884" s="1">
        <v>619.14</v>
      </c>
      <c r="S884" s="1" t="s">
        <v>46</v>
      </c>
      <c r="T884" s="1" t="s">
        <v>57</v>
      </c>
      <c r="U884" s="1" t="s">
        <v>35</v>
      </c>
      <c r="V884" s="1" t="s">
        <v>188</v>
      </c>
    </row>
    <row r="885" spans="1:22" x14ac:dyDescent="0.3">
      <c r="A885" s="1" t="s">
        <v>4468</v>
      </c>
      <c r="B885" s="1" t="s">
        <v>4469</v>
      </c>
      <c r="C885" s="1">
        <v>24</v>
      </c>
      <c r="D885" s="1" t="s">
        <v>4470</v>
      </c>
      <c r="E885" s="1" t="s">
        <v>95</v>
      </c>
      <c r="F885" s="1" t="s">
        <v>4471</v>
      </c>
      <c r="G885" s="1" t="s">
        <v>236</v>
      </c>
      <c r="H885" s="1">
        <v>3</v>
      </c>
      <c r="I885" s="1" t="s">
        <v>64</v>
      </c>
      <c r="J885" s="1" t="s">
        <v>669</v>
      </c>
      <c r="K885" s="1" t="s">
        <v>4472</v>
      </c>
      <c r="L885" s="1">
        <v>8</v>
      </c>
      <c r="M885" s="1">
        <v>35</v>
      </c>
      <c r="N885" s="1" t="s">
        <v>56</v>
      </c>
      <c r="O885" s="1" t="s">
        <v>169</v>
      </c>
      <c r="P885" s="1" t="s">
        <v>30</v>
      </c>
      <c r="Q885" s="1" t="s">
        <v>32</v>
      </c>
      <c r="R885" s="1">
        <v>633.44000000000005</v>
      </c>
      <c r="S885" s="1" t="s">
        <v>46</v>
      </c>
      <c r="T885" s="1" t="s">
        <v>100</v>
      </c>
      <c r="U885" s="1" t="s">
        <v>35</v>
      </c>
      <c r="V885" s="1" t="s">
        <v>71</v>
      </c>
    </row>
    <row r="886" spans="1:22" x14ac:dyDescent="0.3">
      <c r="A886" s="1" t="s">
        <v>4473</v>
      </c>
      <c r="B886" s="1" t="s">
        <v>4474</v>
      </c>
      <c r="C886" s="1">
        <v>45</v>
      </c>
      <c r="D886" s="1" t="s">
        <v>4475</v>
      </c>
      <c r="E886" s="1" t="s">
        <v>88</v>
      </c>
      <c r="F886" s="1" t="s">
        <v>3700</v>
      </c>
      <c r="G886" s="1" t="s">
        <v>2208</v>
      </c>
      <c r="H886" s="1">
        <v>2</v>
      </c>
      <c r="I886" s="1" t="s">
        <v>52</v>
      </c>
      <c r="J886" s="2">
        <v>45905</v>
      </c>
      <c r="K886" s="1" t="s">
        <v>4476</v>
      </c>
      <c r="L886" s="1">
        <v>6</v>
      </c>
      <c r="M886" s="1">
        <v>39</v>
      </c>
      <c r="N886" s="1" t="s">
        <v>30</v>
      </c>
      <c r="O886" s="1" t="s">
        <v>604</v>
      </c>
      <c r="P886" s="1" t="s">
        <v>45</v>
      </c>
      <c r="Q886" s="1" t="s">
        <v>32</v>
      </c>
      <c r="R886" s="1">
        <v>1530.84</v>
      </c>
      <c r="S886" s="1" t="s">
        <v>46</v>
      </c>
      <c r="T886" s="1" t="s">
        <v>34</v>
      </c>
      <c r="U886" s="1" t="s">
        <v>35</v>
      </c>
      <c r="V886" s="1" t="s">
        <v>36</v>
      </c>
    </row>
    <row r="887" spans="1:22" x14ac:dyDescent="0.3">
      <c r="A887" s="1" t="s">
        <v>4477</v>
      </c>
      <c r="B887" s="1" t="s">
        <v>4478</v>
      </c>
      <c r="C887" s="1">
        <v>57</v>
      </c>
      <c r="D887" s="1" t="s">
        <v>4479</v>
      </c>
      <c r="E887" s="1" t="s">
        <v>61</v>
      </c>
      <c r="F887" s="1" t="s">
        <v>651</v>
      </c>
      <c r="G887" s="1" t="s">
        <v>3102</v>
      </c>
      <c r="H887" s="1">
        <v>1</v>
      </c>
      <c r="I887" s="1" t="s">
        <v>27</v>
      </c>
      <c r="J887" s="1" t="s">
        <v>873</v>
      </c>
      <c r="K887" s="1" t="s">
        <v>4480</v>
      </c>
      <c r="L887" s="1">
        <v>8</v>
      </c>
      <c r="M887" s="1">
        <v>35</v>
      </c>
      <c r="N887" s="1" t="s">
        <v>30</v>
      </c>
      <c r="O887" s="1" t="s">
        <v>624</v>
      </c>
      <c r="P887" s="1" t="s">
        <v>30</v>
      </c>
      <c r="Q887" s="1" t="s">
        <v>32</v>
      </c>
      <c r="R887" s="1">
        <v>298.39999999999998</v>
      </c>
      <c r="S887" s="1" t="s">
        <v>33</v>
      </c>
      <c r="T887" s="1" t="s">
        <v>47</v>
      </c>
      <c r="U887" s="1" t="s">
        <v>35</v>
      </c>
      <c r="V887" s="1" t="s">
        <v>36</v>
      </c>
    </row>
    <row r="888" spans="1:22" x14ac:dyDescent="0.3">
      <c r="A888" s="1" t="s">
        <v>4481</v>
      </c>
      <c r="B888" s="1" t="s">
        <v>4482</v>
      </c>
      <c r="C888" s="1">
        <v>61</v>
      </c>
      <c r="D888" s="1" t="s">
        <v>4483</v>
      </c>
      <c r="E888" s="1" t="s">
        <v>51</v>
      </c>
      <c r="F888" s="1" t="s">
        <v>4484</v>
      </c>
      <c r="G888" s="1" t="s">
        <v>1174</v>
      </c>
      <c r="H888" s="1">
        <v>5</v>
      </c>
      <c r="I888" s="1" t="s">
        <v>27</v>
      </c>
      <c r="J888" s="1" t="s">
        <v>1950</v>
      </c>
      <c r="K888" s="1" t="s">
        <v>4485</v>
      </c>
      <c r="L888" s="1">
        <v>8</v>
      </c>
      <c r="M888" s="1">
        <v>19</v>
      </c>
      <c r="N888" s="1" t="s">
        <v>45</v>
      </c>
      <c r="O888" s="1" t="s">
        <v>269</v>
      </c>
      <c r="P888" s="1" t="s">
        <v>56</v>
      </c>
      <c r="Q888" s="1" t="s">
        <v>32</v>
      </c>
      <c r="R888" s="1">
        <v>1635.76</v>
      </c>
      <c r="S888" s="1" t="s">
        <v>46</v>
      </c>
      <c r="T888" s="1" t="s">
        <v>47</v>
      </c>
      <c r="U888" s="1" t="s">
        <v>35</v>
      </c>
      <c r="V888" s="1" t="s">
        <v>188</v>
      </c>
    </row>
    <row r="889" spans="1:22" x14ac:dyDescent="0.3">
      <c r="A889" s="1" t="s">
        <v>4486</v>
      </c>
      <c r="B889" s="1" t="s">
        <v>4487</v>
      </c>
      <c r="C889" s="1">
        <v>46</v>
      </c>
      <c r="D889" s="1" t="s">
        <v>4488</v>
      </c>
      <c r="E889" s="1" t="s">
        <v>88</v>
      </c>
      <c r="F889" s="2">
        <v>44202</v>
      </c>
      <c r="G889" s="2">
        <v>45209</v>
      </c>
      <c r="H889" s="1">
        <v>5</v>
      </c>
      <c r="I889" s="1" t="s">
        <v>52</v>
      </c>
      <c r="J889" s="2">
        <v>45996</v>
      </c>
      <c r="K889" s="1" t="s">
        <v>4489</v>
      </c>
      <c r="L889" s="1">
        <v>2</v>
      </c>
      <c r="M889" s="1">
        <v>34</v>
      </c>
      <c r="N889" s="1" t="s">
        <v>56</v>
      </c>
      <c r="O889" s="1" t="s">
        <v>169</v>
      </c>
      <c r="P889" s="1" t="s">
        <v>30</v>
      </c>
      <c r="Q889" s="1" t="s">
        <v>32</v>
      </c>
      <c r="R889" s="1">
        <v>135.16</v>
      </c>
      <c r="S889" s="1" t="s">
        <v>46</v>
      </c>
      <c r="T889" s="1" t="s">
        <v>34</v>
      </c>
      <c r="U889" s="1" t="s">
        <v>35</v>
      </c>
      <c r="V889" s="1" t="s">
        <v>36</v>
      </c>
    </row>
    <row r="890" spans="1:22" x14ac:dyDescent="0.3">
      <c r="A890" s="1" t="s">
        <v>4490</v>
      </c>
      <c r="B890" s="1" t="s">
        <v>4491</v>
      </c>
      <c r="C890" s="1">
        <v>61</v>
      </c>
      <c r="D890" s="1" t="s">
        <v>4492</v>
      </c>
      <c r="E890" s="1" t="s">
        <v>61</v>
      </c>
      <c r="F890" s="2">
        <v>44473</v>
      </c>
      <c r="G890" s="1" t="s">
        <v>917</v>
      </c>
      <c r="H890" s="1">
        <v>0</v>
      </c>
      <c r="I890" s="1" t="s">
        <v>27</v>
      </c>
      <c r="J890" s="1" t="s">
        <v>1884</v>
      </c>
      <c r="K890" s="1" t="s">
        <v>4493</v>
      </c>
      <c r="L890" s="1">
        <v>8</v>
      </c>
      <c r="M890" s="1">
        <v>36</v>
      </c>
      <c r="N890" s="1" t="s">
        <v>54</v>
      </c>
      <c r="O890" s="1" t="s">
        <v>31</v>
      </c>
      <c r="P890" s="1" t="s">
        <v>30</v>
      </c>
      <c r="Q890" s="1" t="s">
        <v>69</v>
      </c>
      <c r="R890" s="1">
        <v>966.24</v>
      </c>
      <c r="S890" s="1" t="s">
        <v>46</v>
      </c>
      <c r="T890" s="1" t="s">
        <v>47</v>
      </c>
      <c r="U890" s="1" t="s">
        <v>35</v>
      </c>
      <c r="V890" s="1" t="s">
        <v>36</v>
      </c>
    </row>
    <row r="891" spans="1:22" x14ac:dyDescent="0.3">
      <c r="A891" s="1" t="s">
        <v>4494</v>
      </c>
      <c r="B891" s="1" t="s">
        <v>4495</v>
      </c>
      <c r="C891" s="1">
        <v>51</v>
      </c>
      <c r="D891" s="1" t="s">
        <v>4496</v>
      </c>
      <c r="E891" s="1" t="s">
        <v>95</v>
      </c>
      <c r="F891" s="1" t="s">
        <v>1705</v>
      </c>
      <c r="G891" s="1" t="s">
        <v>1827</v>
      </c>
      <c r="H891" s="1">
        <v>4</v>
      </c>
      <c r="I891" s="1" t="s">
        <v>27</v>
      </c>
      <c r="J891" s="2">
        <v>45141</v>
      </c>
      <c r="K891" s="1" t="s">
        <v>4497</v>
      </c>
      <c r="L891" s="1">
        <v>5</v>
      </c>
      <c r="M891" s="1">
        <v>1</v>
      </c>
      <c r="N891" s="1" t="s">
        <v>45</v>
      </c>
      <c r="O891" s="1" t="s">
        <v>425</v>
      </c>
      <c r="P891" s="1" t="s">
        <v>30</v>
      </c>
      <c r="Q891" s="1" t="s">
        <v>69</v>
      </c>
      <c r="R891" s="1">
        <v>55.7</v>
      </c>
      <c r="S891" s="1" t="s">
        <v>46</v>
      </c>
      <c r="T891" s="1" t="s">
        <v>47</v>
      </c>
      <c r="U891" s="1" t="s">
        <v>70</v>
      </c>
      <c r="V891" s="1" t="s">
        <v>188</v>
      </c>
    </row>
    <row r="892" spans="1:22" x14ac:dyDescent="0.3">
      <c r="A892" s="1" t="s">
        <v>4498</v>
      </c>
      <c r="B892" s="1" t="s">
        <v>4499</v>
      </c>
      <c r="C892" s="1">
        <v>48</v>
      </c>
      <c r="D892" s="1" t="s">
        <v>4500</v>
      </c>
      <c r="E892" s="1" t="s">
        <v>40</v>
      </c>
      <c r="F892" s="2">
        <v>44238</v>
      </c>
      <c r="G892" s="1" t="s">
        <v>2966</v>
      </c>
      <c r="H892" s="1">
        <v>0</v>
      </c>
      <c r="I892" s="1" t="s">
        <v>27</v>
      </c>
      <c r="J892" s="1" t="s">
        <v>377</v>
      </c>
      <c r="K892" s="1" t="s">
        <v>4501</v>
      </c>
      <c r="L892" s="1">
        <v>1</v>
      </c>
      <c r="M892" s="1">
        <v>21</v>
      </c>
      <c r="N892" s="1" t="s">
        <v>45</v>
      </c>
      <c r="O892" s="1" t="s">
        <v>91</v>
      </c>
      <c r="P892" s="1" t="s">
        <v>54</v>
      </c>
      <c r="Q892" s="1" t="s">
        <v>32</v>
      </c>
      <c r="R892" s="1">
        <v>1928.31</v>
      </c>
      <c r="S892" s="1" t="s">
        <v>46</v>
      </c>
      <c r="T892" s="1" t="s">
        <v>34</v>
      </c>
      <c r="U892" s="1" t="s">
        <v>35</v>
      </c>
      <c r="V892" s="1" t="s">
        <v>36</v>
      </c>
    </row>
    <row r="893" spans="1:22" x14ac:dyDescent="0.3">
      <c r="A893" s="1" t="s">
        <v>4502</v>
      </c>
      <c r="B893" s="1" t="s">
        <v>4503</v>
      </c>
      <c r="C893" s="1">
        <v>50</v>
      </c>
      <c r="D893" s="1" t="s">
        <v>4504</v>
      </c>
      <c r="E893" s="1" t="s">
        <v>88</v>
      </c>
      <c r="F893" s="1" t="s">
        <v>2201</v>
      </c>
      <c r="G893" s="1" t="s">
        <v>4505</v>
      </c>
      <c r="H893" s="1">
        <v>0</v>
      </c>
      <c r="I893" s="1" t="s">
        <v>27</v>
      </c>
      <c r="J893" s="2">
        <v>45635</v>
      </c>
      <c r="K893" s="1" t="s">
        <v>4506</v>
      </c>
      <c r="L893" s="1">
        <v>9</v>
      </c>
      <c r="M893" s="1">
        <v>5</v>
      </c>
      <c r="N893" s="1" t="s">
        <v>68</v>
      </c>
      <c r="O893" s="1" t="s">
        <v>223</v>
      </c>
      <c r="P893" s="1" t="s">
        <v>56</v>
      </c>
      <c r="Q893" s="1" t="s">
        <v>32</v>
      </c>
      <c r="R893" s="1">
        <v>811.98</v>
      </c>
      <c r="S893" s="1" t="s">
        <v>46</v>
      </c>
      <c r="T893" s="1" t="s">
        <v>47</v>
      </c>
      <c r="U893" s="1" t="s">
        <v>35</v>
      </c>
      <c r="V893" s="1" t="s">
        <v>36</v>
      </c>
    </row>
    <row r="894" spans="1:22" x14ac:dyDescent="0.3">
      <c r="A894" s="1" t="s">
        <v>4507</v>
      </c>
      <c r="B894" s="1" t="s">
        <v>4508</v>
      </c>
      <c r="C894" s="1">
        <v>55</v>
      </c>
      <c r="D894" s="1" t="s">
        <v>4509</v>
      </c>
      <c r="E894" s="1" t="s">
        <v>95</v>
      </c>
      <c r="F894" s="1" t="s">
        <v>3831</v>
      </c>
      <c r="G894" s="1" t="s">
        <v>846</v>
      </c>
      <c r="H894" s="1">
        <v>1</v>
      </c>
      <c r="I894" s="1" t="s">
        <v>64</v>
      </c>
      <c r="J894" s="2">
        <v>44322</v>
      </c>
      <c r="K894" s="1" t="s">
        <v>4510</v>
      </c>
      <c r="L894" s="1">
        <v>3</v>
      </c>
      <c r="M894" s="1">
        <v>24</v>
      </c>
      <c r="N894" s="1" t="s">
        <v>45</v>
      </c>
      <c r="O894" s="1" t="s">
        <v>373</v>
      </c>
      <c r="P894" s="1" t="s">
        <v>54</v>
      </c>
      <c r="Q894" s="1" t="s">
        <v>32</v>
      </c>
      <c r="R894" s="1">
        <v>1715.82</v>
      </c>
      <c r="S894" s="1" t="s">
        <v>46</v>
      </c>
      <c r="T894" s="1" t="s">
        <v>47</v>
      </c>
      <c r="U894" s="1" t="s">
        <v>35</v>
      </c>
      <c r="V894" s="1" t="s">
        <v>71</v>
      </c>
    </row>
    <row r="895" spans="1:22" x14ac:dyDescent="0.3">
      <c r="A895" s="1" t="s">
        <v>4511</v>
      </c>
      <c r="B895" s="1" t="s">
        <v>4512</v>
      </c>
      <c r="C895" s="1">
        <v>35</v>
      </c>
      <c r="D895" s="1" t="s">
        <v>4513</v>
      </c>
      <c r="E895" s="1" t="s">
        <v>61</v>
      </c>
      <c r="F895" s="2">
        <v>44512</v>
      </c>
      <c r="G895" s="1" t="s">
        <v>1095</v>
      </c>
      <c r="H895" s="1">
        <v>0</v>
      </c>
      <c r="I895" s="1" t="s">
        <v>52</v>
      </c>
      <c r="J895" s="1" t="s">
        <v>1725</v>
      </c>
      <c r="K895" s="1" t="s">
        <v>4514</v>
      </c>
      <c r="L895" s="1">
        <v>5</v>
      </c>
      <c r="M895" s="1">
        <v>32</v>
      </c>
      <c r="N895" s="1" t="s">
        <v>45</v>
      </c>
      <c r="O895" s="1" t="s">
        <v>44</v>
      </c>
      <c r="P895" s="1" t="s">
        <v>45</v>
      </c>
      <c r="Q895" s="1" t="s">
        <v>32</v>
      </c>
      <c r="R895" s="1">
        <v>1472.05</v>
      </c>
      <c r="S895" s="1" t="s">
        <v>33</v>
      </c>
      <c r="T895" s="1" t="s">
        <v>34</v>
      </c>
      <c r="U895" s="1" t="s">
        <v>35</v>
      </c>
      <c r="V895" s="1" t="s">
        <v>36</v>
      </c>
    </row>
    <row r="896" spans="1:22" x14ac:dyDescent="0.3">
      <c r="A896" s="1" t="s">
        <v>4515</v>
      </c>
      <c r="B896" s="1" t="s">
        <v>4516</v>
      </c>
      <c r="C896" s="1">
        <v>21</v>
      </c>
      <c r="D896" s="1" t="s">
        <v>4517</v>
      </c>
      <c r="E896" s="1" t="s">
        <v>51</v>
      </c>
      <c r="F896" s="1" t="s">
        <v>3921</v>
      </c>
      <c r="G896" s="2">
        <v>45482</v>
      </c>
      <c r="H896" s="1">
        <v>0</v>
      </c>
      <c r="I896" s="1" t="s">
        <v>64</v>
      </c>
      <c r="J896" s="1" t="s">
        <v>1100</v>
      </c>
      <c r="K896" s="1" t="s">
        <v>546</v>
      </c>
      <c r="L896" s="1">
        <v>7</v>
      </c>
      <c r="M896" s="1">
        <v>22</v>
      </c>
      <c r="N896" s="1" t="s">
        <v>56</v>
      </c>
      <c r="O896" s="1" t="s">
        <v>610</v>
      </c>
      <c r="P896" s="1" t="s">
        <v>68</v>
      </c>
      <c r="Q896" s="1" t="s">
        <v>322</v>
      </c>
      <c r="R896" s="1">
        <v>477.47</v>
      </c>
      <c r="S896" s="1" t="s">
        <v>46</v>
      </c>
      <c r="T896" s="1" t="s">
        <v>100</v>
      </c>
      <c r="U896" s="1" t="s">
        <v>35</v>
      </c>
      <c r="V896" s="1" t="s">
        <v>71</v>
      </c>
    </row>
    <row r="897" spans="1:22" x14ac:dyDescent="0.3">
      <c r="A897" s="1" t="s">
        <v>4518</v>
      </c>
      <c r="B897" s="1" t="s">
        <v>4519</v>
      </c>
      <c r="C897" s="1">
        <v>51</v>
      </c>
      <c r="D897" s="1" t="s">
        <v>4520</v>
      </c>
      <c r="E897" s="1" t="s">
        <v>88</v>
      </c>
      <c r="F897" s="1" t="s">
        <v>1923</v>
      </c>
      <c r="G897" s="1" t="s">
        <v>2790</v>
      </c>
      <c r="H897" s="1">
        <v>2</v>
      </c>
      <c r="I897" s="1" t="s">
        <v>27</v>
      </c>
      <c r="J897" s="1" t="s">
        <v>2579</v>
      </c>
      <c r="K897" s="1" t="s">
        <v>4521</v>
      </c>
      <c r="L897" s="1">
        <v>3</v>
      </c>
      <c r="M897" s="1">
        <v>31</v>
      </c>
      <c r="N897" s="1" t="s">
        <v>68</v>
      </c>
      <c r="O897" s="1" t="s">
        <v>175</v>
      </c>
      <c r="P897" s="1" t="s">
        <v>56</v>
      </c>
      <c r="Q897" s="1" t="s">
        <v>32</v>
      </c>
      <c r="R897" s="1">
        <v>404.04</v>
      </c>
      <c r="S897" s="1" t="s">
        <v>46</v>
      </c>
      <c r="T897" s="1" t="s">
        <v>47</v>
      </c>
      <c r="U897" s="1" t="s">
        <v>35</v>
      </c>
      <c r="V897" s="1" t="s">
        <v>36</v>
      </c>
    </row>
    <row r="898" spans="1:22" x14ac:dyDescent="0.3">
      <c r="A898" s="1" t="s">
        <v>4522</v>
      </c>
      <c r="B898" s="1" t="s">
        <v>4523</v>
      </c>
      <c r="C898" s="1">
        <v>50</v>
      </c>
      <c r="D898" s="1" t="s">
        <v>4524</v>
      </c>
      <c r="E898" s="1" t="s">
        <v>51</v>
      </c>
      <c r="F898" s="2">
        <v>44632</v>
      </c>
      <c r="G898" s="1" t="s">
        <v>1064</v>
      </c>
      <c r="H898" s="1">
        <v>5</v>
      </c>
      <c r="I898" s="1" t="s">
        <v>27</v>
      </c>
      <c r="J898" s="2">
        <v>45144</v>
      </c>
      <c r="K898" s="1" t="s">
        <v>4525</v>
      </c>
      <c r="L898" s="1">
        <v>5</v>
      </c>
      <c r="M898" s="1">
        <v>42</v>
      </c>
      <c r="N898" s="1" t="s">
        <v>45</v>
      </c>
      <c r="O898" s="1" t="s">
        <v>597</v>
      </c>
      <c r="P898" s="1" t="s">
        <v>45</v>
      </c>
      <c r="Q898" s="1" t="s">
        <v>322</v>
      </c>
      <c r="R898" s="1">
        <v>1475.35</v>
      </c>
      <c r="S898" s="1" t="s">
        <v>33</v>
      </c>
      <c r="T898" s="1" t="s">
        <v>47</v>
      </c>
      <c r="U898" s="1" t="s">
        <v>35</v>
      </c>
      <c r="V898" s="1" t="s">
        <v>188</v>
      </c>
    </row>
    <row r="899" spans="1:22" x14ac:dyDescent="0.3">
      <c r="A899" s="1" t="s">
        <v>4526</v>
      </c>
      <c r="B899" s="1" t="s">
        <v>4527</v>
      </c>
      <c r="C899" s="1">
        <v>44</v>
      </c>
      <c r="D899" s="1" t="s">
        <v>4528</v>
      </c>
      <c r="E899" s="1" t="s">
        <v>51</v>
      </c>
      <c r="F899" s="2">
        <v>44472</v>
      </c>
      <c r="G899" s="2">
        <v>45598</v>
      </c>
      <c r="H899" s="1">
        <v>5</v>
      </c>
      <c r="I899" s="1" t="s">
        <v>27</v>
      </c>
      <c r="J899" s="1" t="s">
        <v>3972</v>
      </c>
      <c r="K899" s="1" t="s">
        <v>4529</v>
      </c>
      <c r="L899" s="1">
        <v>9</v>
      </c>
      <c r="M899" s="1">
        <v>17</v>
      </c>
      <c r="N899" s="1" t="s">
        <v>68</v>
      </c>
      <c r="O899" s="1" t="s">
        <v>31</v>
      </c>
      <c r="P899" s="1" t="s">
        <v>30</v>
      </c>
      <c r="Q899" s="1" t="s">
        <v>32</v>
      </c>
      <c r="R899" s="1">
        <v>1514.7</v>
      </c>
      <c r="S899" s="1" t="s">
        <v>46</v>
      </c>
      <c r="T899" s="1" t="s">
        <v>34</v>
      </c>
      <c r="U899" s="1" t="s">
        <v>35</v>
      </c>
      <c r="V899" s="1" t="s">
        <v>188</v>
      </c>
    </row>
    <row r="900" spans="1:22" x14ac:dyDescent="0.3">
      <c r="A900" s="1" t="s">
        <v>4530</v>
      </c>
      <c r="B900" s="1" t="s">
        <v>4531</v>
      </c>
      <c r="C900" s="1">
        <v>39</v>
      </c>
      <c r="D900" s="1" t="s">
        <v>4532</v>
      </c>
      <c r="E900" s="1" t="s">
        <v>61</v>
      </c>
      <c r="F900" s="1" t="s">
        <v>4533</v>
      </c>
      <c r="G900" s="1" t="s">
        <v>339</v>
      </c>
      <c r="H900" s="1">
        <v>3</v>
      </c>
      <c r="I900" s="1" t="s">
        <v>64</v>
      </c>
      <c r="J900" s="2">
        <v>44595</v>
      </c>
      <c r="K900" s="1" t="s">
        <v>4534</v>
      </c>
      <c r="L900" s="1">
        <v>9</v>
      </c>
      <c r="M900" s="1">
        <v>32</v>
      </c>
      <c r="N900" s="1" t="s">
        <v>54</v>
      </c>
      <c r="O900" s="1" t="s">
        <v>624</v>
      </c>
      <c r="P900" s="1" t="s">
        <v>30</v>
      </c>
      <c r="Q900" s="1" t="s">
        <v>69</v>
      </c>
      <c r="R900" s="1">
        <v>1210.5899999999999</v>
      </c>
      <c r="S900" s="1" t="s">
        <v>46</v>
      </c>
      <c r="T900" s="1" t="s">
        <v>34</v>
      </c>
      <c r="U900" s="1" t="s">
        <v>35</v>
      </c>
      <c r="V900" s="1" t="s">
        <v>71</v>
      </c>
    </row>
    <row r="901" spans="1:22" x14ac:dyDescent="0.3">
      <c r="A901" s="1" t="s">
        <v>4535</v>
      </c>
      <c r="B901" s="1" t="s">
        <v>4536</v>
      </c>
      <c r="C901" s="1">
        <v>50</v>
      </c>
      <c r="D901" s="1" t="s">
        <v>4537</v>
      </c>
      <c r="E901" s="1" t="s">
        <v>40</v>
      </c>
      <c r="F901" s="1" t="s">
        <v>4538</v>
      </c>
      <c r="G901" s="2">
        <v>44654</v>
      </c>
      <c r="H901" s="1">
        <v>1</v>
      </c>
      <c r="I901" s="1" t="s">
        <v>52</v>
      </c>
      <c r="J901" s="1" t="s">
        <v>4539</v>
      </c>
      <c r="K901" s="1" t="s">
        <v>121</v>
      </c>
      <c r="L901" s="1">
        <v>7</v>
      </c>
      <c r="M901" s="1">
        <v>43</v>
      </c>
      <c r="N901" s="1" t="s">
        <v>54</v>
      </c>
      <c r="O901" s="1" t="s">
        <v>231</v>
      </c>
      <c r="P901" s="1" t="s">
        <v>30</v>
      </c>
      <c r="Q901" s="1" t="s">
        <v>69</v>
      </c>
      <c r="R901" s="1">
        <v>1421.35</v>
      </c>
      <c r="S901" s="1" t="s">
        <v>46</v>
      </c>
      <c r="T901" s="1" t="s">
        <v>47</v>
      </c>
      <c r="U901" s="1" t="s">
        <v>35</v>
      </c>
      <c r="V901" s="1" t="s">
        <v>36</v>
      </c>
    </row>
    <row r="902" spans="1:22" x14ac:dyDescent="0.3">
      <c r="A902" s="1" t="s">
        <v>4540</v>
      </c>
      <c r="B902" s="1" t="s">
        <v>4541</v>
      </c>
      <c r="C902" s="1">
        <v>32</v>
      </c>
      <c r="D902" s="1" t="s">
        <v>4542</v>
      </c>
      <c r="E902" s="1" t="s">
        <v>40</v>
      </c>
      <c r="F902" s="2">
        <v>45233</v>
      </c>
      <c r="G902" s="2">
        <v>45505</v>
      </c>
      <c r="H902" s="1">
        <v>2</v>
      </c>
      <c r="I902" s="1" t="s">
        <v>27</v>
      </c>
      <c r="J902" s="1" t="s">
        <v>1617</v>
      </c>
      <c r="K902" s="1" t="s">
        <v>4543</v>
      </c>
      <c r="L902" s="1">
        <v>3</v>
      </c>
      <c r="M902" s="1">
        <v>9</v>
      </c>
      <c r="N902" s="1" t="s">
        <v>68</v>
      </c>
      <c r="O902" s="1" t="s">
        <v>199</v>
      </c>
      <c r="P902" s="1" t="s">
        <v>54</v>
      </c>
      <c r="Q902" s="1" t="s">
        <v>69</v>
      </c>
      <c r="R902" s="1">
        <v>1936.14</v>
      </c>
      <c r="S902" s="1" t="s">
        <v>46</v>
      </c>
      <c r="T902" s="1" t="s">
        <v>57</v>
      </c>
      <c r="U902" s="1" t="s">
        <v>35</v>
      </c>
      <c r="V902" s="1" t="s">
        <v>36</v>
      </c>
    </row>
    <row r="903" spans="1:22" x14ac:dyDescent="0.3">
      <c r="A903" s="1" t="s">
        <v>4544</v>
      </c>
      <c r="B903" s="1" t="s">
        <v>4545</v>
      </c>
      <c r="C903" s="1">
        <v>64</v>
      </c>
      <c r="D903" s="1" t="s">
        <v>4546</v>
      </c>
      <c r="E903" s="1" t="s">
        <v>88</v>
      </c>
      <c r="F903" s="2">
        <v>44086</v>
      </c>
      <c r="G903" s="1" t="s">
        <v>4547</v>
      </c>
      <c r="H903" s="1">
        <v>1</v>
      </c>
      <c r="I903" s="1" t="s">
        <v>27</v>
      </c>
      <c r="J903" s="1" t="s">
        <v>2388</v>
      </c>
      <c r="K903" s="1" t="s">
        <v>4548</v>
      </c>
      <c r="L903" s="1">
        <v>4</v>
      </c>
      <c r="M903" s="1">
        <v>44</v>
      </c>
      <c r="N903" s="1" t="s">
        <v>54</v>
      </c>
      <c r="O903" s="1" t="s">
        <v>77</v>
      </c>
      <c r="P903" s="1" t="s">
        <v>54</v>
      </c>
      <c r="Q903" s="1" t="s">
        <v>69</v>
      </c>
      <c r="R903" s="1">
        <v>1583.24</v>
      </c>
      <c r="S903" s="1" t="s">
        <v>33</v>
      </c>
      <c r="T903" s="1" t="s">
        <v>47</v>
      </c>
      <c r="U903" s="1" t="s">
        <v>35</v>
      </c>
      <c r="V903" s="1" t="s">
        <v>36</v>
      </c>
    </row>
    <row r="904" spans="1:22" x14ac:dyDescent="0.3">
      <c r="A904" s="1" t="s">
        <v>4549</v>
      </c>
      <c r="B904" s="1" t="s">
        <v>4550</v>
      </c>
      <c r="C904" s="1">
        <v>32</v>
      </c>
      <c r="D904" s="1" t="s">
        <v>4551</v>
      </c>
      <c r="E904" s="1" t="s">
        <v>95</v>
      </c>
      <c r="F904" s="2">
        <v>44960</v>
      </c>
      <c r="G904" s="1" t="s">
        <v>154</v>
      </c>
      <c r="H904" s="1">
        <v>5</v>
      </c>
      <c r="I904" s="1" t="s">
        <v>27</v>
      </c>
      <c r="J904" s="2">
        <v>45638</v>
      </c>
      <c r="K904" s="1" t="s">
        <v>4552</v>
      </c>
      <c r="L904" s="1">
        <v>4</v>
      </c>
      <c r="M904" s="1">
        <v>2</v>
      </c>
      <c r="N904" s="1" t="s">
        <v>30</v>
      </c>
      <c r="O904" s="1" t="s">
        <v>223</v>
      </c>
      <c r="P904" s="1" t="s">
        <v>56</v>
      </c>
      <c r="Q904" s="1" t="s">
        <v>69</v>
      </c>
      <c r="R904" s="1">
        <v>1305.48</v>
      </c>
      <c r="S904" s="1" t="s">
        <v>46</v>
      </c>
      <c r="T904" s="1" t="s">
        <v>57</v>
      </c>
      <c r="U904" s="1" t="s">
        <v>35</v>
      </c>
      <c r="V904" s="1" t="s">
        <v>188</v>
      </c>
    </row>
    <row r="905" spans="1:22" x14ac:dyDescent="0.3">
      <c r="A905" s="1" t="s">
        <v>4553</v>
      </c>
      <c r="B905" s="1" t="s">
        <v>4554</v>
      </c>
      <c r="C905" s="1">
        <v>20</v>
      </c>
      <c r="D905" s="1" t="s">
        <v>4555</v>
      </c>
      <c r="E905" s="1" t="s">
        <v>61</v>
      </c>
      <c r="F905" s="1" t="s">
        <v>2201</v>
      </c>
      <c r="G905" s="2">
        <v>45573</v>
      </c>
      <c r="H905" s="1">
        <v>1</v>
      </c>
      <c r="I905" s="1" t="s">
        <v>27</v>
      </c>
      <c r="J905" s="1" t="s">
        <v>659</v>
      </c>
      <c r="K905" s="1" t="s">
        <v>4556</v>
      </c>
      <c r="L905" s="1">
        <v>1</v>
      </c>
      <c r="M905" s="1">
        <v>31</v>
      </c>
      <c r="N905" s="1" t="s">
        <v>30</v>
      </c>
      <c r="O905" s="1" t="s">
        <v>821</v>
      </c>
      <c r="P905" s="1" t="s">
        <v>68</v>
      </c>
      <c r="Q905" s="1" t="s">
        <v>32</v>
      </c>
      <c r="R905" s="1">
        <v>1200.43</v>
      </c>
      <c r="S905" s="1" t="s">
        <v>46</v>
      </c>
      <c r="T905" s="1" t="s">
        <v>100</v>
      </c>
      <c r="U905" s="1" t="s">
        <v>35</v>
      </c>
      <c r="V905" s="1" t="s">
        <v>36</v>
      </c>
    </row>
    <row r="906" spans="1:22" x14ac:dyDescent="0.3">
      <c r="A906" s="1" t="s">
        <v>4557</v>
      </c>
      <c r="B906" s="1" t="s">
        <v>4558</v>
      </c>
      <c r="C906" s="1">
        <v>44</v>
      </c>
      <c r="D906" s="1" t="s">
        <v>4559</v>
      </c>
      <c r="E906" s="1" t="s">
        <v>40</v>
      </c>
      <c r="F906" s="1" t="s">
        <v>1210</v>
      </c>
      <c r="G906" s="2">
        <v>45963</v>
      </c>
      <c r="H906" s="1">
        <v>2</v>
      </c>
      <c r="I906" s="1" t="s">
        <v>27</v>
      </c>
      <c r="J906" s="1" t="s">
        <v>846</v>
      </c>
      <c r="K906" s="1" t="s">
        <v>4560</v>
      </c>
      <c r="L906" s="1">
        <v>2</v>
      </c>
      <c r="M906" s="1">
        <v>4</v>
      </c>
      <c r="N906" s="1" t="s">
        <v>68</v>
      </c>
      <c r="O906" s="1" t="s">
        <v>199</v>
      </c>
      <c r="P906" s="1" t="s">
        <v>54</v>
      </c>
      <c r="Q906" s="1" t="s">
        <v>32</v>
      </c>
      <c r="R906" s="1">
        <v>1545.42</v>
      </c>
      <c r="S906" s="1" t="s">
        <v>46</v>
      </c>
      <c r="T906" s="1" t="s">
        <v>34</v>
      </c>
      <c r="U906" s="1" t="s">
        <v>35</v>
      </c>
      <c r="V906" s="1" t="s">
        <v>36</v>
      </c>
    </row>
    <row r="907" spans="1:22" x14ac:dyDescent="0.3">
      <c r="A907" s="1" t="s">
        <v>4561</v>
      </c>
      <c r="B907" s="1" t="s">
        <v>4562</v>
      </c>
      <c r="C907" s="1">
        <v>40</v>
      </c>
      <c r="D907" s="1" t="s">
        <v>4563</v>
      </c>
      <c r="E907" s="1" t="s">
        <v>40</v>
      </c>
      <c r="F907" s="2">
        <v>44021</v>
      </c>
      <c r="G907" s="2">
        <v>45998</v>
      </c>
      <c r="H907" s="1">
        <v>4</v>
      </c>
      <c r="I907" s="1" t="s">
        <v>27</v>
      </c>
      <c r="J907" s="1" t="s">
        <v>1031</v>
      </c>
      <c r="K907" s="1" t="s">
        <v>4564</v>
      </c>
      <c r="L907" s="1">
        <v>7</v>
      </c>
      <c r="M907" s="1">
        <v>46</v>
      </c>
      <c r="N907" s="1" t="s">
        <v>45</v>
      </c>
      <c r="O907" s="1" t="s">
        <v>418</v>
      </c>
      <c r="P907" s="1" t="s">
        <v>56</v>
      </c>
      <c r="Q907" s="1" t="s">
        <v>32</v>
      </c>
      <c r="R907" s="1">
        <v>165.62</v>
      </c>
      <c r="S907" s="1" t="s">
        <v>46</v>
      </c>
      <c r="T907" s="1" t="s">
        <v>34</v>
      </c>
      <c r="U907" s="1" t="s">
        <v>35</v>
      </c>
      <c r="V907" s="1" t="s">
        <v>188</v>
      </c>
    </row>
    <row r="908" spans="1:22" x14ac:dyDescent="0.3">
      <c r="A908" s="1" t="s">
        <v>4565</v>
      </c>
      <c r="B908" s="1" t="s">
        <v>4566</v>
      </c>
      <c r="C908" s="1">
        <v>24</v>
      </c>
      <c r="D908" s="1" t="s">
        <v>4567</v>
      </c>
      <c r="E908" s="1" t="s">
        <v>88</v>
      </c>
      <c r="F908" s="1" t="s">
        <v>841</v>
      </c>
      <c r="G908" s="2">
        <v>45962</v>
      </c>
      <c r="H908" s="1">
        <v>4</v>
      </c>
      <c r="I908" s="1" t="s">
        <v>27</v>
      </c>
      <c r="J908" s="2">
        <v>45478</v>
      </c>
      <c r="K908" s="1" t="s">
        <v>4568</v>
      </c>
      <c r="L908" s="1">
        <v>6</v>
      </c>
      <c r="M908" s="1">
        <v>31</v>
      </c>
      <c r="N908" s="1" t="s">
        <v>68</v>
      </c>
      <c r="O908" s="1" t="s">
        <v>837</v>
      </c>
      <c r="P908" s="1" t="s">
        <v>56</v>
      </c>
      <c r="Q908" s="1" t="s">
        <v>69</v>
      </c>
      <c r="R908" s="1">
        <v>1715.64</v>
      </c>
      <c r="S908" s="1" t="s">
        <v>46</v>
      </c>
      <c r="T908" s="1" t="s">
        <v>100</v>
      </c>
      <c r="U908" s="1" t="s">
        <v>35</v>
      </c>
      <c r="V908" s="1" t="s">
        <v>188</v>
      </c>
    </row>
    <row r="909" spans="1:22" x14ac:dyDescent="0.3">
      <c r="A909" s="1" t="s">
        <v>4569</v>
      </c>
      <c r="B909" s="1" t="s">
        <v>4570</v>
      </c>
      <c r="C909" s="1">
        <v>21</v>
      </c>
      <c r="D909" s="1" t="s">
        <v>4571</v>
      </c>
      <c r="E909" s="1" t="s">
        <v>95</v>
      </c>
      <c r="F909" s="1" t="s">
        <v>3340</v>
      </c>
      <c r="G909" s="1" t="s">
        <v>4572</v>
      </c>
      <c r="H909" s="1">
        <v>1</v>
      </c>
      <c r="I909" s="1" t="s">
        <v>27</v>
      </c>
      <c r="J909" s="2">
        <v>45969</v>
      </c>
      <c r="K909" s="1" t="s">
        <v>4573</v>
      </c>
      <c r="L909" s="1">
        <v>4</v>
      </c>
      <c r="M909" s="1">
        <v>9</v>
      </c>
      <c r="N909" s="1" t="s">
        <v>45</v>
      </c>
      <c r="O909" s="1" t="s">
        <v>175</v>
      </c>
      <c r="P909" s="1" t="s">
        <v>56</v>
      </c>
      <c r="Q909" s="1" t="s">
        <v>32</v>
      </c>
      <c r="R909" s="1">
        <v>1649.04</v>
      </c>
      <c r="S909" s="1" t="s">
        <v>46</v>
      </c>
      <c r="T909" s="1" t="s">
        <v>100</v>
      </c>
      <c r="U909" s="1" t="s">
        <v>35</v>
      </c>
      <c r="V909" s="1" t="s">
        <v>36</v>
      </c>
    </row>
    <row r="910" spans="1:22" x14ac:dyDescent="0.3">
      <c r="A910" s="1" t="s">
        <v>4574</v>
      </c>
      <c r="B910" s="1" t="s">
        <v>4575</v>
      </c>
      <c r="C910" s="1">
        <v>54</v>
      </c>
      <c r="D910" s="1" t="s">
        <v>4576</v>
      </c>
      <c r="E910" s="1" t="s">
        <v>88</v>
      </c>
      <c r="F910" s="2">
        <v>44262</v>
      </c>
      <c r="G910" s="1" t="s">
        <v>1519</v>
      </c>
      <c r="H910" s="1">
        <v>3</v>
      </c>
      <c r="I910" s="1" t="s">
        <v>27</v>
      </c>
      <c r="J910" s="1" t="s">
        <v>2658</v>
      </c>
      <c r="K910" s="1" t="s">
        <v>4577</v>
      </c>
      <c r="L910" s="1">
        <v>7</v>
      </c>
      <c r="M910" s="1">
        <v>42</v>
      </c>
      <c r="N910" s="1" t="s">
        <v>30</v>
      </c>
      <c r="O910" s="1" t="s">
        <v>366</v>
      </c>
      <c r="P910" s="1" t="s">
        <v>54</v>
      </c>
      <c r="Q910" s="1" t="s">
        <v>69</v>
      </c>
      <c r="R910" s="1">
        <v>781.13</v>
      </c>
      <c r="S910" s="1" t="s">
        <v>46</v>
      </c>
      <c r="T910" s="1" t="s">
        <v>47</v>
      </c>
      <c r="U910" s="1" t="s">
        <v>35</v>
      </c>
      <c r="V910" s="1" t="s">
        <v>36</v>
      </c>
    </row>
    <row r="911" spans="1:22" x14ac:dyDescent="0.3">
      <c r="A911" s="1" t="s">
        <v>4578</v>
      </c>
      <c r="B911" s="1" t="s">
        <v>4579</v>
      </c>
      <c r="C911" s="1">
        <v>23</v>
      </c>
      <c r="D911" s="1" t="s">
        <v>4580</v>
      </c>
      <c r="E911" s="1" t="s">
        <v>40</v>
      </c>
      <c r="F911" s="1" t="s">
        <v>4581</v>
      </c>
      <c r="G911" s="1" t="s">
        <v>4582</v>
      </c>
      <c r="H911" s="1">
        <v>5</v>
      </c>
      <c r="I911" s="1" t="s">
        <v>27</v>
      </c>
      <c r="J911" s="2">
        <v>45148</v>
      </c>
      <c r="K911" s="1" t="s">
        <v>4583</v>
      </c>
      <c r="L911" s="1">
        <v>7</v>
      </c>
      <c r="M911" s="1">
        <v>29</v>
      </c>
      <c r="N911" s="1" t="s">
        <v>68</v>
      </c>
      <c r="O911" s="1" t="s">
        <v>425</v>
      </c>
      <c r="P911" s="1" t="s">
        <v>30</v>
      </c>
      <c r="Q911" s="1" t="s">
        <v>69</v>
      </c>
      <c r="R911" s="1">
        <v>951.02</v>
      </c>
      <c r="S911" s="1" t="s">
        <v>46</v>
      </c>
      <c r="T911" s="1" t="s">
        <v>100</v>
      </c>
      <c r="U911" s="1" t="s">
        <v>35</v>
      </c>
      <c r="V911" s="1" t="s">
        <v>188</v>
      </c>
    </row>
    <row r="912" spans="1:22" x14ac:dyDescent="0.3">
      <c r="A912" s="1" t="s">
        <v>4584</v>
      </c>
      <c r="B912" s="1" t="s">
        <v>4585</v>
      </c>
      <c r="C912" s="1">
        <v>64</v>
      </c>
      <c r="D912" s="1" t="s">
        <v>4586</v>
      </c>
      <c r="E912" s="1" t="s">
        <v>95</v>
      </c>
      <c r="F912" s="2">
        <v>44420</v>
      </c>
      <c r="G912" s="2">
        <v>44747</v>
      </c>
      <c r="H912" s="1">
        <v>3</v>
      </c>
      <c r="I912" s="1" t="s">
        <v>64</v>
      </c>
      <c r="J912" s="2">
        <v>45511</v>
      </c>
      <c r="K912" s="1" t="s">
        <v>4587</v>
      </c>
      <c r="L912" s="1">
        <v>3</v>
      </c>
      <c r="M912" s="1">
        <v>26</v>
      </c>
      <c r="N912" s="1" t="s">
        <v>56</v>
      </c>
      <c r="O912" s="1" t="s">
        <v>122</v>
      </c>
      <c r="P912" s="1" t="s">
        <v>30</v>
      </c>
      <c r="Q912" s="1" t="s">
        <v>32</v>
      </c>
      <c r="R912" s="1">
        <v>1957.23</v>
      </c>
      <c r="S912" s="1" t="s">
        <v>46</v>
      </c>
      <c r="T912" s="1" t="s">
        <v>47</v>
      </c>
      <c r="U912" s="1" t="s">
        <v>35</v>
      </c>
      <c r="V912" s="1" t="s">
        <v>71</v>
      </c>
    </row>
    <row r="913" spans="1:22" x14ac:dyDescent="0.3">
      <c r="A913" s="1" t="s">
        <v>4588</v>
      </c>
      <c r="B913" s="1" t="s">
        <v>4589</v>
      </c>
      <c r="C913" s="1">
        <v>62</v>
      </c>
      <c r="D913" s="1" t="s">
        <v>4590</v>
      </c>
      <c r="E913" s="1" t="s">
        <v>25</v>
      </c>
      <c r="F913" s="1" t="s">
        <v>939</v>
      </c>
      <c r="G913" s="2">
        <v>45386</v>
      </c>
      <c r="H913" s="1">
        <v>3</v>
      </c>
      <c r="I913" s="1" t="s">
        <v>27</v>
      </c>
      <c r="J913" s="2">
        <v>44967</v>
      </c>
      <c r="K913" s="1" t="s">
        <v>4591</v>
      </c>
      <c r="L913" s="1">
        <v>7</v>
      </c>
      <c r="M913" s="1">
        <v>34</v>
      </c>
      <c r="N913" s="1" t="s">
        <v>30</v>
      </c>
      <c r="O913" s="1" t="s">
        <v>175</v>
      </c>
      <c r="P913" s="1" t="s">
        <v>56</v>
      </c>
      <c r="Q913" s="1" t="s">
        <v>32</v>
      </c>
      <c r="R913" s="1">
        <v>191.03</v>
      </c>
      <c r="S913" s="1" t="s">
        <v>46</v>
      </c>
      <c r="T913" s="1" t="s">
        <v>47</v>
      </c>
      <c r="U913" s="1" t="s">
        <v>35</v>
      </c>
      <c r="V913" s="1" t="s">
        <v>36</v>
      </c>
    </row>
    <row r="914" spans="1:22" x14ac:dyDescent="0.3">
      <c r="A914" s="1" t="s">
        <v>4592</v>
      </c>
      <c r="B914" s="1" t="s">
        <v>4593</v>
      </c>
      <c r="C914" s="1">
        <v>23</v>
      </c>
      <c r="D914" s="1" t="s">
        <v>4594</v>
      </c>
      <c r="E914" s="1" t="s">
        <v>40</v>
      </c>
      <c r="F914" s="2">
        <v>45020</v>
      </c>
      <c r="G914" s="1" t="s">
        <v>2368</v>
      </c>
      <c r="H914" s="1">
        <v>1</v>
      </c>
      <c r="I914" s="1" t="s">
        <v>52</v>
      </c>
      <c r="J914" s="1" t="s">
        <v>4595</v>
      </c>
      <c r="K914" s="1" t="s">
        <v>1499</v>
      </c>
      <c r="L914" s="1">
        <v>8</v>
      </c>
      <c r="M914" s="1">
        <v>43</v>
      </c>
      <c r="N914" s="1" t="s">
        <v>54</v>
      </c>
      <c r="O914" s="1" t="s">
        <v>99</v>
      </c>
      <c r="P914" s="1" t="s">
        <v>56</v>
      </c>
      <c r="Q914" s="1" t="s">
        <v>32</v>
      </c>
      <c r="R914" s="1">
        <v>908.16</v>
      </c>
      <c r="S914" s="1" t="s">
        <v>46</v>
      </c>
      <c r="T914" s="1" t="s">
        <v>100</v>
      </c>
      <c r="U914" s="1" t="s">
        <v>35</v>
      </c>
      <c r="V914" s="1" t="s">
        <v>36</v>
      </c>
    </row>
    <row r="915" spans="1:22" x14ac:dyDescent="0.3">
      <c r="A915" s="1" t="s">
        <v>4596</v>
      </c>
      <c r="B915" s="1" t="s">
        <v>4597</v>
      </c>
      <c r="C915" s="1">
        <v>28</v>
      </c>
      <c r="D915" s="1" t="s">
        <v>4598</v>
      </c>
      <c r="E915" s="1" t="s">
        <v>61</v>
      </c>
      <c r="F915" s="2">
        <v>45145</v>
      </c>
      <c r="G915" s="2">
        <v>45659</v>
      </c>
      <c r="H915" s="1">
        <v>3</v>
      </c>
      <c r="I915" s="1" t="s">
        <v>52</v>
      </c>
      <c r="J915" s="1" t="s">
        <v>1971</v>
      </c>
      <c r="K915" s="1" t="s">
        <v>4599</v>
      </c>
      <c r="L915" s="1">
        <v>4</v>
      </c>
      <c r="M915" s="1">
        <v>11</v>
      </c>
      <c r="N915" s="1" t="s">
        <v>45</v>
      </c>
      <c r="O915" s="1" t="s">
        <v>199</v>
      </c>
      <c r="P915" s="1" t="s">
        <v>54</v>
      </c>
      <c r="Q915" s="1" t="s">
        <v>69</v>
      </c>
      <c r="R915" s="1">
        <v>651.28</v>
      </c>
      <c r="S915" s="1" t="s">
        <v>46</v>
      </c>
      <c r="T915" s="1" t="s">
        <v>57</v>
      </c>
      <c r="U915" s="1" t="s">
        <v>35</v>
      </c>
      <c r="V915" s="1" t="s">
        <v>36</v>
      </c>
    </row>
    <row r="916" spans="1:22" x14ac:dyDescent="0.3">
      <c r="A916" s="1" t="s">
        <v>4600</v>
      </c>
      <c r="B916" s="1" t="s">
        <v>4601</v>
      </c>
      <c r="C916" s="1">
        <v>63</v>
      </c>
      <c r="D916" s="1" t="s">
        <v>4602</v>
      </c>
      <c r="E916" s="1" t="s">
        <v>88</v>
      </c>
      <c r="F916" s="1" t="s">
        <v>2533</v>
      </c>
      <c r="G916" s="2">
        <v>45546</v>
      </c>
      <c r="H916" s="1">
        <v>5</v>
      </c>
      <c r="I916" s="1" t="s">
        <v>52</v>
      </c>
      <c r="J916" s="1" t="s">
        <v>4603</v>
      </c>
      <c r="K916" s="1" t="s">
        <v>4604</v>
      </c>
      <c r="L916" s="1">
        <v>8</v>
      </c>
      <c r="M916" s="1">
        <v>8</v>
      </c>
      <c r="N916" s="1" t="s">
        <v>56</v>
      </c>
      <c r="O916" s="1" t="s">
        <v>354</v>
      </c>
      <c r="P916" s="1" t="s">
        <v>45</v>
      </c>
      <c r="Q916" s="1" t="s">
        <v>32</v>
      </c>
      <c r="R916" s="1">
        <v>99.6</v>
      </c>
      <c r="S916" s="1" t="s">
        <v>46</v>
      </c>
      <c r="T916" s="1" t="s">
        <v>47</v>
      </c>
      <c r="U916" s="1" t="s">
        <v>101</v>
      </c>
      <c r="V916" s="1" t="s">
        <v>36</v>
      </c>
    </row>
    <row r="917" spans="1:22" x14ac:dyDescent="0.3">
      <c r="A917" s="1" t="s">
        <v>4605</v>
      </c>
      <c r="B917" s="1" t="s">
        <v>4606</v>
      </c>
      <c r="C917" s="1">
        <v>38</v>
      </c>
      <c r="D917" s="1" t="s">
        <v>4607</v>
      </c>
      <c r="E917" s="1" t="s">
        <v>40</v>
      </c>
      <c r="F917" s="2">
        <v>44744</v>
      </c>
      <c r="G917" s="1" t="s">
        <v>4608</v>
      </c>
      <c r="H917" s="1">
        <v>0</v>
      </c>
      <c r="I917" s="1" t="s">
        <v>52</v>
      </c>
      <c r="J917" s="2">
        <v>44927</v>
      </c>
      <c r="K917" s="1" t="s">
        <v>4609</v>
      </c>
      <c r="L917" s="1">
        <v>2</v>
      </c>
      <c r="M917" s="1">
        <v>26</v>
      </c>
      <c r="N917" s="1" t="s">
        <v>30</v>
      </c>
      <c r="O917" s="1" t="s">
        <v>837</v>
      </c>
      <c r="P917" s="1" t="s">
        <v>56</v>
      </c>
      <c r="Q917" s="1" t="s">
        <v>32</v>
      </c>
      <c r="R917" s="1">
        <v>211.06</v>
      </c>
      <c r="S917" s="1" t="s">
        <v>46</v>
      </c>
      <c r="T917" s="1" t="s">
        <v>34</v>
      </c>
      <c r="U917" s="1" t="s">
        <v>35</v>
      </c>
      <c r="V917" s="1" t="s">
        <v>36</v>
      </c>
    </row>
    <row r="918" spans="1:22" x14ac:dyDescent="0.3">
      <c r="A918" s="1" t="s">
        <v>4610</v>
      </c>
      <c r="B918" s="1" t="s">
        <v>4611</v>
      </c>
      <c r="C918" s="1">
        <v>51</v>
      </c>
      <c r="D918" s="1" t="s">
        <v>4612</v>
      </c>
      <c r="E918" s="1" t="s">
        <v>40</v>
      </c>
      <c r="F918" s="2">
        <v>44872</v>
      </c>
      <c r="G918" s="1" t="s">
        <v>4613</v>
      </c>
      <c r="H918" s="1">
        <v>5</v>
      </c>
      <c r="I918" s="1" t="s">
        <v>52</v>
      </c>
      <c r="J918" s="1" t="s">
        <v>284</v>
      </c>
      <c r="K918" s="1" t="s">
        <v>4614</v>
      </c>
      <c r="L918" s="1">
        <v>9</v>
      </c>
      <c r="M918" s="1">
        <v>37</v>
      </c>
      <c r="N918" s="1" t="s">
        <v>45</v>
      </c>
      <c r="O918" s="1" t="s">
        <v>837</v>
      </c>
      <c r="P918" s="1" t="s">
        <v>56</v>
      </c>
      <c r="Q918" s="1" t="s">
        <v>32</v>
      </c>
      <c r="R918" s="1">
        <v>1596.33</v>
      </c>
      <c r="S918" s="1" t="s">
        <v>46</v>
      </c>
      <c r="T918" s="1" t="s">
        <v>47</v>
      </c>
      <c r="U918" s="1" t="s">
        <v>35</v>
      </c>
      <c r="V918" s="1" t="s">
        <v>36</v>
      </c>
    </row>
    <row r="919" spans="1:22" x14ac:dyDescent="0.3">
      <c r="A919" s="1" t="s">
        <v>4615</v>
      </c>
      <c r="B919" s="1" t="s">
        <v>4616</v>
      </c>
      <c r="C919" s="1">
        <v>67</v>
      </c>
      <c r="D919" s="1" t="s">
        <v>4617</v>
      </c>
      <c r="E919" s="1" t="s">
        <v>25</v>
      </c>
      <c r="F919" s="1" t="s">
        <v>4618</v>
      </c>
      <c r="G919" s="1" t="s">
        <v>1154</v>
      </c>
      <c r="H919" s="1">
        <v>5</v>
      </c>
      <c r="I919" s="1" t="s">
        <v>27</v>
      </c>
      <c r="J919" s="1" t="s">
        <v>2035</v>
      </c>
      <c r="K919" s="1" t="s">
        <v>4619</v>
      </c>
      <c r="L919" s="1">
        <v>1</v>
      </c>
      <c r="M919" s="1">
        <v>24</v>
      </c>
      <c r="N919" s="1" t="s">
        <v>68</v>
      </c>
      <c r="O919" s="1" t="s">
        <v>245</v>
      </c>
      <c r="P919" s="1" t="s">
        <v>54</v>
      </c>
      <c r="Q919" s="1" t="s">
        <v>69</v>
      </c>
      <c r="R919" s="1">
        <v>236.75</v>
      </c>
      <c r="S919" s="1" t="s">
        <v>46</v>
      </c>
      <c r="T919" s="1" t="s">
        <v>232</v>
      </c>
      <c r="U919" s="1" t="s">
        <v>35</v>
      </c>
      <c r="V919" s="1" t="s">
        <v>188</v>
      </c>
    </row>
    <row r="920" spans="1:22" x14ac:dyDescent="0.3">
      <c r="A920" s="1" t="s">
        <v>4620</v>
      </c>
      <c r="B920" s="1" t="s">
        <v>4621</v>
      </c>
      <c r="C920" s="1">
        <v>51</v>
      </c>
      <c r="D920" s="1" t="s">
        <v>4622</v>
      </c>
      <c r="E920" s="1" t="s">
        <v>51</v>
      </c>
      <c r="F920" s="2">
        <v>44876</v>
      </c>
      <c r="G920" s="1" t="s">
        <v>3948</v>
      </c>
      <c r="H920" s="1">
        <v>0</v>
      </c>
      <c r="I920" s="1" t="s">
        <v>27</v>
      </c>
      <c r="J920" s="2">
        <v>45419</v>
      </c>
      <c r="K920" s="1" t="s">
        <v>4623</v>
      </c>
      <c r="L920" s="1">
        <v>6</v>
      </c>
      <c r="M920" s="1">
        <v>43</v>
      </c>
      <c r="N920" s="1" t="s">
        <v>56</v>
      </c>
      <c r="O920" s="1" t="s">
        <v>122</v>
      </c>
      <c r="P920" s="1" t="s">
        <v>30</v>
      </c>
      <c r="Q920" s="1" t="s">
        <v>32</v>
      </c>
      <c r="R920" s="1">
        <v>539.04</v>
      </c>
      <c r="S920" s="1" t="s">
        <v>46</v>
      </c>
      <c r="T920" s="1" t="s">
        <v>47</v>
      </c>
      <c r="U920" s="1" t="s">
        <v>35</v>
      </c>
      <c r="V920" s="1" t="s">
        <v>36</v>
      </c>
    </row>
    <row r="921" spans="1:22" x14ac:dyDescent="0.3">
      <c r="A921" s="1" t="s">
        <v>4624</v>
      </c>
      <c r="B921" s="1" t="s">
        <v>4625</v>
      </c>
      <c r="C921" s="1">
        <v>31</v>
      </c>
      <c r="D921" s="1" t="s">
        <v>4626</v>
      </c>
      <c r="E921" s="1" t="s">
        <v>51</v>
      </c>
      <c r="F921" s="1" t="s">
        <v>4627</v>
      </c>
      <c r="G921" s="1" t="s">
        <v>1425</v>
      </c>
      <c r="H921" s="1">
        <v>5</v>
      </c>
      <c r="I921" s="1" t="s">
        <v>27</v>
      </c>
      <c r="J921" s="2">
        <v>44354</v>
      </c>
      <c r="K921" s="1" t="s">
        <v>4628</v>
      </c>
      <c r="L921" s="1">
        <v>8</v>
      </c>
      <c r="M921" s="1">
        <v>40</v>
      </c>
      <c r="N921" s="1" t="s">
        <v>54</v>
      </c>
      <c r="O921" s="1" t="s">
        <v>175</v>
      </c>
      <c r="P921" s="1" t="s">
        <v>56</v>
      </c>
      <c r="Q921" s="1" t="s">
        <v>32</v>
      </c>
      <c r="R921" s="1">
        <v>1894.96</v>
      </c>
      <c r="S921" s="1" t="s">
        <v>46</v>
      </c>
      <c r="T921" s="1" t="s">
        <v>57</v>
      </c>
      <c r="U921" s="1" t="s">
        <v>35</v>
      </c>
      <c r="V921" s="1" t="s">
        <v>188</v>
      </c>
    </row>
    <row r="922" spans="1:22" x14ac:dyDescent="0.3">
      <c r="A922" s="1" t="s">
        <v>4629</v>
      </c>
      <c r="B922" s="1" t="s">
        <v>4630</v>
      </c>
      <c r="C922" s="1">
        <v>48</v>
      </c>
      <c r="D922" s="1" t="s">
        <v>4631</v>
      </c>
      <c r="E922" s="1" t="s">
        <v>51</v>
      </c>
      <c r="F922" s="2">
        <v>44839</v>
      </c>
      <c r="G922" s="2">
        <v>45181</v>
      </c>
      <c r="H922" s="1">
        <v>2</v>
      </c>
      <c r="I922" s="1" t="s">
        <v>52</v>
      </c>
      <c r="J922" s="2">
        <v>45717</v>
      </c>
      <c r="K922" s="1" t="s">
        <v>4632</v>
      </c>
      <c r="L922" s="1">
        <v>4</v>
      </c>
      <c r="M922" s="1">
        <v>49</v>
      </c>
      <c r="N922" s="1" t="s">
        <v>54</v>
      </c>
      <c r="O922" s="1" t="s">
        <v>855</v>
      </c>
      <c r="P922" s="1" t="s">
        <v>45</v>
      </c>
      <c r="Q922" s="1" t="s">
        <v>69</v>
      </c>
      <c r="R922" s="1">
        <v>1943.08</v>
      </c>
      <c r="S922" s="1" t="s">
        <v>46</v>
      </c>
      <c r="T922" s="1" t="s">
        <v>34</v>
      </c>
      <c r="U922" s="1" t="s">
        <v>35</v>
      </c>
      <c r="V922" s="1" t="s">
        <v>36</v>
      </c>
    </row>
    <row r="923" spans="1:22" x14ac:dyDescent="0.3">
      <c r="A923" s="1" t="s">
        <v>4633</v>
      </c>
      <c r="B923" s="1" t="s">
        <v>4634</v>
      </c>
      <c r="C923" s="1">
        <v>36</v>
      </c>
      <c r="D923" s="1" t="s">
        <v>4635</v>
      </c>
      <c r="E923" s="1" t="s">
        <v>61</v>
      </c>
      <c r="F923" s="1" t="s">
        <v>745</v>
      </c>
      <c r="G923" s="1" t="s">
        <v>1976</v>
      </c>
      <c r="H923" s="1">
        <v>5</v>
      </c>
      <c r="I923" s="1" t="s">
        <v>27</v>
      </c>
      <c r="J923" s="2">
        <v>45084</v>
      </c>
      <c r="K923" s="1" t="s">
        <v>4636</v>
      </c>
      <c r="L923" s="1">
        <v>6</v>
      </c>
      <c r="M923" s="1">
        <v>22</v>
      </c>
      <c r="N923" s="1" t="s">
        <v>45</v>
      </c>
      <c r="O923" s="1" t="s">
        <v>624</v>
      </c>
      <c r="P923" s="1" t="s">
        <v>30</v>
      </c>
      <c r="Q923" s="1" t="s">
        <v>69</v>
      </c>
      <c r="R923" s="1">
        <v>1339.8</v>
      </c>
      <c r="S923" s="1" t="s">
        <v>46</v>
      </c>
      <c r="T923" s="1" t="s">
        <v>34</v>
      </c>
      <c r="U923" s="1" t="s">
        <v>35</v>
      </c>
      <c r="V923" s="1" t="s">
        <v>188</v>
      </c>
    </row>
    <row r="924" spans="1:22" x14ac:dyDescent="0.3">
      <c r="A924" s="1" t="s">
        <v>4637</v>
      </c>
      <c r="B924" s="1" t="s">
        <v>4638</v>
      </c>
      <c r="C924" s="1">
        <v>68</v>
      </c>
      <c r="D924" s="1" t="s">
        <v>4639</v>
      </c>
      <c r="E924" s="1" t="s">
        <v>25</v>
      </c>
      <c r="F924" s="2">
        <v>43842</v>
      </c>
      <c r="G924" s="1" t="s">
        <v>3251</v>
      </c>
      <c r="H924" s="1">
        <v>2</v>
      </c>
      <c r="I924" s="1" t="s">
        <v>52</v>
      </c>
      <c r="J924" s="2">
        <v>44990</v>
      </c>
      <c r="K924" s="1" t="s">
        <v>4640</v>
      </c>
      <c r="L924" s="1">
        <v>8</v>
      </c>
      <c r="M924" s="1">
        <v>17</v>
      </c>
      <c r="N924" s="1" t="s">
        <v>56</v>
      </c>
      <c r="O924" s="1" t="s">
        <v>354</v>
      </c>
      <c r="P924" s="1" t="s">
        <v>45</v>
      </c>
      <c r="Q924" s="1" t="s">
        <v>32</v>
      </c>
      <c r="R924" s="1">
        <v>1134.32</v>
      </c>
      <c r="S924" s="1" t="s">
        <v>46</v>
      </c>
      <c r="T924" s="1" t="s">
        <v>232</v>
      </c>
      <c r="U924" s="1" t="s">
        <v>35</v>
      </c>
      <c r="V924" s="1" t="s">
        <v>36</v>
      </c>
    </row>
    <row r="925" spans="1:22" x14ac:dyDescent="0.3">
      <c r="A925" s="1" t="s">
        <v>4641</v>
      </c>
      <c r="B925" s="1" t="s">
        <v>4642</v>
      </c>
      <c r="C925" s="1">
        <v>44</v>
      </c>
      <c r="D925" s="1" t="s">
        <v>4643</v>
      </c>
      <c r="E925" s="1" t="s">
        <v>40</v>
      </c>
      <c r="F925" s="2">
        <v>44320</v>
      </c>
      <c r="G925" s="2">
        <v>44595</v>
      </c>
      <c r="H925" s="1">
        <v>4</v>
      </c>
      <c r="I925" s="1" t="s">
        <v>27</v>
      </c>
      <c r="J925" s="2">
        <v>45571</v>
      </c>
      <c r="K925" s="1" t="s">
        <v>4644</v>
      </c>
      <c r="L925" s="1">
        <v>6</v>
      </c>
      <c r="M925" s="1">
        <v>22</v>
      </c>
      <c r="N925" s="1" t="s">
        <v>30</v>
      </c>
      <c r="O925" s="1" t="s">
        <v>251</v>
      </c>
      <c r="P925" s="1" t="s">
        <v>30</v>
      </c>
      <c r="Q925" s="1" t="s">
        <v>69</v>
      </c>
      <c r="R925" s="1">
        <v>1897.26</v>
      </c>
      <c r="S925" s="1" t="s">
        <v>33</v>
      </c>
      <c r="T925" s="1" t="s">
        <v>34</v>
      </c>
      <c r="U925" s="1" t="s">
        <v>35</v>
      </c>
      <c r="V925" s="1" t="s">
        <v>188</v>
      </c>
    </row>
    <row r="926" spans="1:22" x14ac:dyDescent="0.3">
      <c r="A926" s="1" t="s">
        <v>4645</v>
      </c>
      <c r="B926" s="1" t="s">
        <v>4646</v>
      </c>
      <c r="C926" s="1">
        <v>66</v>
      </c>
      <c r="D926" s="1" t="s">
        <v>4647</v>
      </c>
      <c r="E926" s="1" t="s">
        <v>95</v>
      </c>
      <c r="F926" s="1" t="s">
        <v>3460</v>
      </c>
      <c r="G926" s="2">
        <v>45874</v>
      </c>
      <c r="H926" s="1">
        <v>1</v>
      </c>
      <c r="I926" s="1" t="s">
        <v>27</v>
      </c>
      <c r="J926" s="2">
        <v>45843</v>
      </c>
      <c r="K926" s="1" t="s">
        <v>4648</v>
      </c>
      <c r="L926" s="1">
        <v>1</v>
      </c>
      <c r="M926" s="1">
        <v>37</v>
      </c>
      <c r="N926" s="1" t="s">
        <v>56</v>
      </c>
      <c r="O926" s="1" t="s">
        <v>293</v>
      </c>
      <c r="P926" s="1" t="s">
        <v>45</v>
      </c>
      <c r="Q926" s="1" t="s">
        <v>32</v>
      </c>
      <c r="R926" s="1">
        <v>253.96</v>
      </c>
      <c r="S926" s="1" t="s">
        <v>46</v>
      </c>
      <c r="T926" s="1" t="s">
        <v>232</v>
      </c>
      <c r="U926" s="1" t="s">
        <v>35</v>
      </c>
      <c r="V926" s="1" t="s">
        <v>36</v>
      </c>
    </row>
    <row r="927" spans="1:22" x14ac:dyDescent="0.3">
      <c r="A927" s="1" t="s">
        <v>4649</v>
      </c>
      <c r="B927" s="1" t="s">
        <v>4650</v>
      </c>
      <c r="C927" s="1">
        <v>33</v>
      </c>
      <c r="D927" s="1" t="s">
        <v>4651</v>
      </c>
      <c r="E927" s="1" t="s">
        <v>61</v>
      </c>
      <c r="F927" s="1" t="s">
        <v>945</v>
      </c>
      <c r="G927" s="1" t="s">
        <v>1227</v>
      </c>
      <c r="H927" s="1">
        <v>0</v>
      </c>
      <c r="I927" s="1" t="s">
        <v>64</v>
      </c>
      <c r="J927" s="1" t="s">
        <v>2625</v>
      </c>
      <c r="K927" s="1" t="s">
        <v>4652</v>
      </c>
      <c r="L927" s="1">
        <v>1</v>
      </c>
      <c r="M927" s="1">
        <v>39</v>
      </c>
      <c r="N927" s="1" t="s">
        <v>54</v>
      </c>
      <c r="O927" s="1" t="s">
        <v>604</v>
      </c>
      <c r="P927" s="1" t="s">
        <v>45</v>
      </c>
      <c r="Q927" s="1" t="s">
        <v>32</v>
      </c>
      <c r="R927" s="1">
        <v>314.54000000000002</v>
      </c>
      <c r="S927" s="1" t="s">
        <v>46</v>
      </c>
      <c r="T927" s="1" t="s">
        <v>57</v>
      </c>
      <c r="U927" s="1" t="s">
        <v>35</v>
      </c>
      <c r="V927" s="1" t="s">
        <v>71</v>
      </c>
    </row>
    <row r="928" spans="1:22" x14ac:dyDescent="0.3">
      <c r="A928" s="1" t="s">
        <v>4653</v>
      </c>
      <c r="B928" s="1" t="s">
        <v>4654</v>
      </c>
      <c r="C928" s="1">
        <v>44</v>
      </c>
      <c r="D928" s="1" t="s">
        <v>4655</v>
      </c>
      <c r="E928" s="1" t="s">
        <v>95</v>
      </c>
      <c r="F928" s="2">
        <v>44412</v>
      </c>
      <c r="G928" s="1" t="s">
        <v>883</v>
      </c>
      <c r="H928" s="1">
        <v>4</v>
      </c>
      <c r="I928" s="1" t="s">
        <v>27</v>
      </c>
      <c r="J928" s="2">
        <v>45241</v>
      </c>
      <c r="K928" s="1" t="s">
        <v>4656</v>
      </c>
      <c r="L928" s="1">
        <v>7</v>
      </c>
      <c r="M928" s="1">
        <v>30</v>
      </c>
      <c r="N928" s="1" t="s">
        <v>56</v>
      </c>
      <c r="O928" s="1" t="s">
        <v>128</v>
      </c>
      <c r="P928" s="1" t="s">
        <v>54</v>
      </c>
      <c r="Q928" s="1" t="s">
        <v>322</v>
      </c>
      <c r="R928" s="1">
        <v>1285.2</v>
      </c>
      <c r="S928" s="1" t="s">
        <v>46</v>
      </c>
      <c r="T928" s="1" t="s">
        <v>34</v>
      </c>
      <c r="U928" s="1" t="s">
        <v>35</v>
      </c>
      <c r="V928" s="1" t="s">
        <v>188</v>
      </c>
    </row>
    <row r="929" spans="1:22" x14ac:dyDescent="0.3">
      <c r="A929" s="1" t="s">
        <v>4657</v>
      </c>
      <c r="B929" s="1" t="s">
        <v>4658</v>
      </c>
      <c r="C929" s="1">
        <v>54</v>
      </c>
      <c r="D929" s="1" t="s">
        <v>4659</v>
      </c>
      <c r="E929" s="1" t="s">
        <v>88</v>
      </c>
      <c r="F929" s="1" t="s">
        <v>4627</v>
      </c>
      <c r="G929" s="2">
        <v>45208</v>
      </c>
      <c r="H929" s="1">
        <v>3</v>
      </c>
      <c r="I929" s="1" t="s">
        <v>64</v>
      </c>
      <c r="J929" s="1" t="s">
        <v>318</v>
      </c>
      <c r="K929" s="1" t="s">
        <v>4660</v>
      </c>
      <c r="L929" s="1">
        <v>5</v>
      </c>
      <c r="M929" s="1">
        <v>16</v>
      </c>
      <c r="N929" s="1" t="s">
        <v>45</v>
      </c>
      <c r="O929" s="1" t="s">
        <v>44</v>
      </c>
      <c r="P929" s="1" t="s">
        <v>45</v>
      </c>
      <c r="Q929" s="1" t="s">
        <v>32</v>
      </c>
      <c r="R929" s="1">
        <v>1631</v>
      </c>
      <c r="S929" s="1" t="s">
        <v>33</v>
      </c>
      <c r="T929" s="1" t="s">
        <v>47</v>
      </c>
      <c r="U929" s="1" t="s">
        <v>35</v>
      </c>
      <c r="V929" s="1" t="s">
        <v>71</v>
      </c>
    </row>
    <row r="930" spans="1:22" x14ac:dyDescent="0.3">
      <c r="A930" s="1" t="s">
        <v>4661</v>
      </c>
      <c r="B930" s="1" t="s">
        <v>4662</v>
      </c>
      <c r="C930" s="1">
        <v>19</v>
      </c>
      <c r="D930" s="1" t="s">
        <v>4663</v>
      </c>
      <c r="E930" s="1" t="s">
        <v>61</v>
      </c>
      <c r="F930" s="1" t="s">
        <v>1436</v>
      </c>
      <c r="G930" s="1" t="s">
        <v>1026</v>
      </c>
      <c r="H930" s="1">
        <v>1</v>
      </c>
      <c r="I930" s="1" t="s">
        <v>64</v>
      </c>
      <c r="J930" s="1" t="s">
        <v>4664</v>
      </c>
      <c r="K930" s="1" t="s">
        <v>4665</v>
      </c>
      <c r="L930" s="1">
        <v>9</v>
      </c>
      <c r="M930" s="1">
        <v>8</v>
      </c>
      <c r="N930" s="1" t="s">
        <v>54</v>
      </c>
      <c r="O930" s="1" t="s">
        <v>67</v>
      </c>
      <c r="P930" s="1" t="s">
        <v>68</v>
      </c>
      <c r="Q930" s="1" t="s">
        <v>69</v>
      </c>
      <c r="R930" s="1">
        <v>1829.61</v>
      </c>
      <c r="S930" s="1" t="s">
        <v>46</v>
      </c>
      <c r="T930" s="1" t="s">
        <v>100</v>
      </c>
      <c r="U930" s="1" t="s">
        <v>35</v>
      </c>
      <c r="V930" s="1" t="s">
        <v>71</v>
      </c>
    </row>
    <row r="931" spans="1:22" x14ac:dyDescent="0.3">
      <c r="A931" s="1" t="s">
        <v>4666</v>
      </c>
      <c r="B931" s="1" t="s">
        <v>4667</v>
      </c>
      <c r="C931" s="1">
        <v>21</v>
      </c>
      <c r="D931" s="1" t="s">
        <v>4668</v>
      </c>
      <c r="E931" s="1" t="s">
        <v>95</v>
      </c>
      <c r="F931" s="1" t="s">
        <v>3846</v>
      </c>
      <c r="G931" s="2">
        <v>44566</v>
      </c>
      <c r="H931" s="1">
        <v>0</v>
      </c>
      <c r="I931" s="1" t="s">
        <v>27</v>
      </c>
      <c r="J931" s="1" t="s">
        <v>4302</v>
      </c>
      <c r="K931" s="1" t="s">
        <v>4669</v>
      </c>
      <c r="L931" s="1">
        <v>4</v>
      </c>
      <c r="M931" s="1">
        <v>38</v>
      </c>
      <c r="N931" s="1" t="s">
        <v>54</v>
      </c>
      <c r="O931" s="1" t="s">
        <v>418</v>
      </c>
      <c r="P931" s="1" t="s">
        <v>56</v>
      </c>
      <c r="Q931" s="1" t="s">
        <v>322</v>
      </c>
      <c r="R931" s="1">
        <v>1151.92</v>
      </c>
      <c r="S931" s="1" t="s">
        <v>46</v>
      </c>
      <c r="T931" s="1" t="s">
        <v>100</v>
      </c>
      <c r="U931" s="1" t="s">
        <v>35</v>
      </c>
      <c r="V931" s="1" t="s">
        <v>36</v>
      </c>
    </row>
    <row r="932" spans="1:22" x14ac:dyDescent="0.3">
      <c r="A932" s="1" t="s">
        <v>4670</v>
      </c>
      <c r="B932" s="1" t="s">
        <v>4671</v>
      </c>
      <c r="C932" s="1">
        <v>42</v>
      </c>
      <c r="D932" s="1" t="s">
        <v>4672</v>
      </c>
      <c r="E932" s="1" t="s">
        <v>51</v>
      </c>
      <c r="F932" s="1" t="s">
        <v>326</v>
      </c>
      <c r="G932" s="1" t="s">
        <v>4608</v>
      </c>
      <c r="H932" s="1">
        <v>3</v>
      </c>
      <c r="I932" s="1" t="s">
        <v>27</v>
      </c>
      <c r="J932" s="2">
        <v>45513</v>
      </c>
      <c r="K932" s="1" t="s">
        <v>4673</v>
      </c>
      <c r="L932" s="1">
        <v>1</v>
      </c>
      <c r="M932" s="1">
        <v>37</v>
      </c>
      <c r="N932" s="1" t="s">
        <v>68</v>
      </c>
      <c r="O932" s="1" t="s">
        <v>135</v>
      </c>
      <c r="P932" s="1" t="s">
        <v>45</v>
      </c>
      <c r="Q932" s="1" t="s">
        <v>32</v>
      </c>
      <c r="R932" s="1">
        <v>1187.1500000000001</v>
      </c>
      <c r="S932" s="1" t="s">
        <v>46</v>
      </c>
      <c r="T932" s="1" t="s">
        <v>34</v>
      </c>
      <c r="U932" s="1" t="s">
        <v>35</v>
      </c>
      <c r="V932" s="1" t="s">
        <v>36</v>
      </c>
    </row>
    <row r="933" spans="1:22" x14ac:dyDescent="0.3">
      <c r="A933" s="1" t="s">
        <v>4674</v>
      </c>
      <c r="B933" s="1" t="s">
        <v>4675</v>
      </c>
      <c r="C933" s="1">
        <v>31</v>
      </c>
      <c r="D933" s="1" t="s">
        <v>4676</v>
      </c>
      <c r="E933" s="1" t="s">
        <v>40</v>
      </c>
      <c r="F933" s="1" t="s">
        <v>1982</v>
      </c>
      <c r="G933" s="1" t="s">
        <v>1546</v>
      </c>
      <c r="H933" s="1">
        <v>1</v>
      </c>
      <c r="I933" s="1" t="s">
        <v>27</v>
      </c>
      <c r="J933" s="1" t="s">
        <v>2685</v>
      </c>
      <c r="K933" s="1" t="s">
        <v>4677</v>
      </c>
      <c r="L933" s="1">
        <v>2</v>
      </c>
      <c r="M933" s="1">
        <v>43</v>
      </c>
      <c r="N933" s="1" t="s">
        <v>54</v>
      </c>
      <c r="O933" s="1" t="s">
        <v>231</v>
      </c>
      <c r="P933" s="1" t="s">
        <v>30</v>
      </c>
      <c r="Q933" s="1" t="s">
        <v>32</v>
      </c>
      <c r="R933" s="1">
        <v>82.52</v>
      </c>
      <c r="S933" s="1" t="s">
        <v>46</v>
      </c>
      <c r="T933" s="1" t="s">
        <v>57</v>
      </c>
      <c r="U933" s="1" t="s">
        <v>35</v>
      </c>
      <c r="V933" s="1" t="s">
        <v>36</v>
      </c>
    </row>
    <row r="934" spans="1:22" x14ac:dyDescent="0.3">
      <c r="A934" s="1" t="s">
        <v>4678</v>
      </c>
      <c r="B934" s="1" t="s">
        <v>4679</v>
      </c>
      <c r="C934" s="1">
        <v>25</v>
      </c>
      <c r="D934" s="1" t="s">
        <v>4680</v>
      </c>
      <c r="E934" s="1" t="s">
        <v>95</v>
      </c>
      <c r="F934" s="2">
        <v>44021</v>
      </c>
      <c r="G934" s="1" t="s">
        <v>4186</v>
      </c>
      <c r="H934" s="1">
        <v>5</v>
      </c>
      <c r="I934" s="1" t="s">
        <v>27</v>
      </c>
      <c r="J934" s="1" t="s">
        <v>3412</v>
      </c>
      <c r="K934" s="1" t="s">
        <v>4681</v>
      </c>
      <c r="L934" s="1">
        <v>4</v>
      </c>
      <c r="M934" s="1">
        <v>32</v>
      </c>
      <c r="N934" s="1" t="s">
        <v>30</v>
      </c>
      <c r="O934" s="1" t="s">
        <v>821</v>
      </c>
      <c r="P934" s="1" t="s">
        <v>68</v>
      </c>
      <c r="Q934" s="1" t="s">
        <v>69</v>
      </c>
      <c r="R934" s="1">
        <v>1768.44</v>
      </c>
      <c r="S934" s="1" t="s">
        <v>46</v>
      </c>
      <c r="T934" s="1" t="s">
        <v>57</v>
      </c>
      <c r="U934" s="1" t="s">
        <v>35</v>
      </c>
      <c r="V934" s="1" t="s">
        <v>188</v>
      </c>
    </row>
    <row r="935" spans="1:22" x14ac:dyDescent="0.3">
      <c r="A935" s="1" t="s">
        <v>4682</v>
      </c>
      <c r="B935" s="1" t="s">
        <v>4683</v>
      </c>
      <c r="C935" s="1">
        <v>21</v>
      </c>
      <c r="D935" s="1" t="s">
        <v>4684</v>
      </c>
      <c r="E935" s="1" t="s">
        <v>25</v>
      </c>
      <c r="F935" s="2">
        <v>44417</v>
      </c>
      <c r="G935" s="1" t="s">
        <v>4685</v>
      </c>
      <c r="H935" s="1">
        <v>0</v>
      </c>
      <c r="I935" s="1" t="s">
        <v>27</v>
      </c>
      <c r="J935" s="1" t="s">
        <v>2828</v>
      </c>
      <c r="K935" s="1" t="s">
        <v>1564</v>
      </c>
      <c r="L935" s="1">
        <v>7</v>
      </c>
      <c r="M935" s="1">
        <v>45</v>
      </c>
      <c r="N935" s="1" t="s">
        <v>30</v>
      </c>
      <c r="O935" s="1" t="s">
        <v>211</v>
      </c>
      <c r="P935" s="1" t="s">
        <v>68</v>
      </c>
      <c r="Q935" s="1" t="s">
        <v>69</v>
      </c>
      <c r="R935" s="1">
        <v>1101.8</v>
      </c>
      <c r="S935" s="1" t="s">
        <v>46</v>
      </c>
      <c r="T935" s="1" t="s">
        <v>100</v>
      </c>
      <c r="U935" s="1" t="s">
        <v>35</v>
      </c>
      <c r="V935" s="1" t="s">
        <v>36</v>
      </c>
    </row>
    <row r="936" spans="1:22" x14ac:dyDescent="0.3">
      <c r="A936" s="1" t="s">
        <v>4686</v>
      </c>
      <c r="B936" s="1" t="s">
        <v>4687</v>
      </c>
      <c r="C936" s="1">
        <v>30</v>
      </c>
      <c r="D936" s="1" t="s">
        <v>4688</v>
      </c>
      <c r="E936" s="1" t="s">
        <v>40</v>
      </c>
      <c r="F936" s="2">
        <v>44684</v>
      </c>
      <c r="G936" s="2">
        <v>45873</v>
      </c>
      <c r="H936" s="1">
        <v>0</v>
      </c>
      <c r="I936" s="1" t="s">
        <v>27</v>
      </c>
      <c r="J936" s="2">
        <v>45543</v>
      </c>
      <c r="K936" s="1" t="s">
        <v>4689</v>
      </c>
      <c r="L936" s="1">
        <v>2</v>
      </c>
      <c r="M936" s="1">
        <v>21</v>
      </c>
      <c r="N936" s="1" t="s">
        <v>45</v>
      </c>
      <c r="O936" s="1" t="s">
        <v>231</v>
      </c>
      <c r="P936" s="1" t="s">
        <v>30</v>
      </c>
      <c r="Q936" s="1" t="s">
        <v>32</v>
      </c>
      <c r="R936" s="1">
        <v>1681.72</v>
      </c>
      <c r="S936" s="1" t="s">
        <v>46</v>
      </c>
      <c r="T936" s="1" t="s">
        <v>57</v>
      </c>
      <c r="U936" s="1" t="s">
        <v>35</v>
      </c>
      <c r="V936" s="1" t="s">
        <v>36</v>
      </c>
    </row>
    <row r="937" spans="1:22" x14ac:dyDescent="0.3">
      <c r="A937" s="1" t="s">
        <v>4690</v>
      </c>
      <c r="B937" s="1" t="s">
        <v>4691</v>
      </c>
      <c r="C937" s="1">
        <v>43</v>
      </c>
      <c r="D937" s="1" t="s">
        <v>4692</v>
      </c>
      <c r="E937" s="1" t="s">
        <v>25</v>
      </c>
      <c r="F937" s="1" t="s">
        <v>4693</v>
      </c>
      <c r="G937" s="2">
        <v>45417</v>
      </c>
      <c r="H937" s="1">
        <v>3</v>
      </c>
      <c r="I937" s="1" t="s">
        <v>64</v>
      </c>
      <c r="J937" s="1" t="s">
        <v>1174</v>
      </c>
      <c r="K937" s="1" t="s">
        <v>4694</v>
      </c>
      <c r="L937" s="1">
        <v>6</v>
      </c>
      <c r="M937" s="1">
        <v>40</v>
      </c>
      <c r="N937" s="1" t="s">
        <v>30</v>
      </c>
      <c r="O937" s="1" t="s">
        <v>44</v>
      </c>
      <c r="P937" s="1" t="s">
        <v>45</v>
      </c>
      <c r="Q937" s="1" t="s">
        <v>32</v>
      </c>
      <c r="R937" s="1">
        <v>1607.64</v>
      </c>
      <c r="S937" s="1" t="s">
        <v>46</v>
      </c>
      <c r="T937" s="1" t="s">
        <v>34</v>
      </c>
      <c r="U937" s="1" t="s">
        <v>35</v>
      </c>
      <c r="V937" s="1" t="s">
        <v>71</v>
      </c>
    </row>
    <row r="938" spans="1:22" x14ac:dyDescent="0.3">
      <c r="A938" s="1" t="s">
        <v>4695</v>
      </c>
      <c r="B938" s="1" t="s">
        <v>4696</v>
      </c>
      <c r="C938" s="1">
        <v>40</v>
      </c>
      <c r="D938" s="1" t="s">
        <v>4697</v>
      </c>
      <c r="E938" s="1" t="s">
        <v>95</v>
      </c>
      <c r="F938" s="1" t="s">
        <v>4698</v>
      </c>
      <c r="G938" s="1" t="s">
        <v>1811</v>
      </c>
      <c r="H938" s="1">
        <v>5</v>
      </c>
      <c r="I938" s="1" t="s">
        <v>27</v>
      </c>
      <c r="J938" s="1" t="s">
        <v>2550</v>
      </c>
      <c r="K938" s="1" t="s">
        <v>4699</v>
      </c>
      <c r="L938" s="1">
        <v>8</v>
      </c>
      <c r="M938" s="1">
        <v>27</v>
      </c>
      <c r="N938" s="1" t="s">
        <v>56</v>
      </c>
      <c r="O938" s="1" t="s">
        <v>238</v>
      </c>
      <c r="P938" s="1" t="s">
        <v>45</v>
      </c>
      <c r="Q938" s="1" t="s">
        <v>69</v>
      </c>
      <c r="R938" s="1">
        <v>1768.56</v>
      </c>
      <c r="S938" s="1" t="s">
        <v>46</v>
      </c>
      <c r="T938" s="1" t="s">
        <v>34</v>
      </c>
      <c r="U938" s="1" t="s">
        <v>35</v>
      </c>
      <c r="V938" s="1" t="s">
        <v>188</v>
      </c>
    </row>
    <row r="939" spans="1:22" x14ac:dyDescent="0.3">
      <c r="A939" s="1" t="s">
        <v>4700</v>
      </c>
      <c r="B939" s="1" t="s">
        <v>4701</v>
      </c>
      <c r="C939" s="1">
        <v>52</v>
      </c>
      <c r="D939" s="1" t="s">
        <v>4702</v>
      </c>
      <c r="E939" s="1" t="s">
        <v>88</v>
      </c>
      <c r="F939" s="1" t="s">
        <v>4703</v>
      </c>
      <c r="G939" s="1" t="s">
        <v>468</v>
      </c>
      <c r="H939" s="1">
        <v>0</v>
      </c>
      <c r="I939" s="1" t="s">
        <v>52</v>
      </c>
      <c r="J939" s="2">
        <v>45694</v>
      </c>
      <c r="K939" s="1" t="s">
        <v>4704</v>
      </c>
      <c r="L939" s="1">
        <v>4</v>
      </c>
      <c r="M939" s="1">
        <v>47</v>
      </c>
      <c r="N939" s="1" t="s">
        <v>54</v>
      </c>
      <c r="O939" s="1" t="s">
        <v>269</v>
      </c>
      <c r="P939" s="1" t="s">
        <v>56</v>
      </c>
      <c r="Q939" s="1" t="s">
        <v>69</v>
      </c>
      <c r="R939" s="1">
        <v>794.4</v>
      </c>
      <c r="S939" s="1" t="s">
        <v>46</v>
      </c>
      <c r="T939" s="1" t="s">
        <v>47</v>
      </c>
      <c r="U939" s="1" t="s">
        <v>35</v>
      </c>
      <c r="V939" s="1" t="s">
        <v>36</v>
      </c>
    </row>
    <row r="940" spans="1:22" x14ac:dyDescent="0.3">
      <c r="A940" s="1" t="s">
        <v>4705</v>
      </c>
      <c r="B940" s="1" t="s">
        <v>4706</v>
      </c>
      <c r="C940" s="1">
        <v>69</v>
      </c>
      <c r="D940" s="1" t="s">
        <v>4707</v>
      </c>
      <c r="E940" s="1" t="s">
        <v>25</v>
      </c>
      <c r="F940" s="2">
        <v>43963</v>
      </c>
      <c r="G940" s="1" t="s">
        <v>1454</v>
      </c>
      <c r="H940" s="1">
        <v>1</v>
      </c>
      <c r="I940" s="1" t="s">
        <v>27</v>
      </c>
      <c r="J940" s="2">
        <v>44781</v>
      </c>
      <c r="K940" s="1" t="s">
        <v>4708</v>
      </c>
      <c r="L940" s="1">
        <v>1</v>
      </c>
      <c r="M940" s="1">
        <v>47</v>
      </c>
      <c r="N940" s="1" t="s">
        <v>30</v>
      </c>
      <c r="O940" s="1" t="s">
        <v>122</v>
      </c>
      <c r="P940" s="1" t="s">
        <v>30</v>
      </c>
      <c r="Q940" s="1" t="s">
        <v>32</v>
      </c>
      <c r="R940" s="1">
        <v>1782.82</v>
      </c>
      <c r="S940" s="1" t="s">
        <v>33</v>
      </c>
      <c r="T940" s="1" t="s">
        <v>232</v>
      </c>
      <c r="U940" s="1" t="s">
        <v>35</v>
      </c>
      <c r="V940" s="1" t="s">
        <v>36</v>
      </c>
    </row>
    <row r="941" spans="1:22" x14ac:dyDescent="0.3">
      <c r="A941" s="1" t="s">
        <v>4709</v>
      </c>
      <c r="B941" s="1" t="s">
        <v>4710</v>
      </c>
      <c r="C941" s="1">
        <v>45</v>
      </c>
      <c r="D941" s="1" t="s">
        <v>4711</v>
      </c>
      <c r="E941" s="1" t="s">
        <v>51</v>
      </c>
      <c r="F941" s="1" t="s">
        <v>4712</v>
      </c>
      <c r="G941" s="1" t="s">
        <v>4713</v>
      </c>
      <c r="H941" s="1">
        <v>3</v>
      </c>
      <c r="I941" s="1" t="s">
        <v>52</v>
      </c>
      <c r="J941" s="1" t="s">
        <v>670</v>
      </c>
      <c r="K941" s="1" t="s">
        <v>4714</v>
      </c>
      <c r="L941" s="1">
        <v>7</v>
      </c>
      <c r="M941" s="1">
        <v>25</v>
      </c>
      <c r="N941" s="1" t="s">
        <v>45</v>
      </c>
      <c r="O941" s="1" t="s">
        <v>91</v>
      </c>
      <c r="P941" s="1" t="s">
        <v>54</v>
      </c>
      <c r="Q941" s="1" t="s">
        <v>69</v>
      </c>
      <c r="R941" s="1">
        <v>1728.37</v>
      </c>
      <c r="S941" s="1" t="s">
        <v>46</v>
      </c>
      <c r="T941" s="1" t="s">
        <v>34</v>
      </c>
      <c r="U941" s="1" t="s">
        <v>35</v>
      </c>
      <c r="V941" s="1" t="s">
        <v>36</v>
      </c>
    </row>
    <row r="942" spans="1:22" x14ac:dyDescent="0.3">
      <c r="A942" s="1" t="s">
        <v>4715</v>
      </c>
      <c r="B942" s="1" t="s">
        <v>4716</v>
      </c>
      <c r="C942" s="1">
        <v>26</v>
      </c>
      <c r="D942" s="1" t="s">
        <v>4717</v>
      </c>
      <c r="E942" s="1" t="s">
        <v>51</v>
      </c>
      <c r="F942" s="2">
        <v>44415</v>
      </c>
      <c r="G942" s="1" t="s">
        <v>1143</v>
      </c>
      <c r="H942" s="1">
        <v>0</v>
      </c>
      <c r="I942" s="1" t="s">
        <v>64</v>
      </c>
      <c r="J942" s="2">
        <v>45606</v>
      </c>
      <c r="K942" s="1" t="s">
        <v>4718</v>
      </c>
      <c r="L942" s="1">
        <v>7</v>
      </c>
      <c r="M942" s="1">
        <v>7</v>
      </c>
      <c r="N942" s="1" t="s">
        <v>54</v>
      </c>
      <c r="O942" s="1" t="s">
        <v>169</v>
      </c>
      <c r="P942" s="1" t="s">
        <v>30</v>
      </c>
      <c r="Q942" s="1" t="s">
        <v>69</v>
      </c>
      <c r="R942" s="1">
        <v>290.5</v>
      </c>
      <c r="S942" s="1" t="s">
        <v>46</v>
      </c>
      <c r="T942" s="1" t="s">
        <v>57</v>
      </c>
      <c r="U942" s="1" t="s">
        <v>101</v>
      </c>
      <c r="V942" s="1" t="s">
        <v>71</v>
      </c>
    </row>
    <row r="943" spans="1:22" x14ac:dyDescent="0.3">
      <c r="A943" s="1" t="s">
        <v>4719</v>
      </c>
      <c r="B943" s="1" t="s">
        <v>4720</v>
      </c>
      <c r="C943" s="1">
        <v>27</v>
      </c>
      <c r="D943" s="1" t="s">
        <v>4721</v>
      </c>
      <c r="E943" s="1" t="s">
        <v>40</v>
      </c>
      <c r="F943" s="2">
        <v>44723</v>
      </c>
      <c r="G943" s="1" t="s">
        <v>2035</v>
      </c>
      <c r="H943" s="1">
        <v>3</v>
      </c>
      <c r="I943" s="1" t="s">
        <v>27</v>
      </c>
      <c r="J943" s="2">
        <v>44965</v>
      </c>
      <c r="K943" s="1" t="s">
        <v>4722</v>
      </c>
      <c r="L943" s="1">
        <v>5</v>
      </c>
      <c r="M943" s="1">
        <v>2</v>
      </c>
      <c r="N943" s="1" t="s">
        <v>54</v>
      </c>
      <c r="O943" s="1" t="s">
        <v>169</v>
      </c>
      <c r="P943" s="1" t="s">
        <v>30</v>
      </c>
      <c r="Q943" s="1" t="s">
        <v>69</v>
      </c>
      <c r="R943" s="1">
        <v>247.7</v>
      </c>
      <c r="S943" s="1" t="s">
        <v>46</v>
      </c>
      <c r="T943" s="1" t="s">
        <v>57</v>
      </c>
      <c r="U943" s="1" t="s">
        <v>70</v>
      </c>
      <c r="V943" s="1" t="s">
        <v>36</v>
      </c>
    </row>
    <row r="944" spans="1:22" x14ac:dyDescent="0.3">
      <c r="A944" s="1" t="s">
        <v>4723</v>
      </c>
      <c r="B944" s="1" t="s">
        <v>4724</v>
      </c>
      <c r="C944" s="1">
        <v>56</v>
      </c>
      <c r="D944" s="1" t="s">
        <v>4725</v>
      </c>
      <c r="E944" s="1" t="s">
        <v>95</v>
      </c>
      <c r="F944" s="2">
        <v>44717</v>
      </c>
      <c r="G944" s="1" t="s">
        <v>4726</v>
      </c>
      <c r="H944" s="1">
        <v>1</v>
      </c>
      <c r="I944" s="1" t="s">
        <v>27</v>
      </c>
      <c r="J944" s="1" t="s">
        <v>670</v>
      </c>
      <c r="K944" s="1" t="s">
        <v>4727</v>
      </c>
      <c r="L944" s="1">
        <v>5</v>
      </c>
      <c r="M944" s="1">
        <v>35</v>
      </c>
      <c r="N944" s="1" t="s">
        <v>45</v>
      </c>
      <c r="O944" s="1" t="s">
        <v>99</v>
      </c>
      <c r="P944" s="1" t="s">
        <v>56</v>
      </c>
      <c r="Q944" s="1" t="s">
        <v>32</v>
      </c>
      <c r="R944" s="1">
        <v>1974.95</v>
      </c>
      <c r="S944" s="1" t="s">
        <v>46</v>
      </c>
      <c r="T944" s="1" t="s">
        <v>47</v>
      </c>
      <c r="U944" s="1" t="s">
        <v>35</v>
      </c>
      <c r="V944" s="1" t="s">
        <v>36</v>
      </c>
    </row>
    <row r="945" spans="1:22" x14ac:dyDescent="0.3">
      <c r="A945" s="1" t="s">
        <v>4728</v>
      </c>
      <c r="B945" s="1" t="s">
        <v>4729</v>
      </c>
      <c r="C945" s="1">
        <v>38</v>
      </c>
      <c r="D945" s="1" t="s">
        <v>4730</v>
      </c>
      <c r="E945" s="1" t="s">
        <v>88</v>
      </c>
      <c r="F945" s="1" t="s">
        <v>4731</v>
      </c>
      <c r="G945" s="2">
        <v>45020</v>
      </c>
      <c r="H945" s="1">
        <v>0</v>
      </c>
      <c r="I945" s="1" t="s">
        <v>27</v>
      </c>
      <c r="J945" s="2">
        <v>45025</v>
      </c>
      <c r="K945" s="1" t="s">
        <v>4732</v>
      </c>
      <c r="L945" s="1">
        <v>6</v>
      </c>
      <c r="M945" s="1">
        <v>47</v>
      </c>
      <c r="N945" s="1" t="s">
        <v>45</v>
      </c>
      <c r="O945" s="1" t="s">
        <v>624</v>
      </c>
      <c r="P945" s="1" t="s">
        <v>30</v>
      </c>
      <c r="Q945" s="1" t="s">
        <v>32</v>
      </c>
      <c r="R945" s="1">
        <v>704.88</v>
      </c>
      <c r="S945" s="1" t="s">
        <v>46</v>
      </c>
      <c r="T945" s="1" t="s">
        <v>34</v>
      </c>
      <c r="U945" s="1" t="s">
        <v>35</v>
      </c>
      <c r="V945" s="1" t="s">
        <v>36</v>
      </c>
    </row>
    <row r="946" spans="1:22" x14ac:dyDescent="0.3">
      <c r="A946" s="1" t="s">
        <v>4733</v>
      </c>
      <c r="B946" s="1" t="s">
        <v>4734</v>
      </c>
      <c r="C946" s="1">
        <v>33</v>
      </c>
      <c r="D946" s="1" t="s">
        <v>4735</v>
      </c>
      <c r="E946" s="1" t="s">
        <v>61</v>
      </c>
      <c r="F946" s="1" t="s">
        <v>1464</v>
      </c>
      <c r="G946" s="1" t="s">
        <v>1442</v>
      </c>
      <c r="H946" s="1">
        <v>5</v>
      </c>
      <c r="I946" s="1" t="s">
        <v>52</v>
      </c>
      <c r="J946" s="2">
        <v>44414</v>
      </c>
      <c r="K946" s="1" t="s">
        <v>1493</v>
      </c>
      <c r="L946" s="1">
        <v>4</v>
      </c>
      <c r="M946" s="1">
        <v>14</v>
      </c>
      <c r="N946" s="1" t="s">
        <v>45</v>
      </c>
      <c r="O946" s="1" t="s">
        <v>31</v>
      </c>
      <c r="P946" s="1" t="s">
        <v>30</v>
      </c>
      <c r="Q946" s="1" t="s">
        <v>69</v>
      </c>
      <c r="R946" s="1">
        <v>1051.56</v>
      </c>
      <c r="S946" s="1" t="s">
        <v>46</v>
      </c>
      <c r="T946" s="1" t="s">
        <v>57</v>
      </c>
      <c r="U946" s="1" t="s">
        <v>35</v>
      </c>
      <c r="V946" s="1" t="s">
        <v>36</v>
      </c>
    </row>
    <row r="947" spans="1:22" x14ac:dyDescent="0.3">
      <c r="A947" s="1" t="s">
        <v>4736</v>
      </c>
      <c r="B947" s="1" t="s">
        <v>4737</v>
      </c>
      <c r="C947" s="1">
        <v>19</v>
      </c>
      <c r="D947" s="1" t="s">
        <v>4738</v>
      </c>
      <c r="E947" s="1" t="s">
        <v>25</v>
      </c>
      <c r="F947" s="2">
        <v>44685</v>
      </c>
      <c r="G947" s="2">
        <v>44754</v>
      </c>
      <c r="H947" s="1">
        <v>0</v>
      </c>
      <c r="I947" s="1" t="s">
        <v>64</v>
      </c>
      <c r="J947" s="1" t="s">
        <v>4147</v>
      </c>
      <c r="K947" s="1" t="s">
        <v>4739</v>
      </c>
      <c r="L947" s="1">
        <v>9</v>
      </c>
      <c r="M947" s="1">
        <v>17</v>
      </c>
      <c r="N947" s="1" t="s">
        <v>54</v>
      </c>
      <c r="O947" s="1" t="s">
        <v>536</v>
      </c>
      <c r="P947" s="1" t="s">
        <v>68</v>
      </c>
      <c r="Q947" s="1" t="s">
        <v>69</v>
      </c>
      <c r="R947" s="1">
        <v>1022.76</v>
      </c>
      <c r="S947" s="1" t="s">
        <v>46</v>
      </c>
      <c r="T947" s="1" t="s">
        <v>100</v>
      </c>
      <c r="U947" s="1" t="s">
        <v>35</v>
      </c>
      <c r="V947" s="1" t="s">
        <v>71</v>
      </c>
    </row>
    <row r="948" spans="1:22" x14ac:dyDescent="0.3">
      <c r="A948" s="1" t="s">
        <v>4740</v>
      </c>
      <c r="B948" s="1" t="s">
        <v>4741</v>
      </c>
      <c r="C948" s="1">
        <v>44</v>
      </c>
      <c r="D948" s="1" t="s">
        <v>4742</v>
      </c>
      <c r="E948" s="1" t="s">
        <v>88</v>
      </c>
      <c r="F948" s="1" t="s">
        <v>2588</v>
      </c>
      <c r="G948" s="1" t="s">
        <v>4359</v>
      </c>
      <c r="H948" s="1">
        <v>1</v>
      </c>
      <c r="I948" s="1" t="s">
        <v>64</v>
      </c>
      <c r="J948" s="1" t="s">
        <v>4743</v>
      </c>
      <c r="K948" s="1" t="s">
        <v>4744</v>
      </c>
      <c r="L948" s="1">
        <v>2</v>
      </c>
      <c r="M948" s="1">
        <v>23</v>
      </c>
      <c r="N948" s="1" t="s">
        <v>54</v>
      </c>
      <c r="O948" s="1" t="s">
        <v>194</v>
      </c>
      <c r="P948" s="1" t="s">
        <v>56</v>
      </c>
      <c r="Q948" s="1" t="s">
        <v>32</v>
      </c>
      <c r="R948" s="1">
        <v>1743.7</v>
      </c>
      <c r="S948" s="1" t="s">
        <v>46</v>
      </c>
      <c r="T948" s="1" t="s">
        <v>34</v>
      </c>
      <c r="U948" s="1" t="s">
        <v>35</v>
      </c>
      <c r="V948" s="1" t="s">
        <v>71</v>
      </c>
    </row>
    <row r="949" spans="1:22" x14ac:dyDescent="0.3">
      <c r="A949" s="1" t="s">
        <v>4745</v>
      </c>
      <c r="B949" s="1" t="s">
        <v>4746</v>
      </c>
      <c r="C949" s="1">
        <v>69</v>
      </c>
      <c r="D949" s="1" t="s">
        <v>4747</v>
      </c>
      <c r="E949" s="1" t="s">
        <v>40</v>
      </c>
      <c r="F949" s="1" t="s">
        <v>803</v>
      </c>
      <c r="G949" s="1" t="s">
        <v>1122</v>
      </c>
      <c r="H949" s="1">
        <v>5</v>
      </c>
      <c r="I949" s="1" t="s">
        <v>27</v>
      </c>
      <c r="J949" s="1" t="s">
        <v>1143</v>
      </c>
      <c r="K949" s="1" t="s">
        <v>4748</v>
      </c>
      <c r="L949" s="1">
        <v>3</v>
      </c>
      <c r="M949" s="1">
        <v>37</v>
      </c>
      <c r="N949" s="1" t="s">
        <v>54</v>
      </c>
      <c r="O949" s="1" t="s">
        <v>245</v>
      </c>
      <c r="P949" s="1" t="s">
        <v>54</v>
      </c>
      <c r="Q949" s="1" t="s">
        <v>69</v>
      </c>
      <c r="R949" s="1">
        <v>1411.11</v>
      </c>
      <c r="S949" s="1" t="s">
        <v>33</v>
      </c>
      <c r="T949" s="1" t="s">
        <v>232</v>
      </c>
      <c r="U949" s="1" t="s">
        <v>35</v>
      </c>
      <c r="V949" s="1" t="s">
        <v>188</v>
      </c>
    </row>
    <row r="950" spans="1:22" x14ac:dyDescent="0.3">
      <c r="A950" s="1" t="s">
        <v>4749</v>
      </c>
      <c r="B950" s="1" t="s">
        <v>4750</v>
      </c>
      <c r="C950" s="1">
        <v>39</v>
      </c>
      <c r="D950" s="1" t="s">
        <v>4751</v>
      </c>
      <c r="E950" s="1" t="s">
        <v>40</v>
      </c>
      <c r="F950" s="2">
        <v>44147</v>
      </c>
      <c r="G950" s="2">
        <v>44383</v>
      </c>
      <c r="H950" s="1">
        <v>5</v>
      </c>
      <c r="I950" s="1" t="s">
        <v>27</v>
      </c>
      <c r="J950" s="1" t="s">
        <v>1090</v>
      </c>
      <c r="K950" s="1" t="s">
        <v>4752</v>
      </c>
      <c r="L950" s="1">
        <v>5</v>
      </c>
      <c r="M950" s="1">
        <v>22</v>
      </c>
      <c r="N950" s="1" t="s">
        <v>54</v>
      </c>
      <c r="O950" s="1" t="s">
        <v>149</v>
      </c>
      <c r="P950" s="1" t="s">
        <v>30</v>
      </c>
      <c r="Q950" s="1" t="s">
        <v>69</v>
      </c>
      <c r="R950" s="1">
        <v>1747.25</v>
      </c>
      <c r="S950" s="1" t="s">
        <v>46</v>
      </c>
      <c r="T950" s="1" t="s">
        <v>34</v>
      </c>
      <c r="U950" s="1" t="s">
        <v>35</v>
      </c>
      <c r="V950" s="1" t="s">
        <v>188</v>
      </c>
    </row>
    <row r="951" spans="1:22" x14ac:dyDescent="0.3">
      <c r="A951" s="1" t="s">
        <v>4753</v>
      </c>
      <c r="B951" s="1" t="s">
        <v>4754</v>
      </c>
      <c r="C951" s="1">
        <v>67</v>
      </c>
      <c r="D951" s="1" t="s">
        <v>4755</v>
      </c>
      <c r="E951" s="1" t="s">
        <v>61</v>
      </c>
      <c r="F951" s="1" t="s">
        <v>894</v>
      </c>
      <c r="G951" s="1" t="s">
        <v>808</v>
      </c>
      <c r="H951" s="1">
        <v>0</v>
      </c>
      <c r="I951" s="1" t="s">
        <v>64</v>
      </c>
      <c r="J951" s="1" t="s">
        <v>566</v>
      </c>
      <c r="K951" s="1" t="s">
        <v>4756</v>
      </c>
      <c r="L951" s="1">
        <v>6</v>
      </c>
      <c r="M951" s="1">
        <v>12</v>
      </c>
      <c r="N951" s="1" t="s">
        <v>56</v>
      </c>
      <c r="O951" s="1" t="s">
        <v>142</v>
      </c>
      <c r="P951" s="1" t="s">
        <v>68</v>
      </c>
      <c r="Q951" s="1" t="s">
        <v>32</v>
      </c>
      <c r="R951" s="1">
        <v>1480.26</v>
      </c>
      <c r="S951" s="1" t="s">
        <v>46</v>
      </c>
      <c r="T951" s="1" t="s">
        <v>232</v>
      </c>
      <c r="U951" s="1" t="s">
        <v>35</v>
      </c>
      <c r="V951" s="1" t="s">
        <v>71</v>
      </c>
    </row>
    <row r="952" spans="1:22" x14ac:dyDescent="0.3">
      <c r="A952" s="1" t="s">
        <v>4757</v>
      </c>
      <c r="B952" s="1" t="s">
        <v>4758</v>
      </c>
      <c r="C952" s="1">
        <v>22</v>
      </c>
      <c r="D952" s="1" t="s">
        <v>4759</v>
      </c>
      <c r="E952" s="1" t="s">
        <v>88</v>
      </c>
      <c r="F952" s="2">
        <v>45173</v>
      </c>
      <c r="G952" s="1" t="s">
        <v>4760</v>
      </c>
      <c r="H952" s="1">
        <v>2</v>
      </c>
      <c r="I952" s="1" t="s">
        <v>27</v>
      </c>
      <c r="J952" s="1" t="s">
        <v>1929</v>
      </c>
      <c r="K952" s="1" t="s">
        <v>4761</v>
      </c>
      <c r="L952" s="1">
        <v>4</v>
      </c>
      <c r="M952" s="1">
        <v>48</v>
      </c>
      <c r="N952" s="1" t="s">
        <v>56</v>
      </c>
      <c r="O952" s="1" t="s">
        <v>837</v>
      </c>
      <c r="P952" s="1" t="s">
        <v>56</v>
      </c>
      <c r="Q952" s="1" t="s">
        <v>69</v>
      </c>
      <c r="R952" s="1">
        <v>879.52</v>
      </c>
      <c r="S952" s="1" t="s">
        <v>33</v>
      </c>
      <c r="T952" s="1" t="s">
        <v>100</v>
      </c>
      <c r="U952" s="1" t="s">
        <v>35</v>
      </c>
      <c r="V952" s="1" t="s">
        <v>36</v>
      </c>
    </row>
    <row r="953" spans="1:22" x14ac:dyDescent="0.3">
      <c r="A953" s="1" t="s">
        <v>4762</v>
      </c>
      <c r="B953" s="1" t="s">
        <v>4763</v>
      </c>
      <c r="C953" s="1">
        <v>57</v>
      </c>
      <c r="D953" s="1" t="s">
        <v>4764</v>
      </c>
      <c r="E953" s="1" t="s">
        <v>25</v>
      </c>
      <c r="F953" s="2">
        <v>44813</v>
      </c>
      <c r="G953" s="2">
        <v>44966</v>
      </c>
      <c r="H953" s="1">
        <v>5</v>
      </c>
      <c r="I953" s="1" t="s">
        <v>27</v>
      </c>
      <c r="J953" s="2">
        <v>44875</v>
      </c>
      <c r="K953" s="1" t="s">
        <v>4765</v>
      </c>
      <c r="L953" s="1">
        <v>7</v>
      </c>
      <c r="M953" s="1">
        <v>48</v>
      </c>
      <c r="N953" s="1" t="s">
        <v>30</v>
      </c>
      <c r="O953" s="1" t="s">
        <v>135</v>
      </c>
      <c r="P953" s="1" t="s">
        <v>45</v>
      </c>
      <c r="Q953" s="1" t="s">
        <v>32</v>
      </c>
      <c r="R953" s="1">
        <v>272.3</v>
      </c>
      <c r="S953" s="1" t="s">
        <v>46</v>
      </c>
      <c r="T953" s="1" t="s">
        <v>47</v>
      </c>
      <c r="U953" s="1" t="s">
        <v>35</v>
      </c>
      <c r="V953" s="1" t="s">
        <v>188</v>
      </c>
    </row>
    <row r="954" spans="1:22" x14ac:dyDescent="0.3">
      <c r="A954" s="1" t="s">
        <v>4766</v>
      </c>
      <c r="B954" s="1" t="s">
        <v>4767</v>
      </c>
      <c r="C954" s="1">
        <v>18</v>
      </c>
      <c r="D954" s="1" t="s">
        <v>4768</v>
      </c>
      <c r="E954" s="1" t="s">
        <v>51</v>
      </c>
      <c r="F954" s="1" t="s">
        <v>1836</v>
      </c>
      <c r="G954" s="1" t="s">
        <v>669</v>
      </c>
      <c r="H954" s="1">
        <v>5</v>
      </c>
      <c r="I954" s="1" t="s">
        <v>27</v>
      </c>
      <c r="J954" s="1" t="s">
        <v>2763</v>
      </c>
      <c r="K954" s="1" t="s">
        <v>4769</v>
      </c>
      <c r="L954" s="1">
        <v>6</v>
      </c>
      <c r="M954" s="1">
        <v>9</v>
      </c>
      <c r="N954" s="1" t="s">
        <v>56</v>
      </c>
      <c r="O954" s="1" t="s">
        <v>536</v>
      </c>
      <c r="P954" s="1" t="s">
        <v>68</v>
      </c>
      <c r="Q954" s="1" t="s">
        <v>69</v>
      </c>
      <c r="R954" s="1">
        <v>1413.96</v>
      </c>
      <c r="S954" s="1" t="s">
        <v>46</v>
      </c>
      <c r="T954" s="1" t="s">
        <v>100</v>
      </c>
      <c r="U954" s="1" t="s">
        <v>35</v>
      </c>
      <c r="V954" s="1" t="s">
        <v>188</v>
      </c>
    </row>
    <row r="955" spans="1:22" x14ac:dyDescent="0.3">
      <c r="A955" s="1" t="s">
        <v>4770</v>
      </c>
      <c r="B955" s="1" t="s">
        <v>4771</v>
      </c>
      <c r="C955" s="1">
        <v>30</v>
      </c>
      <c r="D955" s="1" t="s">
        <v>4772</v>
      </c>
      <c r="E955" s="1" t="s">
        <v>25</v>
      </c>
      <c r="F955" s="1" t="s">
        <v>4773</v>
      </c>
      <c r="G955" s="1" t="s">
        <v>2956</v>
      </c>
      <c r="H955" s="1">
        <v>1</v>
      </c>
      <c r="I955" s="1" t="s">
        <v>27</v>
      </c>
      <c r="J955" s="1" t="s">
        <v>1899</v>
      </c>
      <c r="K955" s="1" t="s">
        <v>4774</v>
      </c>
      <c r="L955" s="1">
        <v>1</v>
      </c>
      <c r="M955" s="1">
        <v>48</v>
      </c>
      <c r="N955" s="1" t="s">
        <v>56</v>
      </c>
      <c r="O955" s="1" t="s">
        <v>293</v>
      </c>
      <c r="P955" s="1" t="s">
        <v>45</v>
      </c>
      <c r="Q955" s="1" t="s">
        <v>32</v>
      </c>
      <c r="R955" s="1">
        <v>1880.02</v>
      </c>
      <c r="S955" s="1" t="s">
        <v>46</v>
      </c>
      <c r="T955" s="1" t="s">
        <v>57</v>
      </c>
      <c r="U955" s="1" t="s">
        <v>35</v>
      </c>
      <c r="V955" s="1" t="s">
        <v>36</v>
      </c>
    </row>
    <row r="956" spans="1:22" x14ac:dyDescent="0.3">
      <c r="A956" s="1" t="s">
        <v>4775</v>
      </c>
      <c r="B956" s="1" t="s">
        <v>4776</v>
      </c>
      <c r="C956" s="1">
        <v>64</v>
      </c>
      <c r="D956" s="1" t="s">
        <v>4777</v>
      </c>
      <c r="E956" s="1" t="s">
        <v>51</v>
      </c>
      <c r="F956" s="1" t="s">
        <v>740</v>
      </c>
      <c r="G956" s="1" t="s">
        <v>1005</v>
      </c>
      <c r="H956" s="1">
        <v>4</v>
      </c>
      <c r="I956" s="1" t="s">
        <v>52</v>
      </c>
      <c r="J956" s="1" t="s">
        <v>622</v>
      </c>
      <c r="K956" s="1" t="s">
        <v>4778</v>
      </c>
      <c r="L956" s="1">
        <v>9</v>
      </c>
      <c r="M956" s="1">
        <v>42</v>
      </c>
      <c r="N956" s="1" t="s">
        <v>30</v>
      </c>
      <c r="O956" s="1" t="s">
        <v>169</v>
      </c>
      <c r="P956" s="1" t="s">
        <v>30</v>
      </c>
      <c r="Q956" s="1" t="s">
        <v>69</v>
      </c>
      <c r="R956" s="1">
        <v>499.68</v>
      </c>
      <c r="S956" s="1" t="s">
        <v>33</v>
      </c>
      <c r="T956" s="1" t="s">
        <v>47</v>
      </c>
      <c r="U956" s="1" t="s">
        <v>35</v>
      </c>
      <c r="V956" s="1" t="s">
        <v>36</v>
      </c>
    </row>
    <row r="957" spans="1:22" x14ac:dyDescent="0.3">
      <c r="A957" s="1" t="s">
        <v>4779</v>
      </c>
      <c r="B957" s="1" t="s">
        <v>4780</v>
      </c>
      <c r="C957" s="1">
        <v>45</v>
      </c>
      <c r="D957" s="1" t="s">
        <v>4781</v>
      </c>
      <c r="E957" s="1" t="s">
        <v>40</v>
      </c>
      <c r="F957" s="2">
        <v>45234</v>
      </c>
      <c r="G957" s="2">
        <v>45902</v>
      </c>
      <c r="H957" s="1">
        <v>1</v>
      </c>
      <c r="I957" s="1" t="s">
        <v>27</v>
      </c>
      <c r="J957" s="1" t="s">
        <v>675</v>
      </c>
      <c r="K957" s="1" t="s">
        <v>4782</v>
      </c>
      <c r="L957" s="1">
        <v>6</v>
      </c>
      <c r="M957" s="1">
        <v>21</v>
      </c>
      <c r="N957" s="1" t="s">
        <v>68</v>
      </c>
      <c r="O957" s="1" t="s">
        <v>142</v>
      </c>
      <c r="P957" s="1" t="s">
        <v>68</v>
      </c>
      <c r="Q957" s="1" t="s">
        <v>32</v>
      </c>
      <c r="R957" s="1">
        <v>438.12</v>
      </c>
      <c r="S957" s="1" t="s">
        <v>33</v>
      </c>
      <c r="T957" s="1" t="s">
        <v>34</v>
      </c>
      <c r="U957" s="1" t="s">
        <v>35</v>
      </c>
      <c r="V957" s="1" t="s">
        <v>36</v>
      </c>
    </row>
    <row r="958" spans="1:22" x14ac:dyDescent="0.3">
      <c r="A958" s="1" t="s">
        <v>4783</v>
      </c>
      <c r="B958" s="1" t="s">
        <v>4784</v>
      </c>
      <c r="C958" s="1">
        <v>58</v>
      </c>
      <c r="D958" s="1" t="s">
        <v>4785</v>
      </c>
      <c r="E958" s="1" t="s">
        <v>51</v>
      </c>
      <c r="F958" s="1" t="s">
        <v>4786</v>
      </c>
      <c r="G958" s="1" t="s">
        <v>1929</v>
      </c>
      <c r="H958" s="1">
        <v>3</v>
      </c>
      <c r="I958" s="1" t="s">
        <v>27</v>
      </c>
      <c r="J958" s="2">
        <v>45140</v>
      </c>
      <c r="K958" s="1" t="s">
        <v>4787</v>
      </c>
      <c r="L958" s="1">
        <v>1</v>
      </c>
      <c r="M958" s="1">
        <v>37</v>
      </c>
      <c r="N958" s="1" t="s">
        <v>54</v>
      </c>
      <c r="O958" s="1" t="s">
        <v>223</v>
      </c>
      <c r="P958" s="1" t="s">
        <v>56</v>
      </c>
      <c r="Q958" s="1" t="s">
        <v>69</v>
      </c>
      <c r="R958" s="1">
        <v>1802.85</v>
      </c>
      <c r="S958" s="1" t="s">
        <v>46</v>
      </c>
      <c r="T958" s="1" t="s">
        <v>47</v>
      </c>
      <c r="U958" s="1" t="s">
        <v>35</v>
      </c>
      <c r="V958" s="1" t="s">
        <v>36</v>
      </c>
    </row>
    <row r="959" spans="1:22" x14ac:dyDescent="0.3">
      <c r="A959" s="1" t="s">
        <v>4788</v>
      </c>
      <c r="B959" s="1" t="s">
        <v>4789</v>
      </c>
      <c r="C959" s="1">
        <v>21</v>
      </c>
      <c r="D959" s="1" t="s">
        <v>4790</v>
      </c>
      <c r="E959" s="1" t="s">
        <v>51</v>
      </c>
      <c r="F959" s="2">
        <v>44540</v>
      </c>
      <c r="G959" s="1" t="s">
        <v>1323</v>
      </c>
      <c r="H959" s="1">
        <v>5</v>
      </c>
      <c r="I959" s="1" t="s">
        <v>52</v>
      </c>
      <c r="J959" s="2">
        <v>45149</v>
      </c>
      <c r="K959" s="1" t="s">
        <v>4791</v>
      </c>
      <c r="L959" s="1">
        <v>2</v>
      </c>
      <c r="M959" s="1">
        <v>28</v>
      </c>
      <c r="N959" s="1" t="s">
        <v>45</v>
      </c>
      <c r="O959" s="1" t="s">
        <v>175</v>
      </c>
      <c r="P959" s="1" t="s">
        <v>56</v>
      </c>
      <c r="Q959" s="1" t="s">
        <v>69</v>
      </c>
      <c r="R959" s="1">
        <v>1556.76</v>
      </c>
      <c r="S959" s="1" t="s">
        <v>46</v>
      </c>
      <c r="T959" s="1" t="s">
        <v>100</v>
      </c>
      <c r="U959" s="1" t="s">
        <v>35</v>
      </c>
      <c r="V959" s="1" t="s">
        <v>36</v>
      </c>
    </row>
    <row r="960" spans="1:22" x14ac:dyDescent="0.3">
      <c r="A960" s="1" t="s">
        <v>4792</v>
      </c>
      <c r="B960" s="1" t="s">
        <v>4793</v>
      </c>
      <c r="C960" s="1">
        <v>22</v>
      </c>
      <c r="D960" s="1" t="s">
        <v>4794</v>
      </c>
      <c r="E960" s="1" t="s">
        <v>51</v>
      </c>
      <c r="F960" s="1" t="s">
        <v>4795</v>
      </c>
      <c r="G960" s="1" t="s">
        <v>1075</v>
      </c>
      <c r="H960" s="1">
        <v>3</v>
      </c>
      <c r="I960" s="1" t="s">
        <v>52</v>
      </c>
      <c r="J960" s="1" t="s">
        <v>155</v>
      </c>
      <c r="K960" s="1" t="s">
        <v>4796</v>
      </c>
      <c r="L960" s="1">
        <v>9</v>
      </c>
      <c r="M960" s="1">
        <v>9</v>
      </c>
      <c r="N960" s="1" t="s">
        <v>45</v>
      </c>
      <c r="O960" s="1" t="s">
        <v>366</v>
      </c>
      <c r="P960" s="1" t="s">
        <v>54</v>
      </c>
      <c r="Q960" s="1" t="s">
        <v>32</v>
      </c>
      <c r="R960" s="1">
        <v>1153.26</v>
      </c>
      <c r="S960" s="1" t="s">
        <v>46</v>
      </c>
      <c r="T960" s="1" t="s">
        <v>100</v>
      </c>
      <c r="U960" s="1" t="s">
        <v>35</v>
      </c>
      <c r="V960" s="1" t="s">
        <v>36</v>
      </c>
    </row>
    <row r="961" spans="1:22" x14ac:dyDescent="0.3">
      <c r="A961" s="1" t="s">
        <v>4797</v>
      </c>
      <c r="B961" s="1" t="s">
        <v>4798</v>
      </c>
      <c r="C961" s="1">
        <v>36</v>
      </c>
      <c r="D961" s="1" t="s">
        <v>4799</v>
      </c>
      <c r="E961" s="1" t="s">
        <v>88</v>
      </c>
      <c r="F961" s="2">
        <v>44235</v>
      </c>
      <c r="G961" s="2">
        <v>44780</v>
      </c>
      <c r="H961" s="1">
        <v>3</v>
      </c>
      <c r="I961" s="1" t="s">
        <v>27</v>
      </c>
      <c r="J961" s="2">
        <v>44969</v>
      </c>
      <c r="K961" s="1" t="s">
        <v>4800</v>
      </c>
      <c r="L961" s="1">
        <v>7</v>
      </c>
      <c r="M961" s="1">
        <v>5</v>
      </c>
      <c r="N961" s="1" t="s">
        <v>54</v>
      </c>
      <c r="O961" s="1" t="s">
        <v>251</v>
      </c>
      <c r="P961" s="1" t="s">
        <v>30</v>
      </c>
      <c r="Q961" s="1" t="s">
        <v>32</v>
      </c>
      <c r="R961" s="1">
        <v>1226.47</v>
      </c>
      <c r="S961" s="1" t="s">
        <v>46</v>
      </c>
      <c r="T961" s="1" t="s">
        <v>34</v>
      </c>
      <c r="U961" s="1" t="s">
        <v>35</v>
      </c>
      <c r="V961" s="1" t="s">
        <v>36</v>
      </c>
    </row>
    <row r="962" spans="1:22" x14ac:dyDescent="0.3">
      <c r="A962" s="1" t="s">
        <v>4801</v>
      </c>
      <c r="B962" s="1" t="s">
        <v>4802</v>
      </c>
      <c r="C962" s="1">
        <v>24</v>
      </c>
      <c r="D962" s="1" t="s">
        <v>4803</v>
      </c>
      <c r="E962" s="1" t="s">
        <v>61</v>
      </c>
      <c r="F962" s="2">
        <v>43900</v>
      </c>
      <c r="G962" s="1" t="s">
        <v>319</v>
      </c>
      <c r="H962" s="1">
        <v>4</v>
      </c>
      <c r="I962" s="1" t="s">
        <v>52</v>
      </c>
      <c r="J962" s="1" t="s">
        <v>1811</v>
      </c>
      <c r="K962" s="1" t="s">
        <v>4804</v>
      </c>
      <c r="L962" s="1">
        <v>3</v>
      </c>
      <c r="M962" s="1">
        <v>34</v>
      </c>
      <c r="N962" s="1" t="s">
        <v>30</v>
      </c>
      <c r="O962" s="1" t="s">
        <v>251</v>
      </c>
      <c r="P962" s="1" t="s">
        <v>30</v>
      </c>
      <c r="Q962" s="1" t="s">
        <v>69</v>
      </c>
      <c r="R962" s="1">
        <v>536.52</v>
      </c>
      <c r="S962" s="1" t="s">
        <v>33</v>
      </c>
      <c r="T962" s="1" t="s">
        <v>100</v>
      </c>
      <c r="U962" s="1" t="s">
        <v>35</v>
      </c>
      <c r="V962" s="1" t="s">
        <v>36</v>
      </c>
    </row>
    <row r="963" spans="1:22" x14ac:dyDescent="0.3">
      <c r="A963" s="1" t="s">
        <v>4805</v>
      </c>
      <c r="B963" s="1" t="s">
        <v>4806</v>
      </c>
      <c r="C963" s="1">
        <v>65</v>
      </c>
      <c r="D963" s="1" t="s">
        <v>4807</v>
      </c>
      <c r="E963" s="1" t="s">
        <v>25</v>
      </c>
      <c r="F963" s="1" t="s">
        <v>1381</v>
      </c>
      <c r="G963" s="1" t="s">
        <v>994</v>
      </c>
      <c r="H963" s="1">
        <v>1</v>
      </c>
      <c r="I963" s="1" t="s">
        <v>27</v>
      </c>
      <c r="J963" s="1" t="s">
        <v>2763</v>
      </c>
      <c r="K963" s="1" t="s">
        <v>4808</v>
      </c>
      <c r="L963" s="1">
        <v>6</v>
      </c>
      <c r="M963" s="1">
        <v>38</v>
      </c>
      <c r="N963" s="1" t="s">
        <v>68</v>
      </c>
      <c r="O963" s="1" t="s">
        <v>604</v>
      </c>
      <c r="P963" s="1" t="s">
        <v>45</v>
      </c>
      <c r="Q963" s="1" t="s">
        <v>32</v>
      </c>
      <c r="R963" s="1">
        <v>604.79999999999995</v>
      </c>
      <c r="S963" s="1" t="s">
        <v>46</v>
      </c>
      <c r="T963" s="1" t="s">
        <v>232</v>
      </c>
      <c r="U963" s="1" t="s">
        <v>35</v>
      </c>
      <c r="V963" s="1" t="s">
        <v>36</v>
      </c>
    </row>
    <row r="964" spans="1:22" x14ac:dyDescent="0.3">
      <c r="A964" s="1" t="s">
        <v>4809</v>
      </c>
      <c r="B964" s="1" t="s">
        <v>4810</v>
      </c>
      <c r="C964" s="1">
        <v>56</v>
      </c>
      <c r="D964" s="1" t="s">
        <v>4811</v>
      </c>
      <c r="E964" s="1" t="s">
        <v>40</v>
      </c>
      <c r="F964" s="1" t="s">
        <v>4812</v>
      </c>
      <c r="G964" s="1" t="s">
        <v>2421</v>
      </c>
      <c r="H964" s="1">
        <v>0</v>
      </c>
      <c r="I964" s="1" t="s">
        <v>27</v>
      </c>
      <c r="J964" s="1" t="s">
        <v>1737</v>
      </c>
      <c r="K964" s="1" t="s">
        <v>4813</v>
      </c>
      <c r="L964" s="1">
        <v>3</v>
      </c>
      <c r="M964" s="1">
        <v>12</v>
      </c>
      <c r="N964" s="1" t="s">
        <v>54</v>
      </c>
      <c r="O964" s="1" t="s">
        <v>77</v>
      </c>
      <c r="P964" s="1" t="s">
        <v>54</v>
      </c>
      <c r="Q964" s="1" t="s">
        <v>69</v>
      </c>
      <c r="R964" s="1">
        <v>1407.54</v>
      </c>
      <c r="S964" s="1" t="s">
        <v>33</v>
      </c>
      <c r="T964" s="1" t="s">
        <v>47</v>
      </c>
      <c r="U964" s="1" t="s">
        <v>35</v>
      </c>
      <c r="V964" s="1" t="s">
        <v>36</v>
      </c>
    </row>
    <row r="965" spans="1:22" x14ac:dyDescent="0.3">
      <c r="A965" s="1" t="s">
        <v>4814</v>
      </c>
      <c r="B965" s="1" t="s">
        <v>4815</v>
      </c>
      <c r="C965" s="1">
        <v>21</v>
      </c>
      <c r="D965" s="1" t="s">
        <v>4816</v>
      </c>
      <c r="E965" s="1" t="s">
        <v>61</v>
      </c>
      <c r="F965" s="1" t="s">
        <v>215</v>
      </c>
      <c r="G965" s="1" t="s">
        <v>1278</v>
      </c>
      <c r="H965" s="1">
        <v>1</v>
      </c>
      <c r="I965" s="1" t="s">
        <v>52</v>
      </c>
      <c r="J965" s="1" t="s">
        <v>4817</v>
      </c>
      <c r="K965" s="1" t="s">
        <v>4818</v>
      </c>
      <c r="L965" s="1">
        <v>5</v>
      </c>
      <c r="M965" s="1">
        <v>7</v>
      </c>
      <c r="N965" s="1" t="s">
        <v>45</v>
      </c>
      <c r="O965" s="1" t="s">
        <v>175</v>
      </c>
      <c r="P965" s="1" t="s">
        <v>56</v>
      </c>
      <c r="Q965" s="1" t="s">
        <v>69</v>
      </c>
      <c r="R965" s="1">
        <v>1975.9</v>
      </c>
      <c r="S965" s="1" t="s">
        <v>46</v>
      </c>
      <c r="T965" s="1" t="s">
        <v>100</v>
      </c>
      <c r="U965" s="1" t="s">
        <v>35</v>
      </c>
      <c r="V965" s="1" t="s">
        <v>36</v>
      </c>
    </row>
    <row r="966" spans="1:22" x14ac:dyDescent="0.3">
      <c r="A966" s="1" t="s">
        <v>4819</v>
      </c>
      <c r="B966" s="1" t="s">
        <v>4820</v>
      </c>
      <c r="C966" s="1">
        <v>39</v>
      </c>
      <c r="D966" s="1" t="s">
        <v>4821</v>
      </c>
      <c r="E966" s="1" t="s">
        <v>25</v>
      </c>
      <c r="F966" s="1" t="s">
        <v>440</v>
      </c>
      <c r="G966" s="2">
        <v>45662</v>
      </c>
      <c r="H966" s="1">
        <v>3</v>
      </c>
      <c r="I966" s="1" t="s">
        <v>27</v>
      </c>
      <c r="J966" s="2">
        <v>45302</v>
      </c>
      <c r="K966" s="1" t="s">
        <v>4822</v>
      </c>
      <c r="L966" s="1">
        <v>7</v>
      </c>
      <c r="M966" s="1">
        <v>5</v>
      </c>
      <c r="N966" s="1" t="s">
        <v>54</v>
      </c>
      <c r="O966" s="1" t="s">
        <v>223</v>
      </c>
      <c r="P966" s="1" t="s">
        <v>56</v>
      </c>
      <c r="Q966" s="1" t="s">
        <v>32</v>
      </c>
      <c r="R966" s="1">
        <v>468.3</v>
      </c>
      <c r="S966" s="1" t="s">
        <v>46</v>
      </c>
      <c r="T966" s="1" t="s">
        <v>34</v>
      </c>
      <c r="U966" s="1" t="s">
        <v>101</v>
      </c>
      <c r="V966" s="1" t="s">
        <v>36</v>
      </c>
    </row>
    <row r="967" spans="1:22" x14ac:dyDescent="0.3">
      <c r="A967" s="1" t="s">
        <v>4823</v>
      </c>
      <c r="B967" s="1" t="s">
        <v>4824</v>
      </c>
      <c r="C967" s="1">
        <v>39</v>
      </c>
      <c r="D967" s="1" t="s">
        <v>4825</v>
      </c>
      <c r="E967" s="1" t="s">
        <v>51</v>
      </c>
      <c r="F967" s="2">
        <v>44297</v>
      </c>
      <c r="G967" s="1" t="s">
        <v>4826</v>
      </c>
      <c r="H967" s="1">
        <v>3</v>
      </c>
      <c r="I967" s="1" t="s">
        <v>52</v>
      </c>
      <c r="J967" s="2">
        <v>44622</v>
      </c>
      <c r="K967" s="1" t="s">
        <v>4827</v>
      </c>
      <c r="L967" s="1">
        <v>7</v>
      </c>
      <c r="M967" s="1">
        <v>11</v>
      </c>
      <c r="N967" s="1" t="s">
        <v>54</v>
      </c>
      <c r="O967" s="1" t="s">
        <v>175</v>
      </c>
      <c r="P967" s="1" t="s">
        <v>56</v>
      </c>
      <c r="Q967" s="1" t="s">
        <v>32</v>
      </c>
      <c r="R967" s="1">
        <v>1602.72</v>
      </c>
      <c r="S967" s="1" t="s">
        <v>46</v>
      </c>
      <c r="T967" s="1" t="s">
        <v>34</v>
      </c>
      <c r="U967" s="1" t="s">
        <v>35</v>
      </c>
      <c r="V967" s="1" t="s">
        <v>36</v>
      </c>
    </row>
    <row r="968" spans="1:22" x14ac:dyDescent="0.3">
      <c r="A968" s="1" t="s">
        <v>4828</v>
      </c>
      <c r="B968" s="1" t="s">
        <v>4829</v>
      </c>
      <c r="C968" s="1">
        <v>29</v>
      </c>
      <c r="D968" s="1" t="s">
        <v>4830</v>
      </c>
      <c r="E968" s="1" t="s">
        <v>40</v>
      </c>
      <c r="F968" s="1" t="s">
        <v>1474</v>
      </c>
      <c r="G968" s="1" t="s">
        <v>1069</v>
      </c>
      <c r="H968" s="1">
        <v>2</v>
      </c>
      <c r="I968" s="1" t="s">
        <v>64</v>
      </c>
      <c r="J968" s="2">
        <v>45081</v>
      </c>
      <c r="K968" s="1" t="s">
        <v>4831</v>
      </c>
      <c r="L968" s="1">
        <v>5</v>
      </c>
      <c r="M968" s="1">
        <v>44</v>
      </c>
      <c r="N968" s="1" t="s">
        <v>30</v>
      </c>
      <c r="O968" s="1" t="s">
        <v>142</v>
      </c>
      <c r="P968" s="1" t="s">
        <v>68</v>
      </c>
      <c r="Q968" s="1" t="s">
        <v>69</v>
      </c>
      <c r="R968" s="1">
        <v>751.5</v>
      </c>
      <c r="S968" s="1" t="s">
        <v>46</v>
      </c>
      <c r="T968" s="1" t="s">
        <v>57</v>
      </c>
      <c r="U968" s="1" t="s">
        <v>35</v>
      </c>
      <c r="V968" s="1" t="s">
        <v>71</v>
      </c>
    </row>
    <row r="969" spans="1:22" x14ac:dyDescent="0.3">
      <c r="A969" s="1" t="s">
        <v>4832</v>
      </c>
      <c r="B969" s="1" t="s">
        <v>4833</v>
      </c>
      <c r="C969" s="1">
        <v>32</v>
      </c>
      <c r="D969" s="1" t="s">
        <v>4834</v>
      </c>
      <c r="E969" s="1" t="s">
        <v>88</v>
      </c>
      <c r="F969" s="1" t="s">
        <v>3002</v>
      </c>
      <c r="G969" s="1" t="s">
        <v>2603</v>
      </c>
      <c r="H969" s="1">
        <v>2</v>
      </c>
      <c r="I969" s="1" t="s">
        <v>52</v>
      </c>
      <c r="J969" s="2">
        <v>45755</v>
      </c>
      <c r="K969" s="1" t="s">
        <v>4835</v>
      </c>
      <c r="L969" s="1">
        <v>3</v>
      </c>
      <c r="M969" s="1">
        <v>31</v>
      </c>
      <c r="N969" s="1" t="s">
        <v>56</v>
      </c>
      <c r="O969" s="1" t="s">
        <v>597</v>
      </c>
      <c r="P969" s="1" t="s">
        <v>45</v>
      </c>
      <c r="Q969" s="1" t="s">
        <v>69</v>
      </c>
      <c r="R969" s="1">
        <v>231.36</v>
      </c>
      <c r="S969" s="1" t="s">
        <v>46</v>
      </c>
      <c r="T969" s="1" t="s">
        <v>57</v>
      </c>
      <c r="U969" s="1" t="s">
        <v>35</v>
      </c>
      <c r="V969" s="1" t="s">
        <v>36</v>
      </c>
    </row>
    <row r="970" spans="1:22" x14ac:dyDescent="0.3">
      <c r="A970" s="1" t="s">
        <v>4836</v>
      </c>
      <c r="B970" s="1" t="s">
        <v>4837</v>
      </c>
      <c r="C970" s="1">
        <v>54</v>
      </c>
      <c r="D970" s="1" t="s">
        <v>4838</v>
      </c>
      <c r="E970" s="1" t="s">
        <v>51</v>
      </c>
      <c r="F970" s="2">
        <v>44472</v>
      </c>
      <c r="G970" s="2">
        <v>45632</v>
      </c>
      <c r="H970" s="1">
        <v>1</v>
      </c>
      <c r="I970" s="1" t="s">
        <v>27</v>
      </c>
      <c r="J970" s="1" t="s">
        <v>4839</v>
      </c>
      <c r="K970" s="1" t="s">
        <v>4840</v>
      </c>
      <c r="L970" s="1">
        <v>6</v>
      </c>
      <c r="M970" s="1">
        <v>29</v>
      </c>
      <c r="N970" s="1" t="s">
        <v>54</v>
      </c>
      <c r="O970" s="1" t="s">
        <v>354</v>
      </c>
      <c r="P970" s="1" t="s">
        <v>45</v>
      </c>
      <c r="Q970" s="1" t="s">
        <v>32</v>
      </c>
      <c r="R970" s="1">
        <v>433.26</v>
      </c>
      <c r="S970" s="1" t="s">
        <v>46</v>
      </c>
      <c r="T970" s="1" t="s">
        <v>47</v>
      </c>
      <c r="U970" s="1" t="s">
        <v>35</v>
      </c>
      <c r="V970" s="1" t="s">
        <v>36</v>
      </c>
    </row>
    <row r="971" spans="1:22" x14ac:dyDescent="0.3">
      <c r="A971" s="1" t="s">
        <v>4841</v>
      </c>
      <c r="B971" s="1" t="s">
        <v>4842</v>
      </c>
      <c r="C971" s="1">
        <v>36</v>
      </c>
      <c r="D971" s="1" t="s">
        <v>4843</v>
      </c>
      <c r="E971" s="1" t="s">
        <v>61</v>
      </c>
      <c r="F971" s="1" t="s">
        <v>578</v>
      </c>
      <c r="G971" s="2">
        <v>45608</v>
      </c>
      <c r="H971" s="1">
        <v>1</v>
      </c>
      <c r="I971" s="1" t="s">
        <v>52</v>
      </c>
      <c r="J971" s="2">
        <v>45116</v>
      </c>
      <c r="K971" s="1" t="s">
        <v>4844</v>
      </c>
      <c r="L971" s="1">
        <v>3</v>
      </c>
      <c r="M971" s="1">
        <v>22</v>
      </c>
      <c r="N971" s="1" t="s">
        <v>68</v>
      </c>
      <c r="O971" s="1" t="s">
        <v>116</v>
      </c>
      <c r="P971" s="1" t="s">
        <v>54</v>
      </c>
      <c r="Q971" s="1" t="s">
        <v>69</v>
      </c>
      <c r="R971" s="1">
        <v>588.99</v>
      </c>
      <c r="S971" s="1" t="s">
        <v>46</v>
      </c>
      <c r="T971" s="1" t="s">
        <v>34</v>
      </c>
      <c r="U971" s="1" t="s">
        <v>35</v>
      </c>
      <c r="V971" s="1" t="s">
        <v>36</v>
      </c>
    </row>
    <row r="972" spans="1:22" x14ac:dyDescent="0.3">
      <c r="A972" s="1" t="s">
        <v>4845</v>
      </c>
      <c r="B972" s="1" t="s">
        <v>4846</v>
      </c>
      <c r="C972" s="1">
        <v>47</v>
      </c>
      <c r="D972" s="1" t="s">
        <v>4847</v>
      </c>
      <c r="E972" s="1" t="s">
        <v>88</v>
      </c>
      <c r="F972" s="1" t="s">
        <v>4603</v>
      </c>
      <c r="G972" s="1" t="s">
        <v>4848</v>
      </c>
      <c r="H972" s="1">
        <v>4</v>
      </c>
      <c r="I972" s="1" t="s">
        <v>27</v>
      </c>
      <c r="J972" s="2">
        <v>45150</v>
      </c>
      <c r="K972" s="1" t="s">
        <v>4849</v>
      </c>
      <c r="L972" s="1">
        <v>6</v>
      </c>
      <c r="M972" s="1">
        <v>47</v>
      </c>
      <c r="N972" s="1" t="s">
        <v>56</v>
      </c>
      <c r="O972" s="1" t="s">
        <v>610</v>
      </c>
      <c r="P972" s="1" t="s">
        <v>68</v>
      </c>
      <c r="Q972" s="1" t="s">
        <v>69</v>
      </c>
      <c r="R972" s="1">
        <v>22.74</v>
      </c>
      <c r="S972" s="1" t="s">
        <v>46</v>
      </c>
      <c r="T972" s="1" t="s">
        <v>34</v>
      </c>
      <c r="U972" s="1" t="s">
        <v>101</v>
      </c>
      <c r="V972" s="1" t="s">
        <v>188</v>
      </c>
    </row>
    <row r="973" spans="1:22" x14ac:dyDescent="0.3">
      <c r="A973" s="1" t="s">
        <v>4850</v>
      </c>
      <c r="B973" s="1" t="s">
        <v>4851</v>
      </c>
      <c r="C973" s="1">
        <v>29</v>
      </c>
      <c r="D973" s="1" t="s">
        <v>4852</v>
      </c>
      <c r="E973" s="1" t="s">
        <v>61</v>
      </c>
      <c r="F973" s="1" t="s">
        <v>3493</v>
      </c>
      <c r="G973" s="1" t="s">
        <v>4079</v>
      </c>
      <c r="H973" s="1">
        <v>5</v>
      </c>
      <c r="I973" s="1" t="s">
        <v>27</v>
      </c>
      <c r="J973" s="1" t="s">
        <v>1790</v>
      </c>
      <c r="K973" s="1" t="s">
        <v>4853</v>
      </c>
      <c r="L973" s="1">
        <v>3</v>
      </c>
      <c r="M973" s="1">
        <v>36</v>
      </c>
      <c r="N973" s="1" t="s">
        <v>54</v>
      </c>
      <c r="O973" s="1" t="s">
        <v>604</v>
      </c>
      <c r="P973" s="1" t="s">
        <v>45</v>
      </c>
      <c r="Q973" s="1" t="s">
        <v>32</v>
      </c>
      <c r="R973" s="1">
        <v>318.66000000000003</v>
      </c>
      <c r="S973" s="1" t="s">
        <v>46</v>
      </c>
      <c r="T973" s="1" t="s">
        <v>57</v>
      </c>
      <c r="U973" s="1" t="s">
        <v>35</v>
      </c>
      <c r="V973" s="1" t="s">
        <v>188</v>
      </c>
    </row>
    <row r="974" spans="1:22" x14ac:dyDescent="0.3">
      <c r="A974" s="1" t="s">
        <v>4854</v>
      </c>
      <c r="B974" s="1" t="s">
        <v>4855</v>
      </c>
      <c r="C974" s="1">
        <v>62</v>
      </c>
      <c r="D974" s="1" t="s">
        <v>4856</v>
      </c>
      <c r="E974" s="1" t="s">
        <v>61</v>
      </c>
      <c r="F974" s="2">
        <v>45047</v>
      </c>
      <c r="G974" s="1" t="s">
        <v>3972</v>
      </c>
      <c r="H974" s="1">
        <v>2</v>
      </c>
      <c r="I974" s="1" t="s">
        <v>52</v>
      </c>
      <c r="J974" s="1" t="s">
        <v>1318</v>
      </c>
      <c r="K974" s="1" t="s">
        <v>4857</v>
      </c>
      <c r="L974" s="1">
        <v>3</v>
      </c>
      <c r="M974" s="1">
        <v>37</v>
      </c>
      <c r="N974" s="1" t="s">
        <v>54</v>
      </c>
      <c r="O974" s="1" t="s">
        <v>109</v>
      </c>
      <c r="P974" s="1" t="s">
        <v>68</v>
      </c>
      <c r="Q974" s="1" t="s">
        <v>32</v>
      </c>
      <c r="R974" s="1">
        <v>542.25</v>
      </c>
      <c r="S974" s="1" t="s">
        <v>46</v>
      </c>
      <c r="T974" s="1" t="s">
        <v>47</v>
      </c>
      <c r="U974" s="1" t="s">
        <v>35</v>
      </c>
      <c r="V974" s="1" t="s">
        <v>36</v>
      </c>
    </row>
    <row r="975" spans="1:22" x14ac:dyDescent="0.3">
      <c r="A975" s="1" t="s">
        <v>4858</v>
      </c>
      <c r="B975" s="1" t="s">
        <v>4859</v>
      </c>
      <c r="C975" s="1">
        <v>61</v>
      </c>
      <c r="D975" s="1" t="s">
        <v>4860</v>
      </c>
      <c r="E975" s="1" t="s">
        <v>51</v>
      </c>
      <c r="F975" s="1" t="s">
        <v>1874</v>
      </c>
      <c r="G975" s="1" t="s">
        <v>4861</v>
      </c>
      <c r="H975" s="1">
        <v>3</v>
      </c>
      <c r="I975" s="1" t="s">
        <v>27</v>
      </c>
      <c r="J975" s="2">
        <v>44843</v>
      </c>
      <c r="K975" s="1" t="s">
        <v>4862</v>
      </c>
      <c r="L975" s="1">
        <v>4</v>
      </c>
      <c r="M975" s="1">
        <v>28</v>
      </c>
      <c r="N975" s="1" t="s">
        <v>54</v>
      </c>
      <c r="O975" s="1" t="s">
        <v>116</v>
      </c>
      <c r="P975" s="1" t="s">
        <v>54</v>
      </c>
      <c r="Q975" s="1" t="s">
        <v>32</v>
      </c>
      <c r="R975" s="1">
        <v>1187.68</v>
      </c>
      <c r="S975" s="1" t="s">
        <v>33</v>
      </c>
      <c r="T975" s="1" t="s">
        <v>47</v>
      </c>
      <c r="U975" s="1" t="s">
        <v>35</v>
      </c>
      <c r="V975" s="1" t="s">
        <v>36</v>
      </c>
    </row>
    <row r="976" spans="1:22" x14ac:dyDescent="0.3">
      <c r="A976" s="1" t="s">
        <v>4863</v>
      </c>
      <c r="B976" s="1" t="s">
        <v>4864</v>
      </c>
      <c r="C976" s="1">
        <v>63</v>
      </c>
      <c r="D976" s="1" t="s">
        <v>4865</v>
      </c>
      <c r="E976" s="1" t="s">
        <v>25</v>
      </c>
      <c r="F976" s="2">
        <v>44595</v>
      </c>
      <c r="G976" s="1" t="s">
        <v>2680</v>
      </c>
      <c r="H976" s="1">
        <v>5</v>
      </c>
      <c r="I976" s="1" t="s">
        <v>27</v>
      </c>
      <c r="J976" s="1" t="s">
        <v>486</v>
      </c>
      <c r="K976" s="1" t="s">
        <v>4866</v>
      </c>
      <c r="L976" s="1">
        <v>8</v>
      </c>
      <c r="M976" s="1">
        <v>14</v>
      </c>
      <c r="N976" s="1" t="s">
        <v>45</v>
      </c>
      <c r="O976" s="1" t="s">
        <v>99</v>
      </c>
      <c r="P976" s="1" t="s">
        <v>56</v>
      </c>
      <c r="Q976" s="1" t="s">
        <v>69</v>
      </c>
      <c r="R976" s="1">
        <v>236</v>
      </c>
      <c r="S976" s="1" t="s">
        <v>46</v>
      </c>
      <c r="T976" s="1" t="s">
        <v>47</v>
      </c>
      <c r="U976" s="1" t="s">
        <v>35</v>
      </c>
      <c r="V976" s="1" t="s">
        <v>188</v>
      </c>
    </row>
    <row r="977" spans="1:22" x14ac:dyDescent="0.3">
      <c r="A977" s="1" t="s">
        <v>4867</v>
      </c>
      <c r="B977" s="1" t="s">
        <v>4868</v>
      </c>
      <c r="C977" s="1">
        <v>53</v>
      </c>
      <c r="D977" s="1" t="s">
        <v>4869</v>
      </c>
      <c r="E977" s="1" t="s">
        <v>61</v>
      </c>
      <c r="F977" s="2">
        <v>44717</v>
      </c>
      <c r="G977" s="1" t="s">
        <v>4456</v>
      </c>
      <c r="H977" s="1">
        <v>2</v>
      </c>
      <c r="I977" s="1" t="s">
        <v>27</v>
      </c>
      <c r="J977" s="2">
        <v>45139</v>
      </c>
      <c r="K977" s="1" t="s">
        <v>4870</v>
      </c>
      <c r="L977" s="1">
        <v>9</v>
      </c>
      <c r="M977" s="1">
        <v>14</v>
      </c>
      <c r="N977" s="1" t="s">
        <v>68</v>
      </c>
      <c r="O977" s="1" t="s">
        <v>91</v>
      </c>
      <c r="P977" s="1" t="s">
        <v>54</v>
      </c>
      <c r="Q977" s="1" t="s">
        <v>32</v>
      </c>
      <c r="R977" s="1">
        <v>286.74</v>
      </c>
      <c r="S977" s="1" t="s">
        <v>46</v>
      </c>
      <c r="T977" s="1" t="s">
        <v>47</v>
      </c>
      <c r="U977" s="1" t="s">
        <v>35</v>
      </c>
      <c r="V977" s="1" t="s">
        <v>36</v>
      </c>
    </row>
    <row r="978" spans="1:22" x14ac:dyDescent="0.3">
      <c r="A978" s="1" t="s">
        <v>4871</v>
      </c>
      <c r="B978" s="1" t="s">
        <v>4872</v>
      </c>
      <c r="C978" s="1">
        <v>43</v>
      </c>
      <c r="D978" s="1" t="s">
        <v>4873</v>
      </c>
      <c r="E978" s="1" t="s">
        <v>40</v>
      </c>
      <c r="F978" s="2">
        <v>45266</v>
      </c>
      <c r="G978" s="2">
        <v>45118</v>
      </c>
      <c r="H978" s="1">
        <v>0</v>
      </c>
      <c r="I978" s="1" t="s">
        <v>27</v>
      </c>
      <c r="J978" s="1" t="s">
        <v>1950</v>
      </c>
      <c r="K978" s="1" t="s">
        <v>4874</v>
      </c>
      <c r="L978" s="1">
        <v>7</v>
      </c>
      <c r="M978" s="1">
        <v>9</v>
      </c>
      <c r="N978" s="1" t="s">
        <v>56</v>
      </c>
      <c r="O978" s="1" t="s">
        <v>251</v>
      </c>
      <c r="P978" s="1" t="s">
        <v>30</v>
      </c>
      <c r="Q978" s="1" t="s">
        <v>32</v>
      </c>
      <c r="R978" s="1">
        <v>1021.16</v>
      </c>
      <c r="S978" s="1" t="s">
        <v>46</v>
      </c>
      <c r="T978" s="1" t="s">
        <v>34</v>
      </c>
      <c r="U978" s="1" t="s">
        <v>35</v>
      </c>
      <c r="V978" s="1" t="s">
        <v>36</v>
      </c>
    </row>
    <row r="979" spans="1:22" x14ac:dyDescent="0.3">
      <c r="A979" s="1" t="s">
        <v>4875</v>
      </c>
      <c r="B979" s="1" t="s">
        <v>4876</v>
      </c>
      <c r="C979" s="1">
        <v>63</v>
      </c>
      <c r="D979" s="1" t="s">
        <v>4877</v>
      </c>
      <c r="E979" s="1" t="s">
        <v>25</v>
      </c>
      <c r="F979" s="1" t="s">
        <v>4878</v>
      </c>
      <c r="G979" s="2">
        <v>44632</v>
      </c>
      <c r="H979" s="1">
        <v>5</v>
      </c>
      <c r="I979" s="1" t="s">
        <v>27</v>
      </c>
      <c r="J979" s="1" t="s">
        <v>107</v>
      </c>
      <c r="K979" s="1" t="s">
        <v>4879</v>
      </c>
      <c r="L979" s="1">
        <v>4</v>
      </c>
      <c r="M979" s="1">
        <v>8</v>
      </c>
      <c r="N979" s="1" t="s">
        <v>68</v>
      </c>
      <c r="O979" s="1" t="s">
        <v>116</v>
      </c>
      <c r="P979" s="1" t="s">
        <v>54</v>
      </c>
      <c r="Q979" s="1" t="s">
        <v>69</v>
      </c>
      <c r="R979" s="1">
        <v>1185.4000000000001</v>
      </c>
      <c r="S979" s="1" t="s">
        <v>46</v>
      </c>
      <c r="T979" s="1" t="s">
        <v>47</v>
      </c>
      <c r="U979" s="1" t="s">
        <v>35</v>
      </c>
      <c r="V979" s="1" t="s">
        <v>188</v>
      </c>
    </row>
    <row r="980" spans="1:22" x14ac:dyDescent="0.3">
      <c r="A980" s="1" t="s">
        <v>4880</v>
      </c>
      <c r="B980" s="1" t="s">
        <v>4881</v>
      </c>
      <c r="C980" s="1">
        <v>61</v>
      </c>
      <c r="D980" s="1" t="s">
        <v>4882</v>
      </c>
      <c r="E980" s="1" t="s">
        <v>51</v>
      </c>
      <c r="F980" s="1" t="s">
        <v>1513</v>
      </c>
      <c r="G980" s="1" t="s">
        <v>2843</v>
      </c>
      <c r="H980" s="1">
        <v>0</v>
      </c>
      <c r="I980" s="1" t="s">
        <v>27</v>
      </c>
      <c r="J980" s="1" t="s">
        <v>4883</v>
      </c>
      <c r="K980" s="1" t="s">
        <v>4884</v>
      </c>
      <c r="L980" s="1">
        <v>4</v>
      </c>
      <c r="M980" s="1">
        <v>20</v>
      </c>
      <c r="N980" s="1" t="s">
        <v>45</v>
      </c>
      <c r="O980" s="1" t="s">
        <v>116</v>
      </c>
      <c r="P980" s="1" t="s">
        <v>54</v>
      </c>
      <c r="Q980" s="1" t="s">
        <v>69</v>
      </c>
      <c r="R980" s="1">
        <v>1954.64</v>
      </c>
      <c r="S980" s="1" t="s">
        <v>46</v>
      </c>
      <c r="T980" s="1" t="s">
        <v>47</v>
      </c>
      <c r="U980" s="1" t="s">
        <v>35</v>
      </c>
      <c r="V980" s="1" t="s">
        <v>36</v>
      </c>
    </row>
    <row r="981" spans="1:22" x14ac:dyDescent="0.3">
      <c r="A981" s="1" t="s">
        <v>4885</v>
      </c>
      <c r="B981" s="1" t="s">
        <v>4886</v>
      </c>
      <c r="C981" s="1">
        <v>29</v>
      </c>
      <c r="D981" s="1" t="s">
        <v>4887</v>
      </c>
      <c r="E981" s="1" t="s">
        <v>25</v>
      </c>
      <c r="F981" s="2">
        <v>44627</v>
      </c>
      <c r="G981" s="1" t="s">
        <v>2928</v>
      </c>
      <c r="H981" s="1">
        <v>1</v>
      </c>
      <c r="I981" s="1" t="s">
        <v>64</v>
      </c>
      <c r="J981" s="1" t="s">
        <v>4888</v>
      </c>
      <c r="K981" s="1" t="s">
        <v>4889</v>
      </c>
      <c r="L981" s="1">
        <v>4</v>
      </c>
      <c r="M981" s="1">
        <v>6</v>
      </c>
      <c r="N981" s="1" t="s">
        <v>68</v>
      </c>
      <c r="O981" s="1" t="s">
        <v>211</v>
      </c>
      <c r="P981" s="1" t="s">
        <v>68</v>
      </c>
      <c r="Q981" s="1" t="s">
        <v>32</v>
      </c>
      <c r="R981" s="1">
        <v>528.84</v>
      </c>
      <c r="S981" s="1" t="s">
        <v>33</v>
      </c>
      <c r="T981" s="1" t="s">
        <v>57</v>
      </c>
      <c r="U981" s="1" t="s">
        <v>35</v>
      </c>
      <c r="V981" s="1" t="s">
        <v>71</v>
      </c>
    </row>
    <row r="982" spans="1:22" x14ac:dyDescent="0.3">
      <c r="A982" s="1" t="s">
        <v>4890</v>
      </c>
      <c r="B982" s="1" t="s">
        <v>4891</v>
      </c>
      <c r="C982" s="1">
        <v>64</v>
      </c>
      <c r="D982" s="1" t="s">
        <v>4892</v>
      </c>
      <c r="E982" s="1" t="s">
        <v>51</v>
      </c>
      <c r="F982" s="1" t="s">
        <v>3493</v>
      </c>
      <c r="G982" s="1" t="s">
        <v>1402</v>
      </c>
      <c r="H982" s="1">
        <v>3</v>
      </c>
      <c r="I982" s="1" t="s">
        <v>64</v>
      </c>
      <c r="J982" s="1" t="s">
        <v>1841</v>
      </c>
      <c r="K982" s="1" t="s">
        <v>4893</v>
      </c>
      <c r="L982" s="1">
        <v>7</v>
      </c>
      <c r="M982" s="1">
        <v>39</v>
      </c>
      <c r="N982" s="1" t="s">
        <v>45</v>
      </c>
      <c r="O982" s="1" t="s">
        <v>99</v>
      </c>
      <c r="P982" s="1" t="s">
        <v>56</v>
      </c>
      <c r="Q982" s="1" t="s">
        <v>32</v>
      </c>
      <c r="R982" s="1">
        <v>1494.5</v>
      </c>
      <c r="S982" s="1" t="s">
        <v>46</v>
      </c>
      <c r="T982" s="1" t="s">
        <v>47</v>
      </c>
      <c r="U982" s="1" t="s">
        <v>35</v>
      </c>
      <c r="V982" s="1" t="s">
        <v>71</v>
      </c>
    </row>
    <row r="983" spans="1:22" x14ac:dyDescent="0.3">
      <c r="A983" s="1" t="s">
        <v>4894</v>
      </c>
      <c r="B983" s="1" t="s">
        <v>4895</v>
      </c>
      <c r="C983" s="1">
        <v>46</v>
      </c>
      <c r="D983" s="1" t="s">
        <v>4896</v>
      </c>
      <c r="E983" s="1" t="s">
        <v>95</v>
      </c>
      <c r="F983" s="1" t="s">
        <v>2352</v>
      </c>
      <c r="G983" s="1" t="s">
        <v>358</v>
      </c>
      <c r="H983" s="1">
        <v>3</v>
      </c>
      <c r="I983" s="1" t="s">
        <v>52</v>
      </c>
      <c r="J983" s="2">
        <v>45326</v>
      </c>
      <c r="K983" s="1" t="s">
        <v>4897</v>
      </c>
      <c r="L983" s="1">
        <v>7</v>
      </c>
      <c r="M983" s="1">
        <v>41</v>
      </c>
      <c r="N983" s="1" t="s">
        <v>30</v>
      </c>
      <c r="O983" s="1" t="s">
        <v>55</v>
      </c>
      <c r="P983" s="1" t="s">
        <v>56</v>
      </c>
      <c r="Q983" s="1" t="s">
        <v>69</v>
      </c>
      <c r="R983" s="1">
        <v>1126.3</v>
      </c>
      <c r="S983" s="1" t="s">
        <v>46</v>
      </c>
      <c r="T983" s="1" t="s">
        <v>34</v>
      </c>
      <c r="U983" s="1" t="s">
        <v>35</v>
      </c>
      <c r="V983" s="1" t="s">
        <v>36</v>
      </c>
    </row>
    <row r="984" spans="1:22" x14ac:dyDescent="0.3">
      <c r="A984" s="1" t="s">
        <v>4898</v>
      </c>
      <c r="B984" s="1" t="s">
        <v>4899</v>
      </c>
      <c r="C984" s="1">
        <v>67</v>
      </c>
      <c r="D984" s="1" t="s">
        <v>4900</v>
      </c>
      <c r="E984" s="1" t="s">
        <v>51</v>
      </c>
      <c r="F984" s="1" t="s">
        <v>4627</v>
      </c>
      <c r="G984" s="2">
        <v>44874</v>
      </c>
      <c r="H984" s="1">
        <v>1</v>
      </c>
      <c r="I984" s="1" t="s">
        <v>52</v>
      </c>
      <c r="J984" s="1" t="s">
        <v>4627</v>
      </c>
      <c r="K984" s="1" t="s">
        <v>4901</v>
      </c>
      <c r="L984" s="1">
        <v>7</v>
      </c>
      <c r="M984" s="1">
        <v>46</v>
      </c>
      <c r="N984" s="1" t="s">
        <v>56</v>
      </c>
      <c r="O984" s="1" t="s">
        <v>211</v>
      </c>
      <c r="P984" s="1" t="s">
        <v>68</v>
      </c>
      <c r="Q984" s="1" t="s">
        <v>69</v>
      </c>
      <c r="R984" s="1">
        <v>411.67</v>
      </c>
      <c r="S984" s="1" t="s">
        <v>46</v>
      </c>
      <c r="T984" s="1" t="s">
        <v>232</v>
      </c>
      <c r="U984" s="1" t="s">
        <v>35</v>
      </c>
      <c r="V984" s="1" t="s">
        <v>36</v>
      </c>
    </row>
    <row r="985" spans="1:22" x14ac:dyDescent="0.3">
      <c r="A985" s="1" t="s">
        <v>4902</v>
      </c>
      <c r="B985" s="1" t="s">
        <v>4903</v>
      </c>
      <c r="C985" s="1">
        <v>37</v>
      </c>
      <c r="D985" s="1" t="s">
        <v>4904</v>
      </c>
      <c r="E985" s="1" t="s">
        <v>95</v>
      </c>
      <c r="F985" s="2">
        <v>44838</v>
      </c>
      <c r="G985" s="1" t="s">
        <v>1375</v>
      </c>
      <c r="H985" s="1">
        <v>0</v>
      </c>
      <c r="I985" s="1" t="s">
        <v>27</v>
      </c>
      <c r="J985" s="2">
        <v>44871</v>
      </c>
      <c r="K985" s="1" t="s">
        <v>4905</v>
      </c>
      <c r="L985" s="1">
        <v>6</v>
      </c>
      <c r="M985" s="1">
        <v>30</v>
      </c>
      <c r="N985" s="1" t="s">
        <v>68</v>
      </c>
      <c r="O985" s="1" t="s">
        <v>116</v>
      </c>
      <c r="P985" s="1" t="s">
        <v>54</v>
      </c>
      <c r="Q985" s="1" t="s">
        <v>69</v>
      </c>
      <c r="R985" s="1">
        <v>1271.04</v>
      </c>
      <c r="S985" s="1" t="s">
        <v>46</v>
      </c>
      <c r="T985" s="1" t="s">
        <v>34</v>
      </c>
      <c r="U985" s="1" t="s">
        <v>35</v>
      </c>
      <c r="V985" s="1" t="s">
        <v>36</v>
      </c>
    </row>
    <row r="986" spans="1:22" x14ac:dyDescent="0.3">
      <c r="A986" s="1" t="s">
        <v>4906</v>
      </c>
      <c r="B986" s="1" t="s">
        <v>4907</v>
      </c>
      <c r="C986" s="1">
        <v>25</v>
      </c>
      <c r="D986" s="1" t="s">
        <v>4908</v>
      </c>
      <c r="E986" s="1" t="s">
        <v>61</v>
      </c>
      <c r="F986" s="1" t="s">
        <v>2538</v>
      </c>
      <c r="G986" s="2">
        <v>44840</v>
      </c>
      <c r="H986" s="1">
        <v>1</v>
      </c>
      <c r="I986" s="1" t="s">
        <v>27</v>
      </c>
      <c r="J986" s="1" t="s">
        <v>4909</v>
      </c>
      <c r="K986" s="1" t="s">
        <v>4910</v>
      </c>
      <c r="L986" s="1">
        <v>1</v>
      </c>
      <c r="M986" s="1">
        <v>7</v>
      </c>
      <c r="N986" s="1" t="s">
        <v>30</v>
      </c>
      <c r="O986" s="1" t="s">
        <v>175</v>
      </c>
      <c r="P986" s="1" t="s">
        <v>56</v>
      </c>
      <c r="Q986" s="1" t="s">
        <v>69</v>
      </c>
      <c r="R986" s="1">
        <v>1982.82</v>
      </c>
      <c r="S986" s="1" t="s">
        <v>46</v>
      </c>
      <c r="T986" s="1" t="s">
        <v>57</v>
      </c>
      <c r="U986" s="1" t="s">
        <v>35</v>
      </c>
      <c r="V986" s="1" t="s">
        <v>36</v>
      </c>
    </row>
    <row r="987" spans="1:22" x14ac:dyDescent="0.3">
      <c r="A987" s="1" t="s">
        <v>4911</v>
      </c>
      <c r="B987" s="1" t="s">
        <v>4912</v>
      </c>
      <c r="C987" s="1">
        <v>22</v>
      </c>
      <c r="D987" s="1" t="s">
        <v>4913</v>
      </c>
      <c r="E987" s="1" t="s">
        <v>51</v>
      </c>
      <c r="F987" s="2">
        <v>45079</v>
      </c>
      <c r="G987" s="2">
        <v>45476</v>
      </c>
      <c r="H987" s="1">
        <v>3</v>
      </c>
      <c r="I987" s="1" t="s">
        <v>64</v>
      </c>
      <c r="J987" s="1" t="s">
        <v>147</v>
      </c>
      <c r="K987" s="1" t="s">
        <v>4914</v>
      </c>
      <c r="L987" s="1">
        <v>8</v>
      </c>
      <c r="M987" s="1">
        <v>28</v>
      </c>
      <c r="N987" s="1" t="s">
        <v>68</v>
      </c>
      <c r="O987" s="1" t="s">
        <v>231</v>
      </c>
      <c r="P987" s="1" t="s">
        <v>30</v>
      </c>
      <c r="Q987" s="1" t="s">
        <v>69</v>
      </c>
      <c r="R987" s="1">
        <v>79.44</v>
      </c>
      <c r="S987" s="1" t="s">
        <v>46</v>
      </c>
      <c r="T987" s="1" t="s">
        <v>100</v>
      </c>
      <c r="U987" s="1" t="s">
        <v>101</v>
      </c>
      <c r="V987" s="1" t="s">
        <v>71</v>
      </c>
    </row>
    <row r="988" spans="1:22" x14ac:dyDescent="0.3">
      <c r="A988" s="1" t="s">
        <v>4915</v>
      </c>
      <c r="B988" s="1" t="s">
        <v>4916</v>
      </c>
      <c r="C988" s="1">
        <v>54</v>
      </c>
      <c r="D988" s="1" t="s">
        <v>4917</v>
      </c>
      <c r="E988" s="1" t="s">
        <v>88</v>
      </c>
      <c r="F988" s="2">
        <v>44200</v>
      </c>
      <c r="G988" s="2">
        <v>45384</v>
      </c>
      <c r="H988" s="1">
        <v>3</v>
      </c>
      <c r="I988" s="1" t="s">
        <v>27</v>
      </c>
      <c r="J988" s="1" t="s">
        <v>4918</v>
      </c>
      <c r="K988" s="1" t="s">
        <v>4919</v>
      </c>
      <c r="L988" s="1">
        <v>8</v>
      </c>
      <c r="M988" s="1">
        <v>29</v>
      </c>
      <c r="N988" s="1" t="s">
        <v>45</v>
      </c>
      <c r="O988" s="1" t="s">
        <v>418</v>
      </c>
      <c r="P988" s="1" t="s">
        <v>56</v>
      </c>
      <c r="Q988" s="1" t="s">
        <v>69</v>
      </c>
      <c r="R988" s="1">
        <v>58</v>
      </c>
      <c r="S988" s="1" t="s">
        <v>46</v>
      </c>
      <c r="T988" s="1" t="s">
        <v>47</v>
      </c>
      <c r="U988" s="1" t="s">
        <v>101</v>
      </c>
      <c r="V988" s="1" t="s">
        <v>36</v>
      </c>
    </row>
    <row r="989" spans="1:22" x14ac:dyDescent="0.3">
      <c r="A989" s="1" t="s">
        <v>4920</v>
      </c>
      <c r="B989" s="1" t="s">
        <v>4921</v>
      </c>
      <c r="C989" s="1">
        <v>18</v>
      </c>
      <c r="D989" s="1" t="s">
        <v>4922</v>
      </c>
      <c r="E989" s="1" t="s">
        <v>95</v>
      </c>
      <c r="F989" s="1" t="s">
        <v>790</v>
      </c>
      <c r="G989" s="1" t="s">
        <v>1420</v>
      </c>
      <c r="H989" s="1">
        <v>4</v>
      </c>
      <c r="I989" s="1" t="s">
        <v>27</v>
      </c>
      <c r="J989" s="1" t="s">
        <v>1748</v>
      </c>
      <c r="K989" s="1" t="s">
        <v>4923</v>
      </c>
      <c r="L989" s="1">
        <v>9</v>
      </c>
      <c r="M989" s="1">
        <v>17</v>
      </c>
      <c r="N989" s="1" t="s">
        <v>56</v>
      </c>
      <c r="O989" s="1" t="s">
        <v>366</v>
      </c>
      <c r="P989" s="1" t="s">
        <v>54</v>
      </c>
      <c r="Q989" s="1" t="s">
        <v>32</v>
      </c>
      <c r="R989" s="1">
        <v>193.32</v>
      </c>
      <c r="S989" s="1" t="s">
        <v>46</v>
      </c>
      <c r="T989" s="1" t="s">
        <v>100</v>
      </c>
      <c r="U989" s="1" t="s">
        <v>35</v>
      </c>
      <c r="V989" s="1" t="s">
        <v>188</v>
      </c>
    </row>
    <row r="990" spans="1:22" x14ac:dyDescent="0.3">
      <c r="A990" s="1" t="s">
        <v>4924</v>
      </c>
      <c r="B990" s="1" t="s">
        <v>4925</v>
      </c>
      <c r="C990" s="1">
        <v>44</v>
      </c>
      <c r="D990" s="1" t="s">
        <v>4926</v>
      </c>
      <c r="E990" s="1" t="s">
        <v>88</v>
      </c>
      <c r="F990" s="2">
        <v>45139</v>
      </c>
      <c r="G990" s="1" t="s">
        <v>2208</v>
      </c>
      <c r="H990" s="1">
        <v>4</v>
      </c>
      <c r="I990" s="1" t="s">
        <v>27</v>
      </c>
      <c r="J990" s="2">
        <v>44961</v>
      </c>
      <c r="K990" s="1" t="s">
        <v>4927</v>
      </c>
      <c r="L990" s="1">
        <v>1</v>
      </c>
      <c r="M990" s="1">
        <v>3</v>
      </c>
      <c r="N990" s="1" t="s">
        <v>45</v>
      </c>
      <c r="O990" s="1" t="s">
        <v>597</v>
      </c>
      <c r="P990" s="1" t="s">
        <v>45</v>
      </c>
      <c r="Q990" s="1" t="s">
        <v>69</v>
      </c>
      <c r="R990" s="1">
        <v>211.96</v>
      </c>
      <c r="S990" s="1" t="s">
        <v>33</v>
      </c>
      <c r="T990" s="1" t="s">
        <v>34</v>
      </c>
      <c r="U990" s="1" t="s">
        <v>70</v>
      </c>
      <c r="V990" s="1" t="s">
        <v>188</v>
      </c>
    </row>
    <row r="991" spans="1:22" x14ac:dyDescent="0.3">
      <c r="A991" s="1" t="s">
        <v>4928</v>
      </c>
      <c r="B991" s="1" t="s">
        <v>4929</v>
      </c>
      <c r="C991" s="1">
        <v>62</v>
      </c>
      <c r="D991" s="1" t="s">
        <v>4930</v>
      </c>
      <c r="E991" s="1" t="s">
        <v>61</v>
      </c>
      <c r="F991" s="1" t="s">
        <v>492</v>
      </c>
      <c r="G991" s="2">
        <v>45479</v>
      </c>
      <c r="H991" s="1">
        <v>0</v>
      </c>
      <c r="I991" s="1" t="s">
        <v>27</v>
      </c>
      <c r="J991" s="1" t="s">
        <v>3930</v>
      </c>
      <c r="K991" s="1" t="s">
        <v>4931</v>
      </c>
      <c r="L991" s="1">
        <v>4</v>
      </c>
      <c r="M991" s="1">
        <v>2</v>
      </c>
      <c r="N991" s="1" t="s">
        <v>54</v>
      </c>
      <c r="O991" s="1" t="s">
        <v>293</v>
      </c>
      <c r="P991" s="1" t="s">
        <v>45</v>
      </c>
      <c r="Q991" s="1" t="s">
        <v>32</v>
      </c>
      <c r="R991" s="1">
        <v>926.84</v>
      </c>
      <c r="S991" s="1" t="s">
        <v>46</v>
      </c>
      <c r="T991" s="1" t="s">
        <v>47</v>
      </c>
      <c r="U991" s="1" t="s">
        <v>101</v>
      </c>
      <c r="V991" s="1" t="s">
        <v>36</v>
      </c>
    </row>
    <row r="992" spans="1:22" x14ac:dyDescent="0.3">
      <c r="A992" s="1" t="s">
        <v>4932</v>
      </c>
      <c r="B992" s="1" t="s">
        <v>4933</v>
      </c>
      <c r="C992" s="1">
        <v>42</v>
      </c>
      <c r="D992" s="1" t="s">
        <v>4934</v>
      </c>
      <c r="E992" s="1" t="s">
        <v>95</v>
      </c>
      <c r="F992" s="1" t="s">
        <v>2722</v>
      </c>
      <c r="G992" s="1" t="s">
        <v>711</v>
      </c>
      <c r="H992" s="1">
        <v>1</v>
      </c>
      <c r="I992" s="1" t="s">
        <v>27</v>
      </c>
      <c r="J992" s="2">
        <v>45505</v>
      </c>
      <c r="K992" s="1" t="s">
        <v>4935</v>
      </c>
      <c r="L992" s="1">
        <v>6</v>
      </c>
      <c r="M992" s="1">
        <v>11</v>
      </c>
      <c r="N992" s="1" t="s">
        <v>54</v>
      </c>
      <c r="O992" s="1" t="s">
        <v>67</v>
      </c>
      <c r="P992" s="1" t="s">
        <v>68</v>
      </c>
      <c r="Q992" s="1" t="s">
        <v>32</v>
      </c>
      <c r="R992" s="1">
        <v>1116.1199999999999</v>
      </c>
      <c r="S992" s="1" t="s">
        <v>46</v>
      </c>
      <c r="T992" s="1" t="s">
        <v>34</v>
      </c>
      <c r="U992" s="1" t="s">
        <v>35</v>
      </c>
      <c r="V992" s="1" t="s">
        <v>36</v>
      </c>
    </row>
    <row r="993" spans="1:22" x14ac:dyDescent="0.3">
      <c r="A993" s="1" t="s">
        <v>4936</v>
      </c>
      <c r="B993" s="1" t="s">
        <v>4937</v>
      </c>
      <c r="C993" s="1">
        <v>53</v>
      </c>
      <c r="D993" s="1" t="s">
        <v>4938</v>
      </c>
      <c r="E993" s="1" t="s">
        <v>51</v>
      </c>
      <c r="F993" s="2">
        <v>44502</v>
      </c>
      <c r="G993" s="1" t="s">
        <v>65</v>
      </c>
      <c r="H993" s="1">
        <v>1</v>
      </c>
      <c r="I993" s="1" t="s">
        <v>64</v>
      </c>
      <c r="J993" s="1" t="s">
        <v>2522</v>
      </c>
      <c r="K993" s="1" t="s">
        <v>4939</v>
      </c>
      <c r="L993" s="1">
        <v>1</v>
      </c>
      <c r="M993" s="1">
        <v>8</v>
      </c>
      <c r="N993" s="1" t="s">
        <v>45</v>
      </c>
      <c r="O993" s="1" t="s">
        <v>199</v>
      </c>
      <c r="P993" s="1" t="s">
        <v>54</v>
      </c>
      <c r="Q993" s="1" t="s">
        <v>32</v>
      </c>
      <c r="R993" s="1">
        <v>437.26</v>
      </c>
      <c r="S993" s="1" t="s">
        <v>46</v>
      </c>
      <c r="T993" s="1" t="s">
        <v>47</v>
      </c>
      <c r="U993" s="1" t="s">
        <v>35</v>
      </c>
      <c r="V993" s="1" t="s">
        <v>71</v>
      </c>
    </row>
    <row r="994" spans="1:22" x14ac:dyDescent="0.3">
      <c r="A994" s="1" t="s">
        <v>4940</v>
      </c>
      <c r="B994" s="1" t="s">
        <v>4941</v>
      </c>
      <c r="C994" s="1">
        <v>26</v>
      </c>
      <c r="D994" s="1" t="s">
        <v>4942</v>
      </c>
      <c r="E994" s="1" t="s">
        <v>51</v>
      </c>
      <c r="F994" s="1" t="s">
        <v>2430</v>
      </c>
      <c r="G994" s="1" t="s">
        <v>4943</v>
      </c>
      <c r="H994" s="1">
        <v>1</v>
      </c>
      <c r="I994" s="1" t="s">
        <v>52</v>
      </c>
      <c r="J994" s="1" t="s">
        <v>4944</v>
      </c>
      <c r="K994" s="1" t="s">
        <v>4945</v>
      </c>
      <c r="L994" s="1">
        <v>3</v>
      </c>
      <c r="M994" s="1">
        <v>33</v>
      </c>
      <c r="N994" s="1" t="s">
        <v>45</v>
      </c>
      <c r="O994" s="1" t="s">
        <v>142</v>
      </c>
      <c r="P994" s="1" t="s">
        <v>68</v>
      </c>
      <c r="Q994" s="1" t="s">
        <v>322</v>
      </c>
      <c r="R994" s="1">
        <v>419.82</v>
      </c>
      <c r="S994" s="1" t="s">
        <v>46</v>
      </c>
      <c r="T994" s="1" t="s">
        <v>57</v>
      </c>
      <c r="U994" s="1" t="s">
        <v>35</v>
      </c>
      <c r="V994" s="1" t="s">
        <v>36</v>
      </c>
    </row>
    <row r="995" spans="1:22" x14ac:dyDescent="0.3">
      <c r="A995" s="1" t="s">
        <v>4946</v>
      </c>
      <c r="B995" s="1" t="s">
        <v>4947</v>
      </c>
      <c r="C995" s="1">
        <v>40</v>
      </c>
      <c r="D995" s="1" t="s">
        <v>4948</v>
      </c>
      <c r="E995" s="1" t="s">
        <v>95</v>
      </c>
      <c r="F995" s="1" t="s">
        <v>4949</v>
      </c>
      <c r="G995" s="1" t="s">
        <v>3393</v>
      </c>
      <c r="H995" s="1">
        <v>2</v>
      </c>
      <c r="I995" s="1" t="s">
        <v>27</v>
      </c>
      <c r="J995" s="2">
        <v>45445</v>
      </c>
      <c r="K995" s="1" t="s">
        <v>4950</v>
      </c>
      <c r="L995" s="1">
        <v>4</v>
      </c>
      <c r="M995" s="1">
        <v>3</v>
      </c>
      <c r="N995" s="1" t="s">
        <v>30</v>
      </c>
      <c r="O995" s="1" t="s">
        <v>199</v>
      </c>
      <c r="P995" s="1" t="s">
        <v>54</v>
      </c>
      <c r="Q995" s="1" t="s">
        <v>32</v>
      </c>
      <c r="R995" s="1">
        <v>500.96</v>
      </c>
      <c r="S995" s="1" t="s">
        <v>46</v>
      </c>
      <c r="T995" s="1" t="s">
        <v>34</v>
      </c>
      <c r="U995" s="1" t="s">
        <v>101</v>
      </c>
      <c r="V995" s="1" t="s">
        <v>36</v>
      </c>
    </row>
    <row r="996" spans="1:22" x14ac:dyDescent="0.3">
      <c r="A996" s="1" t="s">
        <v>4951</v>
      </c>
      <c r="B996" s="1" t="s">
        <v>4952</v>
      </c>
      <c r="C996" s="1">
        <v>49</v>
      </c>
      <c r="D996" s="1" t="s">
        <v>4953</v>
      </c>
      <c r="E996" s="1" t="s">
        <v>51</v>
      </c>
      <c r="F996" s="2">
        <v>44086</v>
      </c>
      <c r="G996" s="1" t="s">
        <v>4954</v>
      </c>
      <c r="H996" s="1">
        <v>5</v>
      </c>
      <c r="I996" s="1" t="s">
        <v>27</v>
      </c>
      <c r="J996" s="2">
        <v>45721</v>
      </c>
      <c r="K996" s="1" t="s">
        <v>4955</v>
      </c>
      <c r="L996" s="1">
        <v>1</v>
      </c>
      <c r="M996" s="1">
        <v>19</v>
      </c>
      <c r="N996" s="1" t="s">
        <v>68</v>
      </c>
      <c r="O996" s="1" t="s">
        <v>44</v>
      </c>
      <c r="P996" s="1" t="s">
        <v>45</v>
      </c>
      <c r="Q996" s="1" t="s">
        <v>32</v>
      </c>
      <c r="R996" s="1">
        <v>404.7</v>
      </c>
      <c r="S996" s="1" t="s">
        <v>46</v>
      </c>
      <c r="T996" s="1" t="s">
        <v>34</v>
      </c>
      <c r="U996" s="1" t="s">
        <v>35</v>
      </c>
      <c r="V996" s="1" t="s">
        <v>188</v>
      </c>
    </row>
    <row r="997" spans="1:22" x14ac:dyDescent="0.3">
      <c r="A997" s="1" t="s">
        <v>4956</v>
      </c>
      <c r="B997" s="1" t="s">
        <v>4957</v>
      </c>
      <c r="C997" s="1">
        <v>32</v>
      </c>
      <c r="D997" s="1" t="s">
        <v>4958</v>
      </c>
      <c r="E997" s="1" t="s">
        <v>51</v>
      </c>
      <c r="F997" s="1" t="s">
        <v>4164</v>
      </c>
      <c r="G997" s="2">
        <v>45112</v>
      </c>
      <c r="H997" s="1">
        <v>5</v>
      </c>
      <c r="I997" s="1" t="s">
        <v>27</v>
      </c>
      <c r="J997" s="1" t="s">
        <v>601</v>
      </c>
      <c r="K997" s="1" t="s">
        <v>4959</v>
      </c>
      <c r="L997" s="1">
        <v>8</v>
      </c>
      <c r="M997" s="1">
        <v>21</v>
      </c>
      <c r="N997" s="1" t="s">
        <v>45</v>
      </c>
      <c r="O997" s="1" t="s">
        <v>142</v>
      </c>
      <c r="P997" s="1" t="s">
        <v>68</v>
      </c>
      <c r="Q997" s="1" t="s">
        <v>32</v>
      </c>
      <c r="R997" s="1">
        <v>1133.44</v>
      </c>
      <c r="S997" s="1" t="s">
        <v>46</v>
      </c>
      <c r="T997" s="1" t="s">
        <v>57</v>
      </c>
      <c r="U997" s="1" t="s">
        <v>35</v>
      </c>
      <c r="V997" s="1" t="s">
        <v>188</v>
      </c>
    </row>
    <row r="998" spans="1:22" x14ac:dyDescent="0.3">
      <c r="A998" s="1" t="s">
        <v>4960</v>
      </c>
      <c r="B998" s="1" t="s">
        <v>4961</v>
      </c>
      <c r="C998" s="1">
        <v>39</v>
      </c>
      <c r="D998" s="1" t="s">
        <v>4962</v>
      </c>
      <c r="E998" s="1" t="s">
        <v>25</v>
      </c>
      <c r="F998" s="1" t="s">
        <v>3501</v>
      </c>
      <c r="G998" s="2">
        <v>45783</v>
      </c>
      <c r="H998" s="1">
        <v>1</v>
      </c>
      <c r="I998" s="1" t="s">
        <v>27</v>
      </c>
      <c r="J998" s="2">
        <v>44655</v>
      </c>
      <c r="K998" s="1" t="s">
        <v>4963</v>
      </c>
      <c r="L998" s="1">
        <v>5</v>
      </c>
      <c r="M998" s="1">
        <v>27</v>
      </c>
      <c r="N998" s="1" t="s">
        <v>30</v>
      </c>
      <c r="O998" s="1" t="s">
        <v>169</v>
      </c>
      <c r="P998" s="1" t="s">
        <v>30</v>
      </c>
      <c r="Q998" s="1" t="s">
        <v>69</v>
      </c>
      <c r="R998" s="1">
        <v>1488.3</v>
      </c>
      <c r="S998" s="1" t="s">
        <v>33</v>
      </c>
      <c r="T998" s="1" t="s">
        <v>34</v>
      </c>
      <c r="U998" s="1" t="s">
        <v>35</v>
      </c>
      <c r="V998" s="1" t="s">
        <v>36</v>
      </c>
    </row>
    <row r="999" spans="1:22" x14ac:dyDescent="0.3">
      <c r="A999" s="1" t="s">
        <v>4964</v>
      </c>
      <c r="B999" s="1" t="s">
        <v>4965</v>
      </c>
      <c r="C999" s="1">
        <v>53</v>
      </c>
      <c r="D999" s="1" t="s">
        <v>4966</v>
      </c>
      <c r="E999" s="1" t="s">
        <v>95</v>
      </c>
      <c r="F999" s="1" t="s">
        <v>4967</v>
      </c>
      <c r="G999" s="1" t="s">
        <v>4968</v>
      </c>
      <c r="H999" s="1">
        <v>2</v>
      </c>
      <c r="I999" s="1" t="s">
        <v>27</v>
      </c>
      <c r="J999" s="2">
        <v>45267</v>
      </c>
      <c r="K999" s="1" t="s">
        <v>4969</v>
      </c>
      <c r="L999" s="1">
        <v>5</v>
      </c>
      <c r="M999" s="1">
        <v>24</v>
      </c>
      <c r="N999" s="1" t="s">
        <v>30</v>
      </c>
      <c r="O999" s="1" t="s">
        <v>31</v>
      </c>
      <c r="P999" s="1" t="s">
        <v>30</v>
      </c>
      <c r="Q999" s="1" t="s">
        <v>32</v>
      </c>
      <c r="R999" s="1">
        <v>184.6</v>
      </c>
      <c r="S999" s="1" t="s">
        <v>33</v>
      </c>
      <c r="T999" s="1" t="s">
        <v>47</v>
      </c>
      <c r="U999" s="1" t="s">
        <v>35</v>
      </c>
      <c r="V999" s="1" t="s">
        <v>36</v>
      </c>
    </row>
    <row r="1000" spans="1:22" x14ac:dyDescent="0.3">
      <c r="A1000" s="1" t="s">
        <v>4970</v>
      </c>
      <c r="B1000" s="1" t="s">
        <v>4971</v>
      </c>
      <c r="C1000" s="1">
        <v>68</v>
      </c>
      <c r="D1000" s="1" t="s">
        <v>4972</v>
      </c>
      <c r="E1000" s="1" t="s">
        <v>25</v>
      </c>
      <c r="F1000" s="2">
        <v>45048</v>
      </c>
      <c r="G1000" s="2">
        <v>44962</v>
      </c>
      <c r="H1000" s="1">
        <v>1</v>
      </c>
      <c r="I1000" s="1" t="s">
        <v>27</v>
      </c>
      <c r="J1000" s="1" t="s">
        <v>81</v>
      </c>
      <c r="K1000" s="1" t="s">
        <v>4973</v>
      </c>
      <c r="L1000" s="1">
        <v>2</v>
      </c>
      <c r="M1000" s="1">
        <v>32</v>
      </c>
      <c r="N1000" s="1" t="s">
        <v>30</v>
      </c>
      <c r="O1000" s="1" t="s">
        <v>149</v>
      </c>
      <c r="P1000" s="1" t="s">
        <v>30</v>
      </c>
      <c r="Q1000" s="1" t="s">
        <v>32</v>
      </c>
      <c r="R1000" s="1">
        <v>22.56</v>
      </c>
      <c r="S1000" s="1" t="s">
        <v>33</v>
      </c>
      <c r="T1000" s="1" t="s">
        <v>232</v>
      </c>
      <c r="U1000" s="1" t="s">
        <v>70</v>
      </c>
      <c r="V1000" s="1" t="s">
        <v>36</v>
      </c>
    </row>
    <row r="1001" spans="1:22" x14ac:dyDescent="0.3">
      <c r="A1001" s="1" t="s">
        <v>4974</v>
      </c>
      <c r="B1001" s="1" t="s">
        <v>4975</v>
      </c>
      <c r="C1001" s="1">
        <v>63</v>
      </c>
      <c r="D1001" s="1" t="s">
        <v>4976</v>
      </c>
      <c r="E1001" s="1" t="s">
        <v>88</v>
      </c>
      <c r="F1001" s="2">
        <v>44631</v>
      </c>
      <c r="G1001" s="2">
        <v>45231</v>
      </c>
      <c r="H1001" s="1">
        <v>4</v>
      </c>
      <c r="I1001" s="1" t="s">
        <v>52</v>
      </c>
      <c r="J1001" s="2">
        <v>45872</v>
      </c>
      <c r="K1001" s="1" t="s">
        <v>4977</v>
      </c>
      <c r="L1001" s="1">
        <v>3</v>
      </c>
      <c r="M1001" s="1">
        <v>40</v>
      </c>
      <c r="N1001" s="1" t="s">
        <v>30</v>
      </c>
      <c r="O1001" s="1" t="s">
        <v>169</v>
      </c>
      <c r="P1001" s="1" t="s">
        <v>30</v>
      </c>
      <c r="Q1001" s="1" t="s">
        <v>69</v>
      </c>
      <c r="R1001" s="1">
        <v>186.75</v>
      </c>
      <c r="S1001" s="1" t="s">
        <v>33</v>
      </c>
      <c r="T1001" s="1" t="s">
        <v>47</v>
      </c>
      <c r="U1001" s="1" t="s">
        <v>35</v>
      </c>
      <c r="V1001" s="1" t="s">
        <v>36</v>
      </c>
    </row>
    <row r="1002" spans="1:22" x14ac:dyDescent="0.3">
      <c r="A1002" s="1" t="s">
        <v>4978</v>
      </c>
      <c r="B1002" s="1" t="s">
        <v>4979</v>
      </c>
      <c r="C1002" s="1">
        <v>40</v>
      </c>
      <c r="D1002" s="1" t="s">
        <v>4980</v>
      </c>
      <c r="E1002" s="1" t="s">
        <v>40</v>
      </c>
      <c r="F1002" s="1" t="s">
        <v>2598</v>
      </c>
      <c r="G1002" s="2">
        <v>45962</v>
      </c>
      <c r="H1002" s="1">
        <v>2</v>
      </c>
      <c r="I1002" s="1" t="s">
        <v>64</v>
      </c>
      <c r="J1002" s="1" t="s">
        <v>4981</v>
      </c>
      <c r="K1002" s="1" t="s">
        <v>4982</v>
      </c>
      <c r="L1002" s="1">
        <v>4</v>
      </c>
      <c r="M1002" s="1">
        <v>48</v>
      </c>
      <c r="N1002" s="1" t="s">
        <v>68</v>
      </c>
      <c r="O1002" s="1" t="s">
        <v>536</v>
      </c>
      <c r="P1002" s="1" t="s">
        <v>68</v>
      </c>
      <c r="Q1002" s="1" t="s">
        <v>69</v>
      </c>
      <c r="R1002" s="1">
        <v>1271.68</v>
      </c>
      <c r="S1002" s="1" t="s">
        <v>33</v>
      </c>
      <c r="T1002" s="1" t="s">
        <v>34</v>
      </c>
      <c r="U1002" s="1" t="s">
        <v>35</v>
      </c>
      <c r="V1002" s="1" t="s">
        <v>71</v>
      </c>
    </row>
    <row r="1003" spans="1:22" x14ac:dyDescent="0.3">
      <c r="A1003" s="1" t="s">
        <v>4983</v>
      </c>
      <c r="B1003" s="1" t="s">
        <v>4984</v>
      </c>
      <c r="C1003" s="1">
        <v>50</v>
      </c>
      <c r="D1003" s="1" t="s">
        <v>4985</v>
      </c>
      <c r="E1003" s="1" t="s">
        <v>25</v>
      </c>
      <c r="F1003" s="2">
        <v>44932</v>
      </c>
      <c r="G1003" s="2">
        <v>45056</v>
      </c>
      <c r="H1003" s="1">
        <v>5</v>
      </c>
      <c r="I1003" s="1" t="s">
        <v>27</v>
      </c>
      <c r="J1003" s="2">
        <v>45177</v>
      </c>
      <c r="K1003" s="1" t="s">
        <v>4986</v>
      </c>
      <c r="L1003" s="1">
        <v>6</v>
      </c>
      <c r="M1003" s="1">
        <v>22</v>
      </c>
      <c r="N1003" s="1" t="s">
        <v>56</v>
      </c>
      <c r="O1003" s="1" t="s">
        <v>157</v>
      </c>
      <c r="P1003" s="1" t="s">
        <v>68</v>
      </c>
      <c r="Q1003" s="1" t="s">
        <v>69</v>
      </c>
      <c r="R1003" s="1">
        <v>1643.22</v>
      </c>
      <c r="S1003" s="1" t="s">
        <v>46</v>
      </c>
      <c r="T1003" s="1" t="s">
        <v>47</v>
      </c>
      <c r="U1003" s="1" t="s">
        <v>35</v>
      </c>
      <c r="V1003" s="1" t="s">
        <v>188</v>
      </c>
    </row>
    <row r="1004" spans="1:22" x14ac:dyDescent="0.3">
      <c r="A1004" s="1" t="s">
        <v>4987</v>
      </c>
      <c r="B1004" s="1" t="s">
        <v>4988</v>
      </c>
      <c r="C1004" s="1">
        <v>55</v>
      </c>
      <c r="D1004" s="1" t="s">
        <v>4989</v>
      </c>
      <c r="E1004" s="1" t="s">
        <v>88</v>
      </c>
      <c r="F1004" s="2">
        <v>44205</v>
      </c>
      <c r="G1004" s="1" t="s">
        <v>284</v>
      </c>
      <c r="H1004" s="1">
        <v>5</v>
      </c>
      <c r="I1004" s="1" t="s">
        <v>52</v>
      </c>
      <c r="J1004" s="2">
        <v>45416</v>
      </c>
      <c r="K1004" s="1" t="s">
        <v>4990</v>
      </c>
      <c r="L1004" s="1">
        <v>2</v>
      </c>
      <c r="M1004" s="1">
        <v>37</v>
      </c>
      <c r="N1004" s="1" t="s">
        <v>56</v>
      </c>
      <c r="O1004" s="1" t="s">
        <v>245</v>
      </c>
      <c r="P1004" s="1" t="s">
        <v>54</v>
      </c>
      <c r="Q1004" s="1" t="s">
        <v>69</v>
      </c>
      <c r="R1004" s="1">
        <v>816.58</v>
      </c>
      <c r="S1004" s="1" t="s">
        <v>46</v>
      </c>
      <c r="T1004" s="1" t="s">
        <v>47</v>
      </c>
      <c r="U1004" s="1" t="s">
        <v>35</v>
      </c>
      <c r="V1004" s="1" t="s">
        <v>36</v>
      </c>
    </row>
    <row r="1005" spans="1:22" x14ac:dyDescent="0.3">
      <c r="A1005" s="1" t="s">
        <v>4991</v>
      </c>
      <c r="B1005" s="1" t="s">
        <v>4992</v>
      </c>
      <c r="C1005" s="1">
        <v>66</v>
      </c>
      <c r="D1005" s="1" t="s">
        <v>4993</v>
      </c>
      <c r="E1005" s="1" t="s">
        <v>95</v>
      </c>
      <c r="F1005" s="1" t="s">
        <v>249</v>
      </c>
      <c r="G1005" s="2">
        <v>45413</v>
      </c>
      <c r="H1005" s="1">
        <v>0</v>
      </c>
      <c r="I1005" s="1" t="s">
        <v>27</v>
      </c>
      <c r="J1005" s="2">
        <v>45935</v>
      </c>
      <c r="K1005" s="1" t="s">
        <v>4994</v>
      </c>
      <c r="L1005" s="1">
        <v>7</v>
      </c>
      <c r="M1005" s="1">
        <v>48</v>
      </c>
      <c r="N1005" s="1" t="s">
        <v>30</v>
      </c>
      <c r="O1005" s="1" t="s">
        <v>238</v>
      </c>
      <c r="P1005" s="1" t="s">
        <v>45</v>
      </c>
      <c r="Q1005" s="1" t="s">
        <v>32</v>
      </c>
      <c r="R1005" s="1">
        <v>1177.96</v>
      </c>
      <c r="S1005" s="1" t="s">
        <v>46</v>
      </c>
      <c r="T1005" s="1" t="s">
        <v>232</v>
      </c>
      <c r="U1005" s="1" t="s">
        <v>35</v>
      </c>
      <c r="V1005" s="1" t="s">
        <v>36</v>
      </c>
    </row>
    <row r="1006" spans="1:22" x14ac:dyDescent="0.3">
      <c r="A1006" s="1" t="s">
        <v>4995</v>
      </c>
      <c r="B1006" s="1" t="s">
        <v>4996</v>
      </c>
      <c r="C1006" s="1">
        <v>55</v>
      </c>
      <c r="D1006" s="1" t="s">
        <v>4997</v>
      </c>
      <c r="E1006" s="1" t="s">
        <v>95</v>
      </c>
      <c r="F1006" s="1" t="s">
        <v>4998</v>
      </c>
      <c r="G1006" s="2">
        <v>45696</v>
      </c>
      <c r="H1006" s="1">
        <v>0</v>
      </c>
      <c r="I1006" s="1" t="s">
        <v>27</v>
      </c>
      <c r="J1006" s="1" t="s">
        <v>773</v>
      </c>
      <c r="K1006" s="1" t="s">
        <v>4999</v>
      </c>
      <c r="L1006" s="1">
        <v>3</v>
      </c>
      <c r="M1006" s="1">
        <v>34</v>
      </c>
      <c r="N1006" s="1" t="s">
        <v>56</v>
      </c>
      <c r="O1006" s="1" t="s">
        <v>624</v>
      </c>
      <c r="P1006" s="1" t="s">
        <v>30</v>
      </c>
      <c r="Q1006" s="1" t="s">
        <v>69</v>
      </c>
      <c r="R1006" s="1">
        <v>1097.73</v>
      </c>
      <c r="S1006" s="1" t="s">
        <v>46</v>
      </c>
      <c r="T1006" s="1" t="s">
        <v>47</v>
      </c>
      <c r="U1006" s="1" t="s">
        <v>35</v>
      </c>
      <c r="V1006" s="1" t="s">
        <v>36</v>
      </c>
    </row>
    <row r="1007" spans="1:22" x14ac:dyDescent="0.3">
      <c r="A1007" s="1" t="s">
        <v>5000</v>
      </c>
      <c r="B1007" s="1" t="s">
        <v>5001</v>
      </c>
      <c r="C1007" s="1">
        <v>26</v>
      </c>
      <c r="D1007" s="1" t="s">
        <v>5002</v>
      </c>
      <c r="E1007" s="1" t="s">
        <v>61</v>
      </c>
      <c r="F1007" s="1" t="s">
        <v>3958</v>
      </c>
      <c r="G1007" s="2">
        <v>45475</v>
      </c>
      <c r="H1007" s="1">
        <v>2</v>
      </c>
      <c r="I1007" s="1" t="s">
        <v>64</v>
      </c>
      <c r="J1007" s="2">
        <v>45413</v>
      </c>
      <c r="K1007" s="1" t="s">
        <v>5003</v>
      </c>
      <c r="L1007" s="1">
        <v>9</v>
      </c>
      <c r="M1007" s="1">
        <v>20</v>
      </c>
      <c r="N1007" s="1" t="s">
        <v>54</v>
      </c>
      <c r="O1007" s="1" t="s">
        <v>269</v>
      </c>
      <c r="P1007" s="1" t="s">
        <v>56</v>
      </c>
      <c r="Q1007" s="1" t="s">
        <v>32</v>
      </c>
      <c r="R1007" s="1">
        <v>492.66</v>
      </c>
      <c r="S1007" s="1" t="s">
        <v>46</v>
      </c>
      <c r="T1007" s="1" t="s">
        <v>57</v>
      </c>
      <c r="U1007" s="1" t="s">
        <v>35</v>
      </c>
      <c r="V1007" s="1" t="s">
        <v>71</v>
      </c>
    </row>
    <row r="1008" spans="1:22" x14ac:dyDescent="0.3">
      <c r="A1008" s="1" t="s">
        <v>5004</v>
      </c>
      <c r="B1008" s="1" t="s">
        <v>5005</v>
      </c>
      <c r="C1008" s="1">
        <v>36</v>
      </c>
      <c r="D1008" s="1" t="s">
        <v>5006</v>
      </c>
      <c r="E1008" s="1" t="s">
        <v>61</v>
      </c>
      <c r="F1008" s="1" t="s">
        <v>1747</v>
      </c>
      <c r="G1008" s="2">
        <v>45055</v>
      </c>
      <c r="H1008" s="1">
        <v>5</v>
      </c>
      <c r="I1008" s="1" t="s">
        <v>27</v>
      </c>
      <c r="J1008" s="1" t="s">
        <v>297</v>
      </c>
      <c r="K1008" s="1" t="s">
        <v>5007</v>
      </c>
      <c r="L1008" s="1">
        <v>5</v>
      </c>
      <c r="M1008" s="1">
        <v>5</v>
      </c>
      <c r="N1008" s="1" t="s">
        <v>30</v>
      </c>
      <c r="O1008" s="1" t="s">
        <v>142</v>
      </c>
      <c r="P1008" s="1" t="s">
        <v>68</v>
      </c>
      <c r="Q1008" s="1" t="s">
        <v>69</v>
      </c>
      <c r="R1008" s="1">
        <v>1718.05</v>
      </c>
      <c r="S1008" s="1" t="s">
        <v>46</v>
      </c>
      <c r="T1008" s="1" t="s">
        <v>34</v>
      </c>
      <c r="U1008" s="1" t="s">
        <v>35</v>
      </c>
      <c r="V1008" s="1" t="s">
        <v>188</v>
      </c>
    </row>
    <row r="1009" spans="1:22" x14ac:dyDescent="0.3">
      <c r="A1009" s="1" t="s">
        <v>5008</v>
      </c>
      <c r="B1009" s="1" t="s">
        <v>5009</v>
      </c>
      <c r="C1009" s="1">
        <v>36</v>
      </c>
      <c r="D1009" s="1" t="s">
        <v>5010</v>
      </c>
      <c r="E1009" s="1" t="s">
        <v>88</v>
      </c>
      <c r="F1009" s="1" t="s">
        <v>4074</v>
      </c>
      <c r="G1009" s="2">
        <v>45267</v>
      </c>
      <c r="H1009" s="1">
        <v>3</v>
      </c>
      <c r="I1009" s="1" t="s">
        <v>64</v>
      </c>
      <c r="J1009" s="2">
        <v>44835</v>
      </c>
      <c r="K1009" s="1" t="s">
        <v>5011</v>
      </c>
      <c r="L1009" s="1">
        <v>8</v>
      </c>
      <c r="M1009" s="1">
        <v>16</v>
      </c>
      <c r="N1009" s="1" t="s">
        <v>54</v>
      </c>
      <c r="O1009" s="1" t="s">
        <v>142</v>
      </c>
      <c r="P1009" s="1" t="s">
        <v>68</v>
      </c>
      <c r="Q1009" s="1" t="s">
        <v>69</v>
      </c>
      <c r="R1009" s="1">
        <v>1156.8800000000001</v>
      </c>
      <c r="S1009" s="1" t="s">
        <v>46</v>
      </c>
      <c r="T1009" s="1" t="s">
        <v>34</v>
      </c>
      <c r="U1009" s="1" t="s">
        <v>35</v>
      </c>
      <c r="V1009" s="1" t="s">
        <v>71</v>
      </c>
    </row>
    <row r="1010" spans="1:22" x14ac:dyDescent="0.3">
      <c r="A1010" s="1" t="s">
        <v>5012</v>
      </c>
      <c r="B1010" s="1" t="s">
        <v>5013</v>
      </c>
      <c r="C1010" s="1">
        <v>46</v>
      </c>
      <c r="D1010" s="1" t="s">
        <v>5014</v>
      </c>
      <c r="E1010" s="1" t="s">
        <v>51</v>
      </c>
      <c r="F1010" s="1" t="s">
        <v>275</v>
      </c>
      <c r="G1010" s="1" t="s">
        <v>2353</v>
      </c>
      <c r="H1010" s="1">
        <v>5</v>
      </c>
      <c r="I1010" s="1" t="s">
        <v>52</v>
      </c>
      <c r="J1010" s="1" t="s">
        <v>579</v>
      </c>
      <c r="K1010" s="1" t="s">
        <v>5015</v>
      </c>
      <c r="L1010" s="1">
        <v>5</v>
      </c>
      <c r="M1010" s="1">
        <v>38</v>
      </c>
      <c r="N1010" s="1" t="s">
        <v>30</v>
      </c>
      <c r="O1010" s="1" t="s">
        <v>169</v>
      </c>
      <c r="P1010" s="1" t="s">
        <v>30</v>
      </c>
      <c r="Q1010" s="1" t="s">
        <v>69</v>
      </c>
      <c r="R1010" s="1">
        <v>1162.2</v>
      </c>
      <c r="S1010" s="1" t="s">
        <v>33</v>
      </c>
      <c r="T1010" s="1" t="s">
        <v>34</v>
      </c>
      <c r="U1010" s="1" t="s">
        <v>35</v>
      </c>
      <c r="V1010" s="1" t="s">
        <v>36</v>
      </c>
    </row>
    <row r="1011" spans="1:22" x14ac:dyDescent="0.3">
      <c r="A1011" s="1" t="s">
        <v>5016</v>
      </c>
      <c r="B1011" s="1" t="s">
        <v>5017</v>
      </c>
      <c r="C1011" s="1">
        <v>68</v>
      </c>
      <c r="D1011" s="1" t="s">
        <v>5018</v>
      </c>
      <c r="E1011" s="1" t="s">
        <v>88</v>
      </c>
      <c r="F1011" s="2">
        <v>44410</v>
      </c>
      <c r="G1011" s="1" t="s">
        <v>1396</v>
      </c>
      <c r="H1011" s="1">
        <v>2</v>
      </c>
      <c r="I1011" s="1" t="s">
        <v>27</v>
      </c>
      <c r="J1011" s="1" t="s">
        <v>2809</v>
      </c>
      <c r="K1011" s="1" t="s">
        <v>5019</v>
      </c>
      <c r="L1011" s="1">
        <v>3</v>
      </c>
      <c r="M1011" s="1">
        <v>20</v>
      </c>
      <c r="N1011" s="1" t="s">
        <v>56</v>
      </c>
      <c r="O1011" s="1" t="s">
        <v>366</v>
      </c>
      <c r="P1011" s="1" t="s">
        <v>54</v>
      </c>
      <c r="Q1011" s="1" t="s">
        <v>32</v>
      </c>
      <c r="R1011" s="1">
        <v>1138.74</v>
      </c>
      <c r="S1011" s="1" t="s">
        <v>46</v>
      </c>
      <c r="T1011" s="1" t="s">
        <v>232</v>
      </c>
      <c r="U1011" s="1" t="s">
        <v>35</v>
      </c>
      <c r="V1011" s="1" t="s">
        <v>36</v>
      </c>
    </row>
    <row r="1012" spans="1:22" x14ac:dyDescent="0.3">
      <c r="A1012" s="1" t="s">
        <v>5020</v>
      </c>
      <c r="B1012" s="1" t="s">
        <v>5021</v>
      </c>
      <c r="C1012" s="1">
        <v>40</v>
      </c>
      <c r="D1012" s="1" t="s">
        <v>5022</v>
      </c>
      <c r="E1012" s="1" t="s">
        <v>95</v>
      </c>
      <c r="F1012" s="2">
        <v>44198</v>
      </c>
      <c r="G1012" s="1" t="s">
        <v>1243</v>
      </c>
      <c r="H1012" s="1">
        <v>1</v>
      </c>
      <c r="I1012" s="1" t="s">
        <v>27</v>
      </c>
      <c r="J1012" s="1" t="s">
        <v>5023</v>
      </c>
      <c r="K1012" s="1" t="s">
        <v>5024</v>
      </c>
      <c r="L1012" s="1">
        <v>9</v>
      </c>
      <c r="M1012" s="1">
        <v>2</v>
      </c>
      <c r="N1012" s="1" t="s">
        <v>30</v>
      </c>
      <c r="O1012" s="1" t="s">
        <v>44</v>
      </c>
      <c r="P1012" s="1" t="s">
        <v>45</v>
      </c>
      <c r="Q1012" s="1" t="s">
        <v>322</v>
      </c>
      <c r="R1012" s="1">
        <v>861.21</v>
      </c>
      <c r="S1012" s="1" t="s">
        <v>46</v>
      </c>
      <c r="T1012" s="1" t="s">
        <v>34</v>
      </c>
      <c r="U1012" s="1" t="s">
        <v>101</v>
      </c>
      <c r="V1012" s="1" t="s">
        <v>36</v>
      </c>
    </row>
    <row r="1013" spans="1:22" x14ac:dyDescent="0.3">
      <c r="A1013" s="1" t="s">
        <v>5025</v>
      </c>
      <c r="B1013" s="1" t="s">
        <v>5026</v>
      </c>
      <c r="C1013" s="1">
        <v>57</v>
      </c>
      <c r="D1013" s="1" t="s">
        <v>5027</v>
      </c>
      <c r="E1013" s="1" t="s">
        <v>95</v>
      </c>
      <c r="F1013" s="2">
        <v>44479</v>
      </c>
      <c r="G1013" s="1" t="s">
        <v>3899</v>
      </c>
      <c r="H1013" s="1">
        <v>4</v>
      </c>
      <c r="I1013" s="1" t="s">
        <v>27</v>
      </c>
      <c r="J1013" s="1" t="s">
        <v>3890</v>
      </c>
      <c r="K1013" s="1" t="s">
        <v>5028</v>
      </c>
      <c r="L1013" s="1">
        <v>5</v>
      </c>
      <c r="M1013" s="1">
        <v>21</v>
      </c>
      <c r="N1013" s="1" t="s">
        <v>54</v>
      </c>
      <c r="O1013" s="1" t="s">
        <v>425</v>
      </c>
      <c r="P1013" s="1" t="s">
        <v>30</v>
      </c>
      <c r="Q1013" s="1" t="s">
        <v>69</v>
      </c>
      <c r="R1013" s="1">
        <v>1748.8</v>
      </c>
      <c r="S1013" s="1" t="s">
        <v>46</v>
      </c>
      <c r="T1013" s="1" t="s">
        <v>47</v>
      </c>
      <c r="U1013" s="1" t="s">
        <v>35</v>
      </c>
      <c r="V1013" s="1" t="s">
        <v>188</v>
      </c>
    </row>
    <row r="1014" spans="1:22" x14ac:dyDescent="0.3">
      <c r="A1014" s="1" t="s">
        <v>5029</v>
      </c>
      <c r="B1014" s="1" t="s">
        <v>5030</v>
      </c>
      <c r="C1014" s="1">
        <v>60</v>
      </c>
      <c r="D1014" s="1" t="s">
        <v>5031</v>
      </c>
      <c r="E1014" s="1" t="s">
        <v>88</v>
      </c>
      <c r="F1014" s="1" t="s">
        <v>4603</v>
      </c>
      <c r="G1014" s="2">
        <v>45932</v>
      </c>
      <c r="H1014" s="1">
        <v>2</v>
      </c>
      <c r="I1014" s="1" t="s">
        <v>27</v>
      </c>
      <c r="J1014" s="1" t="s">
        <v>2173</v>
      </c>
      <c r="K1014" s="1" t="s">
        <v>5032</v>
      </c>
      <c r="L1014" s="1">
        <v>5</v>
      </c>
      <c r="M1014" s="1">
        <v>21</v>
      </c>
      <c r="N1014" s="1" t="s">
        <v>54</v>
      </c>
      <c r="O1014" s="1" t="s">
        <v>55</v>
      </c>
      <c r="P1014" s="1" t="s">
        <v>56</v>
      </c>
      <c r="Q1014" s="1" t="s">
        <v>32</v>
      </c>
      <c r="R1014" s="1">
        <v>46.75</v>
      </c>
      <c r="S1014" s="1" t="s">
        <v>46</v>
      </c>
      <c r="T1014" s="1" t="s">
        <v>47</v>
      </c>
      <c r="U1014" s="1" t="s">
        <v>101</v>
      </c>
      <c r="V1014" s="1" t="s">
        <v>36</v>
      </c>
    </row>
    <row r="1015" spans="1:22" x14ac:dyDescent="0.3">
      <c r="A1015" s="1" t="s">
        <v>5033</v>
      </c>
      <c r="B1015" s="1" t="s">
        <v>5034</v>
      </c>
      <c r="C1015" s="1">
        <v>55</v>
      </c>
      <c r="D1015" s="1" t="s">
        <v>5035</v>
      </c>
      <c r="E1015" s="1" t="s">
        <v>61</v>
      </c>
      <c r="F1015" s="2">
        <v>44259</v>
      </c>
      <c r="G1015" s="1" t="s">
        <v>2810</v>
      </c>
      <c r="H1015" s="1">
        <v>2</v>
      </c>
      <c r="I1015" s="1" t="s">
        <v>64</v>
      </c>
      <c r="J1015" s="1" t="s">
        <v>5036</v>
      </c>
      <c r="K1015" s="1" t="s">
        <v>5037</v>
      </c>
      <c r="L1015" s="1">
        <v>1</v>
      </c>
      <c r="M1015" s="1">
        <v>7</v>
      </c>
      <c r="N1015" s="1" t="s">
        <v>68</v>
      </c>
      <c r="O1015" s="1" t="s">
        <v>837</v>
      </c>
      <c r="P1015" s="1" t="s">
        <v>56</v>
      </c>
      <c r="Q1015" s="1" t="s">
        <v>69</v>
      </c>
      <c r="R1015" s="1">
        <v>869.42</v>
      </c>
      <c r="S1015" s="1" t="s">
        <v>46</v>
      </c>
      <c r="T1015" s="1" t="s">
        <v>47</v>
      </c>
      <c r="U1015" s="1" t="s">
        <v>35</v>
      </c>
      <c r="V1015" s="1" t="s">
        <v>71</v>
      </c>
    </row>
    <row r="1016" spans="1:22" x14ac:dyDescent="0.3">
      <c r="A1016" s="1" t="s">
        <v>5038</v>
      </c>
      <c r="B1016" s="1" t="s">
        <v>5039</v>
      </c>
      <c r="C1016" s="1">
        <v>50</v>
      </c>
      <c r="D1016" s="1" t="s">
        <v>5040</v>
      </c>
      <c r="E1016" s="1" t="s">
        <v>25</v>
      </c>
      <c r="F1016" s="1" t="s">
        <v>2849</v>
      </c>
      <c r="G1016" s="2">
        <v>45569</v>
      </c>
      <c r="H1016" s="1">
        <v>0</v>
      </c>
      <c r="I1016" s="1" t="s">
        <v>27</v>
      </c>
      <c r="J1016" s="1" t="s">
        <v>2550</v>
      </c>
      <c r="K1016" s="1" t="s">
        <v>5041</v>
      </c>
      <c r="L1016" s="1">
        <v>2</v>
      </c>
      <c r="M1016" s="1">
        <v>48</v>
      </c>
      <c r="N1016" s="1" t="s">
        <v>30</v>
      </c>
      <c r="O1016" s="1" t="s">
        <v>77</v>
      </c>
      <c r="P1016" s="1" t="s">
        <v>54</v>
      </c>
      <c r="Q1016" s="1" t="s">
        <v>69</v>
      </c>
      <c r="R1016" s="1">
        <v>657.9</v>
      </c>
      <c r="S1016" s="1" t="s">
        <v>46</v>
      </c>
      <c r="T1016" s="1" t="s">
        <v>47</v>
      </c>
      <c r="U1016" s="1" t="s">
        <v>35</v>
      </c>
      <c r="V1016" s="1" t="s">
        <v>36</v>
      </c>
    </row>
    <row r="1017" spans="1:22" x14ac:dyDescent="0.3">
      <c r="A1017" s="1" t="s">
        <v>5042</v>
      </c>
      <c r="B1017" s="1" t="s">
        <v>5043</v>
      </c>
      <c r="C1017" s="1">
        <v>40</v>
      </c>
      <c r="D1017" s="1" t="s">
        <v>5044</v>
      </c>
      <c r="E1017" s="1" t="s">
        <v>25</v>
      </c>
      <c r="F1017" s="1" t="s">
        <v>1085</v>
      </c>
      <c r="G1017" s="1" t="s">
        <v>5045</v>
      </c>
      <c r="H1017" s="1">
        <v>3</v>
      </c>
      <c r="I1017" s="1" t="s">
        <v>52</v>
      </c>
      <c r="J1017" s="1" t="s">
        <v>2517</v>
      </c>
      <c r="K1017" s="1" t="s">
        <v>5046</v>
      </c>
      <c r="L1017" s="1">
        <v>4</v>
      </c>
      <c r="M1017" s="1">
        <v>12</v>
      </c>
      <c r="N1017" s="1" t="s">
        <v>68</v>
      </c>
      <c r="O1017" s="1" t="s">
        <v>624</v>
      </c>
      <c r="P1017" s="1" t="s">
        <v>30</v>
      </c>
      <c r="Q1017" s="1" t="s">
        <v>32</v>
      </c>
      <c r="R1017" s="1">
        <v>816.04</v>
      </c>
      <c r="S1017" s="1" t="s">
        <v>46</v>
      </c>
      <c r="T1017" s="1" t="s">
        <v>34</v>
      </c>
      <c r="U1017" s="1" t="s">
        <v>35</v>
      </c>
      <c r="V1017" s="1" t="s">
        <v>36</v>
      </c>
    </row>
    <row r="1018" spans="1:22" x14ac:dyDescent="0.3">
      <c r="A1018" s="1" t="s">
        <v>5047</v>
      </c>
      <c r="B1018" s="1" t="s">
        <v>5048</v>
      </c>
      <c r="C1018" s="1">
        <v>27</v>
      </c>
      <c r="D1018" s="1" t="s">
        <v>5049</v>
      </c>
      <c r="E1018" s="1" t="s">
        <v>51</v>
      </c>
      <c r="F1018" s="2">
        <v>43932</v>
      </c>
      <c r="G1018" s="1" t="s">
        <v>1200</v>
      </c>
      <c r="H1018" s="1">
        <v>1</v>
      </c>
      <c r="I1018" s="1" t="s">
        <v>64</v>
      </c>
      <c r="J1018" s="1" t="s">
        <v>1333</v>
      </c>
      <c r="K1018" s="1" t="s">
        <v>5050</v>
      </c>
      <c r="L1018" s="1">
        <v>3</v>
      </c>
      <c r="M1018" s="1">
        <v>16</v>
      </c>
      <c r="N1018" s="1" t="s">
        <v>68</v>
      </c>
      <c r="O1018" s="1" t="s">
        <v>211</v>
      </c>
      <c r="P1018" s="1" t="s">
        <v>68</v>
      </c>
      <c r="Q1018" s="1" t="s">
        <v>32</v>
      </c>
      <c r="R1018" s="1">
        <v>740.94</v>
      </c>
      <c r="S1018" s="1" t="s">
        <v>33</v>
      </c>
      <c r="T1018" s="1" t="s">
        <v>57</v>
      </c>
      <c r="U1018" s="1" t="s">
        <v>35</v>
      </c>
      <c r="V1018" s="1" t="s">
        <v>71</v>
      </c>
    </row>
    <row r="1019" spans="1:22" x14ac:dyDescent="0.3">
      <c r="A1019" s="1" t="s">
        <v>5051</v>
      </c>
      <c r="B1019" s="1" t="s">
        <v>5052</v>
      </c>
      <c r="C1019" s="1">
        <v>48</v>
      </c>
      <c r="D1019" s="1" t="s">
        <v>5053</v>
      </c>
      <c r="E1019" s="1" t="s">
        <v>61</v>
      </c>
      <c r="F1019" s="1" t="s">
        <v>1142</v>
      </c>
      <c r="G1019" s="1" t="s">
        <v>771</v>
      </c>
      <c r="H1019" s="1">
        <v>4</v>
      </c>
      <c r="I1019" s="1" t="s">
        <v>64</v>
      </c>
      <c r="J1019" s="2">
        <v>45181</v>
      </c>
      <c r="K1019" s="1" t="s">
        <v>5054</v>
      </c>
      <c r="L1019" s="1">
        <v>4</v>
      </c>
      <c r="M1019" s="1">
        <v>39</v>
      </c>
      <c r="N1019" s="1" t="s">
        <v>45</v>
      </c>
      <c r="O1019" s="1" t="s">
        <v>223</v>
      </c>
      <c r="P1019" s="1" t="s">
        <v>56</v>
      </c>
      <c r="Q1019" s="1" t="s">
        <v>32</v>
      </c>
      <c r="R1019" s="1">
        <v>1299.1199999999999</v>
      </c>
      <c r="S1019" s="1" t="s">
        <v>46</v>
      </c>
      <c r="T1019" s="1" t="s">
        <v>34</v>
      </c>
      <c r="U1019" s="1" t="s">
        <v>35</v>
      </c>
      <c r="V1019" s="1" t="s">
        <v>71</v>
      </c>
    </row>
    <row r="1020" spans="1:22" x14ac:dyDescent="0.3">
      <c r="A1020" s="1" t="s">
        <v>5055</v>
      </c>
      <c r="B1020" s="1" t="s">
        <v>5056</v>
      </c>
      <c r="C1020" s="1">
        <v>39</v>
      </c>
      <c r="D1020" s="1" t="s">
        <v>5057</v>
      </c>
      <c r="E1020" s="1" t="s">
        <v>95</v>
      </c>
      <c r="F1020" s="1" t="s">
        <v>502</v>
      </c>
      <c r="G1020" s="2">
        <v>45171</v>
      </c>
      <c r="H1020" s="1">
        <v>2</v>
      </c>
      <c r="I1020" s="1" t="s">
        <v>64</v>
      </c>
      <c r="J1020" s="2">
        <v>44936</v>
      </c>
      <c r="K1020" s="1" t="s">
        <v>5058</v>
      </c>
      <c r="L1020" s="1">
        <v>4</v>
      </c>
      <c r="M1020" s="1">
        <v>20</v>
      </c>
      <c r="N1020" s="1" t="s">
        <v>30</v>
      </c>
      <c r="O1020" s="1" t="s">
        <v>211</v>
      </c>
      <c r="P1020" s="1" t="s">
        <v>68</v>
      </c>
      <c r="Q1020" s="1" t="s">
        <v>32</v>
      </c>
      <c r="R1020" s="1">
        <v>1154.96</v>
      </c>
      <c r="S1020" s="1" t="s">
        <v>46</v>
      </c>
      <c r="T1020" s="1" t="s">
        <v>34</v>
      </c>
      <c r="U1020" s="1" t="s">
        <v>35</v>
      </c>
      <c r="V1020" s="1" t="s">
        <v>71</v>
      </c>
    </row>
    <row r="1021" spans="1:22" x14ac:dyDescent="0.3">
      <c r="A1021" s="1" t="s">
        <v>5059</v>
      </c>
      <c r="B1021" s="1" t="s">
        <v>5060</v>
      </c>
      <c r="C1021" s="1">
        <v>67</v>
      </c>
      <c r="D1021" s="1" t="s">
        <v>5061</v>
      </c>
      <c r="E1021" s="1" t="s">
        <v>95</v>
      </c>
      <c r="F1021" s="1" t="s">
        <v>1789</v>
      </c>
      <c r="G1021" s="2">
        <v>44419</v>
      </c>
      <c r="H1021" s="1">
        <v>4</v>
      </c>
      <c r="I1021" s="1" t="s">
        <v>52</v>
      </c>
      <c r="J1021" s="1" t="s">
        <v>2738</v>
      </c>
      <c r="K1021" s="1" t="s">
        <v>5062</v>
      </c>
      <c r="L1021" s="1">
        <v>6</v>
      </c>
      <c r="M1021" s="1">
        <v>42</v>
      </c>
      <c r="N1021" s="1" t="s">
        <v>54</v>
      </c>
      <c r="O1021" s="1" t="s">
        <v>99</v>
      </c>
      <c r="P1021" s="1" t="s">
        <v>56</v>
      </c>
      <c r="Q1021" s="1" t="s">
        <v>32</v>
      </c>
      <c r="R1021" s="1">
        <v>1557.96</v>
      </c>
      <c r="S1021" s="1" t="s">
        <v>46</v>
      </c>
      <c r="T1021" s="1" t="s">
        <v>232</v>
      </c>
      <c r="U1021" s="1" t="s">
        <v>35</v>
      </c>
      <c r="V1021" s="1" t="s">
        <v>36</v>
      </c>
    </row>
    <row r="1022" spans="1:22" x14ac:dyDescent="0.3">
      <c r="A1022" s="1" t="s">
        <v>5063</v>
      </c>
      <c r="B1022" s="1" t="s">
        <v>5064</v>
      </c>
      <c r="C1022" s="1">
        <v>36</v>
      </c>
      <c r="D1022" s="1" t="s">
        <v>5065</v>
      </c>
      <c r="E1022" s="1" t="s">
        <v>40</v>
      </c>
      <c r="F1022" s="1" t="s">
        <v>3690</v>
      </c>
      <c r="G1022" s="1" t="s">
        <v>2225</v>
      </c>
      <c r="H1022" s="1">
        <v>5</v>
      </c>
      <c r="I1022" s="1" t="s">
        <v>27</v>
      </c>
      <c r="J1022" s="1" t="s">
        <v>2763</v>
      </c>
      <c r="K1022" s="1" t="s">
        <v>5066</v>
      </c>
      <c r="L1022" s="1">
        <v>8</v>
      </c>
      <c r="M1022" s="1">
        <v>49</v>
      </c>
      <c r="N1022" s="1" t="s">
        <v>30</v>
      </c>
      <c r="O1022" s="1" t="s">
        <v>855</v>
      </c>
      <c r="P1022" s="1" t="s">
        <v>45</v>
      </c>
      <c r="Q1022" s="1" t="s">
        <v>69</v>
      </c>
      <c r="R1022" s="1">
        <v>751.84</v>
      </c>
      <c r="S1022" s="1" t="s">
        <v>46</v>
      </c>
      <c r="T1022" s="1" t="s">
        <v>34</v>
      </c>
      <c r="U1022" s="1" t="s">
        <v>35</v>
      </c>
      <c r="V1022" s="1" t="s">
        <v>188</v>
      </c>
    </row>
    <row r="1023" spans="1:22" x14ac:dyDescent="0.3">
      <c r="A1023" s="1" t="s">
        <v>5067</v>
      </c>
      <c r="B1023" s="1" t="s">
        <v>5068</v>
      </c>
      <c r="C1023" s="1">
        <v>32</v>
      </c>
      <c r="D1023" s="1" t="s">
        <v>5069</v>
      </c>
      <c r="E1023" s="1" t="s">
        <v>95</v>
      </c>
      <c r="F1023" s="2">
        <v>44986</v>
      </c>
      <c r="G1023" s="2">
        <v>45750</v>
      </c>
      <c r="H1023" s="1">
        <v>2</v>
      </c>
      <c r="I1023" s="1" t="s">
        <v>27</v>
      </c>
      <c r="J1023" s="2">
        <v>45696</v>
      </c>
      <c r="K1023" s="1" t="s">
        <v>5070</v>
      </c>
      <c r="L1023" s="1">
        <v>2</v>
      </c>
      <c r="M1023" s="1">
        <v>46</v>
      </c>
      <c r="N1023" s="1" t="s">
        <v>68</v>
      </c>
      <c r="O1023" s="1" t="s">
        <v>624</v>
      </c>
      <c r="P1023" s="1" t="s">
        <v>30</v>
      </c>
      <c r="Q1023" s="1" t="s">
        <v>69</v>
      </c>
      <c r="R1023" s="1">
        <v>1235.3399999999999</v>
      </c>
      <c r="S1023" s="1" t="s">
        <v>46</v>
      </c>
      <c r="T1023" s="1" t="s">
        <v>57</v>
      </c>
      <c r="U1023" s="1" t="s">
        <v>35</v>
      </c>
      <c r="V1023" s="1" t="s">
        <v>36</v>
      </c>
    </row>
    <row r="1024" spans="1:22" x14ac:dyDescent="0.3">
      <c r="A1024" s="1" t="s">
        <v>5071</v>
      </c>
      <c r="B1024" s="1" t="s">
        <v>5072</v>
      </c>
      <c r="C1024" s="1">
        <v>32</v>
      </c>
      <c r="D1024" s="1" t="s">
        <v>5073</v>
      </c>
      <c r="E1024" s="1" t="s">
        <v>88</v>
      </c>
      <c r="F1024" s="1" t="s">
        <v>3002</v>
      </c>
      <c r="G1024" s="2">
        <v>45116</v>
      </c>
      <c r="H1024" s="1">
        <v>4</v>
      </c>
      <c r="I1024" s="1" t="s">
        <v>27</v>
      </c>
      <c r="J1024" s="1" t="s">
        <v>1918</v>
      </c>
      <c r="K1024" s="1" t="s">
        <v>5074</v>
      </c>
      <c r="L1024" s="1">
        <v>7</v>
      </c>
      <c r="M1024" s="1">
        <v>39</v>
      </c>
      <c r="N1024" s="1" t="s">
        <v>56</v>
      </c>
      <c r="O1024" s="1" t="s">
        <v>31</v>
      </c>
      <c r="P1024" s="1" t="s">
        <v>30</v>
      </c>
      <c r="Q1024" s="1" t="s">
        <v>69</v>
      </c>
      <c r="R1024" s="1">
        <v>1456.56</v>
      </c>
      <c r="S1024" s="1" t="s">
        <v>46</v>
      </c>
      <c r="T1024" s="1" t="s">
        <v>57</v>
      </c>
      <c r="U1024" s="1" t="s">
        <v>35</v>
      </c>
      <c r="V1024" s="1" t="s">
        <v>188</v>
      </c>
    </row>
    <row r="1025" spans="1:22" x14ac:dyDescent="0.3">
      <c r="A1025" s="1" t="s">
        <v>5075</v>
      </c>
      <c r="B1025" s="1" t="s">
        <v>5076</v>
      </c>
      <c r="C1025" s="1">
        <v>27</v>
      </c>
      <c r="D1025" s="1" t="s">
        <v>5077</v>
      </c>
      <c r="E1025" s="1" t="s">
        <v>40</v>
      </c>
      <c r="F1025" s="1" t="s">
        <v>4533</v>
      </c>
      <c r="G1025" s="1" t="s">
        <v>3238</v>
      </c>
      <c r="H1025" s="1">
        <v>2</v>
      </c>
      <c r="I1025" s="1" t="s">
        <v>52</v>
      </c>
      <c r="J1025" s="1" t="s">
        <v>5078</v>
      </c>
      <c r="K1025" s="1" t="s">
        <v>5079</v>
      </c>
      <c r="L1025" s="1">
        <v>4</v>
      </c>
      <c r="M1025" s="1">
        <v>18</v>
      </c>
      <c r="N1025" s="1" t="s">
        <v>54</v>
      </c>
      <c r="O1025" s="1" t="s">
        <v>44</v>
      </c>
      <c r="P1025" s="1" t="s">
        <v>45</v>
      </c>
      <c r="Q1025" s="1" t="s">
        <v>32</v>
      </c>
      <c r="R1025" s="1">
        <v>1409.2</v>
      </c>
      <c r="S1025" s="1" t="s">
        <v>46</v>
      </c>
      <c r="T1025" s="1" t="s">
        <v>57</v>
      </c>
      <c r="U1025" s="1" t="s">
        <v>35</v>
      </c>
      <c r="V1025" s="1" t="s">
        <v>36</v>
      </c>
    </row>
    <row r="1026" spans="1:22" x14ac:dyDescent="0.3">
      <c r="A1026" s="1" t="s">
        <v>5080</v>
      </c>
      <c r="B1026" s="1" t="s">
        <v>5081</v>
      </c>
      <c r="C1026" s="1">
        <v>57</v>
      </c>
      <c r="D1026" s="1" t="s">
        <v>5082</v>
      </c>
      <c r="E1026" s="1" t="s">
        <v>40</v>
      </c>
      <c r="F1026" s="1" t="s">
        <v>1354</v>
      </c>
      <c r="G1026" s="1" t="s">
        <v>1923</v>
      </c>
      <c r="H1026" s="1">
        <v>1</v>
      </c>
      <c r="I1026" s="1" t="s">
        <v>27</v>
      </c>
      <c r="J1026" s="2">
        <v>44928</v>
      </c>
      <c r="K1026" s="1" t="s">
        <v>5083</v>
      </c>
      <c r="L1026" s="1">
        <v>1</v>
      </c>
      <c r="M1026" s="1">
        <v>4</v>
      </c>
      <c r="N1026" s="1" t="s">
        <v>56</v>
      </c>
      <c r="O1026" s="1" t="s">
        <v>624</v>
      </c>
      <c r="P1026" s="1" t="s">
        <v>30</v>
      </c>
      <c r="Q1026" s="1" t="s">
        <v>32</v>
      </c>
      <c r="R1026" s="1">
        <v>1129.55</v>
      </c>
      <c r="S1026" s="1" t="s">
        <v>46</v>
      </c>
      <c r="T1026" s="1" t="s">
        <v>47</v>
      </c>
      <c r="U1026" s="1" t="s">
        <v>35</v>
      </c>
      <c r="V1026" s="1" t="s">
        <v>36</v>
      </c>
    </row>
    <row r="1027" spans="1:22" x14ac:dyDescent="0.3">
      <c r="A1027" s="1" t="s">
        <v>5084</v>
      </c>
      <c r="B1027" s="1" t="s">
        <v>5085</v>
      </c>
      <c r="C1027" s="1">
        <v>42</v>
      </c>
      <c r="D1027" s="1" t="s">
        <v>5086</v>
      </c>
      <c r="E1027" s="1" t="s">
        <v>25</v>
      </c>
      <c r="F1027" s="1" t="s">
        <v>388</v>
      </c>
      <c r="G1027" s="1" t="s">
        <v>5087</v>
      </c>
      <c r="H1027" s="1">
        <v>3</v>
      </c>
      <c r="I1027" s="1" t="s">
        <v>27</v>
      </c>
      <c r="J1027" s="2">
        <v>45541</v>
      </c>
      <c r="K1027" s="1" t="s">
        <v>5088</v>
      </c>
      <c r="L1027" s="1">
        <v>1</v>
      </c>
      <c r="M1027" s="1">
        <v>41</v>
      </c>
      <c r="N1027" s="1" t="s">
        <v>45</v>
      </c>
      <c r="O1027" s="1" t="s">
        <v>425</v>
      </c>
      <c r="P1027" s="1" t="s">
        <v>30</v>
      </c>
      <c r="Q1027" s="1" t="s">
        <v>69</v>
      </c>
      <c r="R1027" s="1">
        <v>578.41999999999996</v>
      </c>
      <c r="S1027" s="1" t="s">
        <v>46</v>
      </c>
      <c r="T1027" s="1" t="s">
        <v>34</v>
      </c>
      <c r="U1027" s="1" t="s">
        <v>35</v>
      </c>
      <c r="V1027" s="1" t="s">
        <v>36</v>
      </c>
    </row>
    <row r="1028" spans="1:22" x14ac:dyDescent="0.3">
      <c r="A1028" s="1" t="s">
        <v>5089</v>
      </c>
      <c r="B1028" s="1" t="s">
        <v>5090</v>
      </c>
      <c r="C1028" s="1">
        <v>27</v>
      </c>
      <c r="D1028" s="1" t="s">
        <v>5091</v>
      </c>
      <c r="E1028" s="1" t="s">
        <v>25</v>
      </c>
      <c r="F1028" s="1" t="s">
        <v>2810</v>
      </c>
      <c r="G1028" s="1" t="s">
        <v>319</v>
      </c>
      <c r="H1028" s="1">
        <v>1</v>
      </c>
      <c r="I1028" s="1" t="s">
        <v>27</v>
      </c>
      <c r="J1028" s="2">
        <v>45055</v>
      </c>
      <c r="K1028" s="1" t="s">
        <v>5092</v>
      </c>
      <c r="L1028" s="1">
        <v>4</v>
      </c>
      <c r="M1028" s="1">
        <v>37</v>
      </c>
      <c r="N1028" s="1" t="s">
        <v>68</v>
      </c>
      <c r="O1028" s="1" t="s">
        <v>199</v>
      </c>
      <c r="P1028" s="1" t="s">
        <v>54</v>
      </c>
      <c r="Q1028" s="1" t="s">
        <v>69</v>
      </c>
      <c r="R1028" s="1">
        <v>717.92</v>
      </c>
      <c r="S1028" s="1" t="s">
        <v>46</v>
      </c>
      <c r="T1028" s="1" t="s">
        <v>57</v>
      </c>
      <c r="U1028" s="1" t="s">
        <v>35</v>
      </c>
      <c r="V1028" s="1" t="s">
        <v>36</v>
      </c>
    </row>
    <row r="1029" spans="1:22" x14ac:dyDescent="0.3">
      <c r="A1029" s="1" t="s">
        <v>5093</v>
      </c>
      <c r="B1029" s="1" t="s">
        <v>5094</v>
      </c>
      <c r="C1029" s="1">
        <v>19</v>
      </c>
      <c r="D1029" s="1" t="s">
        <v>5095</v>
      </c>
      <c r="E1029" s="1" t="s">
        <v>61</v>
      </c>
      <c r="F1029" s="1" t="s">
        <v>5096</v>
      </c>
      <c r="G1029" s="2">
        <v>45781</v>
      </c>
      <c r="H1029" s="1">
        <v>4</v>
      </c>
      <c r="I1029" s="1" t="s">
        <v>27</v>
      </c>
      <c r="J1029" s="1" t="s">
        <v>229</v>
      </c>
      <c r="K1029" s="1" t="s">
        <v>5097</v>
      </c>
      <c r="L1029" s="1">
        <v>7</v>
      </c>
      <c r="M1029" s="1">
        <v>5</v>
      </c>
      <c r="N1029" s="1" t="s">
        <v>30</v>
      </c>
      <c r="O1029" s="1" t="s">
        <v>238</v>
      </c>
      <c r="P1029" s="1" t="s">
        <v>45</v>
      </c>
      <c r="Q1029" s="1" t="s">
        <v>32</v>
      </c>
      <c r="R1029" s="1">
        <v>1099.9100000000001</v>
      </c>
      <c r="S1029" s="1" t="s">
        <v>46</v>
      </c>
      <c r="T1029" s="1" t="s">
        <v>100</v>
      </c>
      <c r="U1029" s="1" t="s">
        <v>35</v>
      </c>
      <c r="V1029" s="1" t="s">
        <v>188</v>
      </c>
    </row>
    <row r="1030" spans="1:22" x14ac:dyDescent="0.3">
      <c r="A1030" s="1" t="s">
        <v>5098</v>
      </c>
      <c r="B1030" s="1" t="s">
        <v>5099</v>
      </c>
      <c r="C1030" s="1">
        <v>24</v>
      </c>
      <c r="D1030" s="1" t="s">
        <v>5100</v>
      </c>
      <c r="E1030" s="1" t="s">
        <v>40</v>
      </c>
      <c r="F1030" s="1" t="s">
        <v>640</v>
      </c>
      <c r="G1030" s="1" t="s">
        <v>5101</v>
      </c>
      <c r="H1030" s="1">
        <v>0</v>
      </c>
      <c r="I1030" s="1" t="s">
        <v>27</v>
      </c>
      <c r="J1030" s="1" t="s">
        <v>2294</v>
      </c>
      <c r="K1030" s="1" t="s">
        <v>5102</v>
      </c>
      <c r="L1030" s="1">
        <v>6</v>
      </c>
      <c r="M1030" s="1">
        <v>2</v>
      </c>
      <c r="N1030" s="1" t="s">
        <v>56</v>
      </c>
      <c r="O1030" s="1" t="s">
        <v>122</v>
      </c>
      <c r="P1030" s="1" t="s">
        <v>30</v>
      </c>
      <c r="Q1030" s="1" t="s">
        <v>32</v>
      </c>
      <c r="R1030" s="1">
        <v>126.12</v>
      </c>
      <c r="S1030" s="1" t="s">
        <v>46</v>
      </c>
      <c r="T1030" s="1" t="s">
        <v>100</v>
      </c>
      <c r="U1030" s="1" t="s">
        <v>70</v>
      </c>
      <c r="V1030" s="1" t="s">
        <v>36</v>
      </c>
    </row>
    <row r="1031" spans="1:22" x14ac:dyDescent="0.3">
      <c r="A1031" s="1" t="s">
        <v>5103</v>
      </c>
      <c r="B1031" s="1" t="s">
        <v>5104</v>
      </c>
      <c r="C1031" s="1">
        <v>53</v>
      </c>
      <c r="D1031" s="1" t="s">
        <v>5105</v>
      </c>
      <c r="E1031" s="1" t="s">
        <v>25</v>
      </c>
      <c r="F1031" s="2">
        <v>45206</v>
      </c>
      <c r="G1031" s="1" t="s">
        <v>1929</v>
      </c>
      <c r="H1031" s="1">
        <v>1</v>
      </c>
      <c r="I1031" s="1" t="s">
        <v>52</v>
      </c>
      <c r="J1031" s="1" t="s">
        <v>1960</v>
      </c>
      <c r="K1031" s="1" t="s">
        <v>5106</v>
      </c>
      <c r="L1031" s="1">
        <v>2</v>
      </c>
      <c r="M1031" s="1">
        <v>25</v>
      </c>
      <c r="N1031" s="1" t="s">
        <v>68</v>
      </c>
      <c r="O1031" s="1" t="s">
        <v>821</v>
      </c>
      <c r="P1031" s="1" t="s">
        <v>68</v>
      </c>
      <c r="Q1031" s="1" t="s">
        <v>32</v>
      </c>
      <c r="R1031" s="1">
        <v>503.64</v>
      </c>
      <c r="S1031" s="1" t="s">
        <v>33</v>
      </c>
      <c r="T1031" s="1" t="s">
        <v>47</v>
      </c>
      <c r="U1031" s="1" t="s">
        <v>35</v>
      </c>
      <c r="V1031" s="1" t="s">
        <v>36</v>
      </c>
    </row>
    <row r="1032" spans="1:22" x14ac:dyDescent="0.3">
      <c r="A1032" s="1" t="s">
        <v>5107</v>
      </c>
      <c r="B1032" s="1" t="s">
        <v>5108</v>
      </c>
      <c r="C1032" s="1">
        <v>54</v>
      </c>
      <c r="D1032" s="1" t="s">
        <v>5109</v>
      </c>
      <c r="E1032" s="1" t="s">
        <v>61</v>
      </c>
      <c r="F1032" s="1" t="s">
        <v>5110</v>
      </c>
      <c r="G1032" s="2">
        <v>45481</v>
      </c>
      <c r="H1032" s="1">
        <v>4</v>
      </c>
      <c r="I1032" s="1" t="s">
        <v>64</v>
      </c>
      <c r="J1032" s="1" t="s">
        <v>5111</v>
      </c>
      <c r="K1032" s="1" t="s">
        <v>5112</v>
      </c>
      <c r="L1032" s="1">
        <v>6</v>
      </c>
      <c r="M1032" s="1">
        <v>25</v>
      </c>
      <c r="N1032" s="1" t="s">
        <v>54</v>
      </c>
      <c r="O1032" s="1" t="s">
        <v>55</v>
      </c>
      <c r="P1032" s="1" t="s">
        <v>56</v>
      </c>
      <c r="Q1032" s="1" t="s">
        <v>69</v>
      </c>
      <c r="R1032" s="1">
        <v>952.56</v>
      </c>
      <c r="S1032" s="1" t="s">
        <v>46</v>
      </c>
      <c r="T1032" s="1" t="s">
        <v>47</v>
      </c>
      <c r="U1032" s="1" t="s">
        <v>35</v>
      </c>
      <c r="V1032" s="1" t="s">
        <v>71</v>
      </c>
    </row>
    <row r="1033" spans="1:22" x14ac:dyDescent="0.3">
      <c r="A1033" s="1" t="s">
        <v>5113</v>
      </c>
      <c r="B1033" s="1" t="s">
        <v>5114</v>
      </c>
      <c r="C1033" s="1">
        <v>37</v>
      </c>
      <c r="D1033" s="1" t="s">
        <v>5115</v>
      </c>
      <c r="E1033" s="1" t="s">
        <v>88</v>
      </c>
      <c r="F1033" s="1" t="s">
        <v>2179</v>
      </c>
      <c r="G1033" s="2">
        <v>44229</v>
      </c>
      <c r="H1033" s="1">
        <v>1</v>
      </c>
      <c r="I1033" s="1" t="s">
        <v>52</v>
      </c>
      <c r="J1033" s="2">
        <v>44321</v>
      </c>
      <c r="K1033" s="1" t="s">
        <v>5116</v>
      </c>
      <c r="L1033" s="1">
        <v>4</v>
      </c>
      <c r="M1033" s="1">
        <v>14</v>
      </c>
      <c r="N1033" s="1" t="s">
        <v>30</v>
      </c>
      <c r="O1033" s="1" t="s">
        <v>373</v>
      </c>
      <c r="P1033" s="1" t="s">
        <v>54</v>
      </c>
      <c r="Q1033" s="1" t="s">
        <v>32</v>
      </c>
      <c r="R1033" s="1">
        <v>1536.84</v>
      </c>
      <c r="S1033" s="1" t="s">
        <v>46</v>
      </c>
      <c r="T1033" s="1" t="s">
        <v>34</v>
      </c>
      <c r="U1033" s="1" t="s">
        <v>35</v>
      </c>
      <c r="V1033" s="1" t="s">
        <v>36</v>
      </c>
    </row>
    <row r="1034" spans="1:22" x14ac:dyDescent="0.3">
      <c r="A1034" s="1" t="s">
        <v>5117</v>
      </c>
      <c r="B1034" s="1" t="s">
        <v>5118</v>
      </c>
      <c r="C1034" s="1">
        <v>49</v>
      </c>
      <c r="D1034" s="1" t="s">
        <v>5119</v>
      </c>
      <c r="E1034" s="1" t="s">
        <v>88</v>
      </c>
      <c r="F1034" s="1" t="s">
        <v>337</v>
      </c>
      <c r="G1034" s="1" t="s">
        <v>2809</v>
      </c>
      <c r="H1034" s="1">
        <v>3</v>
      </c>
      <c r="I1034" s="1" t="s">
        <v>27</v>
      </c>
      <c r="J1034" s="1" t="s">
        <v>1397</v>
      </c>
      <c r="K1034" s="1" t="s">
        <v>5120</v>
      </c>
      <c r="L1034" s="1">
        <v>1</v>
      </c>
      <c r="M1034" s="1">
        <v>20</v>
      </c>
      <c r="N1034" s="1" t="s">
        <v>45</v>
      </c>
      <c r="O1034" s="1" t="s">
        <v>238</v>
      </c>
      <c r="P1034" s="1" t="s">
        <v>45</v>
      </c>
      <c r="Q1034" s="1" t="s">
        <v>32</v>
      </c>
      <c r="R1034" s="1">
        <v>456.94</v>
      </c>
      <c r="S1034" s="1" t="s">
        <v>33</v>
      </c>
      <c r="T1034" s="1" t="s">
        <v>34</v>
      </c>
      <c r="U1034" s="1" t="s">
        <v>35</v>
      </c>
      <c r="V1034" s="1" t="s">
        <v>36</v>
      </c>
    </row>
    <row r="1035" spans="1:22" x14ac:dyDescent="0.3">
      <c r="A1035" s="1" t="s">
        <v>5121</v>
      </c>
      <c r="B1035" s="1" t="s">
        <v>5122</v>
      </c>
      <c r="C1035" s="1">
        <v>68</v>
      </c>
      <c r="D1035" s="1" t="s">
        <v>5123</v>
      </c>
      <c r="E1035" s="1" t="s">
        <v>25</v>
      </c>
      <c r="F1035" s="1" t="s">
        <v>2533</v>
      </c>
      <c r="G1035" s="1" t="s">
        <v>2314</v>
      </c>
      <c r="H1035" s="1">
        <v>2</v>
      </c>
      <c r="I1035" s="1" t="s">
        <v>52</v>
      </c>
      <c r="J1035" s="1" t="s">
        <v>2560</v>
      </c>
      <c r="K1035" s="1" t="s">
        <v>5124</v>
      </c>
      <c r="L1035" s="1">
        <v>8</v>
      </c>
      <c r="M1035" s="1">
        <v>7</v>
      </c>
      <c r="N1035" s="1" t="s">
        <v>54</v>
      </c>
      <c r="O1035" s="1" t="s">
        <v>293</v>
      </c>
      <c r="P1035" s="1" t="s">
        <v>45</v>
      </c>
      <c r="Q1035" s="1" t="s">
        <v>32</v>
      </c>
      <c r="R1035" s="1">
        <v>482.96</v>
      </c>
      <c r="S1035" s="1" t="s">
        <v>46</v>
      </c>
      <c r="T1035" s="1" t="s">
        <v>232</v>
      </c>
      <c r="U1035" s="1" t="s">
        <v>35</v>
      </c>
      <c r="V1035" s="1" t="s">
        <v>36</v>
      </c>
    </row>
    <row r="1036" spans="1:22" x14ac:dyDescent="0.3">
      <c r="A1036" s="1" t="s">
        <v>5125</v>
      </c>
      <c r="B1036" s="1" t="s">
        <v>5126</v>
      </c>
      <c r="C1036" s="1">
        <v>56</v>
      </c>
      <c r="D1036" s="1" t="s">
        <v>5127</v>
      </c>
      <c r="E1036" s="1" t="s">
        <v>61</v>
      </c>
      <c r="F1036" s="1" t="s">
        <v>4274</v>
      </c>
      <c r="G1036" s="1" t="s">
        <v>2486</v>
      </c>
      <c r="H1036" s="1">
        <v>3</v>
      </c>
      <c r="I1036" s="1" t="s">
        <v>52</v>
      </c>
      <c r="J1036" s="1" t="s">
        <v>3130</v>
      </c>
      <c r="K1036" s="1" t="s">
        <v>5128</v>
      </c>
      <c r="L1036" s="1">
        <v>8</v>
      </c>
      <c r="M1036" s="1">
        <v>22</v>
      </c>
      <c r="N1036" s="1" t="s">
        <v>56</v>
      </c>
      <c r="O1036" s="1" t="s">
        <v>128</v>
      </c>
      <c r="P1036" s="1" t="s">
        <v>54</v>
      </c>
      <c r="Q1036" s="1" t="s">
        <v>32</v>
      </c>
      <c r="R1036" s="1">
        <v>711.76</v>
      </c>
      <c r="S1036" s="1" t="s">
        <v>46</v>
      </c>
      <c r="T1036" s="1" t="s">
        <v>47</v>
      </c>
      <c r="U1036" s="1" t="s">
        <v>35</v>
      </c>
      <c r="V1036" s="1" t="s">
        <v>36</v>
      </c>
    </row>
    <row r="1037" spans="1:22" x14ac:dyDescent="0.3">
      <c r="A1037" s="1" t="s">
        <v>5129</v>
      </c>
      <c r="B1037" s="1" t="s">
        <v>5130</v>
      </c>
      <c r="C1037" s="1">
        <v>26</v>
      </c>
      <c r="D1037" s="1" t="s">
        <v>5131</v>
      </c>
      <c r="E1037" s="1" t="s">
        <v>51</v>
      </c>
      <c r="F1037" s="1" t="s">
        <v>2522</v>
      </c>
      <c r="G1037" s="1" t="s">
        <v>2093</v>
      </c>
      <c r="H1037" s="1">
        <v>1</v>
      </c>
      <c r="I1037" s="1" t="s">
        <v>27</v>
      </c>
      <c r="J1037" s="2">
        <v>45839</v>
      </c>
      <c r="K1037" s="1" t="s">
        <v>5132</v>
      </c>
      <c r="L1037" s="1">
        <v>7</v>
      </c>
      <c r="M1037" s="1">
        <v>36</v>
      </c>
      <c r="N1037" s="1" t="s">
        <v>45</v>
      </c>
      <c r="O1037" s="1" t="s">
        <v>231</v>
      </c>
      <c r="P1037" s="1" t="s">
        <v>30</v>
      </c>
      <c r="Q1037" s="1" t="s">
        <v>32</v>
      </c>
      <c r="R1037" s="1">
        <v>774.69</v>
      </c>
      <c r="S1037" s="1" t="s">
        <v>46</v>
      </c>
      <c r="T1037" s="1" t="s">
        <v>57</v>
      </c>
      <c r="U1037" s="1" t="s">
        <v>35</v>
      </c>
      <c r="V1037" s="1" t="s">
        <v>36</v>
      </c>
    </row>
    <row r="1038" spans="1:22" x14ac:dyDescent="0.3">
      <c r="A1038" s="1" t="s">
        <v>5133</v>
      </c>
      <c r="B1038" s="1" t="s">
        <v>5134</v>
      </c>
      <c r="C1038" s="1">
        <v>32</v>
      </c>
      <c r="D1038" s="1" t="s">
        <v>5135</v>
      </c>
      <c r="E1038" s="1" t="s">
        <v>95</v>
      </c>
      <c r="F1038" s="2">
        <v>44262</v>
      </c>
      <c r="G1038" s="2">
        <v>44622</v>
      </c>
      <c r="H1038" s="1">
        <v>2</v>
      </c>
      <c r="I1038" s="1" t="s">
        <v>52</v>
      </c>
      <c r="J1038" s="1" t="s">
        <v>5136</v>
      </c>
      <c r="K1038" s="1" t="s">
        <v>5137</v>
      </c>
      <c r="L1038" s="1">
        <v>2</v>
      </c>
      <c r="M1038" s="1">
        <v>23</v>
      </c>
      <c r="N1038" s="1" t="s">
        <v>68</v>
      </c>
      <c r="O1038" s="1" t="s">
        <v>821</v>
      </c>
      <c r="P1038" s="1" t="s">
        <v>68</v>
      </c>
      <c r="Q1038" s="1" t="s">
        <v>69</v>
      </c>
      <c r="R1038" s="1">
        <v>1583.4</v>
      </c>
      <c r="S1038" s="1" t="s">
        <v>33</v>
      </c>
      <c r="T1038" s="1" t="s">
        <v>57</v>
      </c>
      <c r="U1038" s="1" t="s">
        <v>35</v>
      </c>
      <c r="V1038" s="1" t="s">
        <v>36</v>
      </c>
    </row>
    <row r="1039" spans="1:22" x14ac:dyDescent="0.3">
      <c r="A1039" s="1" t="s">
        <v>5138</v>
      </c>
      <c r="B1039" s="1" t="s">
        <v>5139</v>
      </c>
      <c r="C1039" s="1">
        <v>54</v>
      </c>
      <c r="D1039" s="1" t="s">
        <v>5140</v>
      </c>
      <c r="E1039" s="1" t="s">
        <v>40</v>
      </c>
      <c r="F1039" s="2">
        <v>44682</v>
      </c>
      <c r="G1039" s="1" t="s">
        <v>5141</v>
      </c>
      <c r="H1039" s="1">
        <v>2</v>
      </c>
      <c r="I1039" s="1" t="s">
        <v>64</v>
      </c>
      <c r="J1039" s="1" t="s">
        <v>2691</v>
      </c>
      <c r="K1039" s="1" t="s">
        <v>5142</v>
      </c>
      <c r="L1039" s="1">
        <v>2</v>
      </c>
      <c r="M1039" s="1">
        <v>29</v>
      </c>
      <c r="N1039" s="1" t="s">
        <v>30</v>
      </c>
      <c r="O1039" s="1" t="s">
        <v>149</v>
      </c>
      <c r="P1039" s="1" t="s">
        <v>30</v>
      </c>
      <c r="Q1039" s="1" t="s">
        <v>32</v>
      </c>
      <c r="R1039" s="1">
        <v>1623.6</v>
      </c>
      <c r="S1039" s="1" t="s">
        <v>33</v>
      </c>
      <c r="T1039" s="1" t="s">
        <v>47</v>
      </c>
      <c r="U1039" s="1" t="s">
        <v>35</v>
      </c>
      <c r="V1039" s="1" t="s">
        <v>71</v>
      </c>
    </row>
    <row r="1040" spans="1:22" x14ac:dyDescent="0.3">
      <c r="A1040" s="1" t="s">
        <v>5143</v>
      </c>
      <c r="B1040" s="1" t="s">
        <v>5144</v>
      </c>
      <c r="C1040" s="1">
        <v>63</v>
      </c>
      <c r="D1040" s="1" t="s">
        <v>5145</v>
      </c>
      <c r="E1040" s="1" t="s">
        <v>25</v>
      </c>
      <c r="F1040" s="2">
        <v>44567</v>
      </c>
      <c r="G1040" s="2">
        <v>45720</v>
      </c>
      <c r="H1040" s="1">
        <v>0</v>
      </c>
      <c r="I1040" s="1" t="s">
        <v>52</v>
      </c>
      <c r="J1040" s="1" t="s">
        <v>345</v>
      </c>
      <c r="K1040" s="1" t="s">
        <v>5146</v>
      </c>
      <c r="L1040" s="1">
        <v>9</v>
      </c>
      <c r="M1040" s="1">
        <v>27</v>
      </c>
      <c r="N1040" s="1" t="s">
        <v>54</v>
      </c>
      <c r="O1040" s="1" t="s">
        <v>175</v>
      </c>
      <c r="P1040" s="1" t="s">
        <v>56</v>
      </c>
      <c r="Q1040" s="1" t="s">
        <v>32</v>
      </c>
      <c r="R1040" s="1">
        <v>642.6</v>
      </c>
      <c r="S1040" s="1" t="s">
        <v>46</v>
      </c>
      <c r="T1040" s="1" t="s">
        <v>47</v>
      </c>
      <c r="U1040" s="1" t="s">
        <v>35</v>
      </c>
      <c r="V1040" s="1" t="s">
        <v>36</v>
      </c>
    </row>
    <row r="1041" spans="1:22" x14ac:dyDescent="0.3">
      <c r="A1041" s="1" t="s">
        <v>5147</v>
      </c>
      <c r="B1041" s="1" t="s">
        <v>5148</v>
      </c>
      <c r="C1041" s="1">
        <v>19</v>
      </c>
      <c r="D1041" s="1" t="s">
        <v>5149</v>
      </c>
      <c r="E1041" s="1" t="s">
        <v>51</v>
      </c>
      <c r="F1041" s="2">
        <v>44900</v>
      </c>
      <c r="G1041" s="2">
        <v>44968</v>
      </c>
      <c r="H1041" s="1">
        <v>0</v>
      </c>
      <c r="I1041" s="1" t="s">
        <v>64</v>
      </c>
      <c r="J1041" s="2">
        <v>44602</v>
      </c>
      <c r="K1041" s="1" t="s">
        <v>5150</v>
      </c>
      <c r="L1041" s="1">
        <v>6</v>
      </c>
      <c r="M1041" s="1">
        <v>41</v>
      </c>
      <c r="N1041" s="1" t="s">
        <v>68</v>
      </c>
      <c r="O1041" s="1" t="s">
        <v>77</v>
      </c>
      <c r="P1041" s="1" t="s">
        <v>54</v>
      </c>
      <c r="Q1041" s="1" t="s">
        <v>69</v>
      </c>
      <c r="R1041" s="1">
        <v>985.02</v>
      </c>
      <c r="S1041" s="1" t="s">
        <v>46</v>
      </c>
      <c r="T1041" s="1" t="s">
        <v>100</v>
      </c>
      <c r="U1041" s="1" t="s">
        <v>35</v>
      </c>
      <c r="V1041" s="1" t="s">
        <v>71</v>
      </c>
    </row>
    <row r="1042" spans="1:22" x14ac:dyDescent="0.3">
      <c r="A1042" s="1" t="s">
        <v>5151</v>
      </c>
      <c r="B1042" s="1" t="s">
        <v>5152</v>
      </c>
      <c r="C1042" s="1">
        <v>61</v>
      </c>
      <c r="D1042" s="1" t="s">
        <v>5153</v>
      </c>
      <c r="E1042" s="1" t="s">
        <v>61</v>
      </c>
      <c r="F1042" s="1" t="s">
        <v>1333</v>
      </c>
      <c r="G1042" s="1" t="s">
        <v>1715</v>
      </c>
      <c r="H1042" s="1">
        <v>2</v>
      </c>
      <c r="I1042" s="1" t="s">
        <v>27</v>
      </c>
      <c r="J1042" s="1" t="s">
        <v>4664</v>
      </c>
      <c r="K1042" s="1" t="s">
        <v>5154</v>
      </c>
      <c r="L1042" s="1">
        <v>4</v>
      </c>
      <c r="M1042" s="1">
        <v>46</v>
      </c>
      <c r="N1042" s="1" t="s">
        <v>56</v>
      </c>
      <c r="O1042" s="1" t="s">
        <v>837</v>
      </c>
      <c r="P1042" s="1" t="s">
        <v>56</v>
      </c>
      <c r="Q1042" s="1" t="s">
        <v>32</v>
      </c>
      <c r="R1042" s="1">
        <v>1759.76</v>
      </c>
      <c r="S1042" s="1" t="s">
        <v>33</v>
      </c>
      <c r="T1042" s="1" t="s">
        <v>47</v>
      </c>
      <c r="U1042" s="1" t="s">
        <v>35</v>
      </c>
      <c r="V1042" s="1" t="s">
        <v>36</v>
      </c>
    </row>
    <row r="1043" spans="1:22" x14ac:dyDescent="0.3">
      <c r="A1043" s="1" t="s">
        <v>5155</v>
      </c>
      <c r="B1043" s="1" t="s">
        <v>5156</v>
      </c>
      <c r="C1043" s="1">
        <v>22</v>
      </c>
      <c r="D1043" s="1" t="s">
        <v>5157</v>
      </c>
      <c r="E1043" s="1" t="s">
        <v>40</v>
      </c>
      <c r="F1043" s="1" t="s">
        <v>352</v>
      </c>
      <c r="G1043" s="1" t="s">
        <v>584</v>
      </c>
      <c r="H1043" s="1">
        <v>1</v>
      </c>
      <c r="I1043" s="1" t="s">
        <v>52</v>
      </c>
      <c r="J1043" s="1" t="s">
        <v>344</v>
      </c>
      <c r="K1043" s="1" t="s">
        <v>5158</v>
      </c>
      <c r="L1043" s="1">
        <v>2</v>
      </c>
      <c r="M1043" s="1">
        <v>47</v>
      </c>
      <c r="N1043" s="1" t="s">
        <v>45</v>
      </c>
      <c r="O1043" s="1" t="s">
        <v>269</v>
      </c>
      <c r="P1043" s="1" t="s">
        <v>56</v>
      </c>
      <c r="Q1043" s="1" t="s">
        <v>69</v>
      </c>
      <c r="R1043" s="1">
        <v>313.64</v>
      </c>
      <c r="S1043" s="1" t="s">
        <v>46</v>
      </c>
      <c r="T1043" s="1" t="s">
        <v>100</v>
      </c>
      <c r="U1043" s="1" t="s">
        <v>35</v>
      </c>
      <c r="V1043" s="1" t="s">
        <v>36</v>
      </c>
    </row>
    <row r="1044" spans="1:22" x14ac:dyDescent="0.3">
      <c r="A1044" s="1" t="s">
        <v>5159</v>
      </c>
      <c r="B1044" s="1" t="s">
        <v>5160</v>
      </c>
      <c r="C1044" s="1">
        <v>51</v>
      </c>
      <c r="D1044" s="1" t="s">
        <v>5161</v>
      </c>
      <c r="E1044" s="1" t="s">
        <v>51</v>
      </c>
      <c r="F1044" s="2">
        <v>44382</v>
      </c>
      <c r="G1044" s="1" t="s">
        <v>3088</v>
      </c>
      <c r="H1044" s="1">
        <v>2</v>
      </c>
      <c r="I1044" s="1" t="s">
        <v>52</v>
      </c>
      <c r="J1044" s="1" t="s">
        <v>946</v>
      </c>
      <c r="K1044" s="1" t="s">
        <v>5162</v>
      </c>
      <c r="L1044" s="1">
        <v>5</v>
      </c>
      <c r="M1044" s="1">
        <v>33</v>
      </c>
      <c r="N1044" s="1" t="s">
        <v>45</v>
      </c>
      <c r="O1044" s="1" t="s">
        <v>425</v>
      </c>
      <c r="P1044" s="1" t="s">
        <v>30</v>
      </c>
      <c r="Q1044" s="1" t="s">
        <v>69</v>
      </c>
      <c r="R1044" s="1">
        <v>310.7</v>
      </c>
      <c r="S1044" s="1" t="s">
        <v>46</v>
      </c>
      <c r="T1044" s="1" t="s">
        <v>47</v>
      </c>
      <c r="U1044" s="1" t="s">
        <v>35</v>
      </c>
      <c r="V1044" s="1" t="s">
        <v>36</v>
      </c>
    </row>
    <row r="1045" spans="1:22" x14ac:dyDescent="0.3">
      <c r="A1045" s="1" t="s">
        <v>5163</v>
      </c>
      <c r="B1045" s="1" t="s">
        <v>5164</v>
      </c>
      <c r="C1045" s="1">
        <v>53</v>
      </c>
      <c r="D1045" s="1" t="s">
        <v>5165</v>
      </c>
      <c r="E1045" s="1" t="s">
        <v>95</v>
      </c>
      <c r="F1045" s="1" t="s">
        <v>1594</v>
      </c>
      <c r="G1045" s="1" t="s">
        <v>5166</v>
      </c>
      <c r="H1045" s="1">
        <v>1</v>
      </c>
      <c r="I1045" s="1" t="s">
        <v>52</v>
      </c>
      <c r="J1045" s="2">
        <v>44996</v>
      </c>
      <c r="K1045" s="1" t="s">
        <v>5167</v>
      </c>
      <c r="L1045" s="1">
        <v>7</v>
      </c>
      <c r="M1045" s="1">
        <v>37</v>
      </c>
      <c r="N1045" s="1" t="s">
        <v>30</v>
      </c>
      <c r="O1045" s="1" t="s">
        <v>99</v>
      </c>
      <c r="P1045" s="1" t="s">
        <v>56</v>
      </c>
      <c r="Q1045" s="1" t="s">
        <v>69</v>
      </c>
      <c r="R1045" s="1">
        <v>242.69</v>
      </c>
      <c r="S1045" s="1" t="s">
        <v>46</v>
      </c>
      <c r="T1045" s="1" t="s">
        <v>47</v>
      </c>
      <c r="U1045" s="1" t="s">
        <v>35</v>
      </c>
      <c r="V1045" s="1" t="s">
        <v>36</v>
      </c>
    </row>
    <row r="1046" spans="1:22" x14ac:dyDescent="0.3">
      <c r="A1046" s="1" t="s">
        <v>5168</v>
      </c>
      <c r="B1046" s="1" t="s">
        <v>5169</v>
      </c>
      <c r="C1046" s="1">
        <v>52</v>
      </c>
      <c r="D1046" s="1" t="s">
        <v>5170</v>
      </c>
      <c r="E1046" s="1" t="s">
        <v>40</v>
      </c>
      <c r="F1046" s="1" t="s">
        <v>410</v>
      </c>
      <c r="G1046" s="2">
        <v>45359</v>
      </c>
      <c r="H1046" s="1">
        <v>2</v>
      </c>
      <c r="I1046" s="1" t="s">
        <v>27</v>
      </c>
      <c r="J1046" s="1" t="s">
        <v>5171</v>
      </c>
      <c r="K1046" s="1" t="s">
        <v>5172</v>
      </c>
      <c r="L1046" s="1">
        <v>1</v>
      </c>
      <c r="M1046" s="1">
        <v>1</v>
      </c>
      <c r="N1046" s="1" t="s">
        <v>54</v>
      </c>
      <c r="O1046" s="1" t="s">
        <v>837</v>
      </c>
      <c r="P1046" s="1" t="s">
        <v>56</v>
      </c>
      <c r="Q1046" s="1" t="s">
        <v>32</v>
      </c>
      <c r="R1046" s="1">
        <v>1707.78</v>
      </c>
      <c r="S1046" s="1" t="s">
        <v>46</v>
      </c>
      <c r="T1046" s="1" t="s">
        <v>47</v>
      </c>
      <c r="U1046" s="1" t="s">
        <v>101</v>
      </c>
      <c r="V1046" s="1" t="s">
        <v>36</v>
      </c>
    </row>
    <row r="1047" spans="1:22" x14ac:dyDescent="0.3">
      <c r="A1047" s="1" t="s">
        <v>5173</v>
      </c>
      <c r="B1047" s="1" t="s">
        <v>5174</v>
      </c>
      <c r="C1047" s="1">
        <v>39</v>
      </c>
      <c r="D1047" s="1" t="s">
        <v>5175</v>
      </c>
      <c r="E1047" s="1" t="s">
        <v>61</v>
      </c>
      <c r="F1047" s="1" t="s">
        <v>267</v>
      </c>
      <c r="G1047" s="1" t="s">
        <v>3130</v>
      </c>
      <c r="H1047" s="1">
        <v>2</v>
      </c>
      <c r="I1047" s="1" t="s">
        <v>27</v>
      </c>
      <c r="J1047" s="1" t="s">
        <v>147</v>
      </c>
      <c r="K1047" s="1" t="s">
        <v>5176</v>
      </c>
      <c r="L1047" s="1">
        <v>6</v>
      </c>
      <c r="M1047" s="1">
        <v>27</v>
      </c>
      <c r="N1047" s="1" t="s">
        <v>30</v>
      </c>
      <c r="O1047" s="1" t="s">
        <v>610</v>
      </c>
      <c r="P1047" s="1" t="s">
        <v>68</v>
      </c>
      <c r="Q1047" s="1" t="s">
        <v>69</v>
      </c>
      <c r="R1047" s="1">
        <v>1584.06</v>
      </c>
      <c r="S1047" s="1" t="s">
        <v>46</v>
      </c>
      <c r="T1047" s="1" t="s">
        <v>34</v>
      </c>
      <c r="U1047" s="1" t="s">
        <v>35</v>
      </c>
      <c r="V1047" s="1" t="s">
        <v>36</v>
      </c>
    </row>
    <row r="1048" spans="1:22" x14ac:dyDescent="0.3">
      <c r="A1048" s="1" t="s">
        <v>5177</v>
      </c>
      <c r="B1048" s="1" t="s">
        <v>5178</v>
      </c>
      <c r="C1048" s="1">
        <v>31</v>
      </c>
      <c r="D1048" s="1" t="s">
        <v>5179</v>
      </c>
      <c r="E1048" s="1" t="s">
        <v>61</v>
      </c>
      <c r="F1048" s="2">
        <v>44541</v>
      </c>
      <c r="G1048" s="1" t="s">
        <v>1442</v>
      </c>
      <c r="H1048" s="1">
        <v>2</v>
      </c>
      <c r="I1048" s="1" t="s">
        <v>27</v>
      </c>
      <c r="J1048" s="1" t="s">
        <v>659</v>
      </c>
      <c r="K1048" s="1" t="s">
        <v>5180</v>
      </c>
      <c r="L1048" s="1">
        <v>5</v>
      </c>
      <c r="M1048" s="1">
        <v>13</v>
      </c>
      <c r="N1048" s="1" t="s">
        <v>56</v>
      </c>
      <c r="O1048" s="1" t="s">
        <v>223</v>
      </c>
      <c r="P1048" s="1" t="s">
        <v>56</v>
      </c>
      <c r="Q1048" s="1" t="s">
        <v>32</v>
      </c>
      <c r="R1048" s="1">
        <v>437.55</v>
      </c>
      <c r="S1048" s="1" t="s">
        <v>33</v>
      </c>
      <c r="T1048" s="1" t="s">
        <v>57</v>
      </c>
      <c r="U1048" s="1" t="s">
        <v>35</v>
      </c>
      <c r="V1048" s="1" t="s">
        <v>36</v>
      </c>
    </row>
    <row r="1049" spans="1:22" x14ac:dyDescent="0.3">
      <c r="A1049" s="1" t="s">
        <v>5181</v>
      </c>
      <c r="B1049" s="1" t="s">
        <v>5182</v>
      </c>
      <c r="C1049" s="1">
        <v>22</v>
      </c>
      <c r="D1049" s="1" t="s">
        <v>5183</v>
      </c>
      <c r="E1049" s="1" t="s">
        <v>40</v>
      </c>
      <c r="F1049" s="1" t="s">
        <v>934</v>
      </c>
      <c r="G1049" s="1" t="s">
        <v>924</v>
      </c>
      <c r="H1049" s="1">
        <v>0</v>
      </c>
      <c r="I1049" s="1" t="s">
        <v>27</v>
      </c>
      <c r="J1049" s="1" t="s">
        <v>929</v>
      </c>
      <c r="K1049" s="1" t="s">
        <v>5184</v>
      </c>
      <c r="L1049" s="1">
        <v>5</v>
      </c>
      <c r="M1049" s="1">
        <v>35</v>
      </c>
      <c r="N1049" s="1" t="s">
        <v>45</v>
      </c>
      <c r="O1049" s="1" t="s">
        <v>67</v>
      </c>
      <c r="P1049" s="1" t="s">
        <v>68</v>
      </c>
      <c r="Q1049" s="1" t="s">
        <v>69</v>
      </c>
      <c r="R1049" s="1">
        <v>1215.6500000000001</v>
      </c>
      <c r="S1049" s="1" t="s">
        <v>46</v>
      </c>
      <c r="T1049" s="1" t="s">
        <v>100</v>
      </c>
      <c r="U1049" s="1" t="s">
        <v>35</v>
      </c>
      <c r="V1049" s="1" t="s">
        <v>36</v>
      </c>
    </row>
    <row r="1050" spans="1:22" x14ac:dyDescent="0.3">
      <c r="A1050" s="1" t="s">
        <v>5185</v>
      </c>
      <c r="B1050" s="1" t="s">
        <v>5186</v>
      </c>
      <c r="C1050" s="1">
        <v>61</v>
      </c>
      <c r="D1050" s="1" t="s">
        <v>5187</v>
      </c>
      <c r="E1050" s="1" t="s">
        <v>88</v>
      </c>
      <c r="F1050" s="1" t="s">
        <v>236</v>
      </c>
      <c r="G1050" s="1" t="s">
        <v>3568</v>
      </c>
      <c r="H1050" s="1">
        <v>1</v>
      </c>
      <c r="I1050" s="1" t="s">
        <v>52</v>
      </c>
      <c r="J1050" s="2">
        <v>44594</v>
      </c>
      <c r="K1050" s="1" t="s">
        <v>5188</v>
      </c>
      <c r="L1050" s="1">
        <v>2</v>
      </c>
      <c r="M1050" s="1">
        <v>27</v>
      </c>
      <c r="N1050" s="1" t="s">
        <v>56</v>
      </c>
      <c r="O1050" s="1" t="s">
        <v>366</v>
      </c>
      <c r="P1050" s="1" t="s">
        <v>54</v>
      </c>
      <c r="Q1050" s="1" t="s">
        <v>32</v>
      </c>
      <c r="R1050" s="1">
        <v>1760.72</v>
      </c>
      <c r="S1050" s="1" t="s">
        <v>46</v>
      </c>
      <c r="T1050" s="1" t="s">
        <v>47</v>
      </c>
      <c r="U1050" s="1" t="s">
        <v>35</v>
      </c>
      <c r="V1050" s="1" t="s">
        <v>36</v>
      </c>
    </row>
    <row r="1051" spans="1:22" x14ac:dyDescent="0.3">
      <c r="A1051" s="1" t="s">
        <v>5189</v>
      </c>
      <c r="B1051" s="1" t="s">
        <v>5190</v>
      </c>
      <c r="C1051" s="1">
        <v>47</v>
      </c>
      <c r="D1051" s="1" t="s">
        <v>5191</v>
      </c>
      <c r="E1051" s="1" t="s">
        <v>25</v>
      </c>
      <c r="F1051" s="2">
        <v>44234</v>
      </c>
      <c r="G1051" s="1" t="s">
        <v>2679</v>
      </c>
      <c r="H1051" s="1">
        <v>4</v>
      </c>
      <c r="I1051" s="1" t="s">
        <v>52</v>
      </c>
      <c r="J1051" s="2">
        <v>45323</v>
      </c>
      <c r="K1051" s="1" t="s">
        <v>5192</v>
      </c>
      <c r="L1051" s="1">
        <v>1</v>
      </c>
      <c r="M1051" s="1">
        <v>31</v>
      </c>
      <c r="N1051" s="1" t="s">
        <v>30</v>
      </c>
      <c r="O1051" s="1" t="s">
        <v>354</v>
      </c>
      <c r="P1051" s="1" t="s">
        <v>45</v>
      </c>
      <c r="Q1051" s="1" t="s">
        <v>32</v>
      </c>
      <c r="R1051" s="1">
        <v>793.56</v>
      </c>
      <c r="S1051" s="1" t="s">
        <v>46</v>
      </c>
      <c r="T1051" s="1" t="s">
        <v>34</v>
      </c>
      <c r="U1051" s="1" t="s">
        <v>35</v>
      </c>
      <c r="V1051" s="1" t="s">
        <v>36</v>
      </c>
    </row>
    <row r="1052" spans="1:22" x14ac:dyDescent="0.3">
      <c r="A1052" s="1" t="s">
        <v>5193</v>
      </c>
      <c r="B1052" s="1" t="s">
        <v>5194</v>
      </c>
      <c r="C1052" s="1">
        <v>29</v>
      </c>
      <c r="D1052" s="1" t="s">
        <v>5195</v>
      </c>
      <c r="E1052" s="1" t="s">
        <v>25</v>
      </c>
      <c r="F1052" s="1" t="s">
        <v>1391</v>
      </c>
      <c r="G1052" s="2">
        <v>45454</v>
      </c>
      <c r="H1052" s="1">
        <v>1</v>
      </c>
      <c r="I1052" s="1" t="s">
        <v>64</v>
      </c>
      <c r="J1052" s="1" t="s">
        <v>404</v>
      </c>
      <c r="K1052" s="1" t="s">
        <v>5196</v>
      </c>
      <c r="L1052" s="1">
        <v>9</v>
      </c>
      <c r="M1052" s="1">
        <v>11</v>
      </c>
      <c r="N1052" s="1" t="s">
        <v>68</v>
      </c>
      <c r="O1052" s="1" t="s">
        <v>211</v>
      </c>
      <c r="P1052" s="1" t="s">
        <v>68</v>
      </c>
      <c r="Q1052" s="1" t="s">
        <v>32</v>
      </c>
      <c r="R1052" s="1">
        <v>900.36</v>
      </c>
      <c r="S1052" s="1" t="s">
        <v>33</v>
      </c>
      <c r="T1052" s="1" t="s">
        <v>57</v>
      </c>
      <c r="U1052" s="1" t="s">
        <v>35</v>
      </c>
      <c r="V1052" s="1" t="s">
        <v>71</v>
      </c>
    </row>
    <row r="1053" spans="1:22" x14ac:dyDescent="0.3">
      <c r="A1053" s="1" t="s">
        <v>5197</v>
      </c>
      <c r="B1053" s="1" t="s">
        <v>5198</v>
      </c>
      <c r="C1053" s="1">
        <v>38</v>
      </c>
      <c r="D1053" s="1" t="s">
        <v>5199</v>
      </c>
      <c r="E1053" s="1" t="s">
        <v>40</v>
      </c>
      <c r="F1053" s="2">
        <v>44785</v>
      </c>
      <c r="G1053" s="2">
        <v>45840</v>
      </c>
      <c r="H1053" s="1">
        <v>0</v>
      </c>
      <c r="I1053" s="1" t="s">
        <v>27</v>
      </c>
      <c r="J1053" s="1" t="s">
        <v>2332</v>
      </c>
      <c r="K1053" s="1" t="s">
        <v>5200</v>
      </c>
      <c r="L1053" s="1">
        <v>7</v>
      </c>
      <c r="M1053" s="1">
        <v>14</v>
      </c>
      <c r="N1053" s="1" t="s">
        <v>68</v>
      </c>
      <c r="O1053" s="1" t="s">
        <v>610</v>
      </c>
      <c r="P1053" s="1" t="s">
        <v>68</v>
      </c>
      <c r="Q1053" s="1" t="s">
        <v>32</v>
      </c>
      <c r="R1053" s="1">
        <v>1453.48</v>
      </c>
      <c r="S1053" s="1" t="s">
        <v>33</v>
      </c>
      <c r="T1053" s="1" t="s">
        <v>34</v>
      </c>
      <c r="U1053" s="1" t="s">
        <v>35</v>
      </c>
      <c r="V1053" s="1" t="s">
        <v>36</v>
      </c>
    </row>
    <row r="1054" spans="1:22" x14ac:dyDescent="0.3">
      <c r="A1054" s="1" t="s">
        <v>5201</v>
      </c>
      <c r="B1054" s="1" t="s">
        <v>5202</v>
      </c>
      <c r="C1054" s="1">
        <v>56</v>
      </c>
      <c r="D1054" s="1" t="s">
        <v>5203</v>
      </c>
      <c r="E1054" s="1" t="s">
        <v>25</v>
      </c>
      <c r="F1054" s="2">
        <v>44630</v>
      </c>
      <c r="G1054" s="1" t="s">
        <v>1307</v>
      </c>
      <c r="H1054" s="1">
        <v>3</v>
      </c>
      <c r="I1054" s="1" t="s">
        <v>52</v>
      </c>
      <c r="J1054" s="1" t="s">
        <v>615</v>
      </c>
      <c r="K1054" s="1" t="s">
        <v>5204</v>
      </c>
      <c r="L1054" s="1">
        <v>8</v>
      </c>
      <c r="M1054" s="1">
        <v>38</v>
      </c>
      <c r="N1054" s="1" t="s">
        <v>56</v>
      </c>
      <c r="O1054" s="1" t="s">
        <v>245</v>
      </c>
      <c r="P1054" s="1" t="s">
        <v>54</v>
      </c>
      <c r="Q1054" s="1" t="s">
        <v>32</v>
      </c>
      <c r="R1054" s="1">
        <v>775.84</v>
      </c>
      <c r="S1054" s="1" t="s">
        <v>46</v>
      </c>
      <c r="T1054" s="1" t="s">
        <v>47</v>
      </c>
      <c r="U1054" s="1" t="s">
        <v>35</v>
      </c>
      <c r="V1054" s="1" t="s">
        <v>36</v>
      </c>
    </row>
    <row r="1055" spans="1:22" x14ac:dyDescent="0.3">
      <c r="A1055" s="1" t="s">
        <v>5205</v>
      </c>
      <c r="B1055" s="1" t="s">
        <v>5206</v>
      </c>
      <c r="C1055" s="1">
        <v>23</v>
      </c>
      <c r="D1055" s="1" t="s">
        <v>5207</v>
      </c>
      <c r="E1055" s="1" t="s">
        <v>51</v>
      </c>
      <c r="F1055" s="1" t="s">
        <v>2722</v>
      </c>
      <c r="G1055" s="1" t="s">
        <v>486</v>
      </c>
      <c r="H1055" s="1">
        <v>3</v>
      </c>
      <c r="I1055" s="1" t="s">
        <v>64</v>
      </c>
      <c r="J1055" s="1" t="s">
        <v>2966</v>
      </c>
      <c r="K1055" s="1" t="s">
        <v>5208</v>
      </c>
      <c r="L1055" s="1">
        <v>4</v>
      </c>
      <c r="M1055" s="1">
        <v>1</v>
      </c>
      <c r="N1055" s="1" t="s">
        <v>54</v>
      </c>
      <c r="O1055" s="1" t="s">
        <v>67</v>
      </c>
      <c r="P1055" s="1" t="s">
        <v>68</v>
      </c>
      <c r="Q1055" s="1" t="s">
        <v>32</v>
      </c>
      <c r="R1055" s="1">
        <v>596</v>
      </c>
      <c r="S1055" s="1" t="s">
        <v>46</v>
      </c>
      <c r="T1055" s="1" t="s">
        <v>100</v>
      </c>
      <c r="U1055" s="1" t="s">
        <v>70</v>
      </c>
      <c r="V1055" s="1" t="s">
        <v>71</v>
      </c>
    </row>
    <row r="1056" spans="1:22" x14ac:dyDescent="0.3">
      <c r="A1056" s="1" t="s">
        <v>5209</v>
      </c>
      <c r="B1056" s="1" t="s">
        <v>5210</v>
      </c>
      <c r="C1056" s="1">
        <v>50</v>
      </c>
      <c r="D1056" s="1" t="s">
        <v>5211</v>
      </c>
      <c r="E1056" s="1" t="s">
        <v>61</v>
      </c>
      <c r="F1056" s="1" t="s">
        <v>1420</v>
      </c>
      <c r="G1056" s="1" t="s">
        <v>4760</v>
      </c>
      <c r="H1056" s="1">
        <v>1</v>
      </c>
      <c r="I1056" s="1" t="s">
        <v>27</v>
      </c>
      <c r="J1056" s="2">
        <v>45662</v>
      </c>
      <c r="K1056" s="1" t="s">
        <v>5212</v>
      </c>
      <c r="L1056" s="1">
        <v>2</v>
      </c>
      <c r="M1056" s="1">
        <v>21</v>
      </c>
      <c r="N1056" s="1" t="s">
        <v>56</v>
      </c>
      <c r="O1056" s="1" t="s">
        <v>245</v>
      </c>
      <c r="P1056" s="1" t="s">
        <v>54</v>
      </c>
      <c r="Q1056" s="1" t="s">
        <v>32</v>
      </c>
      <c r="R1056" s="1">
        <v>903.14</v>
      </c>
      <c r="S1056" s="1" t="s">
        <v>46</v>
      </c>
      <c r="T1056" s="1" t="s">
        <v>47</v>
      </c>
      <c r="U1056" s="1" t="s">
        <v>35</v>
      </c>
      <c r="V1056" s="1" t="s">
        <v>36</v>
      </c>
    </row>
    <row r="1057" spans="1:22" x14ac:dyDescent="0.3">
      <c r="A1057" s="1" t="s">
        <v>5213</v>
      </c>
      <c r="B1057" s="1" t="s">
        <v>5214</v>
      </c>
      <c r="C1057" s="1">
        <v>38</v>
      </c>
      <c r="D1057" s="1" t="s">
        <v>5215</v>
      </c>
      <c r="E1057" s="1" t="s">
        <v>51</v>
      </c>
      <c r="F1057" s="1" t="s">
        <v>3652</v>
      </c>
      <c r="G1057" s="2">
        <v>45148</v>
      </c>
      <c r="H1057" s="1">
        <v>0</v>
      </c>
      <c r="I1057" s="1" t="s">
        <v>64</v>
      </c>
      <c r="J1057" s="2">
        <v>45749</v>
      </c>
      <c r="K1057" s="1" t="s">
        <v>5216</v>
      </c>
      <c r="L1057" s="1">
        <v>4</v>
      </c>
      <c r="M1057" s="1">
        <v>36</v>
      </c>
      <c r="N1057" s="1" t="s">
        <v>54</v>
      </c>
      <c r="O1057" s="1" t="s">
        <v>199</v>
      </c>
      <c r="P1057" s="1" t="s">
        <v>54</v>
      </c>
      <c r="Q1057" s="1" t="s">
        <v>69</v>
      </c>
      <c r="R1057" s="1">
        <v>1171.8399999999999</v>
      </c>
      <c r="S1057" s="1" t="s">
        <v>33</v>
      </c>
      <c r="T1057" s="1" t="s">
        <v>34</v>
      </c>
      <c r="U1057" s="1" t="s">
        <v>35</v>
      </c>
      <c r="V1057" s="1" t="s">
        <v>71</v>
      </c>
    </row>
    <row r="1058" spans="1:22" x14ac:dyDescent="0.3">
      <c r="A1058" s="1" t="s">
        <v>5217</v>
      </c>
      <c r="B1058" s="1" t="s">
        <v>5218</v>
      </c>
      <c r="C1058" s="1">
        <v>40</v>
      </c>
      <c r="D1058" s="1" t="s">
        <v>5219</v>
      </c>
      <c r="E1058" s="1" t="s">
        <v>61</v>
      </c>
      <c r="F1058" s="1" t="s">
        <v>4817</v>
      </c>
      <c r="G1058" s="1" t="s">
        <v>28</v>
      </c>
      <c r="H1058" s="1">
        <v>2</v>
      </c>
      <c r="I1058" s="1" t="s">
        <v>27</v>
      </c>
      <c r="J1058" s="1" t="s">
        <v>2744</v>
      </c>
      <c r="K1058" s="1" t="s">
        <v>5220</v>
      </c>
      <c r="L1058" s="1">
        <v>1</v>
      </c>
      <c r="M1058" s="1">
        <v>9</v>
      </c>
      <c r="N1058" s="1" t="s">
        <v>30</v>
      </c>
      <c r="O1058" s="1" t="s">
        <v>418</v>
      </c>
      <c r="P1058" s="1" t="s">
        <v>56</v>
      </c>
      <c r="Q1058" s="1" t="s">
        <v>69</v>
      </c>
      <c r="R1058" s="1">
        <v>1825.62</v>
      </c>
      <c r="S1058" s="1" t="s">
        <v>46</v>
      </c>
      <c r="T1058" s="1" t="s">
        <v>34</v>
      </c>
      <c r="U1058" s="1" t="s">
        <v>35</v>
      </c>
      <c r="V1058" s="1" t="s">
        <v>36</v>
      </c>
    </row>
    <row r="1059" spans="1:22" x14ac:dyDescent="0.3">
      <c r="A1059" s="1" t="s">
        <v>5221</v>
      </c>
      <c r="B1059" s="1" t="s">
        <v>5222</v>
      </c>
      <c r="C1059" s="1">
        <v>50</v>
      </c>
      <c r="D1059" s="1" t="s">
        <v>5223</v>
      </c>
      <c r="E1059" s="1" t="s">
        <v>95</v>
      </c>
      <c r="F1059" s="1" t="s">
        <v>3831</v>
      </c>
      <c r="G1059" s="2">
        <v>45839</v>
      </c>
      <c r="H1059" s="1">
        <v>3</v>
      </c>
      <c r="I1059" s="1" t="s">
        <v>27</v>
      </c>
      <c r="J1059" s="1" t="s">
        <v>371</v>
      </c>
      <c r="K1059" s="1" t="s">
        <v>5224</v>
      </c>
      <c r="L1059" s="1">
        <v>6</v>
      </c>
      <c r="M1059" s="1">
        <v>28</v>
      </c>
      <c r="N1059" s="1" t="s">
        <v>45</v>
      </c>
      <c r="O1059" s="1" t="s">
        <v>837</v>
      </c>
      <c r="P1059" s="1" t="s">
        <v>56</v>
      </c>
      <c r="Q1059" s="1" t="s">
        <v>69</v>
      </c>
      <c r="R1059" s="1">
        <v>915.96</v>
      </c>
      <c r="S1059" s="1" t="s">
        <v>46</v>
      </c>
      <c r="T1059" s="1" t="s">
        <v>47</v>
      </c>
      <c r="U1059" s="1" t="s">
        <v>35</v>
      </c>
      <c r="V1059" s="1" t="s">
        <v>36</v>
      </c>
    </row>
    <row r="1060" spans="1:22" x14ac:dyDescent="0.3">
      <c r="A1060" s="1" t="s">
        <v>5225</v>
      </c>
      <c r="B1060" s="1" t="s">
        <v>5226</v>
      </c>
      <c r="C1060" s="1">
        <v>61</v>
      </c>
      <c r="D1060" s="1" t="s">
        <v>5227</v>
      </c>
      <c r="E1060" s="1" t="s">
        <v>95</v>
      </c>
      <c r="F1060" s="1" t="s">
        <v>2029</v>
      </c>
      <c r="G1060" s="1" t="s">
        <v>2933</v>
      </c>
      <c r="H1060" s="1">
        <v>0</v>
      </c>
      <c r="I1060" s="1" t="s">
        <v>52</v>
      </c>
      <c r="J1060" s="2">
        <v>45262</v>
      </c>
      <c r="K1060" s="1" t="s">
        <v>5228</v>
      </c>
      <c r="L1060" s="1">
        <v>2</v>
      </c>
      <c r="M1060" s="1">
        <v>14</v>
      </c>
      <c r="N1060" s="1" t="s">
        <v>56</v>
      </c>
      <c r="O1060" s="1" t="s">
        <v>31</v>
      </c>
      <c r="P1060" s="1" t="s">
        <v>30</v>
      </c>
      <c r="Q1060" s="1" t="s">
        <v>69</v>
      </c>
      <c r="R1060" s="1">
        <v>381.44</v>
      </c>
      <c r="S1060" s="1" t="s">
        <v>46</v>
      </c>
      <c r="T1060" s="1" t="s">
        <v>47</v>
      </c>
      <c r="U1060" s="1" t="s">
        <v>35</v>
      </c>
      <c r="V1060" s="1" t="s">
        <v>36</v>
      </c>
    </row>
    <row r="1061" spans="1:22" x14ac:dyDescent="0.3">
      <c r="A1061" s="1" t="s">
        <v>5229</v>
      </c>
      <c r="B1061" s="1" t="s">
        <v>5230</v>
      </c>
      <c r="C1061" s="1">
        <v>22</v>
      </c>
      <c r="D1061" s="1" t="s">
        <v>5231</v>
      </c>
      <c r="E1061" s="1" t="s">
        <v>95</v>
      </c>
      <c r="F1061" s="1" t="s">
        <v>1153</v>
      </c>
      <c r="G1061" s="2">
        <v>45423</v>
      </c>
      <c r="H1061" s="1">
        <v>5</v>
      </c>
      <c r="I1061" s="1" t="s">
        <v>52</v>
      </c>
      <c r="J1061" s="2">
        <v>44938</v>
      </c>
      <c r="K1061" s="1" t="s">
        <v>5232</v>
      </c>
      <c r="L1061" s="1">
        <v>2</v>
      </c>
      <c r="M1061" s="1">
        <v>21</v>
      </c>
      <c r="N1061" s="1" t="s">
        <v>30</v>
      </c>
      <c r="O1061" s="1" t="s">
        <v>149</v>
      </c>
      <c r="P1061" s="1" t="s">
        <v>30</v>
      </c>
      <c r="Q1061" s="1" t="s">
        <v>32</v>
      </c>
      <c r="R1061" s="1">
        <v>1265.9000000000001</v>
      </c>
      <c r="S1061" s="1" t="s">
        <v>33</v>
      </c>
      <c r="T1061" s="1" t="s">
        <v>100</v>
      </c>
      <c r="U1061" s="1" t="s">
        <v>35</v>
      </c>
      <c r="V1061" s="1" t="s">
        <v>36</v>
      </c>
    </row>
    <row r="1062" spans="1:22" x14ac:dyDescent="0.3">
      <c r="A1062" s="1" t="s">
        <v>5233</v>
      </c>
      <c r="B1062" s="1" t="s">
        <v>5234</v>
      </c>
      <c r="C1062" s="1">
        <v>49</v>
      </c>
      <c r="D1062" s="1" t="s">
        <v>5235</v>
      </c>
      <c r="E1062" s="1" t="s">
        <v>25</v>
      </c>
      <c r="F1062" s="1" t="s">
        <v>1774</v>
      </c>
      <c r="G1062" s="1" t="s">
        <v>4848</v>
      </c>
      <c r="H1062" s="1">
        <v>3</v>
      </c>
      <c r="I1062" s="1" t="s">
        <v>27</v>
      </c>
      <c r="J1062" s="1" t="s">
        <v>364</v>
      </c>
      <c r="K1062" s="1" t="s">
        <v>5236</v>
      </c>
      <c r="L1062" s="1">
        <v>5</v>
      </c>
      <c r="M1062" s="1">
        <v>38</v>
      </c>
      <c r="N1062" s="1" t="s">
        <v>45</v>
      </c>
      <c r="O1062" s="1" t="s">
        <v>122</v>
      </c>
      <c r="P1062" s="1" t="s">
        <v>30</v>
      </c>
      <c r="Q1062" s="1" t="s">
        <v>69</v>
      </c>
      <c r="R1062" s="1">
        <v>908.25</v>
      </c>
      <c r="S1062" s="1" t="s">
        <v>46</v>
      </c>
      <c r="T1062" s="1" t="s">
        <v>34</v>
      </c>
      <c r="U1062" s="1" t="s">
        <v>35</v>
      </c>
      <c r="V1062" s="1" t="s">
        <v>36</v>
      </c>
    </row>
    <row r="1063" spans="1:22" x14ac:dyDescent="0.3">
      <c r="A1063" s="1" t="s">
        <v>5237</v>
      </c>
      <c r="B1063" s="1" t="s">
        <v>5238</v>
      </c>
      <c r="C1063" s="1">
        <v>47</v>
      </c>
      <c r="D1063" s="1" t="s">
        <v>5239</v>
      </c>
      <c r="E1063" s="1" t="s">
        <v>88</v>
      </c>
      <c r="F1063" s="2">
        <v>44784</v>
      </c>
      <c r="G1063" s="2">
        <v>45231</v>
      </c>
      <c r="H1063" s="1">
        <v>3</v>
      </c>
      <c r="I1063" s="1" t="s">
        <v>27</v>
      </c>
      <c r="J1063" s="2">
        <v>45547</v>
      </c>
      <c r="K1063" s="1" t="s">
        <v>5240</v>
      </c>
      <c r="L1063" s="1">
        <v>9</v>
      </c>
      <c r="M1063" s="1">
        <v>34</v>
      </c>
      <c r="N1063" s="1" t="s">
        <v>56</v>
      </c>
      <c r="O1063" s="1" t="s">
        <v>135</v>
      </c>
      <c r="P1063" s="1" t="s">
        <v>45</v>
      </c>
      <c r="Q1063" s="1" t="s">
        <v>32</v>
      </c>
      <c r="R1063" s="1">
        <v>984.42</v>
      </c>
      <c r="S1063" s="1" t="s">
        <v>46</v>
      </c>
      <c r="T1063" s="1" t="s">
        <v>34</v>
      </c>
      <c r="U1063" s="1" t="s">
        <v>35</v>
      </c>
      <c r="V1063" s="1" t="s">
        <v>36</v>
      </c>
    </row>
    <row r="1064" spans="1:22" x14ac:dyDescent="0.3">
      <c r="A1064" s="1" t="s">
        <v>5241</v>
      </c>
      <c r="B1064" s="1" t="s">
        <v>5242</v>
      </c>
      <c r="C1064" s="1">
        <v>67</v>
      </c>
      <c r="D1064" s="1" t="s">
        <v>5243</v>
      </c>
      <c r="E1064" s="1" t="s">
        <v>88</v>
      </c>
      <c r="F1064" s="1" t="s">
        <v>3002</v>
      </c>
      <c r="G1064" s="2">
        <v>45627</v>
      </c>
      <c r="H1064" s="1">
        <v>4</v>
      </c>
      <c r="I1064" s="1" t="s">
        <v>64</v>
      </c>
      <c r="J1064" s="2">
        <v>45513</v>
      </c>
      <c r="K1064" s="1" t="s">
        <v>5244</v>
      </c>
      <c r="L1064" s="1">
        <v>6</v>
      </c>
      <c r="M1064" s="1">
        <v>31</v>
      </c>
      <c r="N1064" s="1" t="s">
        <v>45</v>
      </c>
      <c r="O1064" s="1" t="s">
        <v>597</v>
      </c>
      <c r="P1064" s="1" t="s">
        <v>45</v>
      </c>
      <c r="Q1064" s="1" t="s">
        <v>69</v>
      </c>
      <c r="R1064" s="1">
        <v>957.3</v>
      </c>
      <c r="S1064" s="1" t="s">
        <v>33</v>
      </c>
      <c r="T1064" s="1" t="s">
        <v>232</v>
      </c>
      <c r="U1064" s="1" t="s">
        <v>35</v>
      </c>
      <c r="V1064" s="1" t="s">
        <v>71</v>
      </c>
    </row>
    <row r="1065" spans="1:22" x14ac:dyDescent="0.3">
      <c r="A1065" s="1" t="s">
        <v>5245</v>
      </c>
      <c r="B1065" s="1" t="s">
        <v>5246</v>
      </c>
      <c r="C1065" s="1">
        <v>20</v>
      </c>
      <c r="D1065" s="1" t="s">
        <v>5247</v>
      </c>
      <c r="E1065" s="1" t="s">
        <v>25</v>
      </c>
      <c r="F1065" s="1" t="s">
        <v>2951</v>
      </c>
      <c r="G1065" s="1" t="s">
        <v>4107</v>
      </c>
      <c r="H1065" s="1">
        <v>5</v>
      </c>
      <c r="I1065" s="1" t="s">
        <v>52</v>
      </c>
      <c r="J1065" s="2">
        <v>45570</v>
      </c>
      <c r="K1065" s="1" t="s">
        <v>5248</v>
      </c>
      <c r="L1065" s="1">
        <v>1</v>
      </c>
      <c r="M1065" s="1">
        <v>21</v>
      </c>
      <c r="N1065" s="1" t="s">
        <v>54</v>
      </c>
      <c r="O1065" s="1" t="s">
        <v>157</v>
      </c>
      <c r="P1065" s="1" t="s">
        <v>68</v>
      </c>
      <c r="Q1065" s="1" t="s">
        <v>32</v>
      </c>
      <c r="R1065" s="1">
        <v>688.6</v>
      </c>
      <c r="S1065" s="1" t="s">
        <v>46</v>
      </c>
      <c r="T1065" s="1" t="s">
        <v>100</v>
      </c>
      <c r="U1065" s="1" t="s">
        <v>35</v>
      </c>
      <c r="V1065" s="1" t="s">
        <v>36</v>
      </c>
    </row>
    <row r="1066" spans="1:22" x14ac:dyDescent="0.3">
      <c r="A1066" s="1" t="s">
        <v>5249</v>
      </c>
      <c r="B1066" s="1" t="s">
        <v>5250</v>
      </c>
      <c r="C1066" s="1">
        <v>62</v>
      </c>
      <c r="D1066" s="1" t="s">
        <v>5251</v>
      </c>
      <c r="E1066" s="1" t="s">
        <v>95</v>
      </c>
      <c r="F1066" s="1" t="s">
        <v>2522</v>
      </c>
      <c r="G1066" s="1" t="s">
        <v>404</v>
      </c>
      <c r="H1066" s="1">
        <v>3</v>
      </c>
      <c r="I1066" s="1" t="s">
        <v>52</v>
      </c>
      <c r="J1066" s="2">
        <v>45811</v>
      </c>
      <c r="K1066" s="1" t="s">
        <v>5252</v>
      </c>
      <c r="L1066" s="1">
        <v>7</v>
      </c>
      <c r="M1066" s="1">
        <v>37</v>
      </c>
      <c r="N1066" s="1" t="s">
        <v>30</v>
      </c>
      <c r="O1066" s="1" t="s">
        <v>44</v>
      </c>
      <c r="P1066" s="1" t="s">
        <v>45</v>
      </c>
      <c r="Q1066" s="1" t="s">
        <v>32</v>
      </c>
      <c r="R1066" s="1">
        <v>1628.97</v>
      </c>
      <c r="S1066" s="1" t="s">
        <v>46</v>
      </c>
      <c r="T1066" s="1" t="s">
        <v>47</v>
      </c>
      <c r="U1066" s="1" t="s">
        <v>35</v>
      </c>
      <c r="V1066" s="1" t="s">
        <v>36</v>
      </c>
    </row>
    <row r="1067" spans="1:22" x14ac:dyDescent="0.3">
      <c r="A1067" s="1" t="s">
        <v>5253</v>
      </c>
      <c r="B1067" s="1" t="s">
        <v>5254</v>
      </c>
      <c r="C1067" s="1">
        <v>26</v>
      </c>
      <c r="D1067" s="1" t="s">
        <v>5255</v>
      </c>
      <c r="E1067" s="1" t="s">
        <v>95</v>
      </c>
      <c r="F1067" s="2">
        <v>43842</v>
      </c>
      <c r="G1067" s="1" t="s">
        <v>5256</v>
      </c>
      <c r="H1067" s="1">
        <v>5</v>
      </c>
      <c r="I1067" s="1" t="s">
        <v>27</v>
      </c>
      <c r="J1067" s="1" t="s">
        <v>267</v>
      </c>
      <c r="K1067" s="1" t="s">
        <v>2815</v>
      </c>
      <c r="L1067" s="1">
        <v>3</v>
      </c>
      <c r="M1067" s="1">
        <v>31</v>
      </c>
      <c r="N1067" s="1" t="s">
        <v>54</v>
      </c>
      <c r="O1067" s="1" t="s">
        <v>199</v>
      </c>
      <c r="P1067" s="1" t="s">
        <v>54</v>
      </c>
      <c r="Q1067" s="1" t="s">
        <v>69</v>
      </c>
      <c r="R1067" s="1">
        <v>800.91</v>
      </c>
      <c r="S1067" s="1" t="s">
        <v>33</v>
      </c>
      <c r="T1067" s="1" t="s">
        <v>57</v>
      </c>
      <c r="U1067" s="1" t="s">
        <v>35</v>
      </c>
      <c r="V1067" s="1" t="s">
        <v>188</v>
      </c>
    </row>
    <row r="1068" spans="1:22" x14ac:dyDescent="0.3">
      <c r="A1068" s="1" t="s">
        <v>5257</v>
      </c>
      <c r="B1068" s="1" t="s">
        <v>5258</v>
      </c>
      <c r="C1068" s="1">
        <v>40</v>
      </c>
      <c r="D1068" s="1" t="s">
        <v>5259</v>
      </c>
      <c r="E1068" s="1" t="s">
        <v>95</v>
      </c>
      <c r="F1068" s="2">
        <v>44567</v>
      </c>
      <c r="G1068" s="2">
        <v>44571</v>
      </c>
      <c r="H1068" s="1">
        <v>0</v>
      </c>
      <c r="I1068" s="1" t="s">
        <v>27</v>
      </c>
      <c r="J1068" s="2">
        <v>45842</v>
      </c>
      <c r="K1068" s="1" t="s">
        <v>5260</v>
      </c>
      <c r="L1068" s="1">
        <v>9</v>
      </c>
      <c r="M1068" s="1">
        <v>20</v>
      </c>
      <c r="N1068" s="1" t="s">
        <v>45</v>
      </c>
      <c r="O1068" s="1" t="s">
        <v>223</v>
      </c>
      <c r="P1068" s="1" t="s">
        <v>56</v>
      </c>
      <c r="Q1068" s="1" t="s">
        <v>69</v>
      </c>
      <c r="R1068" s="1">
        <v>195.84</v>
      </c>
      <c r="S1068" s="1" t="s">
        <v>46</v>
      </c>
      <c r="T1068" s="1" t="s">
        <v>34</v>
      </c>
      <c r="U1068" s="1" t="s">
        <v>35</v>
      </c>
      <c r="V1068" s="1" t="s">
        <v>36</v>
      </c>
    </row>
    <row r="1069" spans="1:22" x14ac:dyDescent="0.3">
      <c r="A1069" s="1" t="s">
        <v>5261</v>
      </c>
      <c r="B1069" s="1" t="s">
        <v>5262</v>
      </c>
      <c r="C1069" s="1">
        <v>63</v>
      </c>
      <c r="D1069" s="1" t="s">
        <v>5263</v>
      </c>
      <c r="E1069" s="1" t="s">
        <v>51</v>
      </c>
      <c r="F1069" s="1" t="s">
        <v>266</v>
      </c>
      <c r="G1069" s="2">
        <v>45845</v>
      </c>
      <c r="H1069" s="1">
        <v>5</v>
      </c>
      <c r="I1069" s="1" t="s">
        <v>52</v>
      </c>
      <c r="J1069" s="2">
        <v>44905</v>
      </c>
      <c r="K1069" s="1" t="s">
        <v>5264</v>
      </c>
      <c r="L1069" s="1">
        <v>2</v>
      </c>
      <c r="M1069" s="1">
        <v>3</v>
      </c>
      <c r="N1069" s="1" t="s">
        <v>45</v>
      </c>
      <c r="O1069" s="1" t="s">
        <v>55</v>
      </c>
      <c r="P1069" s="1" t="s">
        <v>56</v>
      </c>
      <c r="Q1069" s="1" t="s">
        <v>32</v>
      </c>
      <c r="R1069" s="1">
        <v>1690.2</v>
      </c>
      <c r="S1069" s="1" t="s">
        <v>46</v>
      </c>
      <c r="T1069" s="1" t="s">
        <v>47</v>
      </c>
      <c r="U1069" s="1" t="s">
        <v>35</v>
      </c>
      <c r="V1069" s="1" t="s">
        <v>36</v>
      </c>
    </row>
    <row r="1070" spans="1:22" x14ac:dyDescent="0.3">
      <c r="A1070" s="1" t="s">
        <v>5265</v>
      </c>
      <c r="B1070" s="1" t="s">
        <v>5266</v>
      </c>
      <c r="C1070" s="1">
        <v>30</v>
      </c>
      <c r="D1070" s="1" t="s">
        <v>5267</v>
      </c>
      <c r="E1070" s="1" t="s">
        <v>95</v>
      </c>
      <c r="F1070" s="2">
        <v>44264</v>
      </c>
      <c r="G1070" s="1" t="s">
        <v>2956</v>
      </c>
      <c r="H1070" s="1">
        <v>2</v>
      </c>
      <c r="I1070" s="1" t="s">
        <v>27</v>
      </c>
      <c r="J1070" s="1" t="s">
        <v>2082</v>
      </c>
      <c r="K1070" s="1" t="s">
        <v>5268</v>
      </c>
      <c r="L1070" s="1">
        <v>7</v>
      </c>
      <c r="M1070" s="1">
        <v>33</v>
      </c>
      <c r="N1070" s="1" t="s">
        <v>56</v>
      </c>
      <c r="O1070" s="1" t="s">
        <v>821</v>
      </c>
      <c r="P1070" s="1" t="s">
        <v>68</v>
      </c>
      <c r="Q1070" s="1" t="s">
        <v>32</v>
      </c>
      <c r="R1070" s="1">
        <v>1136.8</v>
      </c>
      <c r="S1070" s="1" t="s">
        <v>46</v>
      </c>
      <c r="T1070" s="1" t="s">
        <v>57</v>
      </c>
      <c r="U1070" s="1" t="s">
        <v>35</v>
      </c>
      <c r="V1070" s="1" t="s">
        <v>36</v>
      </c>
    </row>
    <row r="1071" spans="1:22" x14ac:dyDescent="0.3">
      <c r="A1071" s="1" t="s">
        <v>5269</v>
      </c>
      <c r="B1071" s="1" t="s">
        <v>5270</v>
      </c>
      <c r="C1071" s="1">
        <v>68</v>
      </c>
      <c r="D1071" s="1" t="s">
        <v>5271</v>
      </c>
      <c r="E1071" s="1" t="s">
        <v>95</v>
      </c>
      <c r="F1071" s="1" t="s">
        <v>5272</v>
      </c>
      <c r="G1071" s="1" t="s">
        <v>371</v>
      </c>
      <c r="H1071" s="1">
        <v>3</v>
      </c>
      <c r="I1071" s="1" t="s">
        <v>52</v>
      </c>
      <c r="J1071" s="1" t="s">
        <v>595</v>
      </c>
      <c r="K1071" s="1" t="s">
        <v>5273</v>
      </c>
      <c r="L1071" s="1">
        <v>9</v>
      </c>
      <c r="M1071" s="1">
        <v>45</v>
      </c>
      <c r="N1071" s="1" t="s">
        <v>45</v>
      </c>
      <c r="O1071" s="1" t="s">
        <v>366</v>
      </c>
      <c r="P1071" s="1" t="s">
        <v>54</v>
      </c>
      <c r="Q1071" s="1" t="s">
        <v>69</v>
      </c>
      <c r="R1071" s="1">
        <v>1519.38</v>
      </c>
      <c r="S1071" s="1" t="s">
        <v>46</v>
      </c>
      <c r="T1071" s="1" t="s">
        <v>232</v>
      </c>
      <c r="U1071" s="1" t="s">
        <v>35</v>
      </c>
      <c r="V1071" s="1" t="s">
        <v>36</v>
      </c>
    </row>
    <row r="1072" spans="1:22" x14ac:dyDescent="0.3">
      <c r="A1072" s="1" t="s">
        <v>5274</v>
      </c>
      <c r="B1072" s="1" t="s">
        <v>5275</v>
      </c>
      <c r="C1072" s="1">
        <v>63</v>
      </c>
      <c r="D1072" s="1" t="s">
        <v>5276</v>
      </c>
      <c r="E1072" s="1" t="s">
        <v>51</v>
      </c>
      <c r="F1072" s="2">
        <v>44198</v>
      </c>
      <c r="G1072" s="1" t="s">
        <v>1232</v>
      </c>
      <c r="H1072" s="1">
        <v>3</v>
      </c>
      <c r="I1072" s="1" t="s">
        <v>52</v>
      </c>
      <c r="J1072" s="1" t="s">
        <v>1253</v>
      </c>
      <c r="K1072" s="1" t="s">
        <v>5277</v>
      </c>
      <c r="L1072" s="1">
        <v>7</v>
      </c>
      <c r="M1072" s="1">
        <v>24</v>
      </c>
      <c r="N1072" s="1" t="s">
        <v>30</v>
      </c>
      <c r="O1072" s="1" t="s">
        <v>536</v>
      </c>
      <c r="P1072" s="1" t="s">
        <v>68</v>
      </c>
      <c r="Q1072" s="1" t="s">
        <v>69</v>
      </c>
      <c r="R1072" s="1">
        <v>361.27</v>
      </c>
      <c r="S1072" s="1" t="s">
        <v>46</v>
      </c>
      <c r="T1072" s="1" t="s">
        <v>47</v>
      </c>
      <c r="U1072" s="1" t="s">
        <v>35</v>
      </c>
      <c r="V1072" s="1" t="s">
        <v>36</v>
      </c>
    </row>
    <row r="1073" spans="1:22" x14ac:dyDescent="0.3">
      <c r="A1073" s="1" t="s">
        <v>5278</v>
      </c>
      <c r="B1073" s="1" t="s">
        <v>5279</v>
      </c>
      <c r="C1073" s="1">
        <v>36</v>
      </c>
      <c r="D1073" s="1" t="s">
        <v>5280</v>
      </c>
      <c r="E1073" s="1" t="s">
        <v>88</v>
      </c>
      <c r="F1073" s="2">
        <v>44478</v>
      </c>
      <c r="G1073" s="2">
        <v>45542</v>
      </c>
      <c r="H1073" s="1">
        <v>4</v>
      </c>
      <c r="I1073" s="1" t="s">
        <v>27</v>
      </c>
      <c r="J1073" s="1" t="s">
        <v>5281</v>
      </c>
      <c r="K1073" s="1" t="s">
        <v>5282</v>
      </c>
      <c r="L1073" s="1">
        <v>6</v>
      </c>
      <c r="M1073" s="1">
        <v>5</v>
      </c>
      <c r="N1073" s="1" t="s">
        <v>56</v>
      </c>
      <c r="O1073" s="1" t="s">
        <v>99</v>
      </c>
      <c r="P1073" s="1" t="s">
        <v>56</v>
      </c>
      <c r="Q1073" s="1" t="s">
        <v>69</v>
      </c>
      <c r="R1073" s="1">
        <v>1546.14</v>
      </c>
      <c r="S1073" s="1" t="s">
        <v>33</v>
      </c>
      <c r="T1073" s="1" t="s">
        <v>34</v>
      </c>
      <c r="U1073" s="1" t="s">
        <v>35</v>
      </c>
      <c r="V1073" s="1" t="s">
        <v>188</v>
      </c>
    </row>
    <row r="1074" spans="1:22" x14ac:dyDescent="0.3">
      <c r="A1074" s="1" t="s">
        <v>5283</v>
      </c>
      <c r="B1074" s="1" t="s">
        <v>5284</v>
      </c>
      <c r="C1074" s="1">
        <v>53</v>
      </c>
      <c r="D1074" s="1" t="s">
        <v>5285</v>
      </c>
      <c r="E1074" s="1" t="s">
        <v>95</v>
      </c>
      <c r="F1074" s="2">
        <v>44053</v>
      </c>
      <c r="G1074" s="2">
        <v>44352</v>
      </c>
      <c r="H1074" s="1">
        <v>1</v>
      </c>
      <c r="I1074" s="1" t="s">
        <v>52</v>
      </c>
      <c r="J1074" s="2">
        <v>44721</v>
      </c>
      <c r="K1074" s="1" t="s">
        <v>5286</v>
      </c>
      <c r="L1074" s="1">
        <v>3</v>
      </c>
      <c r="M1074" s="1">
        <v>37</v>
      </c>
      <c r="N1074" s="1" t="s">
        <v>45</v>
      </c>
      <c r="O1074" s="1" t="s">
        <v>837</v>
      </c>
      <c r="P1074" s="1" t="s">
        <v>56</v>
      </c>
      <c r="Q1074" s="1" t="s">
        <v>32</v>
      </c>
      <c r="R1074" s="1">
        <v>270.02999999999997</v>
      </c>
      <c r="S1074" s="1" t="s">
        <v>46</v>
      </c>
      <c r="T1074" s="1" t="s">
        <v>47</v>
      </c>
      <c r="U1074" s="1" t="s">
        <v>35</v>
      </c>
      <c r="V1074" s="1" t="s">
        <v>36</v>
      </c>
    </row>
    <row r="1075" spans="1:22" x14ac:dyDescent="0.3">
      <c r="A1075" s="1" t="s">
        <v>5287</v>
      </c>
      <c r="B1075" s="1" t="s">
        <v>5288</v>
      </c>
      <c r="C1075" s="1">
        <v>51</v>
      </c>
      <c r="D1075" s="1" t="s">
        <v>5289</v>
      </c>
      <c r="E1075" s="1" t="s">
        <v>40</v>
      </c>
      <c r="F1075" s="2">
        <v>44381</v>
      </c>
      <c r="G1075" s="1" t="s">
        <v>601</v>
      </c>
      <c r="H1075" s="1">
        <v>4</v>
      </c>
      <c r="I1075" s="1" t="s">
        <v>64</v>
      </c>
      <c r="J1075" s="2">
        <v>44206</v>
      </c>
      <c r="K1075" s="1" t="s">
        <v>5290</v>
      </c>
      <c r="L1075" s="1">
        <v>8</v>
      </c>
      <c r="M1075" s="1">
        <v>42</v>
      </c>
      <c r="N1075" s="1" t="s">
        <v>68</v>
      </c>
      <c r="O1075" s="1" t="s">
        <v>354</v>
      </c>
      <c r="P1075" s="1" t="s">
        <v>45</v>
      </c>
      <c r="Q1075" s="1" t="s">
        <v>69</v>
      </c>
      <c r="R1075" s="1">
        <v>67.599999999999994</v>
      </c>
      <c r="S1075" s="1" t="s">
        <v>46</v>
      </c>
      <c r="T1075" s="1" t="s">
        <v>47</v>
      </c>
      <c r="U1075" s="1" t="s">
        <v>35</v>
      </c>
      <c r="V1075" s="1" t="s">
        <v>71</v>
      </c>
    </row>
    <row r="1076" spans="1:22" x14ac:dyDescent="0.3">
      <c r="A1076" s="1" t="s">
        <v>5291</v>
      </c>
      <c r="B1076" s="1" t="s">
        <v>5292</v>
      </c>
      <c r="C1076" s="1">
        <v>59</v>
      </c>
      <c r="D1076" s="1" t="s">
        <v>5293</v>
      </c>
      <c r="E1076" s="1" t="s">
        <v>40</v>
      </c>
      <c r="F1076" s="2">
        <v>44239</v>
      </c>
      <c r="G1076" s="1" t="s">
        <v>3210</v>
      </c>
      <c r="H1076" s="1">
        <v>2</v>
      </c>
      <c r="I1076" s="1" t="s">
        <v>27</v>
      </c>
      <c r="J1076" s="2">
        <v>44625</v>
      </c>
      <c r="K1076" s="1" t="s">
        <v>5294</v>
      </c>
      <c r="L1076" s="1">
        <v>8</v>
      </c>
      <c r="M1076" s="1">
        <v>36</v>
      </c>
      <c r="N1076" s="1" t="s">
        <v>56</v>
      </c>
      <c r="O1076" s="1" t="s">
        <v>837</v>
      </c>
      <c r="P1076" s="1" t="s">
        <v>56</v>
      </c>
      <c r="Q1076" s="1" t="s">
        <v>32</v>
      </c>
      <c r="R1076" s="1">
        <v>1082.08</v>
      </c>
      <c r="S1076" s="1" t="s">
        <v>33</v>
      </c>
      <c r="T1076" s="1" t="s">
        <v>47</v>
      </c>
      <c r="U1076" s="1" t="s">
        <v>35</v>
      </c>
      <c r="V1076" s="1" t="s">
        <v>36</v>
      </c>
    </row>
    <row r="1077" spans="1:22" x14ac:dyDescent="0.3">
      <c r="A1077" s="1" t="s">
        <v>5295</v>
      </c>
      <c r="B1077" s="1" t="s">
        <v>5296</v>
      </c>
      <c r="C1077" s="1">
        <v>45</v>
      </c>
      <c r="D1077" s="1" t="s">
        <v>5297</v>
      </c>
      <c r="E1077" s="1" t="s">
        <v>61</v>
      </c>
      <c r="F1077" s="2">
        <v>45175</v>
      </c>
      <c r="G1077" s="2">
        <v>45268</v>
      </c>
      <c r="H1077" s="1">
        <v>4</v>
      </c>
      <c r="I1077" s="1" t="s">
        <v>27</v>
      </c>
      <c r="J1077" s="1" t="s">
        <v>4107</v>
      </c>
      <c r="K1077" s="1" t="s">
        <v>5298</v>
      </c>
      <c r="L1077" s="1">
        <v>3</v>
      </c>
      <c r="M1077" s="1">
        <v>38</v>
      </c>
      <c r="N1077" s="1" t="s">
        <v>56</v>
      </c>
      <c r="O1077" s="1" t="s">
        <v>122</v>
      </c>
      <c r="P1077" s="1" t="s">
        <v>30</v>
      </c>
      <c r="Q1077" s="1" t="s">
        <v>69</v>
      </c>
      <c r="R1077" s="1">
        <v>1307.76</v>
      </c>
      <c r="S1077" s="1" t="s">
        <v>46</v>
      </c>
      <c r="T1077" s="1" t="s">
        <v>34</v>
      </c>
      <c r="U1077" s="1" t="s">
        <v>35</v>
      </c>
      <c r="V1077" s="1" t="s">
        <v>188</v>
      </c>
    </row>
    <row r="1078" spans="1:22" x14ac:dyDescent="0.3">
      <c r="A1078" s="1" t="s">
        <v>5299</v>
      </c>
      <c r="B1078" s="1" t="s">
        <v>5300</v>
      </c>
      <c r="C1078" s="1">
        <v>64</v>
      </c>
      <c r="D1078" s="1" t="s">
        <v>5301</v>
      </c>
      <c r="E1078" s="1" t="s">
        <v>61</v>
      </c>
      <c r="F1078" s="1" t="s">
        <v>1459</v>
      </c>
      <c r="G1078" s="1" t="s">
        <v>1503</v>
      </c>
      <c r="H1078" s="1">
        <v>3</v>
      </c>
      <c r="I1078" s="1" t="s">
        <v>27</v>
      </c>
      <c r="J1078" s="2">
        <v>45597</v>
      </c>
      <c r="K1078" s="1" t="s">
        <v>5302</v>
      </c>
      <c r="L1078" s="1">
        <v>7</v>
      </c>
      <c r="M1078" s="1">
        <v>14</v>
      </c>
      <c r="N1078" s="1" t="s">
        <v>68</v>
      </c>
      <c r="O1078" s="1" t="s">
        <v>122</v>
      </c>
      <c r="P1078" s="1" t="s">
        <v>30</v>
      </c>
      <c r="Q1078" s="1" t="s">
        <v>69</v>
      </c>
      <c r="R1078" s="1">
        <v>1306.6199999999999</v>
      </c>
      <c r="S1078" s="1" t="s">
        <v>46</v>
      </c>
      <c r="T1078" s="1" t="s">
        <v>47</v>
      </c>
      <c r="U1078" s="1" t="s">
        <v>35</v>
      </c>
      <c r="V1078" s="1" t="s">
        <v>36</v>
      </c>
    </row>
    <row r="1079" spans="1:22" x14ac:dyDescent="0.3">
      <c r="A1079" s="1" t="s">
        <v>5303</v>
      </c>
      <c r="B1079" s="1" t="s">
        <v>5304</v>
      </c>
      <c r="C1079" s="1">
        <v>22</v>
      </c>
      <c r="D1079" s="1" t="s">
        <v>5305</v>
      </c>
      <c r="E1079" s="1" t="s">
        <v>88</v>
      </c>
      <c r="F1079" s="1" t="s">
        <v>994</v>
      </c>
      <c r="G1079" s="1" t="s">
        <v>1106</v>
      </c>
      <c r="H1079" s="1">
        <v>5</v>
      </c>
      <c r="I1079" s="1" t="s">
        <v>52</v>
      </c>
      <c r="J1079" s="1" t="s">
        <v>911</v>
      </c>
      <c r="K1079" s="1" t="s">
        <v>5306</v>
      </c>
      <c r="L1079" s="1">
        <v>8</v>
      </c>
      <c r="M1079" s="1">
        <v>19</v>
      </c>
      <c r="N1079" s="1" t="s">
        <v>45</v>
      </c>
      <c r="O1079" s="1" t="s">
        <v>149</v>
      </c>
      <c r="P1079" s="1" t="s">
        <v>30</v>
      </c>
      <c r="Q1079" s="1" t="s">
        <v>69</v>
      </c>
      <c r="R1079" s="1">
        <v>486.4</v>
      </c>
      <c r="S1079" s="1" t="s">
        <v>46</v>
      </c>
      <c r="T1079" s="1" t="s">
        <v>100</v>
      </c>
      <c r="U1079" s="1" t="s">
        <v>35</v>
      </c>
      <c r="V1079" s="1" t="s">
        <v>36</v>
      </c>
    </row>
    <row r="1080" spans="1:22" x14ac:dyDescent="0.3">
      <c r="A1080" s="1" t="s">
        <v>5307</v>
      </c>
      <c r="B1080" s="1" t="s">
        <v>5308</v>
      </c>
      <c r="C1080" s="1">
        <v>41</v>
      </c>
      <c r="D1080" s="1" t="s">
        <v>5309</v>
      </c>
      <c r="E1080" s="1" t="s">
        <v>51</v>
      </c>
      <c r="F1080" s="1" t="s">
        <v>3958</v>
      </c>
      <c r="G1080" s="1" t="s">
        <v>2347</v>
      </c>
      <c r="H1080" s="1">
        <v>1</v>
      </c>
      <c r="I1080" s="1" t="s">
        <v>27</v>
      </c>
      <c r="J1080" s="1" t="s">
        <v>1415</v>
      </c>
      <c r="K1080" s="1" t="s">
        <v>5310</v>
      </c>
      <c r="L1080" s="1">
        <v>9</v>
      </c>
      <c r="M1080" s="1">
        <v>37</v>
      </c>
      <c r="N1080" s="1" t="s">
        <v>56</v>
      </c>
      <c r="O1080" s="1" t="s">
        <v>837</v>
      </c>
      <c r="P1080" s="1" t="s">
        <v>56</v>
      </c>
      <c r="Q1080" s="1" t="s">
        <v>32</v>
      </c>
      <c r="R1080" s="1">
        <v>470.61</v>
      </c>
      <c r="S1080" s="1" t="s">
        <v>33</v>
      </c>
      <c r="T1080" s="1" t="s">
        <v>34</v>
      </c>
      <c r="U1080" s="1" t="s">
        <v>35</v>
      </c>
      <c r="V1080" s="1" t="s">
        <v>36</v>
      </c>
    </row>
    <row r="1081" spans="1:22" x14ac:dyDescent="0.3">
      <c r="A1081" s="1" t="s">
        <v>5311</v>
      </c>
      <c r="B1081" s="1" t="s">
        <v>5312</v>
      </c>
      <c r="C1081" s="1">
        <v>19</v>
      </c>
      <c r="D1081" s="1" t="s">
        <v>5313</v>
      </c>
      <c r="E1081" s="1" t="s">
        <v>51</v>
      </c>
      <c r="F1081" s="1" t="s">
        <v>2532</v>
      </c>
      <c r="G1081" s="2">
        <v>45628</v>
      </c>
      <c r="H1081" s="1">
        <v>1</v>
      </c>
      <c r="I1081" s="1" t="s">
        <v>27</v>
      </c>
      <c r="J1081" s="2">
        <v>45266</v>
      </c>
      <c r="K1081" s="1" t="s">
        <v>5314</v>
      </c>
      <c r="L1081" s="1">
        <v>5</v>
      </c>
      <c r="M1081" s="1">
        <v>17</v>
      </c>
      <c r="N1081" s="1" t="s">
        <v>68</v>
      </c>
      <c r="O1081" s="1" t="s">
        <v>31</v>
      </c>
      <c r="P1081" s="1" t="s">
        <v>30</v>
      </c>
      <c r="Q1081" s="1" t="s">
        <v>69</v>
      </c>
      <c r="R1081" s="1">
        <v>1627.1</v>
      </c>
      <c r="S1081" s="1" t="s">
        <v>46</v>
      </c>
      <c r="T1081" s="1" t="s">
        <v>100</v>
      </c>
      <c r="U1081" s="1" t="s">
        <v>35</v>
      </c>
      <c r="V1081" s="1" t="s">
        <v>36</v>
      </c>
    </row>
    <row r="1082" spans="1:22" x14ac:dyDescent="0.3">
      <c r="A1082" s="1" t="s">
        <v>5315</v>
      </c>
      <c r="B1082" s="1" t="s">
        <v>5316</v>
      </c>
      <c r="C1082" s="1">
        <v>50</v>
      </c>
      <c r="D1082" s="1" t="s">
        <v>5317</v>
      </c>
      <c r="E1082" s="1" t="s">
        <v>25</v>
      </c>
      <c r="F1082" s="1" t="s">
        <v>3460</v>
      </c>
      <c r="G1082" s="2">
        <v>44683</v>
      </c>
      <c r="H1082" s="1">
        <v>2</v>
      </c>
      <c r="I1082" s="1" t="s">
        <v>52</v>
      </c>
      <c r="J1082" s="1" t="s">
        <v>5318</v>
      </c>
      <c r="K1082" s="1" t="s">
        <v>5319</v>
      </c>
      <c r="L1082" s="1">
        <v>9</v>
      </c>
      <c r="M1082" s="1">
        <v>20</v>
      </c>
      <c r="N1082" s="1" t="s">
        <v>68</v>
      </c>
      <c r="O1082" s="1" t="s">
        <v>109</v>
      </c>
      <c r="P1082" s="1" t="s">
        <v>68</v>
      </c>
      <c r="Q1082" s="1" t="s">
        <v>32</v>
      </c>
      <c r="R1082" s="1">
        <v>1836.72</v>
      </c>
      <c r="S1082" s="1" t="s">
        <v>33</v>
      </c>
      <c r="T1082" s="1" t="s">
        <v>47</v>
      </c>
      <c r="U1082" s="1" t="s">
        <v>35</v>
      </c>
      <c r="V1082" s="1" t="s">
        <v>36</v>
      </c>
    </row>
    <row r="1083" spans="1:22" x14ac:dyDescent="0.3">
      <c r="A1083" s="1" t="s">
        <v>5320</v>
      </c>
      <c r="B1083" s="1" t="s">
        <v>5321</v>
      </c>
      <c r="C1083" s="1">
        <v>55</v>
      </c>
      <c r="D1083" s="1" t="s">
        <v>5322</v>
      </c>
      <c r="E1083" s="1" t="s">
        <v>25</v>
      </c>
      <c r="F1083" s="1" t="s">
        <v>4191</v>
      </c>
      <c r="G1083" s="1" t="s">
        <v>1238</v>
      </c>
      <c r="H1083" s="1">
        <v>4</v>
      </c>
      <c r="I1083" s="1" t="s">
        <v>27</v>
      </c>
      <c r="J1083" s="1" t="s">
        <v>416</v>
      </c>
      <c r="K1083" s="1" t="s">
        <v>5323</v>
      </c>
      <c r="L1083" s="1">
        <v>6</v>
      </c>
      <c r="M1083" s="1">
        <v>5</v>
      </c>
      <c r="N1083" s="1" t="s">
        <v>68</v>
      </c>
      <c r="O1083" s="1" t="s">
        <v>135</v>
      </c>
      <c r="P1083" s="1" t="s">
        <v>45</v>
      </c>
      <c r="Q1083" s="1" t="s">
        <v>69</v>
      </c>
      <c r="R1083" s="1">
        <v>1420.68</v>
      </c>
      <c r="S1083" s="1" t="s">
        <v>46</v>
      </c>
      <c r="T1083" s="1" t="s">
        <v>47</v>
      </c>
      <c r="U1083" s="1" t="s">
        <v>35</v>
      </c>
      <c r="V1083" s="1" t="s">
        <v>188</v>
      </c>
    </row>
    <row r="1084" spans="1:22" x14ac:dyDescent="0.3">
      <c r="A1084" s="1" t="s">
        <v>5324</v>
      </c>
      <c r="B1084" s="1" t="s">
        <v>5325</v>
      </c>
      <c r="C1084" s="1">
        <v>42</v>
      </c>
      <c r="D1084" s="1" t="s">
        <v>5326</v>
      </c>
      <c r="E1084" s="1" t="s">
        <v>25</v>
      </c>
      <c r="F1084" s="2">
        <v>44598</v>
      </c>
      <c r="G1084" s="1" t="s">
        <v>5327</v>
      </c>
      <c r="H1084" s="1">
        <v>5</v>
      </c>
      <c r="I1084" s="1" t="s">
        <v>64</v>
      </c>
      <c r="J1084" s="2">
        <v>44692</v>
      </c>
      <c r="K1084" s="1" t="s">
        <v>5328</v>
      </c>
      <c r="L1084" s="1">
        <v>1</v>
      </c>
      <c r="M1084" s="1">
        <v>6</v>
      </c>
      <c r="N1084" s="1" t="s">
        <v>54</v>
      </c>
      <c r="O1084" s="1" t="s">
        <v>597</v>
      </c>
      <c r="P1084" s="1" t="s">
        <v>45</v>
      </c>
      <c r="Q1084" s="1" t="s">
        <v>32</v>
      </c>
      <c r="R1084" s="1">
        <v>920.25</v>
      </c>
      <c r="S1084" s="1" t="s">
        <v>46</v>
      </c>
      <c r="T1084" s="1" t="s">
        <v>34</v>
      </c>
      <c r="U1084" s="1" t="s">
        <v>35</v>
      </c>
      <c r="V1084" s="1" t="s">
        <v>71</v>
      </c>
    </row>
    <row r="1085" spans="1:22" x14ac:dyDescent="0.3">
      <c r="A1085" s="1" t="s">
        <v>5329</v>
      </c>
      <c r="B1085" s="1" t="s">
        <v>5330</v>
      </c>
      <c r="C1085" s="1">
        <v>54</v>
      </c>
      <c r="D1085" s="1" t="s">
        <v>5331</v>
      </c>
      <c r="E1085" s="1" t="s">
        <v>61</v>
      </c>
      <c r="F1085" s="1" t="s">
        <v>26</v>
      </c>
      <c r="G1085" s="1" t="s">
        <v>5332</v>
      </c>
      <c r="H1085" s="1">
        <v>1</v>
      </c>
      <c r="I1085" s="1" t="s">
        <v>64</v>
      </c>
      <c r="J1085" s="1" t="s">
        <v>318</v>
      </c>
      <c r="K1085" s="1" t="s">
        <v>5333</v>
      </c>
      <c r="L1085" s="1">
        <v>5</v>
      </c>
      <c r="M1085" s="1">
        <v>9</v>
      </c>
      <c r="N1085" s="1" t="s">
        <v>54</v>
      </c>
      <c r="O1085" s="1" t="s">
        <v>354</v>
      </c>
      <c r="P1085" s="1" t="s">
        <v>45</v>
      </c>
      <c r="Q1085" s="1" t="s">
        <v>69</v>
      </c>
      <c r="R1085" s="1">
        <v>1243.8</v>
      </c>
      <c r="S1085" s="1" t="s">
        <v>46</v>
      </c>
      <c r="T1085" s="1" t="s">
        <v>47</v>
      </c>
      <c r="U1085" s="1" t="s">
        <v>35</v>
      </c>
      <c r="V1085" s="1" t="s">
        <v>71</v>
      </c>
    </row>
    <row r="1086" spans="1:22" x14ac:dyDescent="0.3">
      <c r="A1086" s="1" t="s">
        <v>5334</v>
      </c>
      <c r="B1086" s="1" t="s">
        <v>5335</v>
      </c>
      <c r="C1086" s="1">
        <v>28</v>
      </c>
      <c r="D1086" s="1" t="s">
        <v>5336</v>
      </c>
      <c r="E1086" s="1" t="s">
        <v>40</v>
      </c>
      <c r="F1086" s="1" t="s">
        <v>5337</v>
      </c>
      <c r="G1086" s="1" t="s">
        <v>1053</v>
      </c>
      <c r="H1086" s="1">
        <v>0</v>
      </c>
      <c r="I1086" s="1" t="s">
        <v>27</v>
      </c>
      <c r="J1086" s="2">
        <v>44962</v>
      </c>
      <c r="K1086" s="1" t="s">
        <v>5338</v>
      </c>
      <c r="L1086" s="1">
        <v>6</v>
      </c>
      <c r="M1086" s="1">
        <v>11</v>
      </c>
      <c r="N1086" s="1" t="s">
        <v>56</v>
      </c>
      <c r="O1086" s="1" t="s">
        <v>169</v>
      </c>
      <c r="P1086" s="1" t="s">
        <v>30</v>
      </c>
      <c r="Q1086" s="1" t="s">
        <v>69</v>
      </c>
      <c r="R1086" s="1">
        <v>264.72000000000003</v>
      </c>
      <c r="S1086" s="1" t="s">
        <v>46</v>
      </c>
      <c r="T1086" s="1" t="s">
        <v>57</v>
      </c>
      <c r="U1086" s="1" t="s">
        <v>35</v>
      </c>
      <c r="V1086" s="1" t="s">
        <v>36</v>
      </c>
    </row>
    <row r="1087" spans="1:22" x14ac:dyDescent="0.3">
      <c r="A1087" s="1" t="s">
        <v>5339</v>
      </c>
      <c r="B1087" s="1" t="s">
        <v>5340</v>
      </c>
      <c r="C1087" s="1">
        <v>19</v>
      </c>
      <c r="D1087" s="1" t="s">
        <v>5341</v>
      </c>
      <c r="E1087" s="1" t="s">
        <v>40</v>
      </c>
      <c r="F1087" s="1" t="s">
        <v>5342</v>
      </c>
      <c r="G1087" s="1" t="s">
        <v>1402</v>
      </c>
      <c r="H1087" s="1">
        <v>1</v>
      </c>
      <c r="I1087" s="1" t="s">
        <v>64</v>
      </c>
      <c r="J1087" s="1" t="s">
        <v>1268</v>
      </c>
      <c r="K1087" s="1" t="s">
        <v>5343</v>
      </c>
      <c r="L1087" s="1">
        <v>1</v>
      </c>
      <c r="M1087" s="1">
        <v>24</v>
      </c>
      <c r="N1087" s="1" t="s">
        <v>54</v>
      </c>
      <c r="O1087" s="1" t="s">
        <v>99</v>
      </c>
      <c r="P1087" s="1" t="s">
        <v>56</v>
      </c>
      <c r="Q1087" s="1" t="s">
        <v>32</v>
      </c>
      <c r="R1087" s="1">
        <v>1330.98</v>
      </c>
      <c r="S1087" s="1" t="s">
        <v>46</v>
      </c>
      <c r="T1087" s="1" t="s">
        <v>100</v>
      </c>
      <c r="U1087" s="1" t="s">
        <v>35</v>
      </c>
      <c r="V1087" s="1" t="s">
        <v>71</v>
      </c>
    </row>
    <row r="1088" spans="1:22" x14ac:dyDescent="0.3">
      <c r="A1088" s="1" t="s">
        <v>5344</v>
      </c>
      <c r="B1088" s="1" t="s">
        <v>5345</v>
      </c>
      <c r="C1088" s="1">
        <v>49</v>
      </c>
      <c r="D1088" s="1" t="s">
        <v>5346</v>
      </c>
      <c r="E1088" s="1" t="s">
        <v>40</v>
      </c>
      <c r="F1088" s="2">
        <v>44297</v>
      </c>
      <c r="G1088" s="1" t="s">
        <v>1344</v>
      </c>
      <c r="H1088" s="1">
        <v>0</v>
      </c>
      <c r="I1088" s="1" t="s">
        <v>27</v>
      </c>
      <c r="J1088" s="2">
        <v>45449</v>
      </c>
      <c r="K1088" s="1" t="s">
        <v>5347</v>
      </c>
      <c r="L1088" s="1">
        <v>7</v>
      </c>
      <c r="M1088" s="1">
        <v>25</v>
      </c>
      <c r="N1088" s="1" t="s">
        <v>54</v>
      </c>
      <c r="O1088" s="1" t="s">
        <v>175</v>
      </c>
      <c r="P1088" s="1" t="s">
        <v>56</v>
      </c>
      <c r="Q1088" s="1" t="s">
        <v>32</v>
      </c>
      <c r="R1088" s="1">
        <v>460.25</v>
      </c>
      <c r="S1088" s="1" t="s">
        <v>46</v>
      </c>
      <c r="T1088" s="1" t="s">
        <v>34</v>
      </c>
      <c r="U1088" s="1" t="s">
        <v>35</v>
      </c>
      <c r="V1088" s="1" t="s">
        <v>36</v>
      </c>
    </row>
    <row r="1089" spans="1:22" x14ac:dyDescent="0.3">
      <c r="A1089" s="1" t="s">
        <v>5348</v>
      </c>
      <c r="B1089" s="1" t="s">
        <v>5349</v>
      </c>
      <c r="C1089" s="1">
        <v>45</v>
      </c>
      <c r="D1089" s="1" t="s">
        <v>5350</v>
      </c>
      <c r="E1089" s="1" t="s">
        <v>88</v>
      </c>
      <c r="F1089" s="2">
        <v>44356</v>
      </c>
      <c r="G1089" s="1" t="s">
        <v>3087</v>
      </c>
      <c r="H1089" s="1">
        <v>0</v>
      </c>
      <c r="I1089" s="1" t="s">
        <v>27</v>
      </c>
      <c r="J1089" s="1" t="s">
        <v>5351</v>
      </c>
      <c r="K1089" s="1" t="s">
        <v>5352</v>
      </c>
      <c r="L1089" s="1">
        <v>3</v>
      </c>
      <c r="M1089" s="1">
        <v>31</v>
      </c>
      <c r="N1089" s="1" t="s">
        <v>56</v>
      </c>
      <c r="O1089" s="1" t="s">
        <v>91</v>
      </c>
      <c r="P1089" s="1" t="s">
        <v>54</v>
      </c>
      <c r="Q1089" s="1" t="s">
        <v>32</v>
      </c>
      <c r="R1089" s="1">
        <v>1719.18</v>
      </c>
      <c r="S1089" s="1" t="s">
        <v>46</v>
      </c>
      <c r="T1089" s="1" t="s">
        <v>34</v>
      </c>
      <c r="U1089" s="1" t="s">
        <v>35</v>
      </c>
      <c r="V1089" s="1" t="s">
        <v>36</v>
      </c>
    </row>
    <row r="1090" spans="1:22" x14ac:dyDescent="0.3">
      <c r="A1090" s="1" t="s">
        <v>5353</v>
      </c>
      <c r="B1090" s="1" t="s">
        <v>5354</v>
      </c>
      <c r="C1090" s="1">
        <v>23</v>
      </c>
      <c r="D1090" s="1" t="s">
        <v>5355</v>
      </c>
      <c r="E1090" s="1" t="s">
        <v>51</v>
      </c>
      <c r="F1090" s="2">
        <v>44691</v>
      </c>
      <c r="G1090" s="2">
        <v>45484</v>
      </c>
      <c r="H1090" s="1">
        <v>4</v>
      </c>
      <c r="I1090" s="1" t="s">
        <v>27</v>
      </c>
      <c r="J1090" s="1" t="s">
        <v>1324</v>
      </c>
      <c r="K1090" s="1" t="s">
        <v>5356</v>
      </c>
      <c r="L1090" s="1">
        <v>5</v>
      </c>
      <c r="M1090" s="1">
        <v>23</v>
      </c>
      <c r="N1090" s="1" t="s">
        <v>54</v>
      </c>
      <c r="O1090" s="1" t="s">
        <v>354</v>
      </c>
      <c r="P1090" s="1" t="s">
        <v>45</v>
      </c>
      <c r="Q1090" s="1" t="s">
        <v>69</v>
      </c>
      <c r="R1090" s="1">
        <v>1922.25</v>
      </c>
      <c r="S1090" s="1" t="s">
        <v>46</v>
      </c>
      <c r="T1090" s="1" t="s">
        <v>100</v>
      </c>
      <c r="U1090" s="1" t="s">
        <v>35</v>
      </c>
      <c r="V1090" s="1" t="s">
        <v>188</v>
      </c>
    </row>
    <row r="1091" spans="1:22" x14ac:dyDescent="0.3">
      <c r="A1091" s="1" t="s">
        <v>5357</v>
      </c>
      <c r="B1091" s="1" t="s">
        <v>5358</v>
      </c>
      <c r="C1091" s="1">
        <v>29</v>
      </c>
      <c r="D1091" s="1" t="s">
        <v>5359</v>
      </c>
      <c r="E1091" s="1" t="s">
        <v>25</v>
      </c>
      <c r="F1091" s="2">
        <v>43840</v>
      </c>
      <c r="G1091" s="2">
        <v>44356</v>
      </c>
      <c r="H1091" s="1">
        <v>0</v>
      </c>
      <c r="I1091" s="1" t="s">
        <v>27</v>
      </c>
      <c r="J1091" s="2">
        <v>44295</v>
      </c>
      <c r="K1091" s="1" t="s">
        <v>5360</v>
      </c>
      <c r="L1091" s="1">
        <v>9</v>
      </c>
      <c r="M1091" s="1">
        <v>42</v>
      </c>
      <c r="N1091" s="1" t="s">
        <v>68</v>
      </c>
      <c r="O1091" s="1" t="s">
        <v>157</v>
      </c>
      <c r="P1091" s="1" t="s">
        <v>68</v>
      </c>
      <c r="Q1091" s="1" t="s">
        <v>32</v>
      </c>
      <c r="R1091" s="1">
        <v>553.04999999999995</v>
      </c>
      <c r="S1091" s="1" t="s">
        <v>33</v>
      </c>
      <c r="T1091" s="1" t="s">
        <v>57</v>
      </c>
      <c r="U1091" s="1" t="s">
        <v>35</v>
      </c>
      <c r="V1091" s="1" t="s">
        <v>36</v>
      </c>
    </row>
    <row r="1092" spans="1:22" x14ac:dyDescent="0.3">
      <c r="A1092" s="1" t="s">
        <v>5361</v>
      </c>
      <c r="B1092" s="1" t="s">
        <v>5362</v>
      </c>
      <c r="C1092" s="1">
        <v>53</v>
      </c>
      <c r="D1092" s="1" t="s">
        <v>5363</v>
      </c>
      <c r="E1092" s="1" t="s">
        <v>40</v>
      </c>
      <c r="F1092" s="1" t="s">
        <v>3425</v>
      </c>
      <c r="G1092" s="1" t="s">
        <v>5337</v>
      </c>
      <c r="H1092" s="1">
        <v>2</v>
      </c>
      <c r="I1092" s="1" t="s">
        <v>27</v>
      </c>
      <c r="J1092" s="2">
        <v>45693</v>
      </c>
      <c r="K1092" s="1" t="s">
        <v>5364</v>
      </c>
      <c r="L1092" s="1">
        <v>4</v>
      </c>
      <c r="M1092" s="1">
        <v>15</v>
      </c>
      <c r="N1092" s="1" t="s">
        <v>30</v>
      </c>
      <c r="O1092" s="1" t="s">
        <v>373</v>
      </c>
      <c r="P1092" s="1" t="s">
        <v>54</v>
      </c>
      <c r="Q1092" s="1" t="s">
        <v>69</v>
      </c>
      <c r="R1092" s="1">
        <v>1905.92</v>
      </c>
      <c r="S1092" s="1" t="s">
        <v>46</v>
      </c>
      <c r="T1092" s="1" t="s">
        <v>47</v>
      </c>
      <c r="U1092" s="1" t="s">
        <v>35</v>
      </c>
      <c r="V1092" s="1" t="s">
        <v>36</v>
      </c>
    </row>
    <row r="1093" spans="1:22" x14ac:dyDescent="0.3">
      <c r="A1093" s="1" t="s">
        <v>5365</v>
      </c>
      <c r="B1093" s="1" t="s">
        <v>5366</v>
      </c>
      <c r="C1093" s="1">
        <v>22</v>
      </c>
      <c r="D1093" s="1" t="s">
        <v>5367</v>
      </c>
      <c r="E1093" s="1" t="s">
        <v>88</v>
      </c>
      <c r="F1093" s="1" t="s">
        <v>757</v>
      </c>
      <c r="G1093" s="1" t="s">
        <v>3553</v>
      </c>
      <c r="H1093" s="1">
        <v>0</v>
      </c>
      <c r="I1093" s="1" t="s">
        <v>64</v>
      </c>
      <c r="J1093" s="2">
        <v>45604</v>
      </c>
      <c r="K1093" s="1" t="s">
        <v>5368</v>
      </c>
      <c r="L1093" s="1">
        <v>2</v>
      </c>
      <c r="M1093" s="1">
        <v>32</v>
      </c>
      <c r="N1093" s="1" t="s">
        <v>68</v>
      </c>
      <c r="O1093" s="1" t="s">
        <v>31</v>
      </c>
      <c r="P1093" s="1" t="s">
        <v>30</v>
      </c>
      <c r="Q1093" s="1" t="s">
        <v>32</v>
      </c>
      <c r="R1093" s="1">
        <v>1085.74</v>
      </c>
      <c r="S1093" s="1" t="s">
        <v>46</v>
      </c>
      <c r="T1093" s="1" t="s">
        <v>100</v>
      </c>
      <c r="U1093" s="1" t="s">
        <v>35</v>
      </c>
      <c r="V1093" s="1" t="s">
        <v>71</v>
      </c>
    </row>
    <row r="1094" spans="1:22" x14ac:dyDescent="0.3">
      <c r="A1094" s="1" t="s">
        <v>5369</v>
      </c>
      <c r="B1094" s="1" t="s">
        <v>5370</v>
      </c>
      <c r="C1094" s="1">
        <v>26</v>
      </c>
      <c r="D1094" s="1" t="s">
        <v>5371</v>
      </c>
      <c r="E1094" s="1" t="s">
        <v>51</v>
      </c>
      <c r="F1094" s="1" t="s">
        <v>5372</v>
      </c>
      <c r="G1094" s="1" t="s">
        <v>2403</v>
      </c>
      <c r="H1094" s="1">
        <v>3</v>
      </c>
      <c r="I1094" s="1" t="s">
        <v>27</v>
      </c>
      <c r="J1094" s="1" t="s">
        <v>2201</v>
      </c>
      <c r="K1094" s="1" t="s">
        <v>5373</v>
      </c>
      <c r="L1094" s="1">
        <v>4</v>
      </c>
      <c r="M1094" s="1">
        <v>26</v>
      </c>
      <c r="N1094" s="1" t="s">
        <v>54</v>
      </c>
      <c r="O1094" s="1" t="s">
        <v>536</v>
      </c>
      <c r="P1094" s="1" t="s">
        <v>68</v>
      </c>
      <c r="Q1094" s="1" t="s">
        <v>32</v>
      </c>
      <c r="R1094" s="1">
        <v>1965.92</v>
      </c>
      <c r="S1094" s="1" t="s">
        <v>46</v>
      </c>
      <c r="T1094" s="1" t="s">
        <v>57</v>
      </c>
      <c r="U1094" s="1" t="s">
        <v>35</v>
      </c>
      <c r="V1094" s="1" t="s">
        <v>36</v>
      </c>
    </row>
    <row r="1095" spans="1:22" x14ac:dyDescent="0.3">
      <c r="A1095" s="1" t="s">
        <v>5374</v>
      </c>
      <c r="B1095" s="1" t="s">
        <v>5375</v>
      </c>
      <c r="C1095" s="1">
        <v>43</v>
      </c>
      <c r="D1095" s="1" t="s">
        <v>5376</v>
      </c>
      <c r="E1095" s="1" t="s">
        <v>88</v>
      </c>
      <c r="F1095" s="2">
        <v>45084</v>
      </c>
      <c r="G1095" s="2">
        <v>45326</v>
      </c>
      <c r="H1095" s="1">
        <v>0</v>
      </c>
      <c r="I1095" s="1" t="s">
        <v>27</v>
      </c>
      <c r="J1095" s="1" t="s">
        <v>746</v>
      </c>
      <c r="K1095" s="1" t="s">
        <v>5377</v>
      </c>
      <c r="L1095" s="1">
        <v>3</v>
      </c>
      <c r="M1095" s="1">
        <v>31</v>
      </c>
      <c r="N1095" s="1" t="s">
        <v>30</v>
      </c>
      <c r="O1095" s="1" t="s">
        <v>175</v>
      </c>
      <c r="P1095" s="1" t="s">
        <v>56</v>
      </c>
      <c r="Q1095" s="1" t="s">
        <v>32</v>
      </c>
      <c r="R1095" s="1">
        <v>928.11</v>
      </c>
      <c r="S1095" s="1" t="s">
        <v>46</v>
      </c>
      <c r="T1095" s="1" t="s">
        <v>34</v>
      </c>
      <c r="U1095" s="1" t="s">
        <v>35</v>
      </c>
      <c r="V1095" s="1" t="s">
        <v>36</v>
      </c>
    </row>
    <row r="1096" spans="1:22" x14ac:dyDescent="0.3">
      <c r="A1096" s="1" t="s">
        <v>5378</v>
      </c>
      <c r="B1096" s="1" t="s">
        <v>5379</v>
      </c>
      <c r="C1096" s="1">
        <v>51</v>
      </c>
      <c r="D1096" s="1" t="s">
        <v>5380</v>
      </c>
      <c r="E1096" s="1" t="s">
        <v>88</v>
      </c>
      <c r="F1096" s="1" t="s">
        <v>979</v>
      </c>
      <c r="G1096" s="1" t="s">
        <v>2522</v>
      </c>
      <c r="H1096" s="1">
        <v>3</v>
      </c>
      <c r="I1096" s="1" t="s">
        <v>27</v>
      </c>
      <c r="J1096" s="1" t="s">
        <v>1664</v>
      </c>
      <c r="K1096" s="1" t="s">
        <v>5381</v>
      </c>
      <c r="L1096" s="1">
        <v>7</v>
      </c>
      <c r="M1096" s="1">
        <v>27</v>
      </c>
      <c r="N1096" s="1" t="s">
        <v>56</v>
      </c>
      <c r="O1096" s="1" t="s">
        <v>837</v>
      </c>
      <c r="P1096" s="1" t="s">
        <v>56</v>
      </c>
      <c r="Q1096" s="1" t="s">
        <v>32</v>
      </c>
      <c r="R1096" s="1">
        <v>33.6</v>
      </c>
      <c r="S1096" s="1" t="s">
        <v>33</v>
      </c>
      <c r="T1096" s="1" t="s">
        <v>47</v>
      </c>
      <c r="U1096" s="1" t="s">
        <v>101</v>
      </c>
      <c r="V1096" s="1" t="s">
        <v>36</v>
      </c>
    </row>
    <row r="1097" spans="1:22" x14ac:dyDescent="0.3">
      <c r="A1097" s="1" t="s">
        <v>5382</v>
      </c>
      <c r="B1097" s="1" t="s">
        <v>5383</v>
      </c>
      <c r="C1097" s="1">
        <v>63</v>
      </c>
      <c r="D1097" s="1" t="s">
        <v>5384</v>
      </c>
      <c r="E1097" s="1" t="s">
        <v>61</v>
      </c>
      <c r="F1097" s="2">
        <v>44783</v>
      </c>
      <c r="G1097" s="1" t="s">
        <v>2588</v>
      </c>
      <c r="H1097" s="1">
        <v>5</v>
      </c>
      <c r="I1097" s="1" t="s">
        <v>27</v>
      </c>
      <c r="J1097" s="2">
        <v>45203</v>
      </c>
      <c r="K1097" s="1" t="s">
        <v>5385</v>
      </c>
      <c r="L1097" s="1">
        <v>4</v>
      </c>
      <c r="M1097" s="1">
        <v>31</v>
      </c>
      <c r="N1097" s="1" t="s">
        <v>56</v>
      </c>
      <c r="O1097" s="1" t="s">
        <v>211</v>
      </c>
      <c r="P1097" s="1" t="s">
        <v>68</v>
      </c>
      <c r="Q1097" s="1" t="s">
        <v>32</v>
      </c>
      <c r="R1097" s="1">
        <v>988.88</v>
      </c>
      <c r="S1097" s="1" t="s">
        <v>46</v>
      </c>
      <c r="T1097" s="1" t="s">
        <v>47</v>
      </c>
      <c r="U1097" s="1" t="s">
        <v>35</v>
      </c>
      <c r="V1097" s="1" t="s">
        <v>188</v>
      </c>
    </row>
    <row r="1098" spans="1:22" x14ac:dyDescent="0.3">
      <c r="A1098" s="1" t="s">
        <v>5386</v>
      </c>
      <c r="B1098" s="1" t="s">
        <v>5387</v>
      </c>
      <c r="C1098" s="1">
        <v>64</v>
      </c>
      <c r="D1098" s="1" t="s">
        <v>5388</v>
      </c>
      <c r="E1098" s="1" t="s">
        <v>88</v>
      </c>
      <c r="F1098" s="1" t="s">
        <v>2167</v>
      </c>
      <c r="G1098" s="2">
        <v>45332</v>
      </c>
      <c r="H1098" s="1">
        <v>2</v>
      </c>
      <c r="I1098" s="1" t="s">
        <v>27</v>
      </c>
      <c r="J1098" s="2">
        <v>45118</v>
      </c>
      <c r="K1098" s="1" t="s">
        <v>5389</v>
      </c>
      <c r="L1098" s="1">
        <v>7</v>
      </c>
      <c r="M1098" s="1">
        <v>33</v>
      </c>
      <c r="N1098" s="1" t="s">
        <v>56</v>
      </c>
      <c r="O1098" s="1" t="s">
        <v>821</v>
      </c>
      <c r="P1098" s="1" t="s">
        <v>68</v>
      </c>
      <c r="Q1098" s="1" t="s">
        <v>69</v>
      </c>
      <c r="R1098" s="1">
        <v>847.28</v>
      </c>
      <c r="S1098" s="1" t="s">
        <v>46</v>
      </c>
      <c r="T1098" s="1" t="s">
        <v>47</v>
      </c>
      <c r="U1098" s="1" t="s">
        <v>35</v>
      </c>
      <c r="V1098" s="1" t="s">
        <v>36</v>
      </c>
    </row>
    <row r="1099" spans="1:22" x14ac:dyDescent="0.3">
      <c r="A1099" s="1" t="s">
        <v>5390</v>
      </c>
      <c r="B1099" s="1" t="s">
        <v>5391</v>
      </c>
      <c r="C1099" s="1">
        <v>54</v>
      </c>
      <c r="D1099" s="1" t="s">
        <v>5392</v>
      </c>
      <c r="E1099" s="1" t="s">
        <v>51</v>
      </c>
      <c r="F1099" s="2">
        <v>44564</v>
      </c>
      <c r="G1099" s="1" t="s">
        <v>3393</v>
      </c>
      <c r="H1099" s="1">
        <v>3</v>
      </c>
      <c r="I1099" s="1" t="s">
        <v>27</v>
      </c>
      <c r="J1099" s="1" t="s">
        <v>5393</v>
      </c>
      <c r="K1099" s="1" t="s">
        <v>5394</v>
      </c>
      <c r="L1099" s="1">
        <v>7</v>
      </c>
      <c r="M1099" s="1">
        <v>24</v>
      </c>
      <c r="N1099" s="1" t="s">
        <v>56</v>
      </c>
      <c r="O1099" s="1" t="s">
        <v>142</v>
      </c>
      <c r="P1099" s="1" t="s">
        <v>68</v>
      </c>
      <c r="Q1099" s="1" t="s">
        <v>32</v>
      </c>
      <c r="R1099" s="1">
        <v>1028.3699999999999</v>
      </c>
      <c r="S1099" s="1" t="s">
        <v>46</v>
      </c>
      <c r="T1099" s="1" t="s">
        <v>47</v>
      </c>
      <c r="U1099" s="1" t="s">
        <v>35</v>
      </c>
      <c r="V1099" s="1" t="s">
        <v>36</v>
      </c>
    </row>
    <row r="1100" spans="1:22" x14ac:dyDescent="0.3">
      <c r="A1100" s="1" t="s">
        <v>5395</v>
      </c>
      <c r="B1100" s="1" t="s">
        <v>5396</v>
      </c>
      <c r="C1100" s="1">
        <v>50</v>
      </c>
      <c r="D1100" s="1" t="s">
        <v>5397</v>
      </c>
      <c r="E1100" s="1" t="s">
        <v>25</v>
      </c>
      <c r="F1100" s="2">
        <v>44596</v>
      </c>
      <c r="G1100" s="2">
        <v>45177</v>
      </c>
      <c r="H1100" s="1">
        <v>3</v>
      </c>
      <c r="I1100" s="1" t="s">
        <v>64</v>
      </c>
      <c r="J1100" s="2">
        <v>45115</v>
      </c>
      <c r="K1100" s="1" t="s">
        <v>5398</v>
      </c>
      <c r="L1100" s="1">
        <v>1</v>
      </c>
      <c r="M1100" s="1">
        <v>39</v>
      </c>
      <c r="N1100" s="1" t="s">
        <v>68</v>
      </c>
      <c r="O1100" s="1" t="s">
        <v>149</v>
      </c>
      <c r="P1100" s="1" t="s">
        <v>30</v>
      </c>
      <c r="Q1100" s="1" t="s">
        <v>32</v>
      </c>
      <c r="R1100" s="1">
        <v>1319.96</v>
      </c>
      <c r="S1100" s="1" t="s">
        <v>46</v>
      </c>
      <c r="T1100" s="1" t="s">
        <v>47</v>
      </c>
      <c r="U1100" s="1" t="s">
        <v>35</v>
      </c>
      <c r="V1100" s="1" t="s">
        <v>71</v>
      </c>
    </row>
    <row r="1101" spans="1:22" x14ac:dyDescent="0.3">
      <c r="A1101" s="1" t="s">
        <v>5399</v>
      </c>
      <c r="B1101" s="1" t="s">
        <v>5400</v>
      </c>
      <c r="C1101" s="1">
        <v>63</v>
      </c>
      <c r="D1101" s="1" t="s">
        <v>5401</v>
      </c>
      <c r="E1101" s="1" t="s">
        <v>88</v>
      </c>
      <c r="F1101" s="2">
        <v>44688</v>
      </c>
      <c r="G1101" s="2">
        <v>45934</v>
      </c>
      <c r="H1101" s="1">
        <v>1</v>
      </c>
      <c r="I1101" s="1" t="s">
        <v>64</v>
      </c>
      <c r="J1101" s="1" t="s">
        <v>2902</v>
      </c>
      <c r="K1101" s="1" t="s">
        <v>5402</v>
      </c>
      <c r="L1101" s="1">
        <v>4</v>
      </c>
      <c r="M1101" s="1">
        <v>15</v>
      </c>
      <c r="N1101" s="1" t="s">
        <v>30</v>
      </c>
      <c r="O1101" s="1" t="s">
        <v>425</v>
      </c>
      <c r="P1101" s="1" t="s">
        <v>30</v>
      </c>
      <c r="Q1101" s="1" t="s">
        <v>32</v>
      </c>
      <c r="R1101" s="1">
        <v>337.04</v>
      </c>
      <c r="S1101" s="1" t="s">
        <v>33</v>
      </c>
      <c r="T1101" s="1" t="s">
        <v>47</v>
      </c>
      <c r="U1101" s="1" t="s">
        <v>35</v>
      </c>
      <c r="V1101" s="1" t="s">
        <v>71</v>
      </c>
    </row>
    <row r="1102" spans="1:22" x14ac:dyDescent="0.3">
      <c r="A1102" s="1" t="s">
        <v>5403</v>
      </c>
      <c r="B1102" s="1" t="s">
        <v>5404</v>
      </c>
      <c r="C1102" s="1">
        <v>33</v>
      </c>
      <c r="D1102" s="1" t="s">
        <v>5405</v>
      </c>
      <c r="E1102" s="1" t="s">
        <v>40</v>
      </c>
      <c r="F1102" s="2">
        <v>44688</v>
      </c>
      <c r="G1102" s="1" t="s">
        <v>1572</v>
      </c>
      <c r="H1102" s="1">
        <v>5</v>
      </c>
      <c r="I1102" s="1" t="s">
        <v>27</v>
      </c>
      <c r="J1102" s="2">
        <v>45779</v>
      </c>
      <c r="K1102" s="1" t="s">
        <v>5406</v>
      </c>
      <c r="L1102" s="1">
        <v>4</v>
      </c>
      <c r="M1102" s="1">
        <v>45</v>
      </c>
      <c r="N1102" s="1" t="s">
        <v>56</v>
      </c>
      <c r="O1102" s="1" t="s">
        <v>373</v>
      </c>
      <c r="P1102" s="1" t="s">
        <v>54</v>
      </c>
      <c r="Q1102" s="1" t="s">
        <v>69</v>
      </c>
      <c r="R1102" s="1">
        <v>1252.96</v>
      </c>
      <c r="S1102" s="1" t="s">
        <v>46</v>
      </c>
      <c r="T1102" s="1" t="s">
        <v>57</v>
      </c>
      <c r="U1102" s="1" t="s">
        <v>35</v>
      </c>
      <c r="V1102" s="1" t="s">
        <v>188</v>
      </c>
    </row>
    <row r="1103" spans="1:22" x14ac:dyDescent="0.3">
      <c r="A1103" s="1" t="s">
        <v>5407</v>
      </c>
      <c r="B1103" s="1" t="s">
        <v>5408</v>
      </c>
      <c r="C1103" s="1">
        <v>18</v>
      </c>
      <c r="D1103" s="1" t="s">
        <v>5409</v>
      </c>
      <c r="E1103" s="1" t="s">
        <v>61</v>
      </c>
      <c r="F1103" s="1" t="s">
        <v>3143</v>
      </c>
      <c r="G1103" s="1" t="s">
        <v>63</v>
      </c>
      <c r="H1103" s="1">
        <v>5</v>
      </c>
      <c r="I1103" s="1" t="s">
        <v>52</v>
      </c>
      <c r="J1103" s="2">
        <v>45510</v>
      </c>
      <c r="K1103" s="1" t="s">
        <v>5410</v>
      </c>
      <c r="L1103" s="1">
        <v>4</v>
      </c>
      <c r="M1103" s="1">
        <v>49</v>
      </c>
      <c r="N1103" s="1" t="s">
        <v>30</v>
      </c>
      <c r="O1103" s="1" t="s">
        <v>245</v>
      </c>
      <c r="P1103" s="1" t="s">
        <v>54</v>
      </c>
      <c r="Q1103" s="1" t="s">
        <v>32</v>
      </c>
      <c r="R1103" s="1">
        <v>1047.2</v>
      </c>
      <c r="S1103" s="1" t="s">
        <v>46</v>
      </c>
      <c r="T1103" s="1" t="s">
        <v>100</v>
      </c>
      <c r="U1103" s="1" t="s">
        <v>35</v>
      </c>
      <c r="V1103" s="1" t="s">
        <v>36</v>
      </c>
    </row>
    <row r="1104" spans="1:22" x14ac:dyDescent="0.3">
      <c r="A1104" s="1" t="s">
        <v>5411</v>
      </c>
      <c r="B1104" s="1" t="s">
        <v>5412</v>
      </c>
      <c r="C1104" s="1">
        <v>69</v>
      </c>
      <c r="D1104" s="1" t="s">
        <v>5413</v>
      </c>
      <c r="E1104" s="1" t="s">
        <v>25</v>
      </c>
      <c r="F1104" s="1" t="s">
        <v>963</v>
      </c>
      <c r="G1104" s="2">
        <v>45272</v>
      </c>
      <c r="H1104" s="1">
        <v>2</v>
      </c>
      <c r="I1104" s="1" t="s">
        <v>27</v>
      </c>
      <c r="J1104" s="1" t="s">
        <v>1889</v>
      </c>
      <c r="K1104" s="1" t="s">
        <v>5414</v>
      </c>
      <c r="L1104" s="1">
        <v>4</v>
      </c>
      <c r="M1104" s="1">
        <v>29</v>
      </c>
      <c r="N1104" s="1" t="s">
        <v>54</v>
      </c>
      <c r="O1104" s="1" t="s">
        <v>231</v>
      </c>
      <c r="P1104" s="1" t="s">
        <v>30</v>
      </c>
      <c r="Q1104" s="1" t="s">
        <v>32</v>
      </c>
      <c r="R1104" s="1">
        <v>1464.32</v>
      </c>
      <c r="S1104" s="1" t="s">
        <v>46</v>
      </c>
      <c r="T1104" s="1" t="s">
        <v>232</v>
      </c>
      <c r="U1104" s="1" t="s">
        <v>35</v>
      </c>
      <c r="V1104" s="1" t="s">
        <v>36</v>
      </c>
    </row>
    <row r="1105" spans="1:22" x14ac:dyDescent="0.3">
      <c r="A1105" s="1" t="s">
        <v>5415</v>
      </c>
      <c r="B1105" s="1" t="s">
        <v>5416</v>
      </c>
      <c r="C1105" s="1">
        <v>67</v>
      </c>
      <c r="D1105" s="1" t="s">
        <v>5417</v>
      </c>
      <c r="E1105" s="1" t="s">
        <v>25</v>
      </c>
      <c r="F1105" s="1" t="s">
        <v>3559</v>
      </c>
      <c r="G1105" s="1" t="s">
        <v>2174</v>
      </c>
      <c r="H1105" s="1">
        <v>4</v>
      </c>
      <c r="I1105" s="1" t="s">
        <v>27</v>
      </c>
      <c r="J1105" s="1" t="s">
        <v>3890</v>
      </c>
      <c r="K1105" s="1" t="s">
        <v>5418</v>
      </c>
      <c r="L1105" s="1">
        <v>5</v>
      </c>
      <c r="M1105" s="1">
        <v>30</v>
      </c>
      <c r="N1105" s="1" t="s">
        <v>30</v>
      </c>
      <c r="O1105" s="1" t="s">
        <v>44</v>
      </c>
      <c r="P1105" s="1" t="s">
        <v>45</v>
      </c>
      <c r="Q1105" s="1" t="s">
        <v>69</v>
      </c>
      <c r="R1105" s="1">
        <v>1512.75</v>
      </c>
      <c r="S1105" s="1" t="s">
        <v>46</v>
      </c>
      <c r="T1105" s="1" t="s">
        <v>232</v>
      </c>
      <c r="U1105" s="1" t="s">
        <v>35</v>
      </c>
      <c r="V1105" s="1" t="s">
        <v>188</v>
      </c>
    </row>
    <row r="1106" spans="1:22" x14ac:dyDescent="0.3">
      <c r="A1106" s="1" t="s">
        <v>5419</v>
      </c>
      <c r="B1106" s="1" t="s">
        <v>5420</v>
      </c>
      <c r="C1106" s="1">
        <v>38</v>
      </c>
      <c r="D1106" s="1" t="s">
        <v>5421</v>
      </c>
      <c r="E1106" s="1" t="s">
        <v>51</v>
      </c>
      <c r="F1106" s="1" t="s">
        <v>3174</v>
      </c>
      <c r="G1106" s="2">
        <v>45575</v>
      </c>
      <c r="H1106" s="1">
        <v>5</v>
      </c>
      <c r="I1106" s="1" t="s">
        <v>27</v>
      </c>
      <c r="J1106" s="1" t="s">
        <v>622</v>
      </c>
      <c r="K1106" s="1" t="s">
        <v>5422</v>
      </c>
      <c r="L1106" s="1">
        <v>2</v>
      </c>
      <c r="M1106" s="1">
        <v>27</v>
      </c>
      <c r="N1106" s="1" t="s">
        <v>68</v>
      </c>
      <c r="O1106" s="1" t="s">
        <v>211</v>
      </c>
      <c r="P1106" s="1" t="s">
        <v>68</v>
      </c>
      <c r="Q1106" s="1" t="s">
        <v>322</v>
      </c>
      <c r="R1106" s="1">
        <v>145</v>
      </c>
      <c r="S1106" s="1" t="s">
        <v>33</v>
      </c>
      <c r="T1106" s="1" t="s">
        <v>34</v>
      </c>
      <c r="U1106" s="1" t="s">
        <v>35</v>
      </c>
      <c r="V1106" s="1" t="s">
        <v>188</v>
      </c>
    </row>
    <row r="1107" spans="1:22" x14ac:dyDescent="0.3">
      <c r="A1107" s="1" t="s">
        <v>5423</v>
      </c>
      <c r="B1107" s="1" t="s">
        <v>5424</v>
      </c>
      <c r="C1107" s="1">
        <v>44</v>
      </c>
      <c r="D1107" s="1" t="s">
        <v>5425</v>
      </c>
      <c r="E1107" s="1" t="s">
        <v>61</v>
      </c>
      <c r="F1107" s="1" t="s">
        <v>5426</v>
      </c>
      <c r="G1107" s="1" t="s">
        <v>572</v>
      </c>
      <c r="H1107" s="1">
        <v>3</v>
      </c>
      <c r="I1107" s="1" t="s">
        <v>27</v>
      </c>
      <c r="J1107" s="1" t="s">
        <v>5427</v>
      </c>
      <c r="K1107" s="1" t="s">
        <v>5428</v>
      </c>
      <c r="L1107" s="1">
        <v>1</v>
      </c>
      <c r="M1107" s="1">
        <v>29</v>
      </c>
      <c r="N1107" s="1" t="s">
        <v>45</v>
      </c>
      <c r="O1107" s="1" t="s">
        <v>425</v>
      </c>
      <c r="P1107" s="1" t="s">
        <v>30</v>
      </c>
      <c r="Q1107" s="1" t="s">
        <v>69</v>
      </c>
      <c r="R1107" s="1">
        <v>1194.42</v>
      </c>
      <c r="S1107" s="1" t="s">
        <v>46</v>
      </c>
      <c r="T1107" s="1" t="s">
        <v>34</v>
      </c>
      <c r="U1107" s="1" t="s">
        <v>35</v>
      </c>
      <c r="V1107" s="1" t="s">
        <v>36</v>
      </c>
    </row>
    <row r="1108" spans="1:22" x14ac:dyDescent="0.3">
      <c r="A1108" s="1" t="s">
        <v>5429</v>
      </c>
      <c r="B1108" s="1" t="s">
        <v>5430</v>
      </c>
      <c r="C1108" s="1">
        <v>22</v>
      </c>
      <c r="D1108" s="1" t="s">
        <v>5431</v>
      </c>
      <c r="E1108" s="1" t="s">
        <v>40</v>
      </c>
      <c r="F1108" s="1" t="s">
        <v>4164</v>
      </c>
      <c r="G1108" s="1" t="s">
        <v>62</v>
      </c>
      <c r="H1108" s="1">
        <v>2</v>
      </c>
      <c r="I1108" s="1" t="s">
        <v>27</v>
      </c>
      <c r="J1108" s="1" t="s">
        <v>3846</v>
      </c>
      <c r="K1108" s="1" t="s">
        <v>5432</v>
      </c>
      <c r="L1108" s="1">
        <v>8</v>
      </c>
      <c r="M1108" s="1">
        <v>39</v>
      </c>
      <c r="N1108" s="1" t="s">
        <v>30</v>
      </c>
      <c r="O1108" s="1" t="s">
        <v>610</v>
      </c>
      <c r="P1108" s="1" t="s">
        <v>68</v>
      </c>
      <c r="Q1108" s="1" t="s">
        <v>32</v>
      </c>
      <c r="R1108" s="1">
        <v>1094.56</v>
      </c>
      <c r="S1108" s="1" t="s">
        <v>46</v>
      </c>
      <c r="T1108" s="1" t="s">
        <v>100</v>
      </c>
      <c r="U1108" s="1" t="s">
        <v>35</v>
      </c>
      <c r="V1108" s="1" t="s">
        <v>36</v>
      </c>
    </row>
    <row r="1109" spans="1:22" x14ac:dyDescent="0.3">
      <c r="A1109" s="1" t="s">
        <v>5433</v>
      </c>
      <c r="B1109" s="1" t="s">
        <v>5434</v>
      </c>
      <c r="C1109" s="1">
        <v>53</v>
      </c>
      <c r="D1109" s="1" t="s">
        <v>5435</v>
      </c>
      <c r="E1109" s="1" t="s">
        <v>51</v>
      </c>
      <c r="F1109" s="1" t="s">
        <v>3341</v>
      </c>
      <c r="G1109" s="1" t="s">
        <v>5436</v>
      </c>
      <c r="H1109" s="1">
        <v>5</v>
      </c>
      <c r="I1109" s="1" t="s">
        <v>27</v>
      </c>
      <c r="J1109" s="2">
        <v>45515</v>
      </c>
      <c r="K1109" s="1" t="s">
        <v>5437</v>
      </c>
      <c r="L1109" s="1">
        <v>1</v>
      </c>
      <c r="M1109" s="1">
        <v>41</v>
      </c>
      <c r="N1109" s="1" t="s">
        <v>54</v>
      </c>
      <c r="O1109" s="1" t="s">
        <v>128</v>
      </c>
      <c r="P1109" s="1" t="s">
        <v>54</v>
      </c>
      <c r="Q1109" s="1" t="s">
        <v>69</v>
      </c>
      <c r="R1109" s="1">
        <v>1491.08</v>
      </c>
      <c r="S1109" s="1" t="s">
        <v>33</v>
      </c>
      <c r="T1109" s="1" t="s">
        <v>47</v>
      </c>
      <c r="U1109" s="1" t="s">
        <v>35</v>
      </c>
      <c r="V1109" s="1" t="s">
        <v>188</v>
      </c>
    </row>
    <row r="1110" spans="1:22" x14ac:dyDescent="0.3">
      <c r="A1110" s="1" t="s">
        <v>5438</v>
      </c>
      <c r="B1110" s="1" t="s">
        <v>5439</v>
      </c>
      <c r="C1110" s="1">
        <v>69</v>
      </c>
      <c r="D1110" s="1" t="s">
        <v>5440</v>
      </c>
      <c r="E1110" s="1" t="s">
        <v>40</v>
      </c>
      <c r="F1110" s="1" t="s">
        <v>2620</v>
      </c>
      <c r="G1110" s="1" t="s">
        <v>1674</v>
      </c>
      <c r="H1110" s="1">
        <v>0</v>
      </c>
      <c r="I1110" s="1" t="s">
        <v>52</v>
      </c>
      <c r="J1110" s="1" t="s">
        <v>846</v>
      </c>
      <c r="K1110" s="1" t="s">
        <v>4422</v>
      </c>
      <c r="L1110" s="1">
        <v>9</v>
      </c>
      <c r="M1110" s="1">
        <v>35</v>
      </c>
      <c r="N1110" s="1" t="s">
        <v>54</v>
      </c>
      <c r="O1110" s="1" t="s">
        <v>231</v>
      </c>
      <c r="P1110" s="1" t="s">
        <v>30</v>
      </c>
      <c r="Q1110" s="1" t="s">
        <v>322</v>
      </c>
      <c r="R1110" s="1">
        <v>1575.72</v>
      </c>
      <c r="S1110" s="1" t="s">
        <v>46</v>
      </c>
      <c r="T1110" s="1" t="s">
        <v>232</v>
      </c>
      <c r="U1110" s="1" t="s">
        <v>35</v>
      </c>
      <c r="V1110" s="1" t="s">
        <v>36</v>
      </c>
    </row>
    <row r="1111" spans="1:22" x14ac:dyDescent="0.3">
      <c r="A1111" s="1" t="s">
        <v>5441</v>
      </c>
      <c r="B1111" s="1" t="s">
        <v>5442</v>
      </c>
      <c r="C1111" s="1">
        <v>22</v>
      </c>
      <c r="D1111" s="1" t="s">
        <v>5443</v>
      </c>
      <c r="E1111" s="1" t="s">
        <v>95</v>
      </c>
      <c r="F1111" s="1" t="s">
        <v>337</v>
      </c>
      <c r="G1111" s="2">
        <v>45627</v>
      </c>
      <c r="H1111" s="1">
        <v>3</v>
      </c>
      <c r="I1111" s="1" t="s">
        <v>27</v>
      </c>
      <c r="J1111" s="2">
        <v>44472</v>
      </c>
      <c r="K1111" s="1" t="s">
        <v>5444</v>
      </c>
      <c r="L1111" s="1">
        <v>4</v>
      </c>
      <c r="M1111" s="1">
        <v>14</v>
      </c>
      <c r="N1111" s="1" t="s">
        <v>56</v>
      </c>
      <c r="O1111" s="1" t="s">
        <v>837</v>
      </c>
      <c r="P1111" s="1" t="s">
        <v>56</v>
      </c>
      <c r="Q1111" s="1" t="s">
        <v>69</v>
      </c>
      <c r="R1111" s="1">
        <v>1785.88</v>
      </c>
      <c r="S1111" s="1" t="s">
        <v>33</v>
      </c>
      <c r="T1111" s="1" t="s">
        <v>100</v>
      </c>
      <c r="U1111" s="1" t="s">
        <v>35</v>
      </c>
      <c r="V1111" s="1" t="s">
        <v>36</v>
      </c>
    </row>
    <row r="1112" spans="1:22" x14ac:dyDescent="0.3">
      <c r="A1112" s="1" t="s">
        <v>5445</v>
      </c>
      <c r="B1112" s="1" t="s">
        <v>5446</v>
      </c>
      <c r="C1112" s="1">
        <v>54</v>
      </c>
      <c r="D1112" s="1" t="s">
        <v>5447</v>
      </c>
      <c r="E1112" s="1" t="s">
        <v>95</v>
      </c>
      <c r="F1112" s="1" t="s">
        <v>1663</v>
      </c>
      <c r="G1112" s="1" t="s">
        <v>492</v>
      </c>
      <c r="H1112" s="1">
        <v>5</v>
      </c>
      <c r="I1112" s="1" t="s">
        <v>27</v>
      </c>
      <c r="J1112" s="1" t="s">
        <v>5448</v>
      </c>
      <c r="K1112" s="1" t="s">
        <v>5449</v>
      </c>
      <c r="L1112" s="1">
        <v>4</v>
      </c>
      <c r="M1112" s="1">
        <v>43</v>
      </c>
      <c r="N1112" s="1" t="s">
        <v>68</v>
      </c>
      <c r="O1112" s="1" t="s">
        <v>128</v>
      </c>
      <c r="P1112" s="1" t="s">
        <v>54</v>
      </c>
      <c r="Q1112" s="1" t="s">
        <v>32</v>
      </c>
      <c r="R1112" s="1">
        <v>816.72</v>
      </c>
      <c r="S1112" s="1" t="s">
        <v>46</v>
      </c>
      <c r="T1112" s="1" t="s">
        <v>47</v>
      </c>
      <c r="U1112" s="1" t="s">
        <v>35</v>
      </c>
      <c r="V1112" s="1" t="s">
        <v>188</v>
      </c>
    </row>
    <row r="1113" spans="1:22" x14ac:dyDescent="0.3">
      <c r="A1113" s="1" t="s">
        <v>5450</v>
      </c>
      <c r="B1113" s="1" t="s">
        <v>5451</v>
      </c>
      <c r="C1113" s="1">
        <v>36</v>
      </c>
      <c r="D1113" s="1" t="s">
        <v>5452</v>
      </c>
      <c r="E1113" s="1" t="s">
        <v>40</v>
      </c>
      <c r="F1113" s="1" t="s">
        <v>5327</v>
      </c>
      <c r="G1113" s="2">
        <v>45172</v>
      </c>
      <c r="H1113" s="1">
        <v>5</v>
      </c>
      <c r="I1113" s="1" t="s">
        <v>27</v>
      </c>
      <c r="J1113" s="2">
        <v>45022</v>
      </c>
      <c r="K1113" s="1" t="s">
        <v>5453</v>
      </c>
      <c r="L1113" s="1">
        <v>2</v>
      </c>
      <c r="M1113" s="1">
        <v>9</v>
      </c>
      <c r="N1113" s="1" t="s">
        <v>45</v>
      </c>
      <c r="O1113" s="1" t="s">
        <v>597</v>
      </c>
      <c r="P1113" s="1" t="s">
        <v>45</v>
      </c>
      <c r="Q1113" s="1" t="s">
        <v>69</v>
      </c>
      <c r="R1113" s="1">
        <v>1929</v>
      </c>
      <c r="S1113" s="1" t="s">
        <v>33</v>
      </c>
      <c r="T1113" s="1" t="s">
        <v>34</v>
      </c>
      <c r="U1113" s="1" t="s">
        <v>35</v>
      </c>
      <c r="V1113" s="1" t="s">
        <v>188</v>
      </c>
    </row>
    <row r="1114" spans="1:22" x14ac:dyDescent="0.3">
      <c r="A1114" s="1" t="s">
        <v>5454</v>
      </c>
      <c r="B1114" s="1" t="s">
        <v>5455</v>
      </c>
      <c r="C1114" s="1">
        <v>24</v>
      </c>
      <c r="D1114" s="1" t="s">
        <v>5456</v>
      </c>
      <c r="E1114" s="1" t="s">
        <v>95</v>
      </c>
      <c r="F1114" s="1" t="s">
        <v>3173</v>
      </c>
      <c r="G1114" s="2">
        <v>45385</v>
      </c>
      <c r="H1114" s="1">
        <v>0</v>
      </c>
      <c r="I1114" s="1" t="s">
        <v>27</v>
      </c>
      <c r="J1114" s="2">
        <v>44718</v>
      </c>
      <c r="K1114" s="1" t="s">
        <v>5457</v>
      </c>
      <c r="L1114" s="1">
        <v>8</v>
      </c>
      <c r="M1114" s="1">
        <v>44</v>
      </c>
      <c r="N1114" s="1" t="s">
        <v>30</v>
      </c>
      <c r="O1114" s="1" t="s">
        <v>269</v>
      </c>
      <c r="P1114" s="1" t="s">
        <v>56</v>
      </c>
      <c r="Q1114" s="1" t="s">
        <v>32</v>
      </c>
      <c r="R1114" s="1">
        <v>1074.4000000000001</v>
      </c>
      <c r="S1114" s="1" t="s">
        <v>46</v>
      </c>
      <c r="T1114" s="1" t="s">
        <v>100</v>
      </c>
      <c r="U1114" s="1" t="s">
        <v>35</v>
      </c>
      <c r="V1114" s="1" t="s">
        <v>36</v>
      </c>
    </row>
    <row r="1115" spans="1:22" x14ac:dyDescent="0.3">
      <c r="A1115" s="1" t="s">
        <v>5458</v>
      </c>
      <c r="B1115" s="1" t="s">
        <v>5459</v>
      </c>
      <c r="C1115" s="1">
        <v>64</v>
      </c>
      <c r="D1115" s="1" t="s">
        <v>5460</v>
      </c>
      <c r="E1115" s="1" t="s">
        <v>95</v>
      </c>
      <c r="F1115" s="2">
        <v>44535</v>
      </c>
      <c r="G1115" s="1" t="s">
        <v>2188</v>
      </c>
      <c r="H1115" s="1">
        <v>0</v>
      </c>
      <c r="I1115" s="1" t="s">
        <v>27</v>
      </c>
      <c r="J1115" s="1" t="s">
        <v>5461</v>
      </c>
      <c r="K1115" s="1" t="s">
        <v>5462</v>
      </c>
      <c r="L1115" s="1">
        <v>5</v>
      </c>
      <c r="M1115" s="1">
        <v>19</v>
      </c>
      <c r="N1115" s="1" t="s">
        <v>68</v>
      </c>
      <c r="O1115" s="1" t="s">
        <v>77</v>
      </c>
      <c r="P1115" s="1" t="s">
        <v>54</v>
      </c>
      <c r="Q1115" s="1" t="s">
        <v>32</v>
      </c>
      <c r="R1115" s="1">
        <v>1143.3499999999999</v>
      </c>
      <c r="S1115" s="1" t="s">
        <v>46</v>
      </c>
      <c r="T1115" s="1" t="s">
        <v>47</v>
      </c>
      <c r="U1115" s="1" t="s">
        <v>35</v>
      </c>
      <c r="V1115" s="1" t="s">
        <v>36</v>
      </c>
    </row>
    <row r="1116" spans="1:22" x14ac:dyDescent="0.3">
      <c r="A1116" s="1" t="s">
        <v>5463</v>
      </c>
      <c r="B1116" s="1" t="s">
        <v>5464</v>
      </c>
      <c r="C1116" s="1">
        <v>19</v>
      </c>
      <c r="D1116" s="1" t="s">
        <v>5465</v>
      </c>
      <c r="E1116" s="1" t="s">
        <v>40</v>
      </c>
      <c r="F1116" s="2">
        <v>44753</v>
      </c>
      <c r="G1116" s="1" t="s">
        <v>3078</v>
      </c>
      <c r="H1116" s="1">
        <v>2</v>
      </c>
      <c r="I1116" s="1" t="s">
        <v>64</v>
      </c>
      <c r="J1116" s="1" t="s">
        <v>1606</v>
      </c>
      <c r="K1116" s="1" t="s">
        <v>5466</v>
      </c>
      <c r="L1116" s="1">
        <v>5</v>
      </c>
      <c r="M1116" s="1">
        <v>33</v>
      </c>
      <c r="N1116" s="1" t="s">
        <v>30</v>
      </c>
      <c r="O1116" s="1" t="s">
        <v>199</v>
      </c>
      <c r="P1116" s="1" t="s">
        <v>54</v>
      </c>
      <c r="Q1116" s="1" t="s">
        <v>69</v>
      </c>
      <c r="R1116" s="1">
        <v>1801.1</v>
      </c>
      <c r="S1116" s="1" t="s">
        <v>46</v>
      </c>
      <c r="T1116" s="1" t="s">
        <v>100</v>
      </c>
      <c r="U1116" s="1" t="s">
        <v>35</v>
      </c>
      <c r="V1116" s="1" t="s">
        <v>71</v>
      </c>
    </row>
    <row r="1117" spans="1:22" x14ac:dyDescent="0.3">
      <c r="A1117" s="1" t="s">
        <v>5467</v>
      </c>
      <c r="B1117" s="1" t="s">
        <v>5468</v>
      </c>
      <c r="C1117" s="1">
        <v>29</v>
      </c>
      <c r="D1117" s="1" t="s">
        <v>5469</v>
      </c>
      <c r="E1117" s="1" t="s">
        <v>51</v>
      </c>
      <c r="F1117" s="1" t="s">
        <v>3407</v>
      </c>
      <c r="G1117" s="1" t="s">
        <v>1731</v>
      </c>
      <c r="H1117" s="1">
        <v>3</v>
      </c>
      <c r="I1117" s="1" t="s">
        <v>27</v>
      </c>
      <c r="J1117" s="2">
        <v>45142</v>
      </c>
      <c r="K1117" s="1" t="s">
        <v>5470</v>
      </c>
      <c r="L1117" s="1">
        <v>3</v>
      </c>
      <c r="M1117" s="1">
        <v>28</v>
      </c>
      <c r="N1117" s="1" t="s">
        <v>56</v>
      </c>
      <c r="O1117" s="1" t="s">
        <v>135</v>
      </c>
      <c r="P1117" s="1" t="s">
        <v>45</v>
      </c>
      <c r="Q1117" s="1" t="s">
        <v>32</v>
      </c>
      <c r="R1117" s="1">
        <v>297.14999999999998</v>
      </c>
      <c r="S1117" s="1" t="s">
        <v>46</v>
      </c>
      <c r="T1117" s="1" t="s">
        <v>57</v>
      </c>
      <c r="U1117" s="1" t="s">
        <v>35</v>
      </c>
      <c r="V1117" s="1" t="s">
        <v>36</v>
      </c>
    </row>
    <row r="1118" spans="1:22" x14ac:dyDescent="0.3">
      <c r="A1118" s="1" t="s">
        <v>5471</v>
      </c>
      <c r="B1118" s="1" t="s">
        <v>5472</v>
      </c>
      <c r="C1118" s="1">
        <v>61</v>
      </c>
      <c r="D1118" s="1" t="s">
        <v>5473</v>
      </c>
      <c r="E1118" s="1" t="s">
        <v>88</v>
      </c>
      <c r="F1118" s="1" t="s">
        <v>5474</v>
      </c>
      <c r="G1118" s="2">
        <v>45025</v>
      </c>
      <c r="H1118" s="1">
        <v>4</v>
      </c>
      <c r="I1118" s="1" t="s">
        <v>64</v>
      </c>
      <c r="J1118" s="1" t="s">
        <v>847</v>
      </c>
      <c r="K1118" s="1" t="s">
        <v>5475</v>
      </c>
      <c r="L1118" s="1">
        <v>7</v>
      </c>
      <c r="M1118" s="1">
        <v>15</v>
      </c>
      <c r="N1118" s="1" t="s">
        <v>68</v>
      </c>
      <c r="O1118" s="1" t="s">
        <v>199</v>
      </c>
      <c r="P1118" s="1" t="s">
        <v>54</v>
      </c>
      <c r="Q1118" s="1" t="s">
        <v>32</v>
      </c>
      <c r="R1118" s="1">
        <v>1487.29</v>
      </c>
      <c r="S1118" s="1" t="s">
        <v>46</v>
      </c>
      <c r="T1118" s="1" t="s">
        <v>47</v>
      </c>
      <c r="U1118" s="1" t="s">
        <v>35</v>
      </c>
      <c r="V1118" s="1" t="s">
        <v>71</v>
      </c>
    </row>
    <row r="1119" spans="1:22" x14ac:dyDescent="0.3">
      <c r="A1119" s="1" t="s">
        <v>5476</v>
      </c>
      <c r="B1119" s="1" t="s">
        <v>5477</v>
      </c>
      <c r="C1119" s="1">
        <v>59</v>
      </c>
      <c r="D1119" s="1" t="s">
        <v>5478</v>
      </c>
      <c r="E1119" s="1" t="s">
        <v>40</v>
      </c>
      <c r="F1119" s="2">
        <v>44838</v>
      </c>
      <c r="G1119" s="1" t="s">
        <v>5479</v>
      </c>
      <c r="H1119" s="1">
        <v>1</v>
      </c>
      <c r="I1119" s="1" t="s">
        <v>27</v>
      </c>
      <c r="J1119" s="1" t="s">
        <v>5480</v>
      </c>
      <c r="K1119" s="1" t="s">
        <v>5481</v>
      </c>
      <c r="L1119" s="1">
        <v>8</v>
      </c>
      <c r="M1119" s="1">
        <v>19</v>
      </c>
      <c r="N1119" s="1" t="s">
        <v>30</v>
      </c>
      <c r="O1119" s="1" t="s">
        <v>135</v>
      </c>
      <c r="P1119" s="1" t="s">
        <v>45</v>
      </c>
      <c r="Q1119" s="1" t="s">
        <v>69</v>
      </c>
      <c r="R1119" s="1">
        <v>112.96</v>
      </c>
      <c r="S1119" s="1" t="s">
        <v>46</v>
      </c>
      <c r="T1119" s="1" t="s">
        <v>47</v>
      </c>
      <c r="U1119" s="1" t="s">
        <v>101</v>
      </c>
      <c r="V1119" s="1" t="s">
        <v>36</v>
      </c>
    </row>
    <row r="1120" spans="1:22" x14ac:dyDescent="0.3">
      <c r="A1120" s="1" t="s">
        <v>5482</v>
      </c>
      <c r="B1120" s="1" t="s">
        <v>5483</v>
      </c>
      <c r="C1120" s="1">
        <v>66</v>
      </c>
      <c r="D1120" s="1" t="s">
        <v>5484</v>
      </c>
      <c r="E1120" s="1" t="s">
        <v>61</v>
      </c>
      <c r="F1120" s="1" t="s">
        <v>5485</v>
      </c>
      <c r="G1120" s="1" t="s">
        <v>5486</v>
      </c>
      <c r="H1120" s="1">
        <v>3</v>
      </c>
      <c r="I1120" s="1" t="s">
        <v>52</v>
      </c>
      <c r="J1120" s="2">
        <v>45024</v>
      </c>
      <c r="K1120" s="1" t="s">
        <v>5487</v>
      </c>
      <c r="L1120" s="1">
        <v>4</v>
      </c>
      <c r="M1120" s="1">
        <v>44</v>
      </c>
      <c r="N1120" s="1" t="s">
        <v>30</v>
      </c>
      <c r="O1120" s="1" t="s">
        <v>425</v>
      </c>
      <c r="P1120" s="1" t="s">
        <v>30</v>
      </c>
      <c r="Q1120" s="1" t="s">
        <v>69</v>
      </c>
      <c r="R1120" s="1">
        <v>1033.48</v>
      </c>
      <c r="S1120" s="1" t="s">
        <v>33</v>
      </c>
      <c r="T1120" s="1" t="s">
        <v>232</v>
      </c>
      <c r="U1120" s="1" t="s">
        <v>35</v>
      </c>
      <c r="V1120" s="1" t="s">
        <v>36</v>
      </c>
    </row>
    <row r="1121" spans="1:22" x14ac:dyDescent="0.3">
      <c r="A1121" s="1" t="s">
        <v>5488</v>
      </c>
      <c r="B1121" s="1" t="s">
        <v>5489</v>
      </c>
      <c r="C1121" s="1">
        <v>23</v>
      </c>
      <c r="D1121" s="1" t="s">
        <v>5490</v>
      </c>
      <c r="E1121" s="1" t="s">
        <v>40</v>
      </c>
      <c r="F1121" s="2">
        <v>44779</v>
      </c>
      <c r="G1121" s="2">
        <v>45387</v>
      </c>
      <c r="H1121" s="1">
        <v>1</v>
      </c>
      <c r="I1121" s="1" t="s">
        <v>27</v>
      </c>
      <c r="J1121" s="1" t="s">
        <v>4033</v>
      </c>
      <c r="K1121" s="1" t="s">
        <v>5491</v>
      </c>
      <c r="L1121" s="1">
        <v>9</v>
      </c>
      <c r="M1121" s="1">
        <v>37</v>
      </c>
      <c r="N1121" s="1" t="s">
        <v>30</v>
      </c>
      <c r="O1121" s="1" t="s">
        <v>231</v>
      </c>
      <c r="P1121" s="1" t="s">
        <v>30</v>
      </c>
      <c r="Q1121" s="1" t="s">
        <v>32</v>
      </c>
      <c r="R1121" s="1">
        <v>1273.05</v>
      </c>
      <c r="S1121" s="1" t="s">
        <v>33</v>
      </c>
      <c r="T1121" s="1" t="s">
        <v>100</v>
      </c>
      <c r="U1121" s="1" t="s">
        <v>35</v>
      </c>
      <c r="V1121" s="1" t="s">
        <v>36</v>
      </c>
    </row>
    <row r="1122" spans="1:22" x14ac:dyDescent="0.3">
      <c r="A1122" s="1" t="s">
        <v>5492</v>
      </c>
      <c r="B1122" s="1" t="s">
        <v>5493</v>
      </c>
      <c r="C1122" s="1">
        <v>41</v>
      </c>
      <c r="D1122" s="1" t="s">
        <v>5494</v>
      </c>
      <c r="E1122" s="1" t="s">
        <v>51</v>
      </c>
      <c r="F1122" s="1" t="s">
        <v>473</v>
      </c>
      <c r="G1122" s="1" t="s">
        <v>120</v>
      </c>
      <c r="H1122" s="1">
        <v>5</v>
      </c>
      <c r="I1122" s="1" t="s">
        <v>52</v>
      </c>
      <c r="J1122" s="1" t="s">
        <v>4595</v>
      </c>
      <c r="K1122" s="1" t="s">
        <v>5495</v>
      </c>
      <c r="L1122" s="1">
        <v>9</v>
      </c>
      <c r="M1122" s="1">
        <v>43</v>
      </c>
      <c r="N1122" s="1" t="s">
        <v>56</v>
      </c>
      <c r="O1122" s="1" t="s">
        <v>610</v>
      </c>
      <c r="P1122" s="1" t="s">
        <v>68</v>
      </c>
      <c r="Q1122" s="1" t="s">
        <v>69</v>
      </c>
      <c r="R1122" s="1">
        <v>475.29</v>
      </c>
      <c r="S1122" s="1" t="s">
        <v>46</v>
      </c>
      <c r="T1122" s="1" t="s">
        <v>34</v>
      </c>
      <c r="U1122" s="1" t="s">
        <v>35</v>
      </c>
      <c r="V1122" s="1" t="s">
        <v>36</v>
      </c>
    </row>
    <row r="1123" spans="1:22" x14ac:dyDescent="0.3">
      <c r="A1123" s="1" t="s">
        <v>5496</v>
      </c>
      <c r="B1123" s="1" t="s">
        <v>5497</v>
      </c>
      <c r="C1123" s="1">
        <v>58</v>
      </c>
      <c r="D1123" s="1" t="s">
        <v>5498</v>
      </c>
      <c r="E1123" s="1" t="s">
        <v>40</v>
      </c>
      <c r="F1123" s="1" t="s">
        <v>5499</v>
      </c>
      <c r="G1123" s="2">
        <v>45480</v>
      </c>
      <c r="H1123" s="1">
        <v>0</v>
      </c>
      <c r="I1123" s="1" t="s">
        <v>52</v>
      </c>
      <c r="J1123" s="1" t="s">
        <v>4817</v>
      </c>
      <c r="K1123" s="1" t="s">
        <v>5500</v>
      </c>
      <c r="L1123" s="1">
        <v>5</v>
      </c>
      <c r="M1123" s="1">
        <v>38</v>
      </c>
      <c r="N1123" s="1" t="s">
        <v>30</v>
      </c>
      <c r="O1123" s="1" t="s">
        <v>597</v>
      </c>
      <c r="P1123" s="1" t="s">
        <v>45</v>
      </c>
      <c r="Q1123" s="1" t="s">
        <v>32</v>
      </c>
      <c r="R1123" s="1">
        <v>849.05</v>
      </c>
      <c r="S1123" s="1" t="s">
        <v>46</v>
      </c>
      <c r="T1123" s="1" t="s">
        <v>47</v>
      </c>
      <c r="U1123" s="1" t="s">
        <v>35</v>
      </c>
      <c r="V1123" s="1" t="s">
        <v>36</v>
      </c>
    </row>
    <row r="1124" spans="1:22" x14ac:dyDescent="0.3">
      <c r="A1124" s="1" t="s">
        <v>5501</v>
      </c>
      <c r="B1124" s="1" t="s">
        <v>5502</v>
      </c>
      <c r="C1124" s="1">
        <v>37</v>
      </c>
      <c r="D1124" s="1" t="s">
        <v>5503</v>
      </c>
      <c r="E1124" s="1" t="s">
        <v>95</v>
      </c>
      <c r="F1124" s="1" t="s">
        <v>267</v>
      </c>
      <c r="G1124" s="1" t="s">
        <v>566</v>
      </c>
      <c r="H1124" s="1">
        <v>1</v>
      </c>
      <c r="I1124" s="1" t="s">
        <v>27</v>
      </c>
      <c r="J1124" s="1" t="s">
        <v>2951</v>
      </c>
      <c r="K1124" s="1" t="s">
        <v>5504</v>
      </c>
      <c r="L1124" s="1">
        <v>6</v>
      </c>
      <c r="M1124" s="1">
        <v>8</v>
      </c>
      <c r="N1124" s="1" t="s">
        <v>68</v>
      </c>
      <c r="O1124" s="1" t="s">
        <v>245</v>
      </c>
      <c r="P1124" s="1" t="s">
        <v>54</v>
      </c>
      <c r="Q1124" s="1" t="s">
        <v>69</v>
      </c>
      <c r="R1124" s="1">
        <v>671.94</v>
      </c>
      <c r="S1124" s="1" t="s">
        <v>46</v>
      </c>
      <c r="T1124" s="1" t="s">
        <v>34</v>
      </c>
      <c r="U1124" s="1" t="s">
        <v>35</v>
      </c>
      <c r="V1124" s="1" t="s">
        <v>36</v>
      </c>
    </row>
    <row r="1125" spans="1:22" x14ac:dyDescent="0.3">
      <c r="A1125" s="1" t="s">
        <v>5505</v>
      </c>
      <c r="B1125" s="1" t="s">
        <v>5506</v>
      </c>
      <c r="C1125" s="1">
        <v>40</v>
      </c>
      <c r="D1125" s="1" t="s">
        <v>5507</v>
      </c>
      <c r="E1125" s="1" t="s">
        <v>95</v>
      </c>
      <c r="F1125" s="1" t="s">
        <v>5508</v>
      </c>
      <c r="G1125" s="1" t="s">
        <v>3977</v>
      </c>
      <c r="H1125" s="1">
        <v>0</v>
      </c>
      <c r="I1125" s="1" t="s">
        <v>64</v>
      </c>
      <c r="J1125" s="2">
        <v>45512</v>
      </c>
      <c r="K1125" s="1" t="s">
        <v>5509</v>
      </c>
      <c r="L1125" s="1">
        <v>3</v>
      </c>
      <c r="M1125" s="1">
        <v>7</v>
      </c>
      <c r="N1125" s="1" t="s">
        <v>45</v>
      </c>
      <c r="O1125" s="1" t="s">
        <v>211</v>
      </c>
      <c r="P1125" s="1" t="s">
        <v>68</v>
      </c>
      <c r="Q1125" s="1" t="s">
        <v>322</v>
      </c>
      <c r="R1125" s="1">
        <v>1692.9</v>
      </c>
      <c r="S1125" s="1" t="s">
        <v>46</v>
      </c>
      <c r="T1125" s="1" t="s">
        <v>34</v>
      </c>
      <c r="U1125" s="1" t="s">
        <v>35</v>
      </c>
      <c r="V1125" s="1" t="s">
        <v>71</v>
      </c>
    </row>
    <row r="1126" spans="1:22" x14ac:dyDescent="0.3">
      <c r="A1126" s="1" t="s">
        <v>5510</v>
      </c>
      <c r="B1126" s="1" t="s">
        <v>5511</v>
      </c>
      <c r="C1126" s="1">
        <v>68</v>
      </c>
      <c r="D1126" s="1" t="s">
        <v>5512</v>
      </c>
      <c r="E1126" s="1" t="s">
        <v>40</v>
      </c>
      <c r="F1126" s="1" t="s">
        <v>5513</v>
      </c>
      <c r="G1126" s="2">
        <v>45507</v>
      </c>
      <c r="H1126" s="1">
        <v>0</v>
      </c>
      <c r="I1126" s="1" t="s">
        <v>27</v>
      </c>
      <c r="J1126" s="1" t="s">
        <v>440</v>
      </c>
      <c r="K1126" s="1" t="s">
        <v>5514</v>
      </c>
      <c r="L1126" s="1">
        <v>4</v>
      </c>
      <c r="M1126" s="1">
        <v>23</v>
      </c>
      <c r="N1126" s="1" t="s">
        <v>30</v>
      </c>
      <c r="O1126" s="1" t="s">
        <v>157</v>
      </c>
      <c r="P1126" s="1" t="s">
        <v>68</v>
      </c>
      <c r="Q1126" s="1" t="s">
        <v>69</v>
      </c>
      <c r="R1126" s="1">
        <v>978.84</v>
      </c>
      <c r="S1126" s="1" t="s">
        <v>46</v>
      </c>
      <c r="T1126" s="1" t="s">
        <v>232</v>
      </c>
      <c r="U1126" s="1" t="s">
        <v>35</v>
      </c>
      <c r="V1126" s="1" t="s">
        <v>36</v>
      </c>
    </row>
    <row r="1127" spans="1:22" x14ac:dyDescent="0.3">
      <c r="A1127" s="1" t="s">
        <v>5515</v>
      </c>
      <c r="B1127" s="1" t="s">
        <v>5516</v>
      </c>
      <c r="C1127" s="1">
        <v>23</v>
      </c>
      <c r="D1127" s="1" t="s">
        <v>5517</v>
      </c>
      <c r="E1127" s="1" t="s">
        <v>25</v>
      </c>
      <c r="F1127" s="1" t="s">
        <v>5518</v>
      </c>
      <c r="G1127" s="2">
        <v>44115</v>
      </c>
      <c r="H1127" s="1">
        <v>1</v>
      </c>
      <c r="I1127" s="1" t="s">
        <v>27</v>
      </c>
      <c r="J1127" s="1" t="s">
        <v>912</v>
      </c>
      <c r="K1127" s="1" t="s">
        <v>5519</v>
      </c>
      <c r="L1127" s="1">
        <v>1</v>
      </c>
      <c r="M1127" s="1">
        <v>11</v>
      </c>
      <c r="N1127" s="1" t="s">
        <v>30</v>
      </c>
      <c r="O1127" s="1" t="s">
        <v>122</v>
      </c>
      <c r="P1127" s="1" t="s">
        <v>30</v>
      </c>
      <c r="Q1127" s="1" t="s">
        <v>32</v>
      </c>
      <c r="R1127" s="1">
        <v>603.87</v>
      </c>
      <c r="S1127" s="1" t="s">
        <v>33</v>
      </c>
      <c r="T1127" s="1" t="s">
        <v>100</v>
      </c>
      <c r="U1127" s="1" t="s">
        <v>35</v>
      </c>
      <c r="V1127" s="1" t="s">
        <v>36</v>
      </c>
    </row>
    <row r="1128" spans="1:22" x14ac:dyDescent="0.3">
      <c r="A1128" s="1" t="s">
        <v>5520</v>
      </c>
      <c r="B1128" s="1" t="s">
        <v>5521</v>
      </c>
      <c r="C1128" s="1">
        <v>25</v>
      </c>
      <c r="D1128" s="1" t="s">
        <v>5522</v>
      </c>
      <c r="E1128" s="1" t="s">
        <v>88</v>
      </c>
      <c r="F1128" s="2">
        <v>44175</v>
      </c>
      <c r="G1128" s="1" t="s">
        <v>179</v>
      </c>
      <c r="H1128" s="1">
        <v>1</v>
      </c>
      <c r="I1128" s="1" t="s">
        <v>27</v>
      </c>
      <c r="J1128" s="1" t="s">
        <v>3802</v>
      </c>
      <c r="K1128" s="1" t="s">
        <v>5523</v>
      </c>
      <c r="L1128" s="1">
        <v>2</v>
      </c>
      <c r="M1128" s="1">
        <v>25</v>
      </c>
      <c r="N1128" s="1" t="s">
        <v>30</v>
      </c>
      <c r="O1128" s="1" t="s">
        <v>536</v>
      </c>
      <c r="P1128" s="1" t="s">
        <v>68</v>
      </c>
      <c r="Q1128" s="1" t="s">
        <v>69</v>
      </c>
      <c r="R1128" s="1">
        <v>464.22</v>
      </c>
      <c r="S1128" s="1" t="s">
        <v>46</v>
      </c>
      <c r="T1128" s="1" t="s">
        <v>57</v>
      </c>
      <c r="U1128" s="1" t="s">
        <v>35</v>
      </c>
      <c r="V1128" s="1" t="s">
        <v>36</v>
      </c>
    </row>
    <row r="1129" spans="1:22" x14ac:dyDescent="0.3">
      <c r="A1129" s="1" t="s">
        <v>5524</v>
      </c>
      <c r="B1129" s="1" t="s">
        <v>5525</v>
      </c>
      <c r="C1129" s="1">
        <v>60</v>
      </c>
      <c r="D1129" s="1" t="s">
        <v>5526</v>
      </c>
      <c r="E1129" s="1" t="s">
        <v>88</v>
      </c>
      <c r="F1129" s="2">
        <v>44960</v>
      </c>
      <c r="G1129" s="2">
        <v>45724</v>
      </c>
      <c r="H1129" s="1">
        <v>1</v>
      </c>
      <c r="I1129" s="1" t="s">
        <v>64</v>
      </c>
      <c r="J1129" s="1" t="s">
        <v>579</v>
      </c>
      <c r="K1129" s="1" t="s">
        <v>5527</v>
      </c>
      <c r="L1129" s="1">
        <v>5</v>
      </c>
      <c r="M1129" s="1">
        <v>7</v>
      </c>
      <c r="N1129" s="1" t="s">
        <v>56</v>
      </c>
      <c r="O1129" s="1" t="s">
        <v>855</v>
      </c>
      <c r="P1129" s="1" t="s">
        <v>45</v>
      </c>
      <c r="Q1129" s="1" t="s">
        <v>32</v>
      </c>
      <c r="R1129" s="1">
        <v>252.6</v>
      </c>
      <c r="S1129" s="1" t="s">
        <v>46</v>
      </c>
      <c r="T1129" s="1" t="s">
        <v>47</v>
      </c>
      <c r="U1129" s="1" t="s">
        <v>101</v>
      </c>
      <c r="V1129" s="1" t="s">
        <v>71</v>
      </c>
    </row>
    <row r="1130" spans="1:22" x14ac:dyDescent="0.3">
      <c r="A1130" s="1" t="s">
        <v>5528</v>
      </c>
      <c r="B1130" s="1" t="s">
        <v>5529</v>
      </c>
      <c r="C1130" s="1">
        <v>24</v>
      </c>
      <c r="D1130" s="1" t="s">
        <v>5530</v>
      </c>
      <c r="E1130" s="1" t="s">
        <v>95</v>
      </c>
      <c r="F1130" s="1" t="s">
        <v>5096</v>
      </c>
      <c r="G1130" s="1" t="s">
        <v>5531</v>
      </c>
      <c r="H1130" s="1">
        <v>5</v>
      </c>
      <c r="I1130" s="1" t="s">
        <v>27</v>
      </c>
      <c r="J1130" s="1" t="s">
        <v>89</v>
      </c>
      <c r="K1130" s="1" t="s">
        <v>5532</v>
      </c>
      <c r="L1130" s="1">
        <v>2</v>
      </c>
      <c r="M1130" s="1">
        <v>33</v>
      </c>
      <c r="N1130" s="1" t="s">
        <v>45</v>
      </c>
      <c r="O1130" s="1" t="s">
        <v>149</v>
      </c>
      <c r="P1130" s="1" t="s">
        <v>30</v>
      </c>
      <c r="Q1130" s="1" t="s">
        <v>69</v>
      </c>
      <c r="R1130" s="1">
        <v>814.08</v>
      </c>
      <c r="S1130" s="1" t="s">
        <v>46</v>
      </c>
      <c r="T1130" s="1" t="s">
        <v>100</v>
      </c>
      <c r="U1130" s="1" t="s">
        <v>35</v>
      </c>
      <c r="V1130" s="1" t="s">
        <v>188</v>
      </c>
    </row>
    <row r="1131" spans="1:22" x14ac:dyDescent="0.3">
      <c r="A1131" s="1" t="s">
        <v>5533</v>
      </c>
      <c r="B1131" s="1" t="s">
        <v>5534</v>
      </c>
      <c r="C1131" s="1">
        <v>66</v>
      </c>
      <c r="D1131" s="1" t="s">
        <v>5535</v>
      </c>
      <c r="E1131" s="1" t="s">
        <v>40</v>
      </c>
      <c r="F1131" s="1" t="s">
        <v>1491</v>
      </c>
      <c r="G1131" s="1" t="s">
        <v>1252</v>
      </c>
      <c r="H1131" s="1">
        <v>3</v>
      </c>
      <c r="I1131" s="1" t="s">
        <v>27</v>
      </c>
      <c r="J1131" s="2">
        <v>45390</v>
      </c>
      <c r="K1131" s="1" t="s">
        <v>5536</v>
      </c>
      <c r="L1131" s="1">
        <v>9</v>
      </c>
      <c r="M1131" s="1">
        <v>30</v>
      </c>
      <c r="N1131" s="1" t="s">
        <v>30</v>
      </c>
      <c r="O1131" s="1" t="s">
        <v>610</v>
      </c>
      <c r="P1131" s="1" t="s">
        <v>68</v>
      </c>
      <c r="Q1131" s="1" t="s">
        <v>69</v>
      </c>
      <c r="R1131" s="1">
        <v>1916.28</v>
      </c>
      <c r="S1131" s="1" t="s">
        <v>46</v>
      </c>
      <c r="T1131" s="1" t="s">
        <v>232</v>
      </c>
      <c r="U1131" s="1" t="s">
        <v>35</v>
      </c>
      <c r="V1131" s="1" t="s">
        <v>36</v>
      </c>
    </row>
    <row r="1132" spans="1:22" x14ac:dyDescent="0.3">
      <c r="A1132" s="1" t="s">
        <v>5537</v>
      </c>
      <c r="B1132" s="1" t="s">
        <v>5538</v>
      </c>
      <c r="C1132" s="1">
        <v>40</v>
      </c>
      <c r="D1132" s="1" t="s">
        <v>5539</v>
      </c>
      <c r="E1132" s="1" t="s">
        <v>51</v>
      </c>
      <c r="F1132" s="2">
        <v>43900</v>
      </c>
      <c r="G1132" s="1" t="s">
        <v>946</v>
      </c>
      <c r="H1132" s="1">
        <v>5</v>
      </c>
      <c r="I1132" s="1" t="s">
        <v>52</v>
      </c>
      <c r="J1132" s="2">
        <v>44512</v>
      </c>
      <c r="K1132" s="1" t="s">
        <v>5540</v>
      </c>
      <c r="L1132" s="1">
        <v>9</v>
      </c>
      <c r="M1132" s="1">
        <v>9</v>
      </c>
      <c r="N1132" s="1" t="s">
        <v>30</v>
      </c>
      <c r="O1132" s="1" t="s">
        <v>67</v>
      </c>
      <c r="P1132" s="1" t="s">
        <v>68</v>
      </c>
      <c r="Q1132" s="1" t="s">
        <v>69</v>
      </c>
      <c r="R1132" s="1">
        <v>1074.1500000000001</v>
      </c>
      <c r="S1132" s="1" t="s">
        <v>46</v>
      </c>
      <c r="T1132" s="1" t="s">
        <v>34</v>
      </c>
      <c r="U1132" s="1" t="s">
        <v>35</v>
      </c>
      <c r="V1132" s="1" t="s">
        <v>36</v>
      </c>
    </row>
    <row r="1133" spans="1:22" x14ac:dyDescent="0.3">
      <c r="A1133" s="1" t="s">
        <v>5541</v>
      </c>
      <c r="B1133" s="1" t="s">
        <v>5542</v>
      </c>
      <c r="C1133" s="1">
        <v>62</v>
      </c>
      <c r="D1133" s="1" t="s">
        <v>5543</v>
      </c>
      <c r="E1133" s="1" t="s">
        <v>25</v>
      </c>
      <c r="F1133" s="2">
        <v>44264</v>
      </c>
      <c r="G1133" s="1" t="s">
        <v>4186</v>
      </c>
      <c r="H1133" s="1">
        <v>4</v>
      </c>
      <c r="I1133" s="1" t="s">
        <v>27</v>
      </c>
      <c r="J1133" s="1" t="s">
        <v>2690</v>
      </c>
      <c r="K1133" s="1" t="s">
        <v>5544</v>
      </c>
      <c r="L1133" s="1">
        <v>5</v>
      </c>
      <c r="M1133" s="1">
        <v>46</v>
      </c>
      <c r="N1133" s="1" t="s">
        <v>30</v>
      </c>
      <c r="O1133" s="1" t="s">
        <v>199</v>
      </c>
      <c r="P1133" s="1" t="s">
        <v>54</v>
      </c>
      <c r="Q1133" s="1" t="s">
        <v>69</v>
      </c>
      <c r="R1133" s="1">
        <v>183.75</v>
      </c>
      <c r="S1133" s="1" t="s">
        <v>46</v>
      </c>
      <c r="T1133" s="1" t="s">
        <v>47</v>
      </c>
      <c r="U1133" s="1" t="s">
        <v>35</v>
      </c>
      <c r="V1133" s="1" t="s">
        <v>188</v>
      </c>
    </row>
    <row r="1134" spans="1:22" x14ac:dyDescent="0.3">
      <c r="A1134" s="1" t="s">
        <v>5545</v>
      </c>
      <c r="B1134" s="1" t="s">
        <v>5546</v>
      </c>
      <c r="C1134" s="1">
        <v>61</v>
      </c>
      <c r="D1134" s="1" t="s">
        <v>5547</v>
      </c>
      <c r="E1134" s="1" t="s">
        <v>61</v>
      </c>
      <c r="F1134" s="1" t="s">
        <v>2517</v>
      </c>
      <c r="G1134" s="2">
        <v>44931</v>
      </c>
      <c r="H1134" s="1">
        <v>3</v>
      </c>
      <c r="I1134" s="1" t="s">
        <v>52</v>
      </c>
      <c r="J1134" s="2">
        <v>44722</v>
      </c>
      <c r="K1134" s="1" t="s">
        <v>5548</v>
      </c>
      <c r="L1134" s="1">
        <v>6</v>
      </c>
      <c r="M1134" s="1">
        <v>45</v>
      </c>
      <c r="N1134" s="1" t="s">
        <v>30</v>
      </c>
      <c r="O1134" s="1" t="s">
        <v>251</v>
      </c>
      <c r="P1134" s="1" t="s">
        <v>30</v>
      </c>
      <c r="Q1134" s="1" t="s">
        <v>69</v>
      </c>
      <c r="R1134" s="1">
        <v>683.28</v>
      </c>
      <c r="S1134" s="1" t="s">
        <v>33</v>
      </c>
      <c r="T1134" s="1" t="s">
        <v>47</v>
      </c>
      <c r="U1134" s="1" t="s">
        <v>35</v>
      </c>
      <c r="V1134" s="1" t="s">
        <v>36</v>
      </c>
    </row>
    <row r="1135" spans="1:22" x14ac:dyDescent="0.3">
      <c r="A1135" s="1" t="s">
        <v>5549</v>
      </c>
      <c r="B1135" s="1" t="s">
        <v>5550</v>
      </c>
      <c r="C1135" s="1">
        <v>64</v>
      </c>
      <c r="D1135" s="1" t="s">
        <v>5551</v>
      </c>
      <c r="E1135" s="1" t="s">
        <v>40</v>
      </c>
      <c r="F1135" s="2">
        <v>44816</v>
      </c>
      <c r="G1135" s="1" t="s">
        <v>3494</v>
      </c>
      <c r="H1135" s="1">
        <v>4</v>
      </c>
      <c r="I1135" s="1" t="s">
        <v>27</v>
      </c>
      <c r="J1135" s="2">
        <v>45416</v>
      </c>
      <c r="K1135" s="1" t="s">
        <v>5552</v>
      </c>
      <c r="L1135" s="1">
        <v>9</v>
      </c>
      <c r="M1135" s="1">
        <v>5</v>
      </c>
      <c r="N1135" s="1" t="s">
        <v>54</v>
      </c>
      <c r="O1135" s="1" t="s">
        <v>122</v>
      </c>
      <c r="P1135" s="1" t="s">
        <v>30</v>
      </c>
      <c r="Q1135" s="1" t="s">
        <v>69</v>
      </c>
      <c r="R1135" s="1">
        <v>1520.55</v>
      </c>
      <c r="S1135" s="1" t="s">
        <v>46</v>
      </c>
      <c r="T1135" s="1" t="s">
        <v>47</v>
      </c>
      <c r="U1135" s="1" t="s">
        <v>35</v>
      </c>
      <c r="V1135" s="1" t="s">
        <v>188</v>
      </c>
    </row>
    <row r="1136" spans="1:22" x14ac:dyDescent="0.3">
      <c r="A1136" s="1" t="s">
        <v>5553</v>
      </c>
      <c r="B1136" s="1" t="s">
        <v>5554</v>
      </c>
      <c r="C1136" s="1">
        <v>40</v>
      </c>
      <c r="D1136" s="1" t="s">
        <v>5555</v>
      </c>
      <c r="E1136" s="1" t="s">
        <v>95</v>
      </c>
      <c r="F1136" s="1" t="s">
        <v>608</v>
      </c>
      <c r="G1136" s="1" t="s">
        <v>2431</v>
      </c>
      <c r="H1136" s="1">
        <v>4</v>
      </c>
      <c r="I1136" s="1" t="s">
        <v>64</v>
      </c>
      <c r="J1136" s="1" t="s">
        <v>1889</v>
      </c>
      <c r="K1136" s="1" t="s">
        <v>5556</v>
      </c>
      <c r="L1136" s="1">
        <v>6</v>
      </c>
      <c r="M1136" s="1">
        <v>36</v>
      </c>
      <c r="N1136" s="1" t="s">
        <v>56</v>
      </c>
      <c r="O1136" s="1" t="s">
        <v>55</v>
      </c>
      <c r="P1136" s="1" t="s">
        <v>56</v>
      </c>
      <c r="Q1136" s="1" t="s">
        <v>32</v>
      </c>
      <c r="R1136" s="1">
        <v>59.4</v>
      </c>
      <c r="S1136" s="1" t="s">
        <v>33</v>
      </c>
      <c r="T1136" s="1" t="s">
        <v>34</v>
      </c>
      <c r="U1136" s="1" t="s">
        <v>101</v>
      </c>
      <c r="V1136" s="1" t="s">
        <v>71</v>
      </c>
    </row>
    <row r="1137" spans="1:22" x14ac:dyDescent="0.3">
      <c r="A1137" s="1" t="s">
        <v>5557</v>
      </c>
      <c r="B1137" s="1" t="s">
        <v>5558</v>
      </c>
      <c r="C1137" s="1">
        <v>40</v>
      </c>
      <c r="D1137" s="1" t="s">
        <v>5559</v>
      </c>
      <c r="E1137" s="1" t="s">
        <v>61</v>
      </c>
      <c r="F1137" s="1" t="s">
        <v>403</v>
      </c>
      <c r="G1137" s="2">
        <v>45634</v>
      </c>
      <c r="H1137" s="1">
        <v>0</v>
      </c>
      <c r="I1137" s="1" t="s">
        <v>27</v>
      </c>
      <c r="J1137" s="1" t="s">
        <v>1503</v>
      </c>
      <c r="K1137" s="1" t="s">
        <v>5560</v>
      </c>
      <c r="L1137" s="1">
        <v>9</v>
      </c>
      <c r="M1137" s="1">
        <v>29</v>
      </c>
      <c r="N1137" s="1" t="s">
        <v>54</v>
      </c>
      <c r="O1137" s="1" t="s">
        <v>604</v>
      </c>
      <c r="P1137" s="1" t="s">
        <v>45</v>
      </c>
      <c r="Q1137" s="1" t="s">
        <v>32</v>
      </c>
      <c r="R1137" s="1">
        <v>1802.16</v>
      </c>
      <c r="S1137" s="1" t="s">
        <v>46</v>
      </c>
      <c r="T1137" s="1" t="s">
        <v>34</v>
      </c>
      <c r="U1137" s="1" t="s">
        <v>35</v>
      </c>
      <c r="V1137" s="1" t="s">
        <v>36</v>
      </c>
    </row>
    <row r="1138" spans="1:22" x14ac:dyDescent="0.3">
      <c r="A1138" s="1" t="s">
        <v>5561</v>
      </c>
      <c r="B1138" s="1" t="s">
        <v>5562</v>
      </c>
      <c r="C1138" s="1">
        <v>21</v>
      </c>
      <c r="D1138" s="1" t="s">
        <v>5563</v>
      </c>
      <c r="E1138" s="1" t="s">
        <v>88</v>
      </c>
      <c r="F1138" s="2">
        <v>44875</v>
      </c>
      <c r="G1138" s="1" t="s">
        <v>3461</v>
      </c>
      <c r="H1138" s="1">
        <v>3</v>
      </c>
      <c r="I1138" s="1" t="s">
        <v>27</v>
      </c>
      <c r="J1138" s="1" t="s">
        <v>327</v>
      </c>
      <c r="K1138" s="1" t="s">
        <v>5564</v>
      </c>
      <c r="L1138" s="1">
        <v>8</v>
      </c>
      <c r="M1138" s="1">
        <v>45</v>
      </c>
      <c r="N1138" s="1" t="s">
        <v>68</v>
      </c>
      <c r="O1138" s="1" t="s">
        <v>211</v>
      </c>
      <c r="P1138" s="1" t="s">
        <v>68</v>
      </c>
      <c r="Q1138" s="1" t="s">
        <v>32</v>
      </c>
      <c r="R1138" s="1">
        <v>364.72</v>
      </c>
      <c r="S1138" s="1" t="s">
        <v>33</v>
      </c>
      <c r="T1138" s="1" t="s">
        <v>100</v>
      </c>
      <c r="U1138" s="1" t="s">
        <v>35</v>
      </c>
      <c r="V1138" s="1" t="s">
        <v>36</v>
      </c>
    </row>
    <row r="1139" spans="1:22" x14ac:dyDescent="0.3">
      <c r="A1139" s="1" t="s">
        <v>5565</v>
      </c>
      <c r="B1139" s="1" t="s">
        <v>5566</v>
      </c>
      <c r="C1139" s="1">
        <v>19</v>
      </c>
      <c r="D1139" s="1" t="s">
        <v>5567</v>
      </c>
      <c r="E1139" s="1" t="s">
        <v>40</v>
      </c>
      <c r="F1139" s="2">
        <v>44570</v>
      </c>
      <c r="G1139" s="2">
        <v>45049</v>
      </c>
      <c r="H1139" s="1">
        <v>3</v>
      </c>
      <c r="I1139" s="1" t="s">
        <v>27</v>
      </c>
      <c r="J1139" s="1" t="s">
        <v>3776</v>
      </c>
      <c r="K1139" s="1" t="s">
        <v>5568</v>
      </c>
      <c r="L1139" s="1">
        <v>4</v>
      </c>
      <c r="M1139" s="1">
        <v>46</v>
      </c>
      <c r="N1139" s="1" t="s">
        <v>68</v>
      </c>
      <c r="O1139" s="1" t="s">
        <v>175</v>
      </c>
      <c r="P1139" s="1" t="s">
        <v>56</v>
      </c>
      <c r="Q1139" s="1" t="s">
        <v>32</v>
      </c>
      <c r="R1139" s="1">
        <v>168.76</v>
      </c>
      <c r="S1139" s="1" t="s">
        <v>46</v>
      </c>
      <c r="T1139" s="1" t="s">
        <v>100</v>
      </c>
      <c r="U1139" s="1" t="s">
        <v>35</v>
      </c>
      <c r="V1139" s="1" t="s">
        <v>36</v>
      </c>
    </row>
    <row r="1140" spans="1:22" x14ac:dyDescent="0.3">
      <c r="A1140" s="1" t="s">
        <v>5569</v>
      </c>
      <c r="B1140" s="1" t="s">
        <v>5570</v>
      </c>
      <c r="C1140" s="1">
        <v>52</v>
      </c>
      <c r="D1140" s="1" t="s">
        <v>5571</v>
      </c>
      <c r="E1140" s="1" t="s">
        <v>51</v>
      </c>
      <c r="F1140" s="1" t="s">
        <v>5426</v>
      </c>
      <c r="G1140" s="2">
        <v>45200</v>
      </c>
      <c r="H1140" s="1">
        <v>2</v>
      </c>
      <c r="I1140" s="1" t="s">
        <v>64</v>
      </c>
      <c r="J1140" s="1" t="s">
        <v>5480</v>
      </c>
      <c r="K1140" s="1" t="s">
        <v>5572</v>
      </c>
      <c r="L1140" s="1">
        <v>6</v>
      </c>
      <c r="M1140" s="1">
        <v>24</v>
      </c>
      <c r="N1140" s="1" t="s">
        <v>56</v>
      </c>
      <c r="O1140" s="1" t="s">
        <v>536</v>
      </c>
      <c r="P1140" s="1" t="s">
        <v>68</v>
      </c>
      <c r="Q1140" s="1" t="s">
        <v>69</v>
      </c>
      <c r="R1140" s="1">
        <v>1192.3800000000001</v>
      </c>
      <c r="S1140" s="1" t="s">
        <v>46</v>
      </c>
      <c r="T1140" s="1" t="s">
        <v>47</v>
      </c>
      <c r="U1140" s="1" t="s">
        <v>35</v>
      </c>
      <c r="V1140" s="1" t="s">
        <v>71</v>
      </c>
    </row>
    <row r="1141" spans="1:22" x14ac:dyDescent="0.3">
      <c r="A1141" s="1" t="s">
        <v>5573</v>
      </c>
      <c r="B1141" s="1" t="s">
        <v>5574</v>
      </c>
      <c r="C1141" s="1">
        <v>53</v>
      </c>
      <c r="D1141" s="1" t="s">
        <v>5575</v>
      </c>
      <c r="E1141" s="1" t="s">
        <v>88</v>
      </c>
      <c r="F1141" s="2">
        <v>45080</v>
      </c>
      <c r="G1141" s="2">
        <v>45812</v>
      </c>
      <c r="H1141" s="1">
        <v>4</v>
      </c>
      <c r="I1141" s="1" t="s">
        <v>27</v>
      </c>
      <c r="J1141" s="1" t="s">
        <v>5576</v>
      </c>
      <c r="K1141" s="1" t="s">
        <v>5577</v>
      </c>
      <c r="L1141" s="1">
        <v>1</v>
      </c>
      <c r="M1141" s="1">
        <v>42</v>
      </c>
      <c r="N1141" s="1" t="s">
        <v>45</v>
      </c>
      <c r="O1141" s="1" t="s">
        <v>223</v>
      </c>
      <c r="P1141" s="1" t="s">
        <v>56</v>
      </c>
      <c r="Q1141" s="1" t="s">
        <v>69</v>
      </c>
      <c r="R1141" s="1">
        <v>339.6</v>
      </c>
      <c r="S1141" s="1" t="s">
        <v>46</v>
      </c>
      <c r="T1141" s="1" t="s">
        <v>47</v>
      </c>
      <c r="U1141" s="1" t="s">
        <v>35</v>
      </c>
      <c r="V1141" s="1" t="s">
        <v>188</v>
      </c>
    </row>
    <row r="1142" spans="1:22" x14ac:dyDescent="0.3">
      <c r="A1142" s="1" t="s">
        <v>5578</v>
      </c>
      <c r="B1142" s="1" t="s">
        <v>5579</v>
      </c>
      <c r="C1142" s="1">
        <v>61</v>
      </c>
      <c r="D1142" s="1" t="s">
        <v>5580</v>
      </c>
      <c r="E1142" s="1" t="s">
        <v>51</v>
      </c>
      <c r="F1142" s="2">
        <v>44813</v>
      </c>
      <c r="G1142" s="1" t="s">
        <v>1705</v>
      </c>
      <c r="H1142" s="1">
        <v>1</v>
      </c>
      <c r="I1142" s="1" t="s">
        <v>27</v>
      </c>
      <c r="J1142" s="2">
        <v>45393</v>
      </c>
      <c r="K1142" s="1" t="s">
        <v>5581</v>
      </c>
      <c r="L1142" s="1">
        <v>8</v>
      </c>
      <c r="M1142" s="1">
        <v>39</v>
      </c>
      <c r="N1142" s="1" t="s">
        <v>56</v>
      </c>
      <c r="O1142" s="1" t="s">
        <v>175</v>
      </c>
      <c r="P1142" s="1" t="s">
        <v>56</v>
      </c>
      <c r="Q1142" s="1" t="s">
        <v>32</v>
      </c>
      <c r="R1142" s="1">
        <v>581.84</v>
      </c>
      <c r="S1142" s="1" t="s">
        <v>33</v>
      </c>
      <c r="T1142" s="1" t="s">
        <v>47</v>
      </c>
      <c r="U1142" s="1" t="s">
        <v>35</v>
      </c>
      <c r="V1142" s="1" t="s">
        <v>36</v>
      </c>
    </row>
    <row r="1143" spans="1:22" x14ac:dyDescent="0.3">
      <c r="A1143" s="1" t="s">
        <v>5582</v>
      </c>
      <c r="B1143" s="1" t="s">
        <v>5583</v>
      </c>
      <c r="C1143" s="1">
        <v>32</v>
      </c>
      <c r="D1143" s="1" t="s">
        <v>5584</v>
      </c>
      <c r="E1143" s="1" t="s">
        <v>95</v>
      </c>
      <c r="F1143" s="2">
        <v>44288</v>
      </c>
      <c r="G1143" s="2">
        <v>44813</v>
      </c>
      <c r="H1143" s="1">
        <v>5</v>
      </c>
      <c r="I1143" s="1" t="s">
        <v>52</v>
      </c>
      <c r="J1143" s="2">
        <v>44538</v>
      </c>
      <c r="K1143" s="1" t="s">
        <v>5585</v>
      </c>
      <c r="L1143" s="1">
        <v>4</v>
      </c>
      <c r="M1143" s="1">
        <v>45</v>
      </c>
      <c r="N1143" s="1" t="s">
        <v>30</v>
      </c>
      <c r="O1143" s="1" t="s">
        <v>855</v>
      </c>
      <c r="P1143" s="1" t="s">
        <v>45</v>
      </c>
      <c r="Q1143" s="1" t="s">
        <v>32</v>
      </c>
      <c r="R1143" s="1">
        <v>861.64</v>
      </c>
      <c r="S1143" s="1" t="s">
        <v>46</v>
      </c>
      <c r="T1143" s="1" t="s">
        <v>57</v>
      </c>
      <c r="U1143" s="1" t="s">
        <v>35</v>
      </c>
      <c r="V1143" s="1" t="s">
        <v>36</v>
      </c>
    </row>
    <row r="1144" spans="1:22" x14ac:dyDescent="0.3">
      <c r="A1144" s="1" t="s">
        <v>5586</v>
      </c>
      <c r="B1144" s="1" t="s">
        <v>5587</v>
      </c>
      <c r="C1144" s="1">
        <v>53</v>
      </c>
      <c r="D1144" s="1" t="s">
        <v>5588</v>
      </c>
      <c r="E1144" s="1" t="s">
        <v>61</v>
      </c>
      <c r="F1144" s="2">
        <v>44628</v>
      </c>
      <c r="G1144" s="1" t="s">
        <v>5589</v>
      </c>
      <c r="H1144" s="1">
        <v>5</v>
      </c>
      <c r="I1144" s="1" t="s">
        <v>52</v>
      </c>
      <c r="J1144" s="1" t="s">
        <v>4817</v>
      </c>
      <c r="K1144" s="1" t="s">
        <v>5590</v>
      </c>
      <c r="L1144" s="1">
        <v>8</v>
      </c>
      <c r="M1144" s="1">
        <v>47</v>
      </c>
      <c r="N1144" s="1" t="s">
        <v>30</v>
      </c>
      <c r="O1144" s="1" t="s">
        <v>77</v>
      </c>
      <c r="P1144" s="1" t="s">
        <v>54</v>
      </c>
      <c r="Q1144" s="1" t="s">
        <v>32</v>
      </c>
      <c r="R1144" s="1">
        <v>733.92</v>
      </c>
      <c r="S1144" s="1" t="s">
        <v>46</v>
      </c>
      <c r="T1144" s="1" t="s">
        <v>47</v>
      </c>
      <c r="U1144" s="1" t="s">
        <v>35</v>
      </c>
      <c r="V1144" s="1" t="s">
        <v>36</v>
      </c>
    </row>
    <row r="1145" spans="1:22" x14ac:dyDescent="0.3">
      <c r="A1145" s="1" t="s">
        <v>5591</v>
      </c>
      <c r="B1145" s="1" t="s">
        <v>5592</v>
      </c>
      <c r="C1145" s="1">
        <v>24</v>
      </c>
      <c r="D1145" s="1" t="s">
        <v>5593</v>
      </c>
      <c r="E1145" s="1" t="s">
        <v>25</v>
      </c>
      <c r="F1145" s="2">
        <v>45054</v>
      </c>
      <c r="G1145" s="2">
        <v>45242</v>
      </c>
      <c r="H1145" s="1">
        <v>1</v>
      </c>
      <c r="I1145" s="1" t="s">
        <v>27</v>
      </c>
      <c r="J1145" s="2">
        <v>45809</v>
      </c>
      <c r="K1145" s="1" t="s">
        <v>5594</v>
      </c>
      <c r="L1145" s="1">
        <v>9</v>
      </c>
      <c r="M1145" s="1">
        <v>49</v>
      </c>
      <c r="N1145" s="1" t="s">
        <v>54</v>
      </c>
      <c r="O1145" s="1" t="s">
        <v>366</v>
      </c>
      <c r="P1145" s="1" t="s">
        <v>54</v>
      </c>
      <c r="Q1145" s="1" t="s">
        <v>322</v>
      </c>
      <c r="R1145" s="1">
        <v>515.52</v>
      </c>
      <c r="S1145" s="1" t="s">
        <v>33</v>
      </c>
      <c r="T1145" s="1" t="s">
        <v>100</v>
      </c>
      <c r="U1145" s="1" t="s">
        <v>35</v>
      </c>
      <c r="V1145" s="1" t="s">
        <v>36</v>
      </c>
    </row>
    <row r="1146" spans="1:22" x14ac:dyDescent="0.3">
      <c r="A1146" s="1" t="s">
        <v>5595</v>
      </c>
      <c r="B1146" s="1" t="s">
        <v>5596</v>
      </c>
      <c r="C1146" s="1">
        <v>47</v>
      </c>
      <c r="D1146" s="1" t="s">
        <v>5597</v>
      </c>
      <c r="E1146" s="1" t="s">
        <v>40</v>
      </c>
      <c r="F1146" s="2">
        <v>44992</v>
      </c>
      <c r="G1146" s="1" t="s">
        <v>4456</v>
      </c>
      <c r="H1146" s="1">
        <v>4</v>
      </c>
      <c r="I1146" s="1" t="s">
        <v>27</v>
      </c>
      <c r="J1146" s="1" t="s">
        <v>1227</v>
      </c>
      <c r="K1146" s="1" t="s">
        <v>5598</v>
      </c>
      <c r="L1146" s="1">
        <v>5</v>
      </c>
      <c r="M1146" s="1">
        <v>29</v>
      </c>
      <c r="N1146" s="1" t="s">
        <v>68</v>
      </c>
      <c r="O1146" s="1" t="s">
        <v>91</v>
      </c>
      <c r="P1146" s="1" t="s">
        <v>54</v>
      </c>
      <c r="Q1146" s="1" t="s">
        <v>32</v>
      </c>
      <c r="R1146" s="1">
        <v>776.55</v>
      </c>
      <c r="S1146" s="1" t="s">
        <v>46</v>
      </c>
      <c r="T1146" s="1" t="s">
        <v>34</v>
      </c>
      <c r="U1146" s="1" t="s">
        <v>35</v>
      </c>
      <c r="V1146" s="1" t="s">
        <v>188</v>
      </c>
    </row>
    <row r="1147" spans="1:22" x14ac:dyDescent="0.3">
      <c r="A1147" s="1" t="s">
        <v>5599</v>
      </c>
      <c r="B1147" s="1" t="s">
        <v>5600</v>
      </c>
      <c r="C1147" s="1">
        <v>62</v>
      </c>
      <c r="D1147" s="1" t="s">
        <v>5601</v>
      </c>
      <c r="E1147" s="1" t="s">
        <v>95</v>
      </c>
      <c r="F1147" s="1" t="s">
        <v>5602</v>
      </c>
      <c r="G1147" s="1" t="s">
        <v>5603</v>
      </c>
      <c r="H1147" s="1">
        <v>3</v>
      </c>
      <c r="I1147" s="1" t="s">
        <v>27</v>
      </c>
      <c r="J1147" s="1" t="s">
        <v>1969</v>
      </c>
      <c r="K1147" s="1" t="s">
        <v>5604</v>
      </c>
      <c r="L1147" s="1">
        <v>1</v>
      </c>
      <c r="M1147" s="1">
        <v>18</v>
      </c>
      <c r="N1147" s="1" t="s">
        <v>54</v>
      </c>
      <c r="O1147" s="1" t="s">
        <v>194</v>
      </c>
      <c r="P1147" s="1" t="s">
        <v>56</v>
      </c>
      <c r="Q1147" s="1" t="s">
        <v>32</v>
      </c>
      <c r="R1147" s="1">
        <v>776.04</v>
      </c>
      <c r="S1147" s="1" t="s">
        <v>46</v>
      </c>
      <c r="T1147" s="1" t="s">
        <v>47</v>
      </c>
      <c r="U1147" s="1" t="s">
        <v>35</v>
      </c>
      <c r="V1147" s="1" t="s">
        <v>36</v>
      </c>
    </row>
    <row r="1148" spans="1:22" x14ac:dyDescent="0.3">
      <c r="A1148" s="1" t="s">
        <v>5605</v>
      </c>
      <c r="B1148" s="1" t="s">
        <v>5606</v>
      </c>
      <c r="C1148" s="1">
        <v>49</v>
      </c>
      <c r="D1148" s="1" t="s">
        <v>5607</v>
      </c>
      <c r="E1148" s="1" t="s">
        <v>61</v>
      </c>
      <c r="F1148" s="2">
        <v>44533</v>
      </c>
      <c r="G1148" s="2">
        <v>45606</v>
      </c>
      <c r="H1148" s="1">
        <v>0</v>
      </c>
      <c r="I1148" s="1" t="s">
        <v>52</v>
      </c>
      <c r="J1148" s="2">
        <v>44840</v>
      </c>
      <c r="K1148" s="1" t="s">
        <v>5608</v>
      </c>
      <c r="L1148" s="1">
        <v>3</v>
      </c>
      <c r="M1148" s="1">
        <v>37</v>
      </c>
      <c r="N1148" s="1" t="s">
        <v>30</v>
      </c>
      <c r="O1148" s="1" t="s">
        <v>293</v>
      </c>
      <c r="P1148" s="1" t="s">
        <v>45</v>
      </c>
      <c r="Q1148" s="1" t="s">
        <v>32</v>
      </c>
      <c r="R1148" s="1">
        <v>809.7</v>
      </c>
      <c r="S1148" s="1" t="s">
        <v>46</v>
      </c>
      <c r="T1148" s="1" t="s">
        <v>34</v>
      </c>
      <c r="U1148" s="1" t="s">
        <v>35</v>
      </c>
      <c r="V1148" s="1" t="s">
        <v>36</v>
      </c>
    </row>
    <row r="1149" spans="1:22" x14ac:dyDescent="0.3">
      <c r="A1149" s="1" t="s">
        <v>5609</v>
      </c>
      <c r="B1149" s="1" t="s">
        <v>5610</v>
      </c>
      <c r="C1149" s="1">
        <v>60</v>
      </c>
      <c r="D1149" s="1" t="s">
        <v>5611</v>
      </c>
      <c r="E1149" s="1" t="s">
        <v>88</v>
      </c>
      <c r="F1149" s="1" t="s">
        <v>5612</v>
      </c>
      <c r="G1149" s="1" t="s">
        <v>89</v>
      </c>
      <c r="H1149" s="1">
        <v>5</v>
      </c>
      <c r="I1149" s="1" t="s">
        <v>52</v>
      </c>
      <c r="J1149" s="1" t="s">
        <v>416</v>
      </c>
      <c r="K1149" s="1" t="s">
        <v>5613</v>
      </c>
      <c r="L1149" s="1">
        <v>2</v>
      </c>
      <c r="M1149" s="1">
        <v>14</v>
      </c>
      <c r="N1149" s="1" t="s">
        <v>30</v>
      </c>
      <c r="O1149" s="1" t="s">
        <v>610</v>
      </c>
      <c r="P1149" s="1" t="s">
        <v>68</v>
      </c>
      <c r="Q1149" s="1" t="s">
        <v>32</v>
      </c>
      <c r="R1149" s="1">
        <v>449.08</v>
      </c>
      <c r="S1149" s="1" t="s">
        <v>46</v>
      </c>
      <c r="T1149" s="1" t="s">
        <v>47</v>
      </c>
      <c r="U1149" s="1" t="s">
        <v>35</v>
      </c>
      <c r="V1149" s="1" t="s">
        <v>36</v>
      </c>
    </row>
    <row r="1150" spans="1:22" x14ac:dyDescent="0.3">
      <c r="A1150" s="1" t="s">
        <v>5614</v>
      </c>
      <c r="B1150" s="1" t="s">
        <v>5615</v>
      </c>
      <c r="C1150" s="1">
        <v>48</v>
      </c>
      <c r="D1150" s="1" t="s">
        <v>5616</v>
      </c>
      <c r="E1150" s="1" t="s">
        <v>51</v>
      </c>
      <c r="F1150" s="2">
        <v>44504</v>
      </c>
      <c r="G1150" s="2">
        <v>44744</v>
      </c>
      <c r="H1150" s="1">
        <v>4</v>
      </c>
      <c r="I1150" s="1" t="s">
        <v>52</v>
      </c>
      <c r="J1150" s="2">
        <v>45809</v>
      </c>
      <c r="K1150" s="1" t="s">
        <v>5617</v>
      </c>
      <c r="L1150" s="1">
        <v>5</v>
      </c>
      <c r="M1150" s="1">
        <v>16</v>
      </c>
      <c r="N1150" s="1" t="s">
        <v>56</v>
      </c>
      <c r="O1150" s="1" t="s">
        <v>231</v>
      </c>
      <c r="P1150" s="1" t="s">
        <v>30</v>
      </c>
      <c r="Q1150" s="1" t="s">
        <v>32</v>
      </c>
      <c r="R1150" s="1">
        <v>1056.9000000000001</v>
      </c>
      <c r="S1150" s="1" t="s">
        <v>46</v>
      </c>
      <c r="T1150" s="1" t="s">
        <v>34</v>
      </c>
      <c r="U1150" s="1" t="s">
        <v>35</v>
      </c>
      <c r="V1150" s="1" t="s">
        <v>36</v>
      </c>
    </row>
    <row r="1151" spans="1:22" x14ac:dyDescent="0.3">
      <c r="A1151" s="1" t="s">
        <v>5618</v>
      </c>
      <c r="B1151" s="1" t="s">
        <v>5619</v>
      </c>
      <c r="C1151" s="1">
        <v>36</v>
      </c>
      <c r="D1151" s="1" t="s">
        <v>5620</v>
      </c>
      <c r="E1151" s="1" t="s">
        <v>95</v>
      </c>
      <c r="F1151" s="2">
        <v>44844</v>
      </c>
      <c r="G1151" s="1" t="s">
        <v>274</v>
      </c>
      <c r="H1151" s="1">
        <v>3</v>
      </c>
      <c r="I1151" s="1" t="s">
        <v>27</v>
      </c>
      <c r="J1151" s="1" t="s">
        <v>1349</v>
      </c>
      <c r="K1151" s="1" t="s">
        <v>5621</v>
      </c>
      <c r="L1151" s="1">
        <v>9</v>
      </c>
      <c r="M1151" s="1">
        <v>16</v>
      </c>
      <c r="N1151" s="1" t="s">
        <v>68</v>
      </c>
      <c r="O1151" s="1" t="s">
        <v>354</v>
      </c>
      <c r="P1151" s="1" t="s">
        <v>45</v>
      </c>
      <c r="Q1151" s="1" t="s">
        <v>32</v>
      </c>
      <c r="R1151" s="1">
        <v>583.20000000000005</v>
      </c>
      <c r="S1151" s="1" t="s">
        <v>46</v>
      </c>
      <c r="T1151" s="1" t="s">
        <v>34</v>
      </c>
      <c r="U1151" s="1" t="s">
        <v>35</v>
      </c>
      <c r="V1151" s="1" t="s">
        <v>36</v>
      </c>
    </row>
    <row r="1152" spans="1:22" x14ac:dyDescent="0.3">
      <c r="A1152" s="1" t="s">
        <v>5622</v>
      </c>
      <c r="B1152" s="1" t="s">
        <v>5623</v>
      </c>
      <c r="C1152" s="1">
        <v>30</v>
      </c>
      <c r="D1152" s="1" t="s">
        <v>5624</v>
      </c>
      <c r="E1152" s="1" t="s">
        <v>95</v>
      </c>
      <c r="F1152" s="2">
        <v>44988</v>
      </c>
      <c r="G1152" s="1" t="s">
        <v>5078</v>
      </c>
      <c r="H1152" s="1">
        <v>5</v>
      </c>
      <c r="I1152" s="1" t="s">
        <v>27</v>
      </c>
      <c r="J1152" s="2">
        <v>45386</v>
      </c>
      <c r="K1152" s="1" t="s">
        <v>5625</v>
      </c>
      <c r="L1152" s="1">
        <v>7</v>
      </c>
      <c r="M1152" s="1">
        <v>46</v>
      </c>
      <c r="N1152" s="1" t="s">
        <v>30</v>
      </c>
      <c r="O1152" s="1" t="s">
        <v>55</v>
      </c>
      <c r="P1152" s="1" t="s">
        <v>56</v>
      </c>
      <c r="Q1152" s="1" t="s">
        <v>32</v>
      </c>
      <c r="R1152" s="1">
        <v>1323.28</v>
      </c>
      <c r="S1152" s="1" t="s">
        <v>46</v>
      </c>
      <c r="T1152" s="1" t="s">
        <v>57</v>
      </c>
      <c r="U1152" s="1" t="s">
        <v>35</v>
      </c>
      <c r="V1152" s="1" t="s">
        <v>188</v>
      </c>
    </row>
    <row r="1153" spans="1:22" x14ac:dyDescent="0.3">
      <c r="A1153" s="1" t="s">
        <v>5626</v>
      </c>
      <c r="B1153" s="1" t="s">
        <v>5627</v>
      </c>
      <c r="C1153" s="1">
        <v>57</v>
      </c>
      <c r="D1153" s="1" t="s">
        <v>5628</v>
      </c>
      <c r="E1153" s="1" t="s">
        <v>88</v>
      </c>
      <c r="F1153" s="1" t="s">
        <v>114</v>
      </c>
      <c r="G1153" s="1" t="s">
        <v>3069</v>
      </c>
      <c r="H1153" s="1">
        <v>4</v>
      </c>
      <c r="I1153" s="1" t="s">
        <v>27</v>
      </c>
      <c r="J1153" s="2">
        <v>44565</v>
      </c>
      <c r="K1153" s="1" t="s">
        <v>5629</v>
      </c>
      <c r="L1153" s="1">
        <v>5</v>
      </c>
      <c r="M1153" s="1">
        <v>17</v>
      </c>
      <c r="N1153" s="1" t="s">
        <v>56</v>
      </c>
      <c r="O1153" s="1" t="s">
        <v>77</v>
      </c>
      <c r="P1153" s="1" t="s">
        <v>54</v>
      </c>
      <c r="Q1153" s="1" t="s">
        <v>69</v>
      </c>
      <c r="R1153" s="1">
        <v>1547.7</v>
      </c>
      <c r="S1153" s="1" t="s">
        <v>46</v>
      </c>
      <c r="T1153" s="1" t="s">
        <v>47</v>
      </c>
      <c r="U1153" s="1" t="s">
        <v>35</v>
      </c>
      <c r="V1153" s="1" t="s">
        <v>188</v>
      </c>
    </row>
    <row r="1154" spans="1:22" x14ac:dyDescent="0.3">
      <c r="A1154" s="1" t="s">
        <v>5630</v>
      </c>
      <c r="B1154" s="1" t="s">
        <v>5631</v>
      </c>
      <c r="C1154" s="1">
        <v>21</v>
      </c>
      <c r="D1154" s="1" t="s">
        <v>5632</v>
      </c>
      <c r="E1154" s="1" t="s">
        <v>51</v>
      </c>
      <c r="F1154" s="1" t="s">
        <v>132</v>
      </c>
      <c r="G1154" s="1" t="s">
        <v>3972</v>
      </c>
      <c r="H1154" s="1">
        <v>3</v>
      </c>
      <c r="I1154" s="1" t="s">
        <v>27</v>
      </c>
      <c r="J1154" s="1" t="s">
        <v>5272</v>
      </c>
      <c r="K1154" s="1" t="s">
        <v>5633</v>
      </c>
      <c r="L1154" s="1">
        <v>9</v>
      </c>
      <c r="M1154" s="1">
        <v>2</v>
      </c>
      <c r="N1154" s="1" t="s">
        <v>54</v>
      </c>
      <c r="O1154" s="1" t="s">
        <v>425</v>
      </c>
      <c r="P1154" s="1" t="s">
        <v>30</v>
      </c>
      <c r="Q1154" s="1" t="s">
        <v>69</v>
      </c>
      <c r="R1154" s="1">
        <v>1991.34</v>
      </c>
      <c r="S1154" s="1" t="s">
        <v>46</v>
      </c>
      <c r="T1154" s="1" t="s">
        <v>100</v>
      </c>
      <c r="U1154" s="1" t="s">
        <v>35</v>
      </c>
      <c r="V1154" s="1" t="s">
        <v>36</v>
      </c>
    </row>
    <row r="1155" spans="1:22" x14ac:dyDescent="0.3">
      <c r="A1155" s="1" t="s">
        <v>5634</v>
      </c>
      <c r="B1155" s="1" t="s">
        <v>5635</v>
      </c>
      <c r="C1155" s="1">
        <v>20</v>
      </c>
      <c r="D1155" s="1" t="s">
        <v>5636</v>
      </c>
      <c r="E1155" s="1" t="s">
        <v>40</v>
      </c>
      <c r="F1155" s="1" t="s">
        <v>2593</v>
      </c>
      <c r="G1155" s="2">
        <v>45871</v>
      </c>
      <c r="H1155" s="1">
        <v>0</v>
      </c>
      <c r="I1155" s="1" t="s">
        <v>64</v>
      </c>
      <c r="J1155" s="1" t="s">
        <v>2135</v>
      </c>
      <c r="K1155" s="1" t="s">
        <v>5637</v>
      </c>
      <c r="L1155" s="1">
        <v>8</v>
      </c>
      <c r="M1155" s="1">
        <v>27</v>
      </c>
      <c r="N1155" s="1" t="s">
        <v>30</v>
      </c>
      <c r="O1155" s="1" t="s">
        <v>67</v>
      </c>
      <c r="P1155" s="1" t="s">
        <v>68</v>
      </c>
      <c r="Q1155" s="1" t="s">
        <v>69</v>
      </c>
      <c r="R1155" s="1">
        <v>1882.24</v>
      </c>
      <c r="S1155" s="1" t="s">
        <v>46</v>
      </c>
      <c r="T1155" s="1" t="s">
        <v>100</v>
      </c>
      <c r="U1155" s="1" t="s">
        <v>35</v>
      </c>
      <c r="V1155" s="1" t="s">
        <v>71</v>
      </c>
    </row>
    <row r="1156" spans="1:22" x14ac:dyDescent="0.3">
      <c r="A1156" s="1" t="s">
        <v>5638</v>
      </c>
      <c r="B1156" s="1" t="s">
        <v>5639</v>
      </c>
      <c r="C1156" s="1">
        <v>48</v>
      </c>
      <c r="D1156" s="1" t="s">
        <v>5640</v>
      </c>
      <c r="E1156" s="1" t="s">
        <v>51</v>
      </c>
      <c r="F1156" s="1" t="s">
        <v>2276</v>
      </c>
      <c r="G1156" s="2">
        <v>45994</v>
      </c>
      <c r="H1156" s="1">
        <v>4</v>
      </c>
      <c r="I1156" s="1" t="s">
        <v>27</v>
      </c>
      <c r="J1156" s="1" t="s">
        <v>712</v>
      </c>
      <c r="K1156" s="1" t="s">
        <v>5641</v>
      </c>
      <c r="L1156" s="1">
        <v>1</v>
      </c>
      <c r="M1156" s="1">
        <v>39</v>
      </c>
      <c r="N1156" s="1" t="s">
        <v>68</v>
      </c>
      <c r="O1156" s="1" t="s">
        <v>175</v>
      </c>
      <c r="P1156" s="1" t="s">
        <v>56</v>
      </c>
      <c r="Q1156" s="1" t="s">
        <v>32</v>
      </c>
      <c r="R1156" s="1">
        <v>1010.74</v>
      </c>
      <c r="S1156" s="1" t="s">
        <v>46</v>
      </c>
      <c r="T1156" s="1" t="s">
        <v>34</v>
      </c>
      <c r="U1156" s="1" t="s">
        <v>35</v>
      </c>
      <c r="V1156" s="1" t="s">
        <v>188</v>
      </c>
    </row>
    <row r="1157" spans="1:22" x14ac:dyDescent="0.3">
      <c r="A1157" s="1" t="s">
        <v>5642</v>
      </c>
      <c r="B1157" s="1" t="s">
        <v>5643</v>
      </c>
      <c r="C1157" s="1">
        <v>61</v>
      </c>
      <c r="D1157" s="1" t="s">
        <v>5644</v>
      </c>
      <c r="E1157" s="1" t="s">
        <v>88</v>
      </c>
      <c r="F1157" s="1" t="s">
        <v>416</v>
      </c>
      <c r="G1157" s="1" t="s">
        <v>5645</v>
      </c>
      <c r="H1157" s="1">
        <v>2</v>
      </c>
      <c r="I1157" s="1" t="s">
        <v>27</v>
      </c>
      <c r="J1157" s="1" t="s">
        <v>616</v>
      </c>
      <c r="K1157" s="1" t="s">
        <v>5646</v>
      </c>
      <c r="L1157" s="1">
        <v>1</v>
      </c>
      <c r="M1157" s="1">
        <v>32</v>
      </c>
      <c r="N1157" s="1" t="s">
        <v>30</v>
      </c>
      <c r="O1157" s="1" t="s">
        <v>624</v>
      </c>
      <c r="P1157" s="1" t="s">
        <v>30</v>
      </c>
      <c r="Q1157" s="1" t="s">
        <v>322</v>
      </c>
      <c r="R1157" s="1">
        <v>38.46</v>
      </c>
      <c r="S1157" s="1" t="s">
        <v>33</v>
      </c>
      <c r="T1157" s="1" t="s">
        <v>47</v>
      </c>
      <c r="U1157" s="1" t="s">
        <v>101</v>
      </c>
      <c r="V1157" s="1" t="s">
        <v>36</v>
      </c>
    </row>
    <row r="1158" spans="1:22" x14ac:dyDescent="0.3">
      <c r="A1158" s="1" t="s">
        <v>5647</v>
      </c>
      <c r="B1158" s="1" t="s">
        <v>5648</v>
      </c>
      <c r="C1158" s="1">
        <v>53</v>
      </c>
      <c r="D1158" s="1" t="s">
        <v>5649</v>
      </c>
      <c r="E1158" s="1" t="s">
        <v>95</v>
      </c>
      <c r="F1158" s="1" t="s">
        <v>440</v>
      </c>
      <c r="G1158" s="1" t="s">
        <v>1553</v>
      </c>
      <c r="H1158" s="1">
        <v>5</v>
      </c>
      <c r="I1158" s="1" t="s">
        <v>64</v>
      </c>
      <c r="J1158" s="1" t="s">
        <v>1600</v>
      </c>
      <c r="K1158" s="1" t="s">
        <v>5650</v>
      </c>
      <c r="L1158" s="1">
        <v>6</v>
      </c>
      <c r="M1158" s="1">
        <v>6</v>
      </c>
      <c r="N1158" s="1" t="s">
        <v>30</v>
      </c>
      <c r="O1158" s="1" t="s">
        <v>194</v>
      </c>
      <c r="P1158" s="1" t="s">
        <v>56</v>
      </c>
      <c r="Q1158" s="1" t="s">
        <v>69</v>
      </c>
      <c r="R1158" s="1">
        <v>231.24</v>
      </c>
      <c r="S1158" s="1" t="s">
        <v>46</v>
      </c>
      <c r="T1158" s="1" t="s">
        <v>47</v>
      </c>
      <c r="U1158" s="1" t="s">
        <v>101</v>
      </c>
      <c r="V1158" s="1" t="s">
        <v>71</v>
      </c>
    </row>
    <row r="1159" spans="1:22" x14ac:dyDescent="0.3">
      <c r="A1159" s="1" t="s">
        <v>5651</v>
      </c>
      <c r="B1159" s="1" t="s">
        <v>5652</v>
      </c>
      <c r="C1159" s="1">
        <v>49</v>
      </c>
      <c r="D1159" s="1" t="s">
        <v>5653</v>
      </c>
      <c r="E1159" s="1" t="s">
        <v>40</v>
      </c>
      <c r="F1159" s="1" t="s">
        <v>4416</v>
      </c>
      <c r="G1159" s="1" t="s">
        <v>1221</v>
      </c>
      <c r="H1159" s="1">
        <v>0</v>
      </c>
      <c r="I1159" s="1" t="s">
        <v>64</v>
      </c>
      <c r="J1159" s="1" t="s">
        <v>3238</v>
      </c>
      <c r="K1159" s="1" t="s">
        <v>5654</v>
      </c>
      <c r="L1159" s="1">
        <v>4</v>
      </c>
      <c r="M1159" s="1">
        <v>45</v>
      </c>
      <c r="N1159" s="1" t="s">
        <v>68</v>
      </c>
      <c r="O1159" s="1" t="s">
        <v>245</v>
      </c>
      <c r="P1159" s="1" t="s">
        <v>54</v>
      </c>
      <c r="Q1159" s="1" t="s">
        <v>32</v>
      </c>
      <c r="R1159" s="1">
        <v>1492.4</v>
      </c>
      <c r="S1159" s="1" t="s">
        <v>46</v>
      </c>
      <c r="T1159" s="1" t="s">
        <v>34</v>
      </c>
      <c r="U1159" s="1" t="s">
        <v>35</v>
      </c>
      <c r="V1159" s="1" t="s">
        <v>71</v>
      </c>
    </row>
    <row r="1160" spans="1:22" x14ac:dyDescent="0.3">
      <c r="A1160" s="1" t="s">
        <v>5655</v>
      </c>
      <c r="B1160" s="1" t="s">
        <v>5656</v>
      </c>
      <c r="C1160" s="1">
        <v>39</v>
      </c>
      <c r="D1160" s="1" t="s">
        <v>5657</v>
      </c>
      <c r="E1160" s="1" t="s">
        <v>40</v>
      </c>
      <c r="F1160" s="2">
        <v>45268</v>
      </c>
      <c r="G1160" s="1" t="s">
        <v>480</v>
      </c>
      <c r="H1160" s="1">
        <v>3</v>
      </c>
      <c r="I1160" s="1" t="s">
        <v>27</v>
      </c>
      <c r="J1160" s="1" t="s">
        <v>3495</v>
      </c>
      <c r="K1160" s="1" t="s">
        <v>5658</v>
      </c>
      <c r="L1160" s="1">
        <v>7</v>
      </c>
      <c r="M1160" s="1">
        <v>18</v>
      </c>
      <c r="N1160" s="1" t="s">
        <v>30</v>
      </c>
      <c r="O1160" s="1" t="s">
        <v>91</v>
      </c>
      <c r="P1160" s="1" t="s">
        <v>54</v>
      </c>
      <c r="Q1160" s="1" t="s">
        <v>69</v>
      </c>
      <c r="R1160" s="1">
        <v>1051.82</v>
      </c>
      <c r="S1160" s="1" t="s">
        <v>46</v>
      </c>
      <c r="T1160" s="1" t="s">
        <v>34</v>
      </c>
      <c r="U1160" s="1" t="s">
        <v>35</v>
      </c>
      <c r="V1160" s="1" t="s">
        <v>36</v>
      </c>
    </row>
    <row r="1161" spans="1:22" x14ac:dyDescent="0.3">
      <c r="A1161" s="1" t="s">
        <v>5659</v>
      </c>
      <c r="B1161" s="1" t="s">
        <v>5660</v>
      </c>
      <c r="C1161" s="1">
        <v>37</v>
      </c>
      <c r="D1161" s="1" t="s">
        <v>5661</v>
      </c>
      <c r="E1161" s="1" t="s">
        <v>51</v>
      </c>
      <c r="F1161" s="2">
        <v>45146</v>
      </c>
      <c r="G1161" s="1" t="s">
        <v>2758</v>
      </c>
      <c r="H1161" s="1">
        <v>3</v>
      </c>
      <c r="I1161" s="1" t="s">
        <v>27</v>
      </c>
      <c r="J1161" s="2">
        <v>45903</v>
      </c>
      <c r="K1161" s="1" t="s">
        <v>5662</v>
      </c>
      <c r="L1161" s="1">
        <v>8</v>
      </c>
      <c r="M1161" s="1">
        <v>25</v>
      </c>
      <c r="N1161" s="1" t="s">
        <v>54</v>
      </c>
      <c r="O1161" s="1" t="s">
        <v>109</v>
      </c>
      <c r="P1161" s="1" t="s">
        <v>68</v>
      </c>
      <c r="Q1161" s="1" t="s">
        <v>69</v>
      </c>
      <c r="R1161" s="1">
        <v>1468.08</v>
      </c>
      <c r="S1161" s="1" t="s">
        <v>46</v>
      </c>
      <c r="T1161" s="1" t="s">
        <v>34</v>
      </c>
      <c r="U1161" s="1" t="s">
        <v>35</v>
      </c>
      <c r="V1161" s="1" t="s">
        <v>36</v>
      </c>
    </row>
    <row r="1162" spans="1:22" x14ac:dyDescent="0.3">
      <c r="A1162" s="1" t="s">
        <v>5663</v>
      </c>
      <c r="B1162" s="1" t="s">
        <v>5664</v>
      </c>
      <c r="C1162" s="1">
        <v>42</v>
      </c>
      <c r="D1162" s="1" t="s">
        <v>5665</v>
      </c>
      <c r="E1162" s="1" t="s">
        <v>95</v>
      </c>
      <c r="F1162" s="1" t="s">
        <v>910</v>
      </c>
      <c r="G1162" s="1" t="s">
        <v>1369</v>
      </c>
      <c r="H1162" s="1">
        <v>3</v>
      </c>
      <c r="I1162" s="1" t="s">
        <v>27</v>
      </c>
      <c r="J1162" s="2">
        <v>45393</v>
      </c>
      <c r="K1162" s="1" t="s">
        <v>5666</v>
      </c>
      <c r="L1162" s="1">
        <v>3</v>
      </c>
      <c r="M1162" s="1">
        <v>49</v>
      </c>
      <c r="N1162" s="1" t="s">
        <v>54</v>
      </c>
      <c r="O1162" s="1" t="s">
        <v>418</v>
      </c>
      <c r="P1162" s="1" t="s">
        <v>56</v>
      </c>
      <c r="Q1162" s="1" t="s">
        <v>32</v>
      </c>
      <c r="R1162" s="1">
        <v>1046.67</v>
      </c>
      <c r="S1162" s="1" t="s">
        <v>46</v>
      </c>
      <c r="T1162" s="1" t="s">
        <v>34</v>
      </c>
      <c r="U1162" s="1" t="s">
        <v>35</v>
      </c>
      <c r="V1162" s="1" t="s">
        <v>36</v>
      </c>
    </row>
    <row r="1163" spans="1:22" x14ac:dyDescent="0.3">
      <c r="A1163" s="1" t="s">
        <v>5667</v>
      </c>
      <c r="B1163" s="1" t="s">
        <v>5668</v>
      </c>
      <c r="C1163" s="1">
        <v>27</v>
      </c>
      <c r="D1163" s="1" t="s">
        <v>5669</v>
      </c>
      <c r="E1163" s="1" t="s">
        <v>95</v>
      </c>
      <c r="F1163" s="1" t="s">
        <v>5670</v>
      </c>
      <c r="G1163" s="2">
        <v>44626</v>
      </c>
      <c r="H1163" s="1">
        <v>4</v>
      </c>
      <c r="I1163" s="1" t="s">
        <v>64</v>
      </c>
      <c r="J1163" s="2">
        <v>45569</v>
      </c>
      <c r="K1163" s="1" t="s">
        <v>5671</v>
      </c>
      <c r="L1163" s="1">
        <v>9</v>
      </c>
      <c r="M1163" s="1">
        <v>5</v>
      </c>
      <c r="N1163" s="1" t="s">
        <v>56</v>
      </c>
      <c r="O1163" s="1" t="s">
        <v>31</v>
      </c>
      <c r="P1163" s="1" t="s">
        <v>30</v>
      </c>
      <c r="Q1163" s="1" t="s">
        <v>32</v>
      </c>
      <c r="R1163" s="1">
        <v>1024.29</v>
      </c>
      <c r="S1163" s="1" t="s">
        <v>46</v>
      </c>
      <c r="T1163" s="1" t="s">
        <v>57</v>
      </c>
      <c r="U1163" s="1" t="s">
        <v>35</v>
      </c>
      <c r="V1163" s="1" t="s">
        <v>71</v>
      </c>
    </row>
    <row r="1164" spans="1:22" x14ac:dyDescent="0.3">
      <c r="A1164" s="1" t="s">
        <v>5672</v>
      </c>
      <c r="B1164" s="1" t="s">
        <v>5673</v>
      </c>
      <c r="C1164" s="1">
        <v>25</v>
      </c>
      <c r="D1164" s="1" t="s">
        <v>5674</v>
      </c>
      <c r="E1164" s="1" t="s">
        <v>88</v>
      </c>
      <c r="F1164" s="1" t="s">
        <v>139</v>
      </c>
      <c r="G1164" s="1" t="s">
        <v>4703</v>
      </c>
      <c r="H1164" s="1">
        <v>1</v>
      </c>
      <c r="I1164" s="1" t="s">
        <v>27</v>
      </c>
      <c r="J1164" s="1" t="s">
        <v>352</v>
      </c>
      <c r="K1164" s="1" t="s">
        <v>5675</v>
      </c>
      <c r="L1164" s="1">
        <v>6</v>
      </c>
      <c r="M1164" s="1">
        <v>32</v>
      </c>
      <c r="N1164" s="1" t="s">
        <v>54</v>
      </c>
      <c r="O1164" s="1" t="s">
        <v>175</v>
      </c>
      <c r="P1164" s="1" t="s">
        <v>56</v>
      </c>
      <c r="Q1164" s="1" t="s">
        <v>69</v>
      </c>
      <c r="R1164" s="1">
        <v>153.84</v>
      </c>
      <c r="S1164" s="1" t="s">
        <v>46</v>
      </c>
      <c r="T1164" s="1" t="s">
        <v>57</v>
      </c>
      <c r="U1164" s="1" t="s">
        <v>35</v>
      </c>
      <c r="V1164" s="1" t="s">
        <v>36</v>
      </c>
    </row>
    <row r="1165" spans="1:22" x14ac:dyDescent="0.3">
      <c r="A1165" s="1" t="s">
        <v>5676</v>
      </c>
      <c r="B1165" s="1" t="s">
        <v>5677</v>
      </c>
      <c r="C1165" s="1">
        <v>20</v>
      </c>
      <c r="D1165" s="1" t="s">
        <v>5678</v>
      </c>
      <c r="E1165" s="1" t="s">
        <v>40</v>
      </c>
      <c r="F1165" s="2">
        <v>44444</v>
      </c>
      <c r="G1165" s="1" t="s">
        <v>2236</v>
      </c>
      <c r="H1165" s="1">
        <v>3</v>
      </c>
      <c r="I1165" s="1" t="s">
        <v>27</v>
      </c>
      <c r="J1165" s="1" t="s">
        <v>2403</v>
      </c>
      <c r="K1165" s="1" t="s">
        <v>5679</v>
      </c>
      <c r="L1165" s="1">
        <v>4</v>
      </c>
      <c r="M1165" s="1">
        <v>29</v>
      </c>
      <c r="N1165" s="1" t="s">
        <v>68</v>
      </c>
      <c r="O1165" s="1" t="s">
        <v>142</v>
      </c>
      <c r="P1165" s="1" t="s">
        <v>68</v>
      </c>
      <c r="Q1165" s="1" t="s">
        <v>69</v>
      </c>
      <c r="R1165" s="1">
        <v>264.32</v>
      </c>
      <c r="S1165" s="1" t="s">
        <v>33</v>
      </c>
      <c r="T1165" s="1" t="s">
        <v>100</v>
      </c>
      <c r="U1165" s="1" t="s">
        <v>35</v>
      </c>
      <c r="V1165" s="1" t="s">
        <v>36</v>
      </c>
    </row>
    <row r="1166" spans="1:22" x14ac:dyDescent="0.3">
      <c r="A1166" s="1" t="s">
        <v>5680</v>
      </c>
      <c r="B1166" s="1" t="s">
        <v>5681</v>
      </c>
      <c r="C1166" s="1">
        <v>20</v>
      </c>
      <c r="D1166" s="1" t="s">
        <v>5682</v>
      </c>
      <c r="E1166" s="1" t="s">
        <v>88</v>
      </c>
      <c r="F1166" s="2">
        <v>44474</v>
      </c>
      <c r="G1166" s="1" t="s">
        <v>729</v>
      </c>
      <c r="H1166" s="1">
        <v>2</v>
      </c>
      <c r="I1166" s="1" t="s">
        <v>64</v>
      </c>
      <c r="J1166" s="1" t="s">
        <v>4426</v>
      </c>
      <c r="K1166" s="1" t="s">
        <v>5683</v>
      </c>
      <c r="L1166" s="1">
        <v>6</v>
      </c>
      <c r="M1166" s="1">
        <v>7</v>
      </c>
      <c r="N1166" s="1" t="s">
        <v>54</v>
      </c>
      <c r="O1166" s="1" t="s">
        <v>293</v>
      </c>
      <c r="P1166" s="1" t="s">
        <v>45</v>
      </c>
      <c r="Q1166" s="1" t="s">
        <v>69</v>
      </c>
      <c r="R1166" s="1">
        <v>1065.5999999999999</v>
      </c>
      <c r="S1166" s="1" t="s">
        <v>46</v>
      </c>
      <c r="T1166" s="1" t="s">
        <v>100</v>
      </c>
      <c r="U1166" s="1" t="s">
        <v>35</v>
      </c>
      <c r="V1166" s="1" t="s">
        <v>71</v>
      </c>
    </row>
    <row r="1167" spans="1:22" x14ac:dyDescent="0.3">
      <c r="A1167" s="1" t="s">
        <v>5684</v>
      </c>
      <c r="B1167" s="1" t="s">
        <v>5685</v>
      </c>
      <c r="C1167" s="1">
        <v>55</v>
      </c>
      <c r="D1167" s="1" t="s">
        <v>5686</v>
      </c>
      <c r="E1167" s="1" t="s">
        <v>95</v>
      </c>
      <c r="F1167" s="2">
        <v>43870</v>
      </c>
      <c r="G1167" s="1" t="s">
        <v>1594</v>
      </c>
      <c r="H1167" s="1">
        <v>5</v>
      </c>
      <c r="I1167" s="1" t="s">
        <v>27</v>
      </c>
      <c r="J1167" s="1" t="s">
        <v>5687</v>
      </c>
      <c r="K1167" s="1" t="s">
        <v>5688</v>
      </c>
      <c r="L1167" s="1">
        <v>4</v>
      </c>
      <c r="M1167" s="1">
        <v>31</v>
      </c>
      <c r="N1167" s="1" t="s">
        <v>45</v>
      </c>
      <c r="O1167" s="1" t="s">
        <v>610</v>
      </c>
      <c r="P1167" s="1" t="s">
        <v>68</v>
      </c>
      <c r="Q1167" s="1" t="s">
        <v>69</v>
      </c>
      <c r="R1167" s="1">
        <v>1635.48</v>
      </c>
      <c r="S1167" s="1" t="s">
        <v>46</v>
      </c>
      <c r="T1167" s="1" t="s">
        <v>47</v>
      </c>
      <c r="U1167" s="1" t="s">
        <v>35</v>
      </c>
      <c r="V1167" s="1" t="s">
        <v>188</v>
      </c>
    </row>
    <row r="1168" spans="1:22" x14ac:dyDescent="0.3">
      <c r="A1168" s="1" t="s">
        <v>5689</v>
      </c>
      <c r="B1168" s="1" t="s">
        <v>5690</v>
      </c>
      <c r="C1168" s="1">
        <v>20</v>
      </c>
      <c r="D1168" s="1" t="s">
        <v>5691</v>
      </c>
      <c r="E1168" s="1" t="s">
        <v>25</v>
      </c>
      <c r="F1168" s="2">
        <v>44349</v>
      </c>
      <c r="G1168" s="1" t="s">
        <v>290</v>
      </c>
      <c r="H1168" s="1">
        <v>4</v>
      </c>
      <c r="I1168" s="1" t="s">
        <v>64</v>
      </c>
      <c r="J1168" s="1" t="s">
        <v>5692</v>
      </c>
      <c r="K1168" s="1" t="s">
        <v>5693</v>
      </c>
      <c r="L1168" s="1">
        <v>8</v>
      </c>
      <c r="M1168" s="1">
        <v>13</v>
      </c>
      <c r="N1168" s="1" t="s">
        <v>56</v>
      </c>
      <c r="O1168" s="1" t="s">
        <v>169</v>
      </c>
      <c r="P1168" s="1" t="s">
        <v>30</v>
      </c>
      <c r="Q1168" s="1" t="s">
        <v>69</v>
      </c>
      <c r="R1168" s="1">
        <v>691.76</v>
      </c>
      <c r="S1168" s="1" t="s">
        <v>46</v>
      </c>
      <c r="T1168" s="1" t="s">
        <v>100</v>
      </c>
      <c r="U1168" s="1" t="s">
        <v>35</v>
      </c>
      <c r="V1168" s="1" t="s">
        <v>71</v>
      </c>
    </row>
    <row r="1169" spans="1:22" x14ac:dyDescent="0.3">
      <c r="A1169" s="1" t="s">
        <v>5694</v>
      </c>
      <c r="B1169" s="1" t="s">
        <v>5695</v>
      </c>
      <c r="C1169" s="1">
        <v>60</v>
      </c>
      <c r="D1169" s="1" t="s">
        <v>5696</v>
      </c>
      <c r="E1169" s="1" t="s">
        <v>95</v>
      </c>
      <c r="F1169" s="2">
        <v>44816</v>
      </c>
      <c r="G1169" s="1" t="s">
        <v>5697</v>
      </c>
      <c r="H1169" s="1">
        <v>0</v>
      </c>
      <c r="I1169" s="1" t="s">
        <v>27</v>
      </c>
      <c r="J1169" s="2">
        <v>45326</v>
      </c>
      <c r="K1169" s="1" t="s">
        <v>5698</v>
      </c>
      <c r="L1169" s="1">
        <v>2</v>
      </c>
      <c r="M1169" s="1">
        <v>27</v>
      </c>
      <c r="N1169" s="1" t="s">
        <v>45</v>
      </c>
      <c r="O1169" s="1" t="s">
        <v>624</v>
      </c>
      <c r="P1169" s="1" t="s">
        <v>30</v>
      </c>
      <c r="Q1169" s="1" t="s">
        <v>32</v>
      </c>
      <c r="R1169" s="1">
        <v>1231.8399999999999</v>
      </c>
      <c r="S1169" s="1" t="s">
        <v>46</v>
      </c>
      <c r="T1169" s="1" t="s">
        <v>47</v>
      </c>
      <c r="U1169" s="1" t="s">
        <v>35</v>
      </c>
      <c r="V1169" s="1" t="s">
        <v>36</v>
      </c>
    </row>
    <row r="1170" spans="1:22" x14ac:dyDescent="0.3">
      <c r="A1170" s="1" t="s">
        <v>5699</v>
      </c>
      <c r="B1170" s="1" t="s">
        <v>5700</v>
      </c>
      <c r="C1170" s="1">
        <v>46</v>
      </c>
      <c r="D1170" s="1" t="s">
        <v>5701</v>
      </c>
      <c r="E1170" s="1" t="s">
        <v>95</v>
      </c>
      <c r="F1170" s="2">
        <v>43870</v>
      </c>
      <c r="G1170" s="2">
        <v>44896</v>
      </c>
      <c r="H1170" s="1">
        <v>3</v>
      </c>
      <c r="I1170" s="1" t="s">
        <v>27</v>
      </c>
      <c r="J1170" s="1" t="s">
        <v>762</v>
      </c>
      <c r="K1170" s="1" t="s">
        <v>5702</v>
      </c>
      <c r="L1170" s="1">
        <v>2</v>
      </c>
      <c r="M1170" s="1">
        <v>8</v>
      </c>
      <c r="N1170" s="1" t="s">
        <v>54</v>
      </c>
      <c r="O1170" s="1" t="s">
        <v>67</v>
      </c>
      <c r="P1170" s="1" t="s">
        <v>68</v>
      </c>
      <c r="Q1170" s="1" t="s">
        <v>32</v>
      </c>
      <c r="R1170" s="1">
        <v>1324.92</v>
      </c>
      <c r="S1170" s="1" t="s">
        <v>46</v>
      </c>
      <c r="T1170" s="1" t="s">
        <v>34</v>
      </c>
      <c r="U1170" s="1" t="s">
        <v>35</v>
      </c>
      <c r="V1170" s="1" t="s">
        <v>36</v>
      </c>
    </row>
    <row r="1171" spans="1:22" x14ac:dyDescent="0.3">
      <c r="A1171" s="1" t="s">
        <v>5703</v>
      </c>
      <c r="B1171" s="1" t="s">
        <v>5704</v>
      </c>
      <c r="C1171" s="1">
        <v>63</v>
      </c>
      <c r="D1171" s="1" t="s">
        <v>5705</v>
      </c>
      <c r="E1171" s="1" t="s">
        <v>25</v>
      </c>
      <c r="F1171" s="1" t="s">
        <v>1080</v>
      </c>
      <c r="G1171" s="2">
        <v>45265</v>
      </c>
      <c r="H1171" s="1">
        <v>3</v>
      </c>
      <c r="I1171" s="1" t="s">
        <v>27</v>
      </c>
      <c r="J1171" s="1" t="s">
        <v>5706</v>
      </c>
      <c r="K1171" s="1" t="s">
        <v>5707</v>
      </c>
      <c r="L1171" s="1">
        <v>3</v>
      </c>
      <c r="M1171" s="1">
        <v>15</v>
      </c>
      <c r="N1171" s="1" t="s">
        <v>68</v>
      </c>
      <c r="O1171" s="1" t="s">
        <v>293</v>
      </c>
      <c r="P1171" s="1" t="s">
        <v>45</v>
      </c>
      <c r="Q1171" s="1" t="s">
        <v>32</v>
      </c>
      <c r="R1171" s="1">
        <v>1470.99</v>
      </c>
      <c r="S1171" s="1" t="s">
        <v>46</v>
      </c>
      <c r="T1171" s="1" t="s">
        <v>47</v>
      </c>
      <c r="U1171" s="1" t="s">
        <v>35</v>
      </c>
      <c r="V1171" s="1" t="s">
        <v>36</v>
      </c>
    </row>
    <row r="1172" spans="1:22" x14ac:dyDescent="0.3">
      <c r="A1172" s="1" t="s">
        <v>5708</v>
      </c>
      <c r="B1172" s="1" t="s">
        <v>5709</v>
      </c>
      <c r="C1172" s="1">
        <v>67</v>
      </c>
      <c r="D1172" s="1" t="s">
        <v>5710</v>
      </c>
      <c r="E1172" s="1" t="s">
        <v>95</v>
      </c>
      <c r="F1172" s="1" t="s">
        <v>2938</v>
      </c>
      <c r="G1172" s="2">
        <v>45509</v>
      </c>
      <c r="H1172" s="1">
        <v>3</v>
      </c>
      <c r="I1172" s="1" t="s">
        <v>64</v>
      </c>
      <c r="J1172" s="2">
        <v>45718</v>
      </c>
      <c r="K1172" s="1" t="s">
        <v>5711</v>
      </c>
      <c r="L1172" s="1">
        <v>5</v>
      </c>
      <c r="M1172" s="1">
        <v>4</v>
      </c>
      <c r="N1172" s="1" t="s">
        <v>54</v>
      </c>
      <c r="O1172" s="1" t="s">
        <v>293</v>
      </c>
      <c r="P1172" s="1" t="s">
        <v>45</v>
      </c>
      <c r="Q1172" s="1" t="s">
        <v>32</v>
      </c>
      <c r="R1172" s="1">
        <v>1899.95</v>
      </c>
      <c r="S1172" s="1" t="s">
        <v>46</v>
      </c>
      <c r="T1172" s="1" t="s">
        <v>232</v>
      </c>
      <c r="U1172" s="1" t="s">
        <v>35</v>
      </c>
      <c r="V1172" s="1" t="s">
        <v>71</v>
      </c>
    </row>
    <row r="1173" spans="1:22" x14ac:dyDescent="0.3">
      <c r="A1173" s="1" t="s">
        <v>5712</v>
      </c>
      <c r="B1173" s="1" t="s">
        <v>5713</v>
      </c>
      <c r="C1173" s="1">
        <v>60</v>
      </c>
      <c r="D1173" s="1" t="s">
        <v>5714</v>
      </c>
      <c r="E1173" s="1" t="s">
        <v>40</v>
      </c>
      <c r="F1173" s="1" t="s">
        <v>2680</v>
      </c>
      <c r="G1173" s="2">
        <v>45963</v>
      </c>
      <c r="H1173" s="1">
        <v>3</v>
      </c>
      <c r="I1173" s="1" t="s">
        <v>52</v>
      </c>
      <c r="J1173" s="1" t="s">
        <v>1924</v>
      </c>
      <c r="K1173" s="1" t="s">
        <v>5715</v>
      </c>
      <c r="L1173" s="1">
        <v>6</v>
      </c>
      <c r="M1173" s="1">
        <v>45</v>
      </c>
      <c r="N1173" s="1" t="s">
        <v>45</v>
      </c>
      <c r="O1173" s="1" t="s">
        <v>31</v>
      </c>
      <c r="P1173" s="1" t="s">
        <v>30</v>
      </c>
      <c r="Q1173" s="1" t="s">
        <v>69</v>
      </c>
      <c r="R1173" s="1">
        <v>1562.04</v>
      </c>
      <c r="S1173" s="1" t="s">
        <v>46</v>
      </c>
      <c r="T1173" s="1" t="s">
        <v>47</v>
      </c>
      <c r="U1173" s="1" t="s">
        <v>35</v>
      </c>
      <c r="V1173" s="1" t="s">
        <v>36</v>
      </c>
    </row>
    <row r="1174" spans="1:22" x14ac:dyDescent="0.3">
      <c r="A1174" s="1" t="s">
        <v>5716</v>
      </c>
      <c r="B1174" s="1" t="s">
        <v>5717</v>
      </c>
      <c r="C1174" s="1">
        <v>64</v>
      </c>
      <c r="D1174" s="1" t="s">
        <v>5718</v>
      </c>
      <c r="E1174" s="1" t="s">
        <v>95</v>
      </c>
      <c r="F1174" s="2">
        <v>43900</v>
      </c>
      <c r="G1174" s="1" t="s">
        <v>968</v>
      </c>
      <c r="H1174" s="1">
        <v>2</v>
      </c>
      <c r="I1174" s="1" t="s">
        <v>27</v>
      </c>
      <c r="J1174" s="1" t="s">
        <v>5101</v>
      </c>
      <c r="K1174" s="1" t="s">
        <v>5719</v>
      </c>
      <c r="L1174" s="1">
        <v>5</v>
      </c>
      <c r="M1174" s="1">
        <v>35</v>
      </c>
      <c r="N1174" s="1" t="s">
        <v>56</v>
      </c>
      <c r="O1174" s="1" t="s">
        <v>238</v>
      </c>
      <c r="P1174" s="1" t="s">
        <v>45</v>
      </c>
      <c r="Q1174" s="1" t="s">
        <v>69</v>
      </c>
      <c r="R1174" s="1">
        <v>1119.0999999999999</v>
      </c>
      <c r="S1174" s="1" t="s">
        <v>46</v>
      </c>
      <c r="T1174" s="1" t="s">
        <v>47</v>
      </c>
      <c r="U1174" s="1" t="s">
        <v>35</v>
      </c>
      <c r="V1174" s="1" t="s">
        <v>36</v>
      </c>
    </row>
    <row r="1175" spans="1:22" x14ac:dyDescent="0.3">
      <c r="A1175" s="1" t="s">
        <v>5720</v>
      </c>
      <c r="B1175" s="1" t="s">
        <v>5721</v>
      </c>
      <c r="C1175" s="1">
        <v>69</v>
      </c>
      <c r="D1175" s="1" t="s">
        <v>5722</v>
      </c>
      <c r="E1175" s="1" t="s">
        <v>51</v>
      </c>
      <c r="F1175" s="2">
        <v>43839</v>
      </c>
      <c r="G1175" s="1" t="s">
        <v>5023</v>
      </c>
      <c r="H1175" s="1">
        <v>5</v>
      </c>
      <c r="I1175" s="1" t="s">
        <v>27</v>
      </c>
      <c r="J1175" s="1" t="s">
        <v>5723</v>
      </c>
      <c r="K1175" s="1" t="s">
        <v>5724</v>
      </c>
      <c r="L1175" s="1">
        <v>7</v>
      </c>
      <c r="M1175" s="1">
        <v>21</v>
      </c>
      <c r="N1175" s="1" t="s">
        <v>56</v>
      </c>
      <c r="O1175" s="1" t="s">
        <v>597</v>
      </c>
      <c r="P1175" s="1" t="s">
        <v>45</v>
      </c>
      <c r="Q1175" s="1" t="s">
        <v>32</v>
      </c>
      <c r="R1175" s="1">
        <v>1881.04</v>
      </c>
      <c r="S1175" s="1" t="s">
        <v>46</v>
      </c>
      <c r="T1175" s="1" t="s">
        <v>232</v>
      </c>
      <c r="U1175" s="1" t="s">
        <v>35</v>
      </c>
      <c r="V1175" s="1" t="s">
        <v>188</v>
      </c>
    </row>
    <row r="1176" spans="1:22" x14ac:dyDescent="0.3">
      <c r="A1176" s="1" t="s">
        <v>5725</v>
      </c>
      <c r="B1176" s="1" t="s">
        <v>5726</v>
      </c>
      <c r="C1176" s="1">
        <v>26</v>
      </c>
      <c r="D1176" s="1" t="s">
        <v>5727</v>
      </c>
      <c r="E1176" s="1" t="s">
        <v>51</v>
      </c>
      <c r="F1176" s="1" t="s">
        <v>502</v>
      </c>
      <c r="G1176" s="1" t="s">
        <v>4888</v>
      </c>
      <c r="H1176" s="1">
        <v>5</v>
      </c>
      <c r="I1176" s="1" t="s">
        <v>27</v>
      </c>
      <c r="J1176" s="2">
        <v>45139</v>
      </c>
      <c r="K1176" s="1" t="s">
        <v>5728</v>
      </c>
      <c r="L1176" s="1">
        <v>8</v>
      </c>
      <c r="M1176" s="1">
        <v>31</v>
      </c>
      <c r="N1176" s="1" t="s">
        <v>56</v>
      </c>
      <c r="O1176" s="1" t="s">
        <v>425</v>
      </c>
      <c r="P1176" s="1" t="s">
        <v>30</v>
      </c>
      <c r="Q1176" s="1" t="s">
        <v>69</v>
      </c>
      <c r="R1176" s="1">
        <v>1142.08</v>
      </c>
      <c r="S1176" s="1" t="s">
        <v>46</v>
      </c>
      <c r="T1176" s="1" t="s">
        <v>57</v>
      </c>
      <c r="U1176" s="1" t="s">
        <v>35</v>
      </c>
      <c r="V1176" s="1" t="s">
        <v>188</v>
      </c>
    </row>
    <row r="1177" spans="1:22" x14ac:dyDescent="0.3">
      <c r="A1177" s="1" t="s">
        <v>5729</v>
      </c>
      <c r="B1177" s="1" t="s">
        <v>5730</v>
      </c>
      <c r="C1177" s="1">
        <v>19</v>
      </c>
      <c r="D1177" s="1" t="s">
        <v>5731</v>
      </c>
      <c r="E1177" s="1" t="s">
        <v>40</v>
      </c>
      <c r="F1177" s="1" t="s">
        <v>166</v>
      </c>
      <c r="G1177" s="2">
        <v>44569</v>
      </c>
      <c r="H1177" s="1">
        <v>0</v>
      </c>
      <c r="I1177" s="1" t="s">
        <v>27</v>
      </c>
      <c r="J1177" s="2">
        <v>45780</v>
      </c>
      <c r="K1177" s="1" t="s">
        <v>5732</v>
      </c>
      <c r="L1177" s="1">
        <v>9</v>
      </c>
      <c r="M1177" s="1">
        <v>35</v>
      </c>
      <c r="N1177" s="1" t="s">
        <v>45</v>
      </c>
      <c r="O1177" s="1" t="s">
        <v>821</v>
      </c>
      <c r="P1177" s="1" t="s">
        <v>68</v>
      </c>
      <c r="Q1177" s="1" t="s">
        <v>69</v>
      </c>
      <c r="R1177" s="1">
        <v>1064.3399999999999</v>
      </c>
      <c r="S1177" s="1" t="s">
        <v>46</v>
      </c>
      <c r="T1177" s="1" t="s">
        <v>100</v>
      </c>
      <c r="U1177" s="1" t="s">
        <v>35</v>
      </c>
      <c r="V1177" s="1" t="s">
        <v>36</v>
      </c>
    </row>
    <row r="1178" spans="1:22" x14ac:dyDescent="0.3">
      <c r="A1178" s="1" t="s">
        <v>5733</v>
      </c>
      <c r="B1178" s="1" t="s">
        <v>5734</v>
      </c>
      <c r="C1178" s="1">
        <v>54</v>
      </c>
      <c r="D1178" s="1" t="s">
        <v>5735</v>
      </c>
      <c r="E1178" s="1" t="s">
        <v>61</v>
      </c>
      <c r="F1178" s="2">
        <v>44874</v>
      </c>
      <c r="G1178" s="2">
        <v>44958</v>
      </c>
      <c r="H1178" s="1">
        <v>1</v>
      </c>
      <c r="I1178" s="1" t="s">
        <v>52</v>
      </c>
      <c r="J1178" s="1" t="s">
        <v>1112</v>
      </c>
      <c r="K1178" s="1" t="s">
        <v>5736</v>
      </c>
      <c r="L1178" s="1">
        <v>8</v>
      </c>
      <c r="M1178" s="1">
        <v>40</v>
      </c>
      <c r="N1178" s="1" t="s">
        <v>30</v>
      </c>
      <c r="O1178" s="1" t="s">
        <v>418</v>
      </c>
      <c r="P1178" s="1" t="s">
        <v>56</v>
      </c>
      <c r="Q1178" s="1" t="s">
        <v>69</v>
      </c>
      <c r="R1178" s="1">
        <v>1335.36</v>
      </c>
      <c r="S1178" s="1" t="s">
        <v>46</v>
      </c>
      <c r="T1178" s="1" t="s">
        <v>47</v>
      </c>
      <c r="U1178" s="1" t="s">
        <v>35</v>
      </c>
      <c r="V1178" s="1" t="s">
        <v>36</v>
      </c>
    </row>
    <row r="1179" spans="1:22" x14ac:dyDescent="0.3">
      <c r="A1179" s="1" t="s">
        <v>5737</v>
      </c>
      <c r="B1179" s="1" t="s">
        <v>5738</v>
      </c>
      <c r="C1179" s="1">
        <v>61</v>
      </c>
      <c r="D1179" s="1" t="s">
        <v>5739</v>
      </c>
      <c r="E1179" s="1" t="s">
        <v>40</v>
      </c>
      <c r="F1179" s="1" t="s">
        <v>1036</v>
      </c>
      <c r="G1179" s="2">
        <v>45994</v>
      </c>
      <c r="H1179" s="1">
        <v>5</v>
      </c>
      <c r="I1179" s="1" t="s">
        <v>27</v>
      </c>
      <c r="J1179" s="1" t="s">
        <v>393</v>
      </c>
      <c r="K1179" s="1" t="s">
        <v>5740</v>
      </c>
      <c r="L1179" s="1">
        <v>1</v>
      </c>
      <c r="M1179" s="1">
        <v>49</v>
      </c>
      <c r="N1179" s="1" t="s">
        <v>56</v>
      </c>
      <c r="O1179" s="1" t="s">
        <v>99</v>
      </c>
      <c r="P1179" s="1" t="s">
        <v>56</v>
      </c>
      <c r="Q1179" s="1" t="s">
        <v>69</v>
      </c>
      <c r="R1179" s="1">
        <v>1356.12</v>
      </c>
      <c r="S1179" s="1" t="s">
        <v>33</v>
      </c>
      <c r="T1179" s="1" t="s">
        <v>47</v>
      </c>
      <c r="U1179" s="1" t="s">
        <v>35</v>
      </c>
      <c r="V1179" s="1" t="s">
        <v>188</v>
      </c>
    </row>
    <row r="1180" spans="1:22" x14ac:dyDescent="0.3">
      <c r="A1180" s="1" t="s">
        <v>5741</v>
      </c>
      <c r="B1180" s="1" t="s">
        <v>5742</v>
      </c>
      <c r="C1180" s="1">
        <v>67</v>
      </c>
      <c r="D1180" s="1" t="s">
        <v>5743</v>
      </c>
      <c r="E1180" s="1" t="s">
        <v>61</v>
      </c>
      <c r="F1180" s="1" t="s">
        <v>2152</v>
      </c>
      <c r="G1180" s="1" t="s">
        <v>901</v>
      </c>
      <c r="H1180" s="1">
        <v>1</v>
      </c>
      <c r="I1180" s="1" t="s">
        <v>52</v>
      </c>
      <c r="J1180" s="2">
        <v>45241</v>
      </c>
      <c r="K1180" s="1" t="s">
        <v>5744</v>
      </c>
      <c r="L1180" s="1">
        <v>6</v>
      </c>
      <c r="M1180" s="1">
        <v>46</v>
      </c>
      <c r="N1180" s="1" t="s">
        <v>56</v>
      </c>
      <c r="O1180" s="1" t="s">
        <v>837</v>
      </c>
      <c r="P1180" s="1" t="s">
        <v>56</v>
      </c>
      <c r="Q1180" s="1" t="s">
        <v>69</v>
      </c>
      <c r="R1180" s="1">
        <v>1972.38</v>
      </c>
      <c r="S1180" s="1" t="s">
        <v>33</v>
      </c>
      <c r="T1180" s="1" t="s">
        <v>232</v>
      </c>
      <c r="U1180" s="1" t="s">
        <v>35</v>
      </c>
      <c r="V1180" s="1" t="s">
        <v>36</v>
      </c>
    </row>
    <row r="1181" spans="1:22" x14ac:dyDescent="0.3">
      <c r="A1181" s="1" t="s">
        <v>5745</v>
      </c>
      <c r="B1181" s="1" t="s">
        <v>5746</v>
      </c>
      <c r="C1181" s="1">
        <v>46</v>
      </c>
      <c r="D1181" s="1" t="s">
        <v>5747</v>
      </c>
      <c r="E1181" s="1" t="s">
        <v>25</v>
      </c>
      <c r="F1181" s="1" t="s">
        <v>1563</v>
      </c>
      <c r="G1181" s="1" t="s">
        <v>5342</v>
      </c>
      <c r="H1181" s="1">
        <v>1</v>
      </c>
      <c r="I1181" s="1" t="s">
        <v>27</v>
      </c>
      <c r="J1181" s="1" t="s">
        <v>664</v>
      </c>
      <c r="K1181" s="1" t="s">
        <v>5748</v>
      </c>
      <c r="L1181" s="1">
        <v>9</v>
      </c>
      <c r="M1181" s="1">
        <v>16</v>
      </c>
      <c r="N1181" s="1" t="s">
        <v>68</v>
      </c>
      <c r="O1181" s="1" t="s">
        <v>536</v>
      </c>
      <c r="P1181" s="1" t="s">
        <v>68</v>
      </c>
      <c r="Q1181" s="1" t="s">
        <v>69</v>
      </c>
      <c r="R1181" s="1">
        <v>348.57</v>
      </c>
      <c r="S1181" s="1" t="s">
        <v>33</v>
      </c>
      <c r="T1181" s="1" t="s">
        <v>34</v>
      </c>
      <c r="U1181" s="1" t="s">
        <v>35</v>
      </c>
      <c r="V1181" s="1" t="s">
        <v>36</v>
      </c>
    </row>
    <row r="1182" spans="1:22" x14ac:dyDescent="0.3">
      <c r="A1182" s="1" t="s">
        <v>5749</v>
      </c>
      <c r="B1182" s="1" t="s">
        <v>5750</v>
      </c>
      <c r="C1182" s="1">
        <v>68</v>
      </c>
      <c r="D1182" s="1" t="s">
        <v>5751</v>
      </c>
      <c r="E1182" s="1" t="s">
        <v>88</v>
      </c>
      <c r="F1182" s="1" t="s">
        <v>5752</v>
      </c>
      <c r="G1182" s="1" t="s">
        <v>446</v>
      </c>
      <c r="H1182" s="1">
        <v>3</v>
      </c>
      <c r="I1182" s="1" t="s">
        <v>64</v>
      </c>
      <c r="J1182" s="1" t="s">
        <v>5753</v>
      </c>
      <c r="K1182" s="1" t="s">
        <v>5754</v>
      </c>
      <c r="L1182" s="1">
        <v>8</v>
      </c>
      <c r="M1182" s="1">
        <v>17</v>
      </c>
      <c r="N1182" s="1" t="s">
        <v>54</v>
      </c>
      <c r="O1182" s="1" t="s">
        <v>223</v>
      </c>
      <c r="P1182" s="1" t="s">
        <v>56</v>
      </c>
      <c r="Q1182" s="1" t="s">
        <v>69</v>
      </c>
      <c r="R1182" s="1">
        <v>1613.36</v>
      </c>
      <c r="S1182" s="1" t="s">
        <v>46</v>
      </c>
      <c r="T1182" s="1" t="s">
        <v>232</v>
      </c>
      <c r="U1182" s="1" t="s">
        <v>35</v>
      </c>
      <c r="V1182" s="1" t="s">
        <v>71</v>
      </c>
    </row>
    <row r="1183" spans="1:22" x14ac:dyDescent="0.3">
      <c r="A1183" s="1" t="s">
        <v>5755</v>
      </c>
      <c r="B1183" s="1" t="s">
        <v>5756</v>
      </c>
      <c r="C1183" s="1">
        <v>30</v>
      </c>
      <c r="D1183" s="1" t="s">
        <v>5757</v>
      </c>
      <c r="E1183" s="1" t="s">
        <v>51</v>
      </c>
      <c r="F1183" s="1" t="s">
        <v>3626</v>
      </c>
      <c r="G1183" s="1" t="s">
        <v>566</v>
      </c>
      <c r="H1183" s="1">
        <v>3</v>
      </c>
      <c r="I1183" s="1" t="s">
        <v>52</v>
      </c>
      <c r="J1183" s="2">
        <v>45047</v>
      </c>
      <c r="K1183" s="1" t="s">
        <v>5758</v>
      </c>
      <c r="L1183" s="1">
        <v>4</v>
      </c>
      <c r="M1183" s="1">
        <v>6</v>
      </c>
      <c r="N1183" s="1" t="s">
        <v>30</v>
      </c>
      <c r="O1183" s="1" t="s">
        <v>31</v>
      </c>
      <c r="P1183" s="1" t="s">
        <v>30</v>
      </c>
      <c r="Q1183" s="1" t="s">
        <v>69</v>
      </c>
      <c r="R1183" s="1">
        <v>33.200000000000003</v>
      </c>
      <c r="S1183" s="1" t="s">
        <v>33</v>
      </c>
      <c r="T1183" s="1" t="s">
        <v>57</v>
      </c>
      <c r="U1183" s="1" t="s">
        <v>70</v>
      </c>
      <c r="V1183" s="1" t="s">
        <v>36</v>
      </c>
    </row>
    <row r="1184" spans="1:22" x14ac:dyDescent="0.3">
      <c r="A1184" s="1" t="s">
        <v>5759</v>
      </c>
      <c r="B1184" s="1" t="s">
        <v>5760</v>
      </c>
      <c r="C1184" s="1">
        <v>28</v>
      </c>
      <c r="D1184" s="1" t="s">
        <v>5761</v>
      </c>
      <c r="E1184" s="1" t="s">
        <v>88</v>
      </c>
      <c r="F1184" s="1" t="s">
        <v>5272</v>
      </c>
      <c r="G1184" s="1" t="s">
        <v>5045</v>
      </c>
      <c r="H1184" s="1">
        <v>3</v>
      </c>
      <c r="I1184" s="1" t="s">
        <v>27</v>
      </c>
      <c r="J1184" s="1" t="s">
        <v>492</v>
      </c>
      <c r="K1184" s="1" t="s">
        <v>5762</v>
      </c>
      <c r="L1184" s="1">
        <v>9</v>
      </c>
      <c r="M1184" s="1">
        <v>33</v>
      </c>
      <c r="N1184" s="1" t="s">
        <v>54</v>
      </c>
      <c r="O1184" s="1" t="s">
        <v>31</v>
      </c>
      <c r="P1184" s="1" t="s">
        <v>30</v>
      </c>
      <c r="Q1184" s="1" t="s">
        <v>32</v>
      </c>
      <c r="R1184" s="1">
        <v>1175.8499999999999</v>
      </c>
      <c r="S1184" s="1" t="s">
        <v>46</v>
      </c>
      <c r="T1184" s="1" t="s">
        <v>57</v>
      </c>
      <c r="U1184" s="1" t="s">
        <v>35</v>
      </c>
      <c r="V1184" s="1" t="s">
        <v>36</v>
      </c>
    </row>
    <row r="1185" spans="1:22" x14ac:dyDescent="0.3">
      <c r="A1185" s="1" t="s">
        <v>5763</v>
      </c>
      <c r="B1185" s="1" t="s">
        <v>5764</v>
      </c>
      <c r="C1185" s="1">
        <v>59</v>
      </c>
      <c r="D1185" s="1" t="s">
        <v>5765</v>
      </c>
      <c r="E1185" s="1" t="s">
        <v>95</v>
      </c>
      <c r="F1185" s="1" t="s">
        <v>621</v>
      </c>
      <c r="G1185" s="1" t="s">
        <v>5766</v>
      </c>
      <c r="H1185" s="1">
        <v>2</v>
      </c>
      <c r="I1185" s="1" t="s">
        <v>27</v>
      </c>
      <c r="J1185" s="2">
        <v>44630</v>
      </c>
      <c r="K1185" s="1" t="s">
        <v>5767</v>
      </c>
      <c r="L1185" s="1">
        <v>3</v>
      </c>
      <c r="M1185" s="1">
        <v>18</v>
      </c>
      <c r="N1185" s="1" t="s">
        <v>56</v>
      </c>
      <c r="O1185" s="1" t="s">
        <v>231</v>
      </c>
      <c r="P1185" s="1" t="s">
        <v>30</v>
      </c>
      <c r="Q1185" s="1" t="s">
        <v>69</v>
      </c>
      <c r="R1185" s="1">
        <v>899.4</v>
      </c>
      <c r="S1185" s="1" t="s">
        <v>46</v>
      </c>
      <c r="T1185" s="1" t="s">
        <v>47</v>
      </c>
      <c r="U1185" s="1" t="s">
        <v>35</v>
      </c>
      <c r="V1185" s="1" t="s">
        <v>36</v>
      </c>
    </row>
    <row r="1186" spans="1:22" x14ac:dyDescent="0.3">
      <c r="A1186" s="1" t="s">
        <v>5768</v>
      </c>
      <c r="B1186" s="1" t="s">
        <v>5769</v>
      </c>
      <c r="C1186" s="1">
        <v>45</v>
      </c>
      <c r="D1186" s="1" t="s">
        <v>5770</v>
      </c>
      <c r="E1186" s="1" t="s">
        <v>51</v>
      </c>
      <c r="F1186" s="1" t="s">
        <v>1408</v>
      </c>
      <c r="G1186" s="2">
        <v>44662</v>
      </c>
      <c r="H1186" s="1">
        <v>0</v>
      </c>
      <c r="I1186" s="1" t="s">
        <v>52</v>
      </c>
      <c r="J1186" s="2">
        <v>45295</v>
      </c>
      <c r="K1186" s="1" t="s">
        <v>5771</v>
      </c>
      <c r="L1186" s="1">
        <v>2</v>
      </c>
      <c r="M1186" s="1">
        <v>26</v>
      </c>
      <c r="N1186" s="1" t="s">
        <v>45</v>
      </c>
      <c r="O1186" s="1" t="s">
        <v>77</v>
      </c>
      <c r="P1186" s="1" t="s">
        <v>54</v>
      </c>
      <c r="Q1186" s="1" t="s">
        <v>69</v>
      </c>
      <c r="R1186" s="1">
        <v>643.98</v>
      </c>
      <c r="S1186" s="1" t="s">
        <v>46</v>
      </c>
      <c r="T1186" s="1" t="s">
        <v>34</v>
      </c>
      <c r="U1186" s="1" t="s">
        <v>35</v>
      </c>
      <c r="V1186" s="1" t="s">
        <v>36</v>
      </c>
    </row>
    <row r="1187" spans="1:22" x14ac:dyDescent="0.3">
      <c r="A1187" s="1" t="s">
        <v>5772</v>
      </c>
      <c r="B1187" s="1" t="s">
        <v>5773</v>
      </c>
      <c r="C1187" s="1">
        <v>60</v>
      </c>
      <c r="D1187" s="1" t="s">
        <v>5774</v>
      </c>
      <c r="E1187" s="1" t="s">
        <v>25</v>
      </c>
      <c r="F1187" s="1" t="s">
        <v>2858</v>
      </c>
      <c r="G1187" s="2">
        <v>44928</v>
      </c>
      <c r="H1187" s="1">
        <v>3</v>
      </c>
      <c r="I1187" s="1" t="s">
        <v>64</v>
      </c>
      <c r="J1187" s="1" t="s">
        <v>2035</v>
      </c>
      <c r="K1187" s="1" t="s">
        <v>5775</v>
      </c>
      <c r="L1187" s="1">
        <v>2</v>
      </c>
      <c r="M1187" s="1">
        <v>4</v>
      </c>
      <c r="N1187" s="1" t="s">
        <v>56</v>
      </c>
      <c r="O1187" s="1" t="s">
        <v>122</v>
      </c>
      <c r="P1187" s="1" t="s">
        <v>30</v>
      </c>
      <c r="Q1187" s="1" t="s">
        <v>32</v>
      </c>
      <c r="R1187" s="1">
        <v>819.6</v>
      </c>
      <c r="S1187" s="1" t="s">
        <v>46</v>
      </c>
      <c r="T1187" s="1" t="s">
        <v>47</v>
      </c>
      <c r="U1187" s="1" t="s">
        <v>35</v>
      </c>
      <c r="V1187" s="1" t="s">
        <v>71</v>
      </c>
    </row>
    <row r="1188" spans="1:22" x14ac:dyDescent="0.3">
      <c r="A1188" s="1" t="s">
        <v>5776</v>
      </c>
      <c r="B1188" s="1" t="s">
        <v>5777</v>
      </c>
      <c r="C1188" s="1">
        <v>67</v>
      </c>
      <c r="D1188" s="1" t="s">
        <v>5778</v>
      </c>
      <c r="E1188" s="1" t="s">
        <v>51</v>
      </c>
      <c r="F1188" s="2">
        <v>44661</v>
      </c>
      <c r="G1188" s="2">
        <v>45114</v>
      </c>
      <c r="H1188" s="1">
        <v>2</v>
      </c>
      <c r="I1188" s="1" t="s">
        <v>64</v>
      </c>
      <c r="J1188" s="1" t="s">
        <v>2885</v>
      </c>
      <c r="K1188" s="1" t="s">
        <v>5779</v>
      </c>
      <c r="L1188" s="1">
        <v>9</v>
      </c>
      <c r="M1188" s="1">
        <v>30</v>
      </c>
      <c r="N1188" s="1" t="s">
        <v>30</v>
      </c>
      <c r="O1188" s="1" t="s">
        <v>194</v>
      </c>
      <c r="P1188" s="1" t="s">
        <v>56</v>
      </c>
      <c r="Q1188" s="1" t="s">
        <v>69</v>
      </c>
      <c r="R1188" s="1">
        <v>1077.21</v>
      </c>
      <c r="S1188" s="1" t="s">
        <v>46</v>
      </c>
      <c r="T1188" s="1" t="s">
        <v>232</v>
      </c>
      <c r="U1188" s="1" t="s">
        <v>35</v>
      </c>
      <c r="V1188" s="1" t="s">
        <v>71</v>
      </c>
    </row>
    <row r="1189" spans="1:22" x14ac:dyDescent="0.3">
      <c r="A1189" s="1" t="s">
        <v>5780</v>
      </c>
      <c r="B1189" s="1" t="s">
        <v>5781</v>
      </c>
      <c r="C1189" s="1">
        <v>35</v>
      </c>
      <c r="D1189" s="1" t="s">
        <v>5782</v>
      </c>
      <c r="E1189" s="1" t="s">
        <v>51</v>
      </c>
      <c r="F1189" s="2">
        <v>44688</v>
      </c>
      <c r="G1189" s="1" t="s">
        <v>1356</v>
      </c>
      <c r="H1189" s="1">
        <v>2</v>
      </c>
      <c r="I1189" s="1" t="s">
        <v>52</v>
      </c>
      <c r="J1189" s="1" t="s">
        <v>75</v>
      </c>
      <c r="K1189" s="1" t="s">
        <v>5783</v>
      </c>
      <c r="L1189" s="1">
        <v>2</v>
      </c>
      <c r="M1189" s="1">
        <v>39</v>
      </c>
      <c r="N1189" s="1" t="s">
        <v>54</v>
      </c>
      <c r="O1189" s="1" t="s">
        <v>142</v>
      </c>
      <c r="P1189" s="1" t="s">
        <v>68</v>
      </c>
      <c r="Q1189" s="1" t="s">
        <v>69</v>
      </c>
      <c r="R1189" s="1">
        <v>1264.72</v>
      </c>
      <c r="S1189" s="1" t="s">
        <v>46</v>
      </c>
      <c r="T1189" s="1" t="s">
        <v>34</v>
      </c>
      <c r="U1189" s="1" t="s">
        <v>35</v>
      </c>
      <c r="V1189" s="1" t="s">
        <v>36</v>
      </c>
    </row>
    <row r="1190" spans="1:22" x14ac:dyDescent="0.3">
      <c r="A1190" s="1" t="s">
        <v>5784</v>
      </c>
      <c r="B1190" s="1" t="s">
        <v>5785</v>
      </c>
      <c r="C1190" s="1">
        <v>62</v>
      </c>
      <c r="D1190" s="1" t="s">
        <v>5786</v>
      </c>
      <c r="E1190" s="1" t="s">
        <v>88</v>
      </c>
      <c r="F1190" s="1" t="s">
        <v>5787</v>
      </c>
      <c r="G1190" s="1" t="s">
        <v>2843</v>
      </c>
      <c r="H1190" s="1">
        <v>0</v>
      </c>
      <c r="I1190" s="1" t="s">
        <v>52</v>
      </c>
      <c r="J1190" s="2">
        <v>45391</v>
      </c>
      <c r="K1190" s="1" t="s">
        <v>5788</v>
      </c>
      <c r="L1190" s="1">
        <v>2</v>
      </c>
      <c r="M1190" s="1">
        <v>15</v>
      </c>
      <c r="N1190" s="1" t="s">
        <v>56</v>
      </c>
      <c r="O1190" s="1" t="s">
        <v>610</v>
      </c>
      <c r="P1190" s="1" t="s">
        <v>68</v>
      </c>
      <c r="Q1190" s="1" t="s">
        <v>69</v>
      </c>
      <c r="R1190" s="1">
        <v>665.88</v>
      </c>
      <c r="S1190" s="1" t="s">
        <v>46</v>
      </c>
      <c r="T1190" s="1" t="s">
        <v>47</v>
      </c>
      <c r="U1190" s="1" t="s">
        <v>35</v>
      </c>
      <c r="V1190" s="1" t="s">
        <v>36</v>
      </c>
    </row>
    <row r="1191" spans="1:22" x14ac:dyDescent="0.3">
      <c r="A1191" s="1" t="s">
        <v>5789</v>
      </c>
      <c r="B1191" s="1" t="s">
        <v>5790</v>
      </c>
      <c r="C1191" s="1">
        <v>22</v>
      </c>
      <c r="D1191" s="1" t="s">
        <v>5791</v>
      </c>
      <c r="E1191" s="1" t="s">
        <v>25</v>
      </c>
      <c r="F1191" s="1" t="s">
        <v>1408</v>
      </c>
      <c r="G1191" s="2">
        <v>45362</v>
      </c>
      <c r="H1191" s="1">
        <v>3</v>
      </c>
      <c r="I1191" s="1" t="s">
        <v>27</v>
      </c>
      <c r="J1191" s="1" t="s">
        <v>1221</v>
      </c>
      <c r="K1191" s="1" t="s">
        <v>5792</v>
      </c>
      <c r="L1191" s="1">
        <v>5</v>
      </c>
      <c r="M1191" s="1">
        <v>9</v>
      </c>
      <c r="N1191" s="1" t="s">
        <v>68</v>
      </c>
      <c r="O1191" s="1" t="s">
        <v>855</v>
      </c>
      <c r="P1191" s="1" t="s">
        <v>45</v>
      </c>
      <c r="Q1191" s="1" t="s">
        <v>69</v>
      </c>
      <c r="R1191" s="1">
        <v>1894.9</v>
      </c>
      <c r="S1191" s="1" t="s">
        <v>46</v>
      </c>
      <c r="T1191" s="1" t="s">
        <v>100</v>
      </c>
      <c r="U1191" s="1" t="s">
        <v>35</v>
      </c>
      <c r="V1191" s="1" t="s">
        <v>36</v>
      </c>
    </row>
    <row r="1192" spans="1:22" x14ac:dyDescent="0.3">
      <c r="A1192" s="1" t="s">
        <v>5793</v>
      </c>
      <c r="B1192" s="1" t="s">
        <v>5794</v>
      </c>
      <c r="C1192" s="1">
        <v>31</v>
      </c>
      <c r="D1192" s="1" t="s">
        <v>5795</v>
      </c>
      <c r="E1192" s="1" t="s">
        <v>51</v>
      </c>
      <c r="F1192" s="2">
        <v>44656</v>
      </c>
      <c r="G1192" s="2">
        <v>45079</v>
      </c>
      <c r="H1192" s="1">
        <v>3</v>
      </c>
      <c r="I1192" s="1" t="s">
        <v>27</v>
      </c>
      <c r="J1192" s="1" t="s">
        <v>1551</v>
      </c>
      <c r="K1192" s="1" t="s">
        <v>5796</v>
      </c>
      <c r="L1192" s="1">
        <v>3</v>
      </c>
      <c r="M1192" s="1">
        <v>44</v>
      </c>
      <c r="N1192" s="1" t="s">
        <v>30</v>
      </c>
      <c r="O1192" s="1" t="s">
        <v>604</v>
      </c>
      <c r="P1192" s="1" t="s">
        <v>45</v>
      </c>
      <c r="Q1192" s="1" t="s">
        <v>69</v>
      </c>
      <c r="R1192" s="1">
        <v>1805.82</v>
      </c>
      <c r="S1192" s="1" t="s">
        <v>46</v>
      </c>
      <c r="T1192" s="1" t="s">
        <v>57</v>
      </c>
      <c r="U1192" s="1" t="s">
        <v>35</v>
      </c>
      <c r="V1192" s="1" t="s">
        <v>36</v>
      </c>
    </row>
    <row r="1193" spans="1:22" x14ac:dyDescent="0.3">
      <c r="A1193" s="1" t="s">
        <v>5797</v>
      </c>
      <c r="B1193" s="1" t="s">
        <v>5798</v>
      </c>
      <c r="C1193" s="1">
        <v>33</v>
      </c>
      <c r="D1193" s="1" t="s">
        <v>5799</v>
      </c>
      <c r="E1193" s="1" t="s">
        <v>25</v>
      </c>
      <c r="F1193" s="2">
        <v>44815</v>
      </c>
      <c r="G1193" s="1" t="s">
        <v>946</v>
      </c>
      <c r="H1193" s="1">
        <v>1</v>
      </c>
      <c r="I1193" s="1" t="s">
        <v>27</v>
      </c>
      <c r="J1193" s="2">
        <v>44931</v>
      </c>
      <c r="K1193" s="1" t="s">
        <v>5800</v>
      </c>
      <c r="L1193" s="1">
        <v>8</v>
      </c>
      <c r="M1193" s="1">
        <v>49</v>
      </c>
      <c r="N1193" s="1" t="s">
        <v>56</v>
      </c>
      <c r="O1193" s="1" t="s">
        <v>91</v>
      </c>
      <c r="P1193" s="1" t="s">
        <v>54</v>
      </c>
      <c r="Q1193" s="1" t="s">
        <v>69</v>
      </c>
      <c r="R1193" s="1">
        <v>611.12</v>
      </c>
      <c r="S1193" s="1" t="s">
        <v>46</v>
      </c>
      <c r="T1193" s="1" t="s">
        <v>57</v>
      </c>
      <c r="U1193" s="1" t="s">
        <v>35</v>
      </c>
      <c r="V1193" s="1" t="s">
        <v>36</v>
      </c>
    </row>
    <row r="1194" spans="1:22" x14ac:dyDescent="0.3">
      <c r="A1194" s="1" t="s">
        <v>5801</v>
      </c>
      <c r="B1194" s="1" t="s">
        <v>5802</v>
      </c>
      <c r="C1194" s="1">
        <v>32</v>
      </c>
      <c r="D1194" s="1" t="s">
        <v>5803</v>
      </c>
      <c r="E1194" s="1" t="s">
        <v>61</v>
      </c>
      <c r="F1194" s="1" t="s">
        <v>3412</v>
      </c>
      <c r="G1194" s="2">
        <v>44476</v>
      </c>
      <c r="H1194" s="1">
        <v>2</v>
      </c>
      <c r="I1194" s="1" t="s">
        <v>52</v>
      </c>
      <c r="J1194" s="1" t="s">
        <v>863</v>
      </c>
      <c r="K1194" s="1" t="s">
        <v>5804</v>
      </c>
      <c r="L1194" s="1">
        <v>6</v>
      </c>
      <c r="M1194" s="1">
        <v>27</v>
      </c>
      <c r="N1194" s="1" t="s">
        <v>68</v>
      </c>
      <c r="O1194" s="1" t="s">
        <v>354</v>
      </c>
      <c r="P1194" s="1" t="s">
        <v>45</v>
      </c>
      <c r="Q1194" s="1" t="s">
        <v>32</v>
      </c>
      <c r="R1194" s="1">
        <v>1482.18</v>
      </c>
      <c r="S1194" s="1" t="s">
        <v>46</v>
      </c>
      <c r="T1194" s="1" t="s">
        <v>57</v>
      </c>
      <c r="U1194" s="1" t="s">
        <v>35</v>
      </c>
      <c r="V1194" s="1" t="s">
        <v>36</v>
      </c>
    </row>
    <row r="1195" spans="1:22" x14ac:dyDescent="0.3">
      <c r="A1195" s="1" t="s">
        <v>5805</v>
      </c>
      <c r="B1195" s="1" t="s">
        <v>5806</v>
      </c>
      <c r="C1195" s="1">
        <v>50</v>
      </c>
      <c r="D1195" s="1" t="s">
        <v>5807</v>
      </c>
      <c r="E1195" s="1" t="s">
        <v>95</v>
      </c>
      <c r="F1195" s="2">
        <v>44479</v>
      </c>
      <c r="G1195" s="2">
        <v>45505</v>
      </c>
      <c r="H1195" s="1">
        <v>5</v>
      </c>
      <c r="I1195" s="1" t="s">
        <v>52</v>
      </c>
      <c r="J1195" s="1" t="s">
        <v>3953</v>
      </c>
      <c r="K1195" s="1" t="s">
        <v>5808</v>
      </c>
      <c r="L1195" s="1">
        <v>4</v>
      </c>
      <c r="M1195" s="1">
        <v>13</v>
      </c>
      <c r="N1195" s="1" t="s">
        <v>68</v>
      </c>
      <c r="O1195" s="1" t="s">
        <v>175</v>
      </c>
      <c r="P1195" s="1" t="s">
        <v>56</v>
      </c>
      <c r="Q1195" s="1" t="s">
        <v>32</v>
      </c>
      <c r="R1195" s="1">
        <v>862.8</v>
      </c>
      <c r="S1195" s="1" t="s">
        <v>46</v>
      </c>
      <c r="T1195" s="1" t="s">
        <v>47</v>
      </c>
      <c r="U1195" s="1" t="s">
        <v>35</v>
      </c>
      <c r="V1195" s="1" t="s">
        <v>36</v>
      </c>
    </row>
    <row r="1196" spans="1:22" x14ac:dyDescent="0.3">
      <c r="A1196" s="1" t="s">
        <v>5809</v>
      </c>
      <c r="B1196" s="1" t="s">
        <v>5810</v>
      </c>
      <c r="C1196" s="1">
        <v>35</v>
      </c>
      <c r="D1196" s="1" t="s">
        <v>5811</v>
      </c>
      <c r="E1196" s="1" t="s">
        <v>95</v>
      </c>
      <c r="F1196" s="1" t="s">
        <v>1169</v>
      </c>
      <c r="G1196" s="2">
        <v>45938</v>
      </c>
      <c r="H1196" s="1">
        <v>3</v>
      </c>
      <c r="I1196" s="1" t="s">
        <v>27</v>
      </c>
      <c r="J1196" s="1" t="s">
        <v>968</v>
      </c>
      <c r="K1196" s="1" t="s">
        <v>5812</v>
      </c>
      <c r="L1196" s="1">
        <v>4</v>
      </c>
      <c r="M1196" s="1">
        <v>40</v>
      </c>
      <c r="N1196" s="1" t="s">
        <v>45</v>
      </c>
      <c r="O1196" s="1" t="s">
        <v>245</v>
      </c>
      <c r="P1196" s="1" t="s">
        <v>54</v>
      </c>
      <c r="Q1196" s="1" t="s">
        <v>32</v>
      </c>
      <c r="R1196" s="1">
        <v>1896.6</v>
      </c>
      <c r="S1196" s="1" t="s">
        <v>46</v>
      </c>
      <c r="T1196" s="1" t="s">
        <v>34</v>
      </c>
      <c r="U1196" s="1" t="s">
        <v>35</v>
      </c>
      <c r="V1196" s="1" t="s">
        <v>36</v>
      </c>
    </row>
    <row r="1197" spans="1:22" x14ac:dyDescent="0.3">
      <c r="A1197" s="1" t="s">
        <v>5813</v>
      </c>
      <c r="B1197" s="1" t="s">
        <v>5814</v>
      </c>
      <c r="C1197" s="1">
        <v>57</v>
      </c>
      <c r="D1197" s="1" t="s">
        <v>5815</v>
      </c>
      <c r="E1197" s="1" t="s">
        <v>95</v>
      </c>
      <c r="F1197" s="1" t="s">
        <v>632</v>
      </c>
      <c r="G1197" s="2">
        <v>44964</v>
      </c>
      <c r="H1197" s="1">
        <v>2</v>
      </c>
      <c r="I1197" s="1" t="s">
        <v>27</v>
      </c>
      <c r="J1197" s="1" t="s">
        <v>550</v>
      </c>
      <c r="K1197" s="1" t="s">
        <v>5816</v>
      </c>
      <c r="L1197" s="1">
        <v>5</v>
      </c>
      <c r="M1197" s="1">
        <v>4</v>
      </c>
      <c r="N1197" s="1" t="s">
        <v>45</v>
      </c>
      <c r="O1197" s="1" t="s">
        <v>624</v>
      </c>
      <c r="P1197" s="1" t="s">
        <v>30</v>
      </c>
      <c r="Q1197" s="1" t="s">
        <v>69</v>
      </c>
      <c r="R1197" s="1">
        <v>33.200000000000003</v>
      </c>
      <c r="S1197" s="1" t="s">
        <v>46</v>
      </c>
      <c r="T1197" s="1" t="s">
        <v>47</v>
      </c>
      <c r="U1197" s="1" t="s">
        <v>70</v>
      </c>
      <c r="V1197" s="1" t="s">
        <v>36</v>
      </c>
    </row>
    <row r="1198" spans="1:22" x14ac:dyDescent="0.3">
      <c r="A1198" s="1" t="s">
        <v>5817</v>
      </c>
      <c r="B1198" s="1" t="s">
        <v>5818</v>
      </c>
      <c r="C1198" s="1">
        <v>58</v>
      </c>
      <c r="D1198" s="1" t="s">
        <v>5819</v>
      </c>
      <c r="E1198" s="1" t="s">
        <v>95</v>
      </c>
      <c r="F1198" s="1" t="s">
        <v>651</v>
      </c>
      <c r="G1198" s="1" t="s">
        <v>3617</v>
      </c>
      <c r="H1198" s="1">
        <v>1</v>
      </c>
      <c r="I1198" s="1" t="s">
        <v>64</v>
      </c>
      <c r="J1198" s="2">
        <v>45574</v>
      </c>
      <c r="K1198" s="1" t="s">
        <v>5820</v>
      </c>
      <c r="L1198" s="1">
        <v>2</v>
      </c>
      <c r="M1198" s="1">
        <v>21</v>
      </c>
      <c r="N1198" s="1" t="s">
        <v>56</v>
      </c>
      <c r="O1198" s="1" t="s">
        <v>157</v>
      </c>
      <c r="P1198" s="1" t="s">
        <v>68</v>
      </c>
      <c r="Q1198" s="1" t="s">
        <v>69</v>
      </c>
      <c r="R1198" s="1">
        <v>1514.94</v>
      </c>
      <c r="S1198" s="1" t="s">
        <v>46</v>
      </c>
      <c r="T1198" s="1" t="s">
        <v>47</v>
      </c>
      <c r="U1198" s="1" t="s">
        <v>35</v>
      </c>
      <c r="V1198" s="1" t="s">
        <v>71</v>
      </c>
    </row>
    <row r="1199" spans="1:22" x14ac:dyDescent="0.3">
      <c r="A1199" s="1" t="s">
        <v>5821</v>
      </c>
      <c r="B1199" s="1" t="s">
        <v>5822</v>
      </c>
      <c r="C1199" s="1">
        <v>31</v>
      </c>
      <c r="D1199" s="1" t="s">
        <v>5823</v>
      </c>
      <c r="E1199" s="1" t="s">
        <v>40</v>
      </c>
      <c r="F1199" s="1" t="s">
        <v>4088</v>
      </c>
      <c r="G1199" s="2">
        <v>45084</v>
      </c>
      <c r="H1199" s="1">
        <v>2</v>
      </c>
      <c r="I1199" s="1" t="s">
        <v>27</v>
      </c>
      <c r="J1199" s="2">
        <v>45211</v>
      </c>
      <c r="K1199" s="1" t="s">
        <v>5824</v>
      </c>
      <c r="L1199" s="1">
        <v>5</v>
      </c>
      <c r="M1199" s="1">
        <v>41</v>
      </c>
      <c r="N1199" s="1" t="s">
        <v>30</v>
      </c>
      <c r="O1199" s="1" t="s">
        <v>149</v>
      </c>
      <c r="P1199" s="1" t="s">
        <v>30</v>
      </c>
      <c r="Q1199" s="1" t="s">
        <v>322</v>
      </c>
      <c r="R1199" s="1">
        <v>1921.75</v>
      </c>
      <c r="S1199" s="1" t="s">
        <v>33</v>
      </c>
      <c r="T1199" s="1" t="s">
        <v>57</v>
      </c>
      <c r="U1199" s="1" t="s">
        <v>35</v>
      </c>
      <c r="V1199" s="1" t="s">
        <v>36</v>
      </c>
    </row>
    <row r="1200" spans="1:22" x14ac:dyDescent="0.3">
      <c r="A1200" s="1" t="s">
        <v>5825</v>
      </c>
      <c r="B1200" s="1" t="s">
        <v>5826</v>
      </c>
      <c r="C1200" s="1">
        <v>35</v>
      </c>
      <c r="D1200" s="1" t="s">
        <v>5827</v>
      </c>
      <c r="E1200" s="1" t="s">
        <v>95</v>
      </c>
      <c r="F1200" s="2">
        <v>44441</v>
      </c>
      <c r="G1200" s="1" t="s">
        <v>4664</v>
      </c>
      <c r="H1200" s="1">
        <v>5</v>
      </c>
      <c r="I1200" s="1" t="s">
        <v>27</v>
      </c>
      <c r="J1200" s="1" t="s">
        <v>5589</v>
      </c>
      <c r="K1200" s="1" t="s">
        <v>5828</v>
      </c>
      <c r="L1200" s="1">
        <v>4</v>
      </c>
      <c r="M1200" s="1">
        <v>7</v>
      </c>
      <c r="N1200" s="1" t="s">
        <v>30</v>
      </c>
      <c r="O1200" s="1" t="s">
        <v>293</v>
      </c>
      <c r="P1200" s="1" t="s">
        <v>45</v>
      </c>
      <c r="Q1200" s="1" t="s">
        <v>69</v>
      </c>
      <c r="R1200" s="1">
        <v>1008.76</v>
      </c>
      <c r="S1200" s="1" t="s">
        <v>46</v>
      </c>
      <c r="T1200" s="1" t="s">
        <v>34</v>
      </c>
      <c r="U1200" s="1" t="s">
        <v>35</v>
      </c>
      <c r="V1200" s="1" t="s">
        <v>188</v>
      </c>
    </row>
    <row r="1201" spans="1:22" x14ac:dyDescent="0.3">
      <c r="A1201" s="1" t="s">
        <v>5829</v>
      </c>
      <c r="B1201" s="1" t="s">
        <v>5830</v>
      </c>
      <c r="C1201" s="1">
        <v>30</v>
      </c>
      <c r="D1201" s="1" t="s">
        <v>5831</v>
      </c>
      <c r="E1201" s="1" t="s">
        <v>40</v>
      </c>
      <c r="F1201" s="2">
        <v>44993</v>
      </c>
      <c r="G1201" s="1" t="s">
        <v>4028</v>
      </c>
      <c r="H1201" s="1">
        <v>4</v>
      </c>
      <c r="I1201" s="1" t="s">
        <v>27</v>
      </c>
      <c r="J1201" s="1" t="s">
        <v>5832</v>
      </c>
      <c r="K1201" s="1" t="s">
        <v>5833</v>
      </c>
      <c r="L1201" s="1">
        <v>3</v>
      </c>
      <c r="M1201" s="1">
        <v>39</v>
      </c>
      <c r="N1201" s="1" t="s">
        <v>30</v>
      </c>
      <c r="O1201" s="1" t="s">
        <v>169</v>
      </c>
      <c r="P1201" s="1" t="s">
        <v>30</v>
      </c>
      <c r="Q1201" s="1" t="s">
        <v>69</v>
      </c>
      <c r="R1201" s="1">
        <v>1685.97</v>
      </c>
      <c r="S1201" s="1" t="s">
        <v>33</v>
      </c>
      <c r="T1201" s="1" t="s">
        <v>57</v>
      </c>
      <c r="U1201" s="1" t="s">
        <v>35</v>
      </c>
      <c r="V1201" s="1" t="s">
        <v>188</v>
      </c>
    </row>
    <row r="1202" spans="1:22" x14ac:dyDescent="0.3">
      <c r="A1202" s="1" t="s">
        <v>5834</v>
      </c>
      <c r="B1202" s="1" t="s">
        <v>5835</v>
      </c>
      <c r="C1202" s="1">
        <v>69</v>
      </c>
      <c r="D1202" s="1" t="s">
        <v>5836</v>
      </c>
      <c r="E1202" s="1" t="s">
        <v>95</v>
      </c>
      <c r="F1202" s="1" t="s">
        <v>653</v>
      </c>
      <c r="G1202" s="2">
        <v>45027</v>
      </c>
      <c r="H1202" s="1">
        <v>5</v>
      </c>
      <c r="I1202" s="1" t="s">
        <v>27</v>
      </c>
      <c r="J1202" s="1" t="s">
        <v>5272</v>
      </c>
      <c r="K1202" s="1" t="s">
        <v>5837</v>
      </c>
      <c r="L1202" s="1">
        <v>3</v>
      </c>
      <c r="M1202" s="1">
        <v>20</v>
      </c>
      <c r="N1202" s="1" t="s">
        <v>68</v>
      </c>
      <c r="O1202" s="1" t="s">
        <v>169</v>
      </c>
      <c r="P1202" s="1" t="s">
        <v>30</v>
      </c>
      <c r="Q1202" s="1" t="s">
        <v>69</v>
      </c>
      <c r="R1202" s="1">
        <v>470.52</v>
      </c>
      <c r="S1202" s="1" t="s">
        <v>46</v>
      </c>
      <c r="T1202" s="1" t="s">
        <v>232</v>
      </c>
      <c r="U1202" s="1" t="s">
        <v>35</v>
      </c>
      <c r="V1202" s="1" t="s">
        <v>188</v>
      </c>
    </row>
    <row r="1203" spans="1:22" x14ac:dyDescent="0.3">
      <c r="A1203" s="1" t="s">
        <v>5838</v>
      </c>
      <c r="B1203" s="1" t="s">
        <v>5839</v>
      </c>
      <c r="C1203" s="1">
        <v>55</v>
      </c>
      <c r="D1203" s="1" t="s">
        <v>5840</v>
      </c>
      <c r="E1203" s="1" t="s">
        <v>95</v>
      </c>
      <c r="F1203" s="2">
        <v>45233</v>
      </c>
      <c r="G1203" s="2">
        <v>45269</v>
      </c>
      <c r="H1203" s="1">
        <v>2</v>
      </c>
      <c r="I1203" s="1" t="s">
        <v>27</v>
      </c>
      <c r="J1203" s="1" t="s">
        <v>1006</v>
      </c>
      <c r="K1203" s="1" t="s">
        <v>5841</v>
      </c>
      <c r="L1203" s="1">
        <v>1</v>
      </c>
      <c r="M1203" s="1">
        <v>25</v>
      </c>
      <c r="N1203" s="1" t="s">
        <v>30</v>
      </c>
      <c r="O1203" s="1" t="s">
        <v>67</v>
      </c>
      <c r="P1203" s="1" t="s">
        <v>68</v>
      </c>
      <c r="Q1203" s="1" t="s">
        <v>32</v>
      </c>
      <c r="R1203" s="1">
        <v>948.96</v>
      </c>
      <c r="S1203" s="1" t="s">
        <v>46</v>
      </c>
      <c r="T1203" s="1" t="s">
        <v>47</v>
      </c>
      <c r="U1203" s="1" t="s">
        <v>35</v>
      </c>
      <c r="V1203" s="1" t="s">
        <v>36</v>
      </c>
    </row>
    <row r="1204" spans="1:22" x14ac:dyDescent="0.3">
      <c r="A1204" s="1" t="s">
        <v>5842</v>
      </c>
      <c r="B1204" s="1" t="s">
        <v>5843</v>
      </c>
      <c r="C1204" s="1">
        <v>56</v>
      </c>
      <c r="D1204" s="1" t="s">
        <v>5844</v>
      </c>
      <c r="E1204" s="1" t="s">
        <v>95</v>
      </c>
      <c r="F1204" s="2">
        <v>44531</v>
      </c>
      <c r="G1204" s="1" t="s">
        <v>734</v>
      </c>
      <c r="H1204" s="1">
        <v>4</v>
      </c>
      <c r="I1204" s="1" t="s">
        <v>27</v>
      </c>
      <c r="J1204" s="1" t="s">
        <v>154</v>
      </c>
      <c r="K1204" s="1" t="s">
        <v>5845</v>
      </c>
      <c r="L1204" s="1">
        <v>9</v>
      </c>
      <c r="M1204" s="1">
        <v>36</v>
      </c>
      <c r="N1204" s="1" t="s">
        <v>54</v>
      </c>
      <c r="O1204" s="1" t="s">
        <v>31</v>
      </c>
      <c r="P1204" s="1" t="s">
        <v>30</v>
      </c>
      <c r="Q1204" s="1" t="s">
        <v>32</v>
      </c>
      <c r="R1204" s="1">
        <v>1955.16</v>
      </c>
      <c r="S1204" s="1" t="s">
        <v>46</v>
      </c>
      <c r="T1204" s="1" t="s">
        <v>47</v>
      </c>
      <c r="U1204" s="1" t="s">
        <v>35</v>
      </c>
      <c r="V1204" s="1" t="s">
        <v>188</v>
      </c>
    </row>
    <row r="1205" spans="1:22" x14ac:dyDescent="0.3">
      <c r="A1205" s="1" t="s">
        <v>5846</v>
      </c>
      <c r="B1205" s="1" t="s">
        <v>5847</v>
      </c>
      <c r="C1205" s="1">
        <v>43</v>
      </c>
      <c r="D1205" s="1" t="s">
        <v>5848</v>
      </c>
      <c r="E1205" s="1" t="s">
        <v>25</v>
      </c>
      <c r="F1205" s="1" t="s">
        <v>819</v>
      </c>
      <c r="G1205" s="2">
        <v>45148</v>
      </c>
      <c r="H1205" s="1">
        <v>2</v>
      </c>
      <c r="I1205" s="1" t="s">
        <v>27</v>
      </c>
      <c r="J1205" s="1" t="s">
        <v>113</v>
      </c>
      <c r="K1205" s="1" t="s">
        <v>5849</v>
      </c>
      <c r="L1205" s="1">
        <v>6</v>
      </c>
      <c r="M1205" s="1">
        <v>6</v>
      </c>
      <c r="N1205" s="1" t="s">
        <v>54</v>
      </c>
      <c r="O1205" s="1" t="s">
        <v>67</v>
      </c>
      <c r="P1205" s="1" t="s">
        <v>68</v>
      </c>
      <c r="Q1205" s="1" t="s">
        <v>69</v>
      </c>
      <c r="R1205" s="1">
        <v>1184.3399999999999</v>
      </c>
      <c r="S1205" s="1" t="s">
        <v>46</v>
      </c>
      <c r="T1205" s="1" t="s">
        <v>34</v>
      </c>
      <c r="U1205" s="1" t="s">
        <v>35</v>
      </c>
      <c r="V1205" s="1" t="s">
        <v>36</v>
      </c>
    </row>
    <row r="1206" spans="1:22" x14ac:dyDescent="0.3">
      <c r="A1206" s="1" t="s">
        <v>5850</v>
      </c>
      <c r="B1206" s="1" t="s">
        <v>5851</v>
      </c>
      <c r="C1206" s="1">
        <v>54</v>
      </c>
      <c r="D1206" s="1" t="s">
        <v>5852</v>
      </c>
      <c r="E1206" s="1" t="s">
        <v>40</v>
      </c>
      <c r="F1206" s="2">
        <v>44388</v>
      </c>
      <c r="G1206" s="2">
        <v>45294</v>
      </c>
      <c r="H1206" s="1">
        <v>1</v>
      </c>
      <c r="I1206" s="1" t="s">
        <v>27</v>
      </c>
      <c r="J1206" s="1" t="s">
        <v>2241</v>
      </c>
      <c r="K1206" s="1" t="s">
        <v>5853</v>
      </c>
      <c r="L1206" s="1">
        <v>7</v>
      </c>
      <c r="M1206" s="1">
        <v>47</v>
      </c>
      <c r="N1206" s="1" t="s">
        <v>56</v>
      </c>
      <c r="O1206" s="1" t="s">
        <v>610</v>
      </c>
      <c r="P1206" s="1" t="s">
        <v>68</v>
      </c>
      <c r="Q1206" s="1" t="s">
        <v>32</v>
      </c>
      <c r="R1206" s="1">
        <v>694.47</v>
      </c>
      <c r="S1206" s="1" t="s">
        <v>46</v>
      </c>
      <c r="T1206" s="1" t="s">
        <v>47</v>
      </c>
      <c r="U1206" s="1" t="s">
        <v>35</v>
      </c>
      <c r="V1206" s="1" t="s">
        <v>36</v>
      </c>
    </row>
    <row r="1207" spans="1:22" x14ac:dyDescent="0.3">
      <c r="A1207" s="1" t="s">
        <v>5854</v>
      </c>
      <c r="B1207" s="1" t="s">
        <v>5855</v>
      </c>
      <c r="C1207" s="1">
        <v>30</v>
      </c>
      <c r="D1207" s="1" t="s">
        <v>5856</v>
      </c>
      <c r="E1207" s="1" t="s">
        <v>40</v>
      </c>
      <c r="F1207" s="2">
        <v>44719</v>
      </c>
      <c r="G1207" s="2">
        <v>45325</v>
      </c>
      <c r="H1207" s="1">
        <v>4</v>
      </c>
      <c r="I1207" s="1" t="s">
        <v>27</v>
      </c>
      <c r="J1207" s="1" t="s">
        <v>1577</v>
      </c>
      <c r="K1207" s="1" t="s">
        <v>5857</v>
      </c>
      <c r="L1207" s="1">
        <v>9</v>
      </c>
      <c r="M1207" s="1">
        <v>12</v>
      </c>
      <c r="N1207" s="1" t="s">
        <v>68</v>
      </c>
      <c r="O1207" s="1" t="s">
        <v>122</v>
      </c>
      <c r="P1207" s="1" t="s">
        <v>30</v>
      </c>
      <c r="Q1207" s="1" t="s">
        <v>69</v>
      </c>
      <c r="R1207" s="1">
        <v>1591.74</v>
      </c>
      <c r="S1207" s="1" t="s">
        <v>46</v>
      </c>
      <c r="T1207" s="1" t="s">
        <v>57</v>
      </c>
      <c r="U1207" s="1" t="s">
        <v>35</v>
      </c>
      <c r="V1207" s="1" t="s">
        <v>188</v>
      </c>
    </row>
    <row r="1208" spans="1:22" x14ac:dyDescent="0.3">
      <c r="A1208" s="1" t="s">
        <v>5858</v>
      </c>
      <c r="B1208" s="1" t="s">
        <v>5859</v>
      </c>
      <c r="C1208" s="1">
        <v>42</v>
      </c>
      <c r="D1208" s="1" t="s">
        <v>5860</v>
      </c>
      <c r="E1208" s="1" t="s">
        <v>95</v>
      </c>
      <c r="F1208" s="1" t="s">
        <v>3367</v>
      </c>
      <c r="G1208" s="2">
        <v>45303</v>
      </c>
      <c r="H1208" s="1">
        <v>4</v>
      </c>
      <c r="I1208" s="1" t="s">
        <v>64</v>
      </c>
      <c r="J1208" s="1" t="s">
        <v>474</v>
      </c>
      <c r="K1208" s="1" t="s">
        <v>5861</v>
      </c>
      <c r="L1208" s="1">
        <v>5</v>
      </c>
      <c r="M1208" s="1">
        <v>20</v>
      </c>
      <c r="N1208" s="1" t="s">
        <v>56</v>
      </c>
      <c r="O1208" s="1" t="s">
        <v>855</v>
      </c>
      <c r="P1208" s="1" t="s">
        <v>45</v>
      </c>
      <c r="Q1208" s="1" t="s">
        <v>32</v>
      </c>
      <c r="R1208" s="1">
        <v>1298.2</v>
      </c>
      <c r="S1208" s="1" t="s">
        <v>46</v>
      </c>
      <c r="T1208" s="1" t="s">
        <v>34</v>
      </c>
      <c r="U1208" s="1" t="s">
        <v>35</v>
      </c>
      <c r="V1208" s="1" t="s">
        <v>71</v>
      </c>
    </row>
    <row r="1209" spans="1:22" x14ac:dyDescent="0.3">
      <c r="A1209" s="1" t="s">
        <v>5862</v>
      </c>
      <c r="B1209" s="1" t="s">
        <v>5863</v>
      </c>
      <c r="C1209" s="1">
        <v>38</v>
      </c>
      <c r="D1209" s="1" t="s">
        <v>5864</v>
      </c>
      <c r="E1209" s="1" t="s">
        <v>61</v>
      </c>
      <c r="F1209" s="2">
        <v>45204</v>
      </c>
      <c r="G1209" s="1" t="s">
        <v>2441</v>
      </c>
      <c r="H1209" s="1">
        <v>4</v>
      </c>
      <c r="I1209" s="1" t="s">
        <v>27</v>
      </c>
      <c r="J1209" s="2">
        <v>45359</v>
      </c>
      <c r="K1209" s="1" t="s">
        <v>5865</v>
      </c>
      <c r="L1209" s="1">
        <v>3</v>
      </c>
      <c r="M1209" s="1">
        <v>23</v>
      </c>
      <c r="N1209" s="1" t="s">
        <v>30</v>
      </c>
      <c r="O1209" s="1" t="s">
        <v>55</v>
      </c>
      <c r="P1209" s="1" t="s">
        <v>56</v>
      </c>
      <c r="Q1209" s="1" t="s">
        <v>69</v>
      </c>
      <c r="R1209" s="1">
        <v>1745.79</v>
      </c>
      <c r="S1209" s="1" t="s">
        <v>46</v>
      </c>
      <c r="T1209" s="1" t="s">
        <v>34</v>
      </c>
      <c r="U1209" s="1" t="s">
        <v>35</v>
      </c>
      <c r="V1209" s="1" t="s">
        <v>188</v>
      </c>
    </row>
    <row r="1210" spans="1:22" x14ac:dyDescent="0.3">
      <c r="A1210" s="1" t="s">
        <v>5866</v>
      </c>
      <c r="B1210" s="1" t="s">
        <v>5867</v>
      </c>
      <c r="C1210" s="1">
        <v>48</v>
      </c>
      <c r="D1210" s="1" t="s">
        <v>5868</v>
      </c>
      <c r="E1210" s="1" t="s">
        <v>51</v>
      </c>
      <c r="F1210" s="1" t="s">
        <v>3019</v>
      </c>
      <c r="G1210" s="1" t="s">
        <v>847</v>
      </c>
      <c r="H1210" s="1">
        <v>0</v>
      </c>
      <c r="I1210" s="1" t="s">
        <v>27</v>
      </c>
      <c r="J1210" s="1" t="s">
        <v>3679</v>
      </c>
      <c r="K1210" s="1" t="s">
        <v>5869</v>
      </c>
      <c r="L1210" s="1">
        <v>1</v>
      </c>
      <c r="M1210" s="1">
        <v>27</v>
      </c>
      <c r="N1210" s="1" t="s">
        <v>56</v>
      </c>
      <c r="O1210" s="1" t="s">
        <v>604</v>
      </c>
      <c r="P1210" s="1" t="s">
        <v>45</v>
      </c>
      <c r="Q1210" s="1" t="s">
        <v>32</v>
      </c>
      <c r="R1210" s="1">
        <v>297.19</v>
      </c>
      <c r="S1210" s="1" t="s">
        <v>46</v>
      </c>
      <c r="T1210" s="1" t="s">
        <v>34</v>
      </c>
      <c r="U1210" s="1" t="s">
        <v>35</v>
      </c>
      <c r="V1210" s="1" t="s">
        <v>36</v>
      </c>
    </row>
    <row r="1211" spans="1:22" x14ac:dyDescent="0.3">
      <c r="A1211" s="1" t="s">
        <v>5870</v>
      </c>
      <c r="B1211" s="1" t="s">
        <v>5871</v>
      </c>
      <c r="C1211" s="1">
        <v>67</v>
      </c>
      <c r="D1211" s="1" t="s">
        <v>5872</v>
      </c>
      <c r="E1211" s="1" t="s">
        <v>25</v>
      </c>
      <c r="F1211" s="1" t="s">
        <v>1407</v>
      </c>
      <c r="G1211" s="2">
        <v>45905</v>
      </c>
      <c r="H1211" s="1">
        <v>1</v>
      </c>
      <c r="I1211" s="1" t="s">
        <v>52</v>
      </c>
      <c r="J1211" s="2">
        <v>45665</v>
      </c>
      <c r="K1211" s="1" t="s">
        <v>5873</v>
      </c>
      <c r="L1211" s="1">
        <v>2</v>
      </c>
      <c r="M1211" s="1">
        <v>5</v>
      </c>
      <c r="N1211" s="1" t="s">
        <v>54</v>
      </c>
      <c r="O1211" s="1" t="s">
        <v>855</v>
      </c>
      <c r="P1211" s="1" t="s">
        <v>45</v>
      </c>
      <c r="Q1211" s="1" t="s">
        <v>69</v>
      </c>
      <c r="R1211" s="1">
        <v>699.48</v>
      </c>
      <c r="S1211" s="1" t="s">
        <v>46</v>
      </c>
      <c r="T1211" s="1" t="s">
        <v>232</v>
      </c>
      <c r="U1211" s="1" t="s">
        <v>35</v>
      </c>
      <c r="V1211" s="1" t="s">
        <v>36</v>
      </c>
    </row>
    <row r="1212" spans="1:22" x14ac:dyDescent="0.3">
      <c r="A1212" s="1" t="s">
        <v>5874</v>
      </c>
      <c r="B1212" s="1" t="s">
        <v>5875</v>
      </c>
      <c r="C1212" s="1">
        <v>29</v>
      </c>
      <c r="D1212" s="1" t="s">
        <v>5876</v>
      </c>
      <c r="E1212" s="1" t="s">
        <v>61</v>
      </c>
      <c r="F1212" s="1" t="s">
        <v>1436</v>
      </c>
      <c r="G1212" s="1" t="s">
        <v>1732</v>
      </c>
      <c r="H1212" s="1">
        <v>3</v>
      </c>
      <c r="I1212" s="1" t="s">
        <v>52</v>
      </c>
      <c r="J1212" s="2">
        <v>43842</v>
      </c>
      <c r="K1212" s="1" t="s">
        <v>5877</v>
      </c>
      <c r="L1212" s="1">
        <v>1</v>
      </c>
      <c r="M1212" s="1">
        <v>19</v>
      </c>
      <c r="N1212" s="1" t="s">
        <v>56</v>
      </c>
      <c r="O1212" s="1" t="s">
        <v>99</v>
      </c>
      <c r="P1212" s="1" t="s">
        <v>56</v>
      </c>
      <c r="Q1212" s="1" t="s">
        <v>69</v>
      </c>
      <c r="R1212" s="1">
        <v>603.4</v>
      </c>
      <c r="S1212" s="1" t="s">
        <v>33</v>
      </c>
      <c r="T1212" s="1" t="s">
        <v>57</v>
      </c>
      <c r="U1212" s="1" t="s">
        <v>35</v>
      </c>
      <c r="V1212" s="1" t="s">
        <v>36</v>
      </c>
    </row>
    <row r="1213" spans="1:22" x14ac:dyDescent="0.3">
      <c r="A1213" s="1" t="s">
        <v>5878</v>
      </c>
      <c r="B1213" s="1" t="s">
        <v>5879</v>
      </c>
      <c r="C1213" s="1">
        <v>18</v>
      </c>
      <c r="D1213" s="1" t="s">
        <v>5880</v>
      </c>
      <c r="E1213" s="1" t="s">
        <v>88</v>
      </c>
      <c r="F1213" s="1" t="s">
        <v>3354</v>
      </c>
      <c r="G1213" s="1" t="s">
        <v>1142</v>
      </c>
      <c r="H1213" s="1">
        <v>3</v>
      </c>
      <c r="I1213" s="1" t="s">
        <v>27</v>
      </c>
      <c r="J1213" s="1" t="s">
        <v>1465</v>
      </c>
      <c r="K1213" s="1" t="s">
        <v>5881</v>
      </c>
      <c r="L1213" s="1">
        <v>4</v>
      </c>
      <c r="M1213" s="1">
        <v>28</v>
      </c>
      <c r="N1213" s="1" t="s">
        <v>54</v>
      </c>
      <c r="O1213" s="1" t="s">
        <v>31</v>
      </c>
      <c r="P1213" s="1" t="s">
        <v>30</v>
      </c>
      <c r="Q1213" s="1" t="s">
        <v>69</v>
      </c>
      <c r="R1213" s="1">
        <v>354</v>
      </c>
      <c r="S1213" s="1" t="s">
        <v>46</v>
      </c>
      <c r="T1213" s="1" t="s">
        <v>100</v>
      </c>
      <c r="U1213" s="1" t="s">
        <v>35</v>
      </c>
      <c r="V1213" s="1" t="s">
        <v>36</v>
      </c>
    </row>
    <row r="1214" spans="1:22" x14ac:dyDescent="0.3">
      <c r="A1214" s="1" t="s">
        <v>5882</v>
      </c>
      <c r="B1214" s="1" t="s">
        <v>5883</v>
      </c>
      <c r="C1214" s="1">
        <v>28</v>
      </c>
      <c r="D1214" s="1" t="s">
        <v>5884</v>
      </c>
      <c r="E1214" s="1" t="s">
        <v>95</v>
      </c>
      <c r="F1214" s="2">
        <v>44904</v>
      </c>
      <c r="G1214" s="2">
        <v>45601</v>
      </c>
      <c r="H1214" s="1">
        <v>0</v>
      </c>
      <c r="I1214" s="1" t="s">
        <v>27</v>
      </c>
      <c r="J1214" s="1" t="s">
        <v>2174</v>
      </c>
      <c r="K1214" s="1" t="s">
        <v>5885</v>
      </c>
      <c r="L1214" s="1">
        <v>8</v>
      </c>
      <c r="M1214" s="1">
        <v>36</v>
      </c>
      <c r="N1214" s="1" t="s">
        <v>30</v>
      </c>
      <c r="O1214" s="1" t="s">
        <v>245</v>
      </c>
      <c r="P1214" s="1" t="s">
        <v>54</v>
      </c>
      <c r="Q1214" s="1" t="s">
        <v>32</v>
      </c>
      <c r="R1214" s="1">
        <v>1154.72</v>
      </c>
      <c r="S1214" s="1" t="s">
        <v>46</v>
      </c>
      <c r="T1214" s="1" t="s">
        <v>57</v>
      </c>
      <c r="U1214" s="1" t="s">
        <v>35</v>
      </c>
      <c r="V1214" s="1" t="s">
        <v>36</v>
      </c>
    </row>
    <row r="1215" spans="1:22" x14ac:dyDescent="0.3">
      <c r="A1215" s="1" t="s">
        <v>5886</v>
      </c>
      <c r="B1215" s="1" t="s">
        <v>5887</v>
      </c>
      <c r="C1215" s="1">
        <v>57</v>
      </c>
      <c r="D1215" s="1" t="s">
        <v>5888</v>
      </c>
      <c r="E1215" s="1" t="s">
        <v>61</v>
      </c>
      <c r="F1215" s="2">
        <v>44654</v>
      </c>
      <c r="G1215" s="1" t="s">
        <v>659</v>
      </c>
      <c r="H1215" s="1">
        <v>4</v>
      </c>
      <c r="I1215" s="1" t="s">
        <v>27</v>
      </c>
      <c r="J1215" s="1" t="s">
        <v>113</v>
      </c>
      <c r="K1215" s="1" t="s">
        <v>5889</v>
      </c>
      <c r="L1215" s="1">
        <v>2</v>
      </c>
      <c r="M1215" s="1">
        <v>23</v>
      </c>
      <c r="N1215" s="1" t="s">
        <v>30</v>
      </c>
      <c r="O1215" s="1" t="s">
        <v>366</v>
      </c>
      <c r="P1215" s="1" t="s">
        <v>54</v>
      </c>
      <c r="Q1215" s="1" t="s">
        <v>69</v>
      </c>
      <c r="R1215" s="1">
        <v>1855.4</v>
      </c>
      <c r="S1215" s="1" t="s">
        <v>46</v>
      </c>
      <c r="T1215" s="1" t="s">
        <v>47</v>
      </c>
      <c r="U1215" s="1" t="s">
        <v>35</v>
      </c>
      <c r="V1215" s="1" t="s">
        <v>188</v>
      </c>
    </row>
    <row r="1216" spans="1:22" x14ac:dyDescent="0.3">
      <c r="A1216" s="1" t="s">
        <v>5890</v>
      </c>
      <c r="B1216" s="1" t="s">
        <v>5891</v>
      </c>
      <c r="C1216" s="1">
        <v>40</v>
      </c>
      <c r="D1216" s="1" t="s">
        <v>5892</v>
      </c>
      <c r="E1216" s="1" t="s">
        <v>95</v>
      </c>
      <c r="F1216" s="2">
        <v>44808</v>
      </c>
      <c r="G1216" s="1" t="s">
        <v>797</v>
      </c>
      <c r="H1216" s="1">
        <v>4</v>
      </c>
      <c r="I1216" s="1" t="s">
        <v>64</v>
      </c>
      <c r="J1216" s="1" t="s">
        <v>467</v>
      </c>
      <c r="K1216" s="1" t="s">
        <v>5893</v>
      </c>
      <c r="L1216" s="1">
        <v>8</v>
      </c>
      <c r="M1216" s="1">
        <v>44</v>
      </c>
      <c r="N1216" s="1" t="s">
        <v>30</v>
      </c>
      <c r="O1216" s="1" t="s">
        <v>245</v>
      </c>
      <c r="P1216" s="1" t="s">
        <v>54</v>
      </c>
      <c r="Q1216" s="1" t="s">
        <v>69</v>
      </c>
      <c r="R1216" s="1">
        <v>29.12</v>
      </c>
      <c r="S1216" s="1" t="s">
        <v>46</v>
      </c>
      <c r="T1216" s="1" t="s">
        <v>34</v>
      </c>
      <c r="U1216" s="1" t="s">
        <v>101</v>
      </c>
      <c r="V1216" s="1" t="s">
        <v>71</v>
      </c>
    </row>
    <row r="1217" spans="1:22" x14ac:dyDescent="0.3">
      <c r="A1217" s="1" t="s">
        <v>5894</v>
      </c>
      <c r="B1217" s="1" t="s">
        <v>5895</v>
      </c>
      <c r="C1217" s="1">
        <v>62</v>
      </c>
      <c r="D1217" s="1" t="s">
        <v>5896</v>
      </c>
      <c r="E1217" s="1" t="s">
        <v>40</v>
      </c>
      <c r="F1217" s="2">
        <v>44201</v>
      </c>
      <c r="G1217" s="2">
        <v>45058</v>
      </c>
      <c r="H1217" s="1">
        <v>0</v>
      </c>
      <c r="I1217" s="1" t="s">
        <v>52</v>
      </c>
      <c r="J1217" s="1" t="s">
        <v>2907</v>
      </c>
      <c r="K1217" s="1" t="s">
        <v>5897</v>
      </c>
      <c r="L1217" s="1">
        <v>4</v>
      </c>
      <c r="M1217" s="1">
        <v>20</v>
      </c>
      <c r="N1217" s="1" t="s">
        <v>54</v>
      </c>
      <c r="O1217" s="1" t="s">
        <v>116</v>
      </c>
      <c r="P1217" s="1" t="s">
        <v>54</v>
      </c>
      <c r="Q1217" s="1" t="s">
        <v>69</v>
      </c>
      <c r="R1217" s="1">
        <v>395.36</v>
      </c>
      <c r="S1217" s="1" t="s">
        <v>33</v>
      </c>
      <c r="T1217" s="1" t="s">
        <v>47</v>
      </c>
      <c r="U1217" s="1" t="s">
        <v>35</v>
      </c>
      <c r="V1217" s="1" t="s">
        <v>36</v>
      </c>
    </row>
    <row r="1218" spans="1:22" x14ac:dyDescent="0.3">
      <c r="A1218" s="1" t="s">
        <v>5898</v>
      </c>
      <c r="B1218" s="1" t="s">
        <v>5899</v>
      </c>
      <c r="C1218" s="1">
        <v>29</v>
      </c>
      <c r="D1218" s="1" t="s">
        <v>5900</v>
      </c>
      <c r="E1218" s="1" t="s">
        <v>40</v>
      </c>
      <c r="F1218" s="2">
        <v>44531</v>
      </c>
      <c r="G1218" s="2">
        <v>45109</v>
      </c>
      <c r="H1218" s="1">
        <v>0</v>
      </c>
      <c r="I1218" s="1" t="s">
        <v>27</v>
      </c>
      <c r="J1218" s="1" t="s">
        <v>1553</v>
      </c>
      <c r="K1218" s="1" t="s">
        <v>5901</v>
      </c>
      <c r="L1218" s="1">
        <v>9</v>
      </c>
      <c r="M1218" s="1">
        <v>42</v>
      </c>
      <c r="N1218" s="1" t="s">
        <v>56</v>
      </c>
      <c r="O1218" s="1" t="s">
        <v>175</v>
      </c>
      <c r="P1218" s="1" t="s">
        <v>56</v>
      </c>
      <c r="Q1218" s="1" t="s">
        <v>69</v>
      </c>
      <c r="R1218" s="1">
        <v>1096.29</v>
      </c>
      <c r="S1218" s="1" t="s">
        <v>33</v>
      </c>
      <c r="T1218" s="1" t="s">
        <v>57</v>
      </c>
      <c r="U1218" s="1" t="s">
        <v>35</v>
      </c>
      <c r="V1218" s="1" t="s">
        <v>36</v>
      </c>
    </row>
    <row r="1219" spans="1:22" x14ac:dyDescent="0.3">
      <c r="A1219" s="1" t="s">
        <v>5902</v>
      </c>
      <c r="B1219" s="1" t="s">
        <v>5903</v>
      </c>
      <c r="C1219" s="1">
        <v>50</v>
      </c>
      <c r="D1219" s="1" t="s">
        <v>5904</v>
      </c>
      <c r="E1219" s="1" t="s">
        <v>95</v>
      </c>
      <c r="F1219" s="2">
        <v>44410</v>
      </c>
      <c r="G1219" s="1" t="s">
        <v>1064</v>
      </c>
      <c r="H1219" s="1">
        <v>0</v>
      </c>
      <c r="I1219" s="1" t="s">
        <v>27</v>
      </c>
      <c r="J1219" s="2">
        <v>44993</v>
      </c>
      <c r="K1219" s="1" t="s">
        <v>5905</v>
      </c>
      <c r="L1219" s="1">
        <v>3</v>
      </c>
      <c r="M1219" s="1">
        <v>5</v>
      </c>
      <c r="N1219" s="1" t="s">
        <v>54</v>
      </c>
      <c r="O1219" s="1" t="s">
        <v>109</v>
      </c>
      <c r="P1219" s="1" t="s">
        <v>68</v>
      </c>
      <c r="Q1219" s="1" t="s">
        <v>69</v>
      </c>
      <c r="R1219" s="1">
        <v>613.91999999999996</v>
      </c>
      <c r="S1219" s="1" t="s">
        <v>46</v>
      </c>
      <c r="T1219" s="1" t="s">
        <v>47</v>
      </c>
      <c r="U1219" s="1" t="s">
        <v>35</v>
      </c>
      <c r="V1219" s="1" t="s">
        <v>36</v>
      </c>
    </row>
    <row r="1220" spans="1:22" x14ac:dyDescent="0.3">
      <c r="A1220" s="1" t="s">
        <v>5906</v>
      </c>
      <c r="B1220" s="1" t="s">
        <v>5907</v>
      </c>
      <c r="C1220" s="1">
        <v>41</v>
      </c>
      <c r="D1220" s="1" t="s">
        <v>5908</v>
      </c>
      <c r="E1220" s="1" t="s">
        <v>40</v>
      </c>
      <c r="F1220" s="2">
        <v>44932</v>
      </c>
      <c r="G1220" s="1" t="s">
        <v>1899</v>
      </c>
      <c r="H1220" s="1">
        <v>0</v>
      </c>
      <c r="I1220" s="1" t="s">
        <v>27</v>
      </c>
      <c r="J1220" s="2">
        <v>45514</v>
      </c>
      <c r="K1220" s="1" t="s">
        <v>5909</v>
      </c>
      <c r="L1220" s="1">
        <v>9</v>
      </c>
      <c r="M1220" s="1">
        <v>29</v>
      </c>
      <c r="N1220" s="1" t="s">
        <v>56</v>
      </c>
      <c r="O1220" s="1" t="s">
        <v>142</v>
      </c>
      <c r="P1220" s="1" t="s">
        <v>68</v>
      </c>
      <c r="Q1220" s="1" t="s">
        <v>32</v>
      </c>
      <c r="R1220" s="1">
        <v>1515.15</v>
      </c>
      <c r="S1220" s="1" t="s">
        <v>46</v>
      </c>
      <c r="T1220" s="1" t="s">
        <v>34</v>
      </c>
      <c r="U1220" s="1" t="s">
        <v>35</v>
      </c>
      <c r="V1220" s="1" t="s">
        <v>36</v>
      </c>
    </row>
    <row r="1221" spans="1:22" x14ac:dyDescent="0.3">
      <c r="A1221" s="1" t="s">
        <v>5910</v>
      </c>
      <c r="B1221" s="1" t="s">
        <v>5911</v>
      </c>
      <c r="C1221" s="1">
        <v>64</v>
      </c>
      <c r="D1221" s="1" t="s">
        <v>5912</v>
      </c>
      <c r="E1221" s="1" t="s">
        <v>40</v>
      </c>
      <c r="F1221" s="2">
        <v>44507</v>
      </c>
      <c r="G1221" s="2">
        <v>44656</v>
      </c>
      <c r="H1221" s="1">
        <v>4</v>
      </c>
      <c r="I1221" s="1" t="s">
        <v>64</v>
      </c>
      <c r="J1221" s="1" t="s">
        <v>2082</v>
      </c>
      <c r="K1221" s="1" t="s">
        <v>5913</v>
      </c>
      <c r="L1221" s="1">
        <v>5</v>
      </c>
      <c r="M1221" s="1">
        <v>44</v>
      </c>
      <c r="N1221" s="1" t="s">
        <v>56</v>
      </c>
      <c r="O1221" s="1" t="s">
        <v>142</v>
      </c>
      <c r="P1221" s="1" t="s">
        <v>68</v>
      </c>
      <c r="Q1221" s="1" t="s">
        <v>32</v>
      </c>
      <c r="R1221" s="1">
        <v>1202.55</v>
      </c>
      <c r="S1221" s="1" t="s">
        <v>46</v>
      </c>
      <c r="T1221" s="1" t="s">
        <v>47</v>
      </c>
      <c r="U1221" s="1" t="s">
        <v>35</v>
      </c>
      <c r="V1221" s="1" t="s">
        <v>71</v>
      </c>
    </row>
    <row r="1222" spans="1:22" x14ac:dyDescent="0.3">
      <c r="A1222" s="1" t="s">
        <v>5914</v>
      </c>
      <c r="B1222" s="1" t="s">
        <v>5915</v>
      </c>
      <c r="C1222" s="1">
        <v>39</v>
      </c>
      <c r="D1222" s="1" t="s">
        <v>5916</v>
      </c>
      <c r="E1222" s="1" t="s">
        <v>88</v>
      </c>
      <c r="F1222" s="2">
        <v>44231</v>
      </c>
      <c r="G1222" s="2">
        <v>45689</v>
      </c>
      <c r="H1222" s="1">
        <v>1</v>
      </c>
      <c r="I1222" s="1" t="s">
        <v>27</v>
      </c>
      <c r="J1222" s="2">
        <v>45635</v>
      </c>
      <c r="K1222" s="1" t="s">
        <v>5917</v>
      </c>
      <c r="L1222" s="1">
        <v>6</v>
      </c>
      <c r="M1222" s="1">
        <v>6</v>
      </c>
      <c r="N1222" s="1" t="s">
        <v>45</v>
      </c>
      <c r="O1222" s="1" t="s">
        <v>418</v>
      </c>
      <c r="P1222" s="1" t="s">
        <v>56</v>
      </c>
      <c r="Q1222" s="1" t="s">
        <v>32</v>
      </c>
      <c r="R1222" s="1">
        <v>81.3</v>
      </c>
      <c r="S1222" s="1" t="s">
        <v>46</v>
      </c>
      <c r="T1222" s="1" t="s">
        <v>34</v>
      </c>
      <c r="U1222" s="1" t="s">
        <v>70</v>
      </c>
      <c r="V1222" s="1" t="s">
        <v>36</v>
      </c>
    </row>
    <row r="1223" spans="1:22" x14ac:dyDescent="0.3">
      <c r="A1223" s="1" t="s">
        <v>5918</v>
      </c>
      <c r="B1223" s="1" t="s">
        <v>5919</v>
      </c>
      <c r="C1223" s="1">
        <v>53</v>
      </c>
      <c r="D1223" s="1" t="s">
        <v>5920</v>
      </c>
      <c r="E1223" s="1" t="s">
        <v>51</v>
      </c>
      <c r="F1223" s="2">
        <v>44753</v>
      </c>
      <c r="G1223" s="1" t="s">
        <v>2397</v>
      </c>
      <c r="H1223" s="1">
        <v>1</v>
      </c>
      <c r="I1223" s="1" t="s">
        <v>27</v>
      </c>
      <c r="J1223" s="2">
        <v>45567</v>
      </c>
      <c r="K1223" s="1" t="s">
        <v>5921</v>
      </c>
      <c r="L1223" s="1">
        <v>3</v>
      </c>
      <c r="M1223" s="1">
        <v>15</v>
      </c>
      <c r="N1223" s="1" t="s">
        <v>68</v>
      </c>
      <c r="O1223" s="1" t="s">
        <v>77</v>
      </c>
      <c r="P1223" s="1" t="s">
        <v>54</v>
      </c>
      <c r="Q1223" s="1" t="s">
        <v>69</v>
      </c>
      <c r="R1223" s="1">
        <v>1057.56</v>
      </c>
      <c r="S1223" s="1" t="s">
        <v>46</v>
      </c>
      <c r="T1223" s="1" t="s">
        <v>47</v>
      </c>
      <c r="U1223" s="1" t="s">
        <v>35</v>
      </c>
      <c r="V1223" s="1" t="s">
        <v>36</v>
      </c>
    </row>
    <row r="1224" spans="1:22" x14ac:dyDescent="0.3">
      <c r="A1224" s="1" t="s">
        <v>5922</v>
      </c>
      <c r="B1224" s="1" t="s">
        <v>5923</v>
      </c>
      <c r="C1224" s="1">
        <v>45</v>
      </c>
      <c r="D1224" s="1" t="s">
        <v>5924</v>
      </c>
      <c r="E1224" s="1" t="s">
        <v>25</v>
      </c>
      <c r="F1224" s="2">
        <v>44473</v>
      </c>
      <c r="G1224" s="1" t="s">
        <v>2858</v>
      </c>
      <c r="H1224" s="1">
        <v>1</v>
      </c>
      <c r="I1224" s="1" t="s">
        <v>52</v>
      </c>
      <c r="J1224" s="1" t="s">
        <v>261</v>
      </c>
      <c r="K1224" s="1" t="s">
        <v>5925</v>
      </c>
      <c r="L1224" s="1">
        <v>3</v>
      </c>
      <c r="M1224" s="1">
        <v>38</v>
      </c>
      <c r="N1224" s="1" t="s">
        <v>54</v>
      </c>
      <c r="O1224" s="1" t="s">
        <v>128</v>
      </c>
      <c r="P1224" s="1" t="s">
        <v>54</v>
      </c>
      <c r="Q1224" s="1" t="s">
        <v>69</v>
      </c>
      <c r="R1224" s="1">
        <v>1921.68</v>
      </c>
      <c r="S1224" s="1" t="s">
        <v>33</v>
      </c>
      <c r="T1224" s="1" t="s">
        <v>34</v>
      </c>
      <c r="U1224" s="1" t="s">
        <v>35</v>
      </c>
      <c r="V1224" s="1" t="s">
        <v>36</v>
      </c>
    </row>
    <row r="1225" spans="1:22" x14ac:dyDescent="0.3">
      <c r="A1225" s="1" t="s">
        <v>5926</v>
      </c>
      <c r="B1225" s="1" t="s">
        <v>5927</v>
      </c>
      <c r="C1225" s="1">
        <v>60</v>
      </c>
      <c r="D1225" s="1" t="s">
        <v>5928</v>
      </c>
      <c r="E1225" s="1" t="s">
        <v>51</v>
      </c>
      <c r="F1225" s="2">
        <v>44298</v>
      </c>
      <c r="G1225" s="1" t="s">
        <v>2113</v>
      </c>
      <c r="H1225" s="1">
        <v>0</v>
      </c>
      <c r="I1225" s="1" t="s">
        <v>27</v>
      </c>
      <c r="J1225" s="1" t="s">
        <v>1459</v>
      </c>
      <c r="K1225" s="1" t="s">
        <v>5929</v>
      </c>
      <c r="L1225" s="1">
        <v>3</v>
      </c>
      <c r="M1225" s="1">
        <v>22</v>
      </c>
      <c r="N1225" s="1" t="s">
        <v>56</v>
      </c>
      <c r="O1225" s="1" t="s">
        <v>418</v>
      </c>
      <c r="P1225" s="1" t="s">
        <v>56</v>
      </c>
      <c r="Q1225" s="1" t="s">
        <v>322</v>
      </c>
      <c r="R1225" s="1">
        <v>638.85</v>
      </c>
      <c r="S1225" s="1" t="s">
        <v>33</v>
      </c>
      <c r="T1225" s="1" t="s">
        <v>47</v>
      </c>
      <c r="U1225" s="1" t="s">
        <v>35</v>
      </c>
      <c r="V1225" s="1" t="s">
        <v>36</v>
      </c>
    </row>
    <row r="1226" spans="1:22" x14ac:dyDescent="0.3">
      <c r="A1226" s="1" t="s">
        <v>5930</v>
      </c>
      <c r="B1226" s="1" t="s">
        <v>5931</v>
      </c>
      <c r="C1226" s="1">
        <v>29</v>
      </c>
      <c r="D1226" s="1" t="s">
        <v>5932</v>
      </c>
      <c r="E1226" s="1" t="s">
        <v>88</v>
      </c>
      <c r="F1226" s="1" t="s">
        <v>5486</v>
      </c>
      <c r="G1226" s="2">
        <v>45117</v>
      </c>
      <c r="H1226" s="1">
        <v>3</v>
      </c>
      <c r="I1226" s="1" t="s">
        <v>27</v>
      </c>
      <c r="J1226" s="2">
        <v>45871</v>
      </c>
      <c r="K1226" s="1" t="s">
        <v>5933</v>
      </c>
      <c r="L1226" s="1">
        <v>7</v>
      </c>
      <c r="M1226" s="1">
        <v>12</v>
      </c>
      <c r="N1226" s="1" t="s">
        <v>54</v>
      </c>
      <c r="O1226" s="1" t="s">
        <v>223</v>
      </c>
      <c r="P1226" s="1" t="s">
        <v>56</v>
      </c>
      <c r="Q1226" s="1" t="s">
        <v>32</v>
      </c>
      <c r="R1226" s="1">
        <v>1131.48</v>
      </c>
      <c r="S1226" s="1" t="s">
        <v>46</v>
      </c>
      <c r="T1226" s="1" t="s">
        <v>57</v>
      </c>
      <c r="U1226" s="1" t="s">
        <v>35</v>
      </c>
      <c r="V1226" s="1" t="s">
        <v>36</v>
      </c>
    </row>
    <row r="1227" spans="1:22" x14ac:dyDescent="0.3">
      <c r="A1227" s="1" t="s">
        <v>5934</v>
      </c>
      <c r="B1227" s="1" t="s">
        <v>5935</v>
      </c>
      <c r="C1227" s="1">
        <v>36</v>
      </c>
      <c r="D1227" s="1" t="s">
        <v>5936</v>
      </c>
      <c r="E1227" s="1" t="s">
        <v>51</v>
      </c>
      <c r="F1227" s="2">
        <v>45145</v>
      </c>
      <c r="G1227" s="1" t="s">
        <v>364</v>
      </c>
      <c r="H1227" s="1">
        <v>0</v>
      </c>
      <c r="I1227" s="1" t="s">
        <v>27</v>
      </c>
      <c r="J1227" s="1" t="s">
        <v>5937</v>
      </c>
      <c r="K1227" s="1" t="s">
        <v>5938</v>
      </c>
      <c r="L1227" s="1">
        <v>9</v>
      </c>
      <c r="M1227" s="1">
        <v>13</v>
      </c>
      <c r="N1227" s="1" t="s">
        <v>56</v>
      </c>
      <c r="O1227" s="1" t="s">
        <v>194</v>
      </c>
      <c r="P1227" s="1" t="s">
        <v>56</v>
      </c>
      <c r="Q1227" s="1" t="s">
        <v>32</v>
      </c>
      <c r="R1227" s="1">
        <v>1303.02</v>
      </c>
      <c r="S1227" s="1" t="s">
        <v>33</v>
      </c>
      <c r="T1227" s="1" t="s">
        <v>34</v>
      </c>
      <c r="U1227" s="1" t="s">
        <v>35</v>
      </c>
      <c r="V1227" s="1" t="s">
        <v>36</v>
      </c>
    </row>
    <row r="1228" spans="1:22" x14ac:dyDescent="0.3">
      <c r="A1228" s="1" t="s">
        <v>5939</v>
      </c>
      <c r="B1228" s="1" t="s">
        <v>5940</v>
      </c>
      <c r="C1228" s="1">
        <v>25</v>
      </c>
      <c r="D1228" s="1" t="s">
        <v>5941</v>
      </c>
      <c r="E1228" s="1" t="s">
        <v>88</v>
      </c>
      <c r="F1228" s="1" t="s">
        <v>883</v>
      </c>
      <c r="G1228" s="2">
        <v>45627</v>
      </c>
      <c r="H1228" s="1">
        <v>5</v>
      </c>
      <c r="I1228" s="1" t="s">
        <v>27</v>
      </c>
      <c r="J1228" s="1" t="s">
        <v>1339</v>
      </c>
      <c r="K1228" s="1" t="s">
        <v>5942</v>
      </c>
      <c r="L1228" s="1">
        <v>8</v>
      </c>
      <c r="M1228" s="1">
        <v>31</v>
      </c>
      <c r="N1228" s="1" t="s">
        <v>45</v>
      </c>
      <c r="O1228" s="1" t="s">
        <v>231</v>
      </c>
      <c r="P1228" s="1" t="s">
        <v>30</v>
      </c>
      <c r="Q1228" s="1" t="s">
        <v>32</v>
      </c>
      <c r="R1228" s="1">
        <v>1779.52</v>
      </c>
      <c r="S1228" s="1" t="s">
        <v>46</v>
      </c>
      <c r="T1228" s="1" t="s">
        <v>57</v>
      </c>
      <c r="U1228" s="1" t="s">
        <v>35</v>
      </c>
      <c r="V1228" s="1" t="s">
        <v>188</v>
      </c>
    </row>
    <row r="1229" spans="1:22" x14ac:dyDescent="0.3">
      <c r="A1229" s="1" t="s">
        <v>5943</v>
      </c>
      <c r="B1229" s="1" t="s">
        <v>5944</v>
      </c>
      <c r="C1229" s="1">
        <v>52</v>
      </c>
      <c r="D1229" s="1" t="s">
        <v>5945</v>
      </c>
      <c r="E1229" s="1" t="s">
        <v>61</v>
      </c>
      <c r="F1229" s="1" t="s">
        <v>2152</v>
      </c>
      <c r="G1229" s="1" t="s">
        <v>3200</v>
      </c>
      <c r="H1229" s="1">
        <v>3</v>
      </c>
      <c r="I1229" s="1" t="s">
        <v>27</v>
      </c>
      <c r="J1229" s="1" t="s">
        <v>5946</v>
      </c>
      <c r="K1229" s="1" t="s">
        <v>5947</v>
      </c>
      <c r="L1229" s="1">
        <v>7</v>
      </c>
      <c r="M1229" s="1">
        <v>48</v>
      </c>
      <c r="N1229" s="1" t="s">
        <v>45</v>
      </c>
      <c r="O1229" s="1" t="s">
        <v>373</v>
      </c>
      <c r="P1229" s="1" t="s">
        <v>54</v>
      </c>
      <c r="Q1229" s="1" t="s">
        <v>69</v>
      </c>
      <c r="R1229" s="1">
        <v>207.83</v>
      </c>
      <c r="S1229" s="1" t="s">
        <v>46</v>
      </c>
      <c r="T1229" s="1" t="s">
        <v>47</v>
      </c>
      <c r="U1229" s="1" t="s">
        <v>35</v>
      </c>
      <c r="V1229" s="1" t="s">
        <v>36</v>
      </c>
    </row>
    <row r="1230" spans="1:22" x14ac:dyDescent="0.3">
      <c r="A1230" s="1" t="s">
        <v>5948</v>
      </c>
      <c r="B1230" s="1" t="s">
        <v>5949</v>
      </c>
      <c r="C1230" s="1">
        <v>60</v>
      </c>
      <c r="D1230" s="1" t="s">
        <v>5950</v>
      </c>
      <c r="E1230" s="1" t="s">
        <v>88</v>
      </c>
      <c r="F1230" s="2">
        <v>45111</v>
      </c>
      <c r="G1230" s="1" t="s">
        <v>5448</v>
      </c>
      <c r="H1230" s="1">
        <v>0</v>
      </c>
      <c r="I1230" s="1" t="s">
        <v>27</v>
      </c>
      <c r="J1230" s="1" t="s">
        <v>530</v>
      </c>
      <c r="K1230" s="1" t="s">
        <v>5951</v>
      </c>
      <c r="L1230" s="1">
        <v>8</v>
      </c>
      <c r="M1230" s="1">
        <v>35</v>
      </c>
      <c r="N1230" s="1" t="s">
        <v>45</v>
      </c>
      <c r="O1230" s="1" t="s">
        <v>855</v>
      </c>
      <c r="P1230" s="1" t="s">
        <v>45</v>
      </c>
      <c r="Q1230" s="1" t="s">
        <v>322</v>
      </c>
      <c r="R1230" s="1">
        <v>809.28</v>
      </c>
      <c r="S1230" s="1" t="s">
        <v>33</v>
      </c>
      <c r="T1230" s="1" t="s">
        <v>47</v>
      </c>
      <c r="U1230" s="1" t="s">
        <v>35</v>
      </c>
      <c r="V1230" s="1" t="s">
        <v>36</v>
      </c>
    </row>
    <row r="1231" spans="1:22" x14ac:dyDescent="0.3">
      <c r="A1231" s="1" t="s">
        <v>5952</v>
      </c>
      <c r="B1231" s="1" t="s">
        <v>5953</v>
      </c>
      <c r="C1231" s="1">
        <v>53</v>
      </c>
      <c r="D1231" s="1" t="s">
        <v>5954</v>
      </c>
      <c r="E1231" s="1" t="s">
        <v>95</v>
      </c>
      <c r="F1231" s="2">
        <v>44842</v>
      </c>
      <c r="G1231" s="1" t="s">
        <v>2983</v>
      </c>
      <c r="H1231" s="1">
        <v>5</v>
      </c>
      <c r="I1231" s="1" t="s">
        <v>27</v>
      </c>
      <c r="J1231" s="2">
        <v>44907</v>
      </c>
      <c r="K1231" s="1" t="s">
        <v>5955</v>
      </c>
      <c r="L1231" s="1">
        <v>6</v>
      </c>
      <c r="M1231" s="1">
        <v>32</v>
      </c>
      <c r="N1231" s="1" t="s">
        <v>45</v>
      </c>
      <c r="O1231" s="1" t="s">
        <v>366</v>
      </c>
      <c r="P1231" s="1" t="s">
        <v>54</v>
      </c>
      <c r="Q1231" s="1" t="s">
        <v>32</v>
      </c>
      <c r="R1231" s="1">
        <v>1005.06</v>
      </c>
      <c r="S1231" s="1" t="s">
        <v>46</v>
      </c>
      <c r="T1231" s="1" t="s">
        <v>47</v>
      </c>
      <c r="U1231" s="1" t="s">
        <v>35</v>
      </c>
      <c r="V1231" s="1" t="s">
        <v>188</v>
      </c>
    </row>
    <row r="1232" spans="1:22" x14ac:dyDescent="0.3">
      <c r="A1232" s="1" t="s">
        <v>5956</v>
      </c>
      <c r="B1232" s="1" t="s">
        <v>5957</v>
      </c>
      <c r="C1232" s="1">
        <v>46</v>
      </c>
      <c r="D1232" s="1" t="s">
        <v>5958</v>
      </c>
      <c r="E1232" s="1" t="s">
        <v>61</v>
      </c>
      <c r="F1232" s="1" t="s">
        <v>3001</v>
      </c>
      <c r="G1232" s="1" t="s">
        <v>1791</v>
      </c>
      <c r="H1232" s="1">
        <v>5</v>
      </c>
      <c r="I1232" s="1" t="s">
        <v>52</v>
      </c>
      <c r="J1232" s="1" t="s">
        <v>1971</v>
      </c>
      <c r="K1232" s="1" t="s">
        <v>5959</v>
      </c>
      <c r="L1232" s="1">
        <v>3</v>
      </c>
      <c r="M1232" s="1">
        <v>48</v>
      </c>
      <c r="N1232" s="1" t="s">
        <v>45</v>
      </c>
      <c r="O1232" s="1" t="s">
        <v>142</v>
      </c>
      <c r="P1232" s="1" t="s">
        <v>68</v>
      </c>
      <c r="Q1232" s="1" t="s">
        <v>32</v>
      </c>
      <c r="R1232" s="1">
        <v>324.14999999999998</v>
      </c>
      <c r="S1232" s="1" t="s">
        <v>46</v>
      </c>
      <c r="T1232" s="1" t="s">
        <v>34</v>
      </c>
      <c r="U1232" s="1" t="s">
        <v>35</v>
      </c>
      <c r="V1232" s="1" t="s">
        <v>36</v>
      </c>
    </row>
    <row r="1233" spans="1:22" x14ac:dyDescent="0.3">
      <c r="A1233" s="1" t="s">
        <v>5960</v>
      </c>
      <c r="B1233" s="1" t="s">
        <v>5961</v>
      </c>
      <c r="C1233" s="1">
        <v>40</v>
      </c>
      <c r="D1233" s="1" t="s">
        <v>5962</v>
      </c>
      <c r="E1233" s="1" t="s">
        <v>51</v>
      </c>
      <c r="F1233" s="2">
        <v>44349</v>
      </c>
      <c r="G1233" s="1" t="s">
        <v>2625</v>
      </c>
      <c r="H1233" s="1">
        <v>0</v>
      </c>
      <c r="I1233" s="1" t="s">
        <v>64</v>
      </c>
      <c r="J1233" s="1" t="s">
        <v>670</v>
      </c>
      <c r="K1233" s="1" t="s">
        <v>5963</v>
      </c>
      <c r="L1233" s="1">
        <v>6</v>
      </c>
      <c r="M1233" s="1">
        <v>38</v>
      </c>
      <c r="N1233" s="1" t="s">
        <v>54</v>
      </c>
      <c r="O1233" s="1" t="s">
        <v>157</v>
      </c>
      <c r="P1233" s="1" t="s">
        <v>68</v>
      </c>
      <c r="Q1233" s="1" t="s">
        <v>32</v>
      </c>
      <c r="R1233" s="1">
        <v>1994.58</v>
      </c>
      <c r="S1233" s="1" t="s">
        <v>46</v>
      </c>
      <c r="T1233" s="1" t="s">
        <v>34</v>
      </c>
      <c r="U1233" s="1" t="s">
        <v>35</v>
      </c>
      <c r="V1233" s="1" t="s">
        <v>71</v>
      </c>
    </row>
    <row r="1234" spans="1:22" x14ac:dyDescent="0.3">
      <c r="A1234" s="1" t="s">
        <v>5964</v>
      </c>
      <c r="B1234" s="1" t="s">
        <v>5965</v>
      </c>
      <c r="C1234" s="1">
        <v>50</v>
      </c>
      <c r="D1234" s="1" t="s">
        <v>5966</v>
      </c>
      <c r="E1234" s="1" t="s">
        <v>61</v>
      </c>
      <c r="F1234" s="2">
        <v>44177</v>
      </c>
      <c r="G1234" s="1" t="s">
        <v>5967</v>
      </c>
      <c r="H1234" s="1">
        <v>0</v>
      </c>
      <c r="I1234" s="1" t="s">
        <v>27</v>
      </c>
      <c r="J1234" s="1" t="s">
        <v>723</v>
      </c>
      <c r="K1234" s="1" t="s">
        <v>5968</v>
      </c>
      <c r="L1234" s="1">
        <v>2</v>
      </c>
      <c r="M1234" s="1">
        <v>5</v>
      </c>
      <c r="N1234" s="1" t="s">
        <v>56</v>
      </c>
      <c r="O1234" s="1" t="s">
        <v>624</v>
      </c>
      <c r="P1234" s="1" t="s">
        <v>30</v>
      </c>
      <c r="Q1234" s="1" t="s">
        <v>32</v>
      </c>
      <c r="R1234" s="1">
        <v>1361.28</v>
      </c>
      <c r="S1234" s="1" t="s">
        <v>46</v>
      </c>
      <c r="T1234" s="1" t="s">
        <v>47</v>
      </c>
      <c r="U1234" s="1" t="s">
        <v>35</v>
      </c>
      <c r="V1234" s="1" t="s">
        <v>36</v>
      </c>
    </row>
    <row r="1235" spans="1:22" x14ac:dyDescent="0.3">
      <c r="A1235" s="1" t="s">
        <v>5969</v>
      </c>
      <c r="B1235" s="1" t="s">
        <v>5970</v>
      </c>
      <c r="C1235" s="1">
        <v>67</v>
      </c>
      <c r="D1235" s="1" t="s">
        <v>5971</v>
      </c>
      <c r="E1235" s="1" t="s">
        <v>25</v>
      </c>
      <c r="F1235" s="1" t="s">
        <v>41</v>
      </c>
      <c r="G1235" s="1" t="s">
        <v>4888</v>
      </c>
      <c r="H1235" s="1">
        <v>3</v>
      </c>
      <c r="I1235" s="1" t="s">
        <v>27</v>
      </c>
      <c r="J1235" s="1" t="s">
        <v>5972</v>
      </c>
      <c r="K1235" s="1" t="s">
        <v>5973</v>
      </c>
      <c r="L1235" s="1">
        <v>7</v>
      </c>
      <c r="M1235" s="1">
        <v>36</v>
      </c>
      <c r="N1235" s="1" t="s">
        <v>30</v>
      </c>
      <c r="O1235" s="1" t="s">
        <v>169</v>
      </c>
      <c r="P1235" s="1" t="s">
        <v>30</v>
      </c>
      <c r="Q1235" s="1" t="s">
        <v>32</v>
      </c>
      <c r="R1235" s="1">
        <v>1785.56</v>
      </c>
      <c r="S1235" s="1" t="s">
        <v>33</v>
      </c>
      <c r="T1235" s="1" t="s">
        <v>232</v>
      </c>
      <c r="U1235" s="1" t="s">
        <v>35</v>
      </c>
      <c r="V1235" s="1" t="s">
        <v>36</v>
      </c>
    </row>
    <row r="1236" spans="1:22" x14ac:dyDescent="0.3">
      <c r="A1236" s="1" t="s">
        <v>5974</v>
      </c>
      <c r="B1236" s="1" t="s">
        <v>5975</v>
      </c>
      <c r="C1236" s="1">
        <v>34</v>
      </c>
      <c r="D1236" s="1" t="s">
        <v>5976</v>
      </c>
      <c r="E1236" s="1" t="s">
        <v>88</v>
      </c>
      <c r="F1236" s="1" t="s">
        <v>5977</v>
      </c>
      <c r="G1236" s="1" t="s">
        <v>4998</v>
      </c>
      <c r="H1236" s="1">
        <v>5</v>
      </c>
      <c r="I1236" s="1" t="s">
        <v>27</v>
      </c>
      <c r="J1236" s="2">
        <v>45361</v>
      </c>
      <c r="K1236" s="1" t="s">
        <v>5978</v>
      </c>
      <c r="L1236" s="1">
        <v>7</v>
      </c>
      <c r="M1236" s="1">
        <v>27</v>
      </c>
      <c r="N1236" s="1" t="s">
        <v>56</v>
      </c>
      <c r="O1236" s="1" t="s">
        <v>855</v>
      </c>
      <c r="P1236" s="1" t="s">
        <v>45</v>
      </c>
      <c r="Q1236" s="1" t="s">
        <v>32</v>
      </c>
      <c r="R1236" s="1">
        <v>804.23</v>
      </c>
      <c r="S1236" s="1" t="s">
        <v>46</v>
      </c>
      <c r="T1236" s="1" t="s">
        <v>57</v>
      </c>
      <c r="U1236" s="1" t="s">
        <v>35</v>
      </c>
      <c r="V1236" s="1" t="s">
        <v>188</v>
      </c>
    </row>
    <row r="1237" spans="1:22" x14ac:dyDescent="0.3">
      <c r="A1237" s="1" t="s">
        <v>5979</v>
      </c>
      <c r="B1237" s="1" t="s">
        <v>5980</v>
      </c>
      <c r="C1237" s="1">
        <v>44</v>
      </c>
      <c r="D1237" s="1" t="s">
        <v>5981</v>
      </c>
      <c r="E1237" s="1" t="s">
        <v>88</v>
      </c>
      <c r="F1237" s="2">
        <v>44813</v>
      </c>
      <c r="G1237" s="1" t="s">
        <v>2685</v>
      </c>
      <c r="H1237" s="1">
        <v>1</v>
      </c>
      <c r="I1237" s="1" t="s">
        <v>27</v>
      </c>
      <c r="J1237" s="1" t="s">
        <v>1541</v>
      </c>
      <c r="K1237" s="1" t="s">
        <v>5982</v>
      </c>
      <c r="L1237" s="1">
        <v>6</v>
      </c>
      <c r="M1237" s="1">
        <v>17</v>
      </c>
      <c r="N1237" s="1" t="s">
        <v>30</v>
      </c>
      <c r="O1237" s="1" t="s">
        <v>175</v>
      </c>
      <c r="P1237" s="1" t="s">
        <v>56</v>
      </c>
      <c r="Q1237" s="1" t="s">
        <v>32</v>
      </c>
      <c r="R1237" s="1">
        <v>1155.5999999999999</v>
      </c>
      <c r="S1237" s="1" t="s">
        <v>46</v>
      </c>
      <c r="T1237" s="1" t="s">
        <v>34</v>
      </c>
      <c r="U1237" s="1" t="s">
        <v>35</v>
      </c>
      <c r="V1237" s="1" t="s">
        <v>36</v>
      </c>
    </row>
    <row r="1238" spans="1:22" x14ac:dyDescent="0.3">
      <c r="A1238" s="1" t="s">
        <v>5983</v>
      </c>
      <c r="B1238" s="1" t="s">
        <v>5984</v>
      </c>
      <c r="C1238" s="1">
        <v>63</v>
      </c>
      <c r="D1238" s="1" t="s">
        <v>5985</v>
      </c>
      <c r="E1238" s="1" t="s">
        <v>61</v>
      </c>
      <c r="F1238" s="1" t="s">
        <v>1148</v>
      </c>
      <c r="G1238" s="2">
        <v>45417</v>
      </c>
      <c r="H1238" s="1">
        <v>1</v>
      </c>
      <c r="I1238" s="1" t="s">
        <v>52</v>
      </c>
      <c r="J1238" s="2">
        <v>44903</v>
      </c>
      <c r="K1238" s="1" t="s">
        <v>5986</v>
      </c>
      <c r="L1238" s="1">
        <v>3</v>
      </c>
      <c r="M1238" s="1">
        <v>27</v>
      </c>
      <c r="N1238" s="1" t="s">
        <v>68</v>
      </c>
      <c r="O1238" s="1" t="s">
        <v>77</v>
      </c>
      <c r="P1238" s="1" t="s">
        <v>54</v>
      </c>
      <c r="Q1238" s="1" t="s">
        <v>32</v>
      </c>
      <c r="R1238" s="1">
        <v>416.82</v>
      </c>
      <c r="S1238" s="1" t="s">
        <v>46</v>
      </c>
      <c r="T1238" s="1" t="s">
        <v>47</v>
      </c>
      <c r="U1238" s="1" t="s">
        <v>35</v>
      </c>
      <c r="V1238" s="1" t="s">
        <v>36</v>
      </c>
    </row>
    <row r="1239" spans="1:22" x14ac:dyDescent="0.3">
      <c r="A1239" s="1" t="s">
        <v>5987</v>
      </c>
      <c r="B1239" s="1" t="s">
        <v>5988</v>
      </c>
      <c r="C1239" s="1">
        <v>49</v>
      </c>
      <c r="D1239" s="1" t="s">
        <v>5989</v>
      </c>
      <c r="E1239" s="1" t="s">
        <v>88</v>
      </c>
      <c r="F1239" s="2">
        <v>44442</v>
      </c>
      <c r="G1239" s="1" t="s">
        <v>3525</v>
      </c>
      <c r="H1239" s="1">
        <v>4</v>
      </c>
      <c r="I1239" s="1" t="s">
        <v>27</v>
      </c>
      <c r="J1239" s="2">
        <v>45724</v>
      </c>
      <c r="K1239" s="1" t="s">
        <v>5990</v>
      </c>
      <c r="L1239" s="1">
        <v>1</v>
      </c>
      <c r="M1239" s="1">
        <v>7</v>
      </c>
      <c r="N1239" s="1" t="s">
        <v>30</v>
      </c>
      <c r="O1239" s="1" t="s">
        <v>31</v>
      </c>
      <c r="P1239" s="1" t="s">
        <v>30</v>
      </c>
      <c r="Q1239" s="1" t="s">
        <v>32</v>
      </c>
      <c r="R1239" s="1">
        <v>1427.64</v>
      </c>
      <c r="S1239" s="1" t="s">
        <v>33</v>
      </c>
      <c r="T1239" s="1" t="s">
        <v>34</v>
      </c>
      <c r="U1239" s="1" t="s">
        <v>35</v>
      </c>
      <c r="V1239" s="1" t="s">
        <v>188</v>
      </c>
    </row>
    <row r="1240" spans="1:22" x14ac:dyDescent="0.3">
      <c r="A1240" s="1" t="s">
        <v>5991</v>
      </c>
      <c r="B1240" s="1" t="s">
        <v>5992</v>
      </c>
      <c r="C1240" s="1">
        <v>51</v>
      </c>
      <c r="D1240" s="1" t="s">
        <v>5993</v>
      </c>
      <c r="E1240" s="1" t="s">
        <v>51</v>
      </c>
      <c r="F1240" s="1" t="s">
        <v>5589</v>
      </c>
      <c r="G1240" s="1" t="s">
        <v>1313</v>
      </c>
      <c r="H1240" s="1">
        <v>4</v>
      </c>
      <c r="I1240" s="1" t="s">
        <v>64</v>
      </c>
      <c r="J1240" s="2">
        <v>45573</v>
      </c>
      <c r="K1240" s="1" t="s">
        <v>5994</v>
      </c>
      <c r="L1240" s="1">
        <v>7</v>
      </c>
      <c r="M1240" s="1">
        <v>18</v>
      </c>
      <c r="N1240" s="1" t="s">
        <v>30</v>
      </c>
      <c r="O1240" s="1" t="s">
        <v>223</v>
      </c>
      <c r="P1240" s="1" t="s">
        <v>56</v>
      </c>
      <c r="Q1240" s="1" t="s">
        <v>32</v>
      </c>
      <c r="R1240" s="1">
        <v>174.93</v>
      </c>
      <c r="S1240" s="1" t="s">
        <v>46</v>
      </c>
      <c r="T1240" s="1" t="s">
        <v>47</v>
      </c>
      <c r="U1240" s="1" t="s">
        <v>35</v>
      </c>
      <c r="V1240" s="1" t="s">
        <v>71</v>
      </c>
    </row>
    <row r="1241" spans="1:22" x14ac:dyDescent="0.3">
      <c r="A1241" s="1" t="s">
        <v>5995</v>
      </c>
      <c r="B1241" s="1" t="s">
        <v>5996</v>
      </c>
      <c r="C1241" s="1">
        <v>29</v>
      </c>
      <c r="D1241" s="1" t="s">
        <v>5997</v>
      </c>
      <c r="E1241" s="1" t="s">
        <v>61</v>
      </c>
      <c r="F1241" s="1" t="s">
        <v>2588</v>
      </c>
      <c r="G1241" s="1" t="s">
        <v>1791</v>
      </c>
      <c r="H1241" s="1">
        <v>5</v>
      </c>
      <c r="I1241" s="1" t="s">
        <v>27</v>
      </c>
      <c r="J1241" s="1" t="s">
        <v>107</v>
      </c>
      <c r="K1241" s="1" t="s">
        <v>5998</v>
      </c>
      <c r="L1241" s="1">
        <v>3</v>
      </c>
      <c r="M1241" s="1">
        <v>28</v>
      </c>
      <c r="N1241" s="1" t="s">
        <v>30</v>
      </c>
      <c r="O1241" s="1" t="s">
        <v>128</v>
      </c>
      <c r="P1241" s="1" t="s">
        <v>54</v>
      </c>
      <c r="Q1241" s="1" t="s">
        <v>69</v>
      </c>
      <c r="R1241" s="1">
        <v>184.92</v>
      </c>
      <c r="S1241" s="1" t="s">
        <v>46</v>
      </c>
      <c r="T1241" s="1" t="s">
        <v>57</v>
      </c>
      <c r="U1241" s="1" t="s">
        <v>35</v>
      </c>
      <c r="V1241" s="1" t="s">
        <v>188</v>
      </c>
    </row>
    <row r="1242" spans="1:22" x14ac:dyDescent="0.3">
      <c r="A1242" s="1" t="s">
        <v>5999</v>
      </c>
      <c r="B1242" s="1" t="s">
        <v>6000</v>
      </c>
      <c r="C1242" s="1">
        <v>44</v>
      </c>
      <c r="D1242" s="1" t="s">
        <v>6001</v>
      </c>
      <c r="E1242" s="1" t="s">
        <v>88</v>
      </c>
      <c r="F1242" s="2">
        <v>44600</v>
      </c>
      <c r="G1242" s="2">
        <v>45449</v>
      </c>
      <c r="H1242" s="1">
        <v>1</v>
      </c>
      <c r="I1242" s="1" t="s">
        <v>27</v>
      </c>
      <c r="J1242" s="2">
        <v>45635</v>
      </c>
      <c r="K1242" s="1" t="s">
        <v>6002</v>
      </c>
      <c r="L1242" s="1">
        <v>2</v>
      </c>
      <c r="M1242" s="1">
        <v>39</v>
      </c>
      <c r="N1242" s="1" t="s">
        <v>30</v>
      </c>
      <c r="O1242" s="1" t="s">
        <v>31</v>
      </c>
      <c r="P1242" s="1" t="s">
        <v>30</v>
      </c>
      <c r="Q1242" s="1" t="s">
        <v>69</v>
      </c>
      <c r="R1242" s="1">
        <v>1074.1199999999999</v>
      </c>
      <c r="S1242" s="1" t="s">
        <v>33</v>
      </c>
      <c r="T1242" s="1" t="s">
        <v>34</v>
      </c>
      <c r="U1242" s="1" t="s">
        <v>35</v>
      </c>
      <c r="V1242" s="1" t="s">
        <v>36</v>
      </c>
    </row>
    <row r="1243" spans="1:22" x14ac:dyDescent="0.3">
      <c r="A1243" s="1" t="s">
        <v>6003</v>
      </c>
      <c r="B1243" s="1" t="s">
        <v>6004</v>
      </c>
      <c r="C1243" s="1">
        <v>55</v>
      </c>
      <c r="D1243" s="1" t="s">
        <v>6005</v>
      </c>
      <c r="E1243" s="1" t="s">
        <v>88</v>
      </c>
      <c r="F1243" s="2">
        <v>44258</v>
      </c>
      <c r="G1243" s="2">
        <v>44571</v>
      </c>
      <c r="H1243" s="1">
        <v>0</v>
      </c>
      <c r="I1243" s="1" t="s">
        <v>27</v>
      </c>
      <c r="J1243" s="1" t="s">
        <v>4664</v>
      </c>
      <c r="K1243" s="1" t="s">
        <v>6006</v>
      </c>
      <c r="L1243" s="1">
        <v>4</v>
      </c>
      <c r="M1243" s="1">
        <v>16</v>
      </c>
      <c r="N1243" s="1" t="s">
        <v>54</v>
      </c>
      <c r="O1243" s="1" t="s">
        <v>157</v>
      </c>
      <c r="P1243" s="1" t="s">
        <v>68</v>
      </c>
      <c r="Q1243" s="1" t="s">
        <v>32</v>
      </c>
      <c r="R1243" s="1">
        <v>848.32</v>
      </c>
      <c r="S1243" s="1" t="s">
        <v>46</v>
      </c>
      <c r="T1243" s="1" t="s">
        <v>47</v>
      </c>
      <c r="U1243" s="1" t="s">
        <v>35</v>
      </c>
      <c r="V1243" s="1" t="s">
        <v>36</v>
      </c>
    </row>
    <row r="1244" spans="1:22" x14ac:dyDescent="0.3">
      <c r="A1244" s="1" t="s">
        <v>6007</v>
      </c>
      <c r="B1244" s="1" t="s">
        <v>6008</v>
      </c>
      <c r="C1244" s="1">
        <v>41</v>
      </c>
      <c r="D1244" s="1" t="s">
        <v>6009</v>
      </c>
      <c r="E1244" s="1" t="s">
        <v>51</v>
      </c>
      <c r="F1244" s="1" t="s">
        <v>773</v>
      </c>
      <c r="G1244" s="2">
        <v>45841</v>
      </c>
      <c r="H1244" s="1">
        <v>4</v>
      </c>
      <c r="I1244" s="1" t="s">
        <v>27</v>
      </c>
      <c r="J1244" s="1" t="s">
        <v>1737</v>
      </c>
      <c r="K1244" s="1" t="s">
        <v>6010</v>
      </c>
      <c r="L1244" s="1">
        <v>4</v>
      </c>
      <c r="M1244" s="1">
        <v>14</v>
      </c>
      <c r="N1244" s="1" t="s">
        <v>30</v>
      </c>
      <c r="O1244" s="1" t="s">
        <v>418</v>
      </c>
      <c r="P1244" s="1" t="s">
        <v>56</v>
      </c>
      <c r="Q1244" s="1" t="s">
        <v>32</v>
      </c>
      <c r="R1244" s="1">
        <v>974.32</v>
      </c>
      <c r="S1244" s="1" t="s">
        <v>46</v>
      </c>
      <c r="T1244" s="1" t="s">
        <v>34</v>
      </c>
      <c r="U1244" s="1" t="s">
        <v>35</v>
      </c>
      <c r="V1244" s="1" t="s">
        <v>188</v>
      </c>
    </row>
    <row r="1245" spans="1:22" x14ac:dyDescent="0.3">
      <c r="A1245" s="1" t="s">
        <v>6011</v>
      </c>
      <c r="B1245" s="1" t="s">
        <v>6012</v>
      </c>
      <c r="C1245" s="1">
        <v>26</v>
      </c>
      <c r="D1245" s="1" t="s">
        <v>6013</v>
      </c>
      <c r="E1245" s="1" t="s">
        <v>95</v>
      </c>
      <c r="F1245" s="2">
        <v>44875</v>
      </c>
      <c r="G1245" s="2">
        <v>45296</v>
      </c>
      <c r="H1245" s="1">
        <v>3</v>
      </c>
      <c r="I1245" s="1" t="s">
        <v>27</v>
      </c>
      <c r="J1245" s="2">
        <v>44988</v>
      </c>
      <c r="K1245" s="1" t="s">
        <v>6014</v>
      </c>
      <c r="L1245" s="1">
        <v>2</v>
      </c>
      <c r="M1245" s="1">
        <v>10</v>
      </c>
      <c r="N1245" s="1" t="s">
        <v>54</v>
      </c>
      <c r="O1245" s="1" t="s">
        <v>366</v>
      </c>
      <c r="P1245" s="1" t="s">
        <v>54</v>
      </c>
      <c r="Q1245" s="1" t="s">
        <v>32</v>
      </c>
      <c r="R1245" s="1">
        <v>1984.8</v>
      </c>
      <c r="S1245" s="1" t="s">
        <v>33</v>
      </c>
      <c r="T1245" s="1" t="s">
        <v>57</v>
      </c>
      <c r="U1245" s="1" t="s">
        <v>35</v>
      </c>
      <c r="V1245" s="1" t="s">
        <v>36</v>
      </c>
    </row>
    <row r="1246" spans="1:22" x14ac:dyDescent="0.3">
      <c r="A1246" s="1" t="s">
        <v>6015</v>
      </c>
      <c r="B1246" s="1" t="s">
        <v>6016</v>
      </c>
      <c r="C1246" s="1">
        <v>18</v>
      </c>
      <c r="D1246" s="1" t="s">
        <v>6017</v>
      </c>
      <c r="E1246" s="1" t="s">
        <v>88</v>
      </c>
      <c r="F1246" s="1" t="s">
        <v>3272</v>
      </c>
      <c r="G1246" s="2">
        <v>45301</v>
      </c>
      <c r="H1246" s="1">
        <v>5</v>
      </c>
      <c r="I1246" s="1" t="s">
        <v>27</v>
      </c>
      <c r="J1246" s="1" t="s">
        <v>2430</v>
      </c>
      <c r="K1246" s="1" t="s">
        <v>6018</v>
      </c>
      <c r="L1246" s="1">
        <v>1</v>
      </c>
      <c r="M1246" s="1">
        <v>20</v>
      </c>
      <c r="N1246" s="1" t="s">
        <v>54</v>
      </c>
      <c r="O1246" s="1" t="s">
        <v>175</v>
      </c>
      <c r="P1246" s="1" t="s">
        <v>56</v>
      </c>
      <c r="Q1246" s="1" t="s">
        <v>69</v>
      </c>
      <c r="R1246" s="1">
        <v>610.13</v>
      </c>
      <c r="S1246" s="1" t="s">
        <v>46</v>
      </c>
      <c r="T1246" s="1" t="s">
        <v>100</v>
      </c>
      <c r="U1246" s="1" t="s">
        <v>35</v>
      </c>
      <c r="V1246" s="1" t="s">
        <v>188</v>
      </c>
    </row>
    <row r="1247" spans="1:22" x14ac:dyDescent="0.3">
      <c r="A1247" s="1" t="s">
        <v>6019</v>
      </c>
      <c r="B1247" s="1" t="s">
        <v>6020</v>
      </c>
      <c r="C1247" s="1">
        <v>55</v>
      </c>
      <c r="D1247" s="1" t="s">
        <v>6021</v>
      </c>
      <c r="E1247" s="1" t="s">
        <v>25</v>
      </c>
      <c r="F1247" s="1" t="s">
        <v>6022</v>
      </c>
      <c r="G1247" s="1" t="s">
        <v>1811</v>
      </c>
      <c r="H1247" s="1">
        <v>3</v>
      </c>
      <c r="I1247" s="1" t="s">
        <v>27</v>
      </c>
      <c r="J1247" s="2">
        <v>45116</v>
      </c>
      <c r="K1247" s="1" t="s">
        <v>6023</v>
      </c>
      <c r="L1247" s="1">
        <v>9</v>
      </c>
      <c r="M1247" s="1">
        <v>7</v>
      </c>
      <c r="N1247" s="1" t="s">
        <v>54</v>
      </c>
      <c r="O1247" s="1" t="s">
        <v>109</v>
      </c>
      <c r="P1247" s="1" t="s">
        <v>68</v>
      </c>
      <c r="Q1247" s="1" t="s">
        <v>32</v>
      </c>
      <c r="R1247" s="1">
        <v>553.59</v>
      </c>
      <c r="S1247" s="1" t="s">
        <v>46</v>
      </c>
      <c r="T1247" s="1" t="s">
        <v>47</v>
      </c>
      <c r="U1247" s="1" t="s">
        <v>35</v>
      </c>
      <c r="V1247" s="1" t="s">
        <v>36</v>
      </c>
    </row>
    <row r="1248" spans="1:22" x14ac:dyDescent="0.3">
      <c r="A1248" s="1" t="s">
        <v>6024</v>
      </c>
      <c r="B1248" s="1" t="s">
        <v>6025</v>
      </c>
      <c r="C1248" s="1">
        <v>36</v>
      </c>
      <c r="D1248" s="1" t="s">
        <v>6026</v>
      </c>
      <c r="E1248" s="1" t="s">
        <v>88</v>
      </c>
      <c r="F1248" s="1" t="s">
        <v>2207</v>
      </c>
      <c r="G1248" s="1" t="s">
        <v>2236</v>
      </c>
      <c r="H1248" s="1">
        <v>3</v>
      </c>
      <c r="I1248" s="1" t="s">
        <v>52</v>
      </c>
      <c r="J1248" s="1" t="s">
        <v>409</v>
      </c>
      <c r="K1248" s="1" t="s">
        <v>6027</v>
      </c>
      <c r="L1248" s="1">
        <v>2</v>
      </c>
      <c r="M1248" s="1">
        <v>28</v>
      </c>
      <c r="N1248" s="1" t="s">
        <v>54</v>
      </c>
      <c r="O1248" s="1" t="s">
        <v>604</v>
      </c>
      <c r="P1248" s="1" t="s">
        <v>45</v>
      </c>
      <c r="Q1248" s="1" t="s">
        <v>32</v>
      </c>
      <c r="R1248" s="1">
        <v>1399.52</v>
      </c>
      <c r="S1248" s="1" t="s">
        <v>46</v>
      </c>
      <c r="T1248" s="1" t="s">
        <v>34</v>
      </c>
      <c r="U1248" s="1" t="s">
        <v>35</v>
      </c>
      <c r="V1248" s="1" t="s">
        <v>36</v>
      </c>
    </row>
    <row r="1249" spans="1:22" x14ac:dyDescent="0.3">
      <c r="A1249" s="1" t="s">
        <v>6028</v>
      </c>
      <c r="B1249" s="1" t="s">
        <v>6029</v>
      </c>
      <c r="C1249" s="1">
        <v>60</v>
      </c>
      <c r="D1249" s="1" t="s">
        <v>6030</v>
      </c>
      <c r="E1249" s="1" t="s">
        <v>61</v>
      </c>
      <c r="F1249" s="1" t="s">
        <v>6031</v>
      </c>
      <c r="G1249" s="2">
        <v>45843</v>
      </c>
      <c r="H1249" s="1">
        <v>0</v>
      </c>
      <c r="I1249" s="1" t="s">
        <v>27</v>
      </c>
      <c r="J1249" s="1" t="s">
        <v>4812</v>
      </c>
      <c r="K1249" s="1" t="s">
        <v>6032</v>
      </c>
      <c r="L1249" s="1">
        <v>1</v>
      </c>
      <c r="M1249" s="1">
        <v>8</v>
      </c>
      <c r="N1249" s="1" t="s">
        <v>68</v>
      </c>
      <c r="O1249" s="1" t="s">
        <v>116</v>
      </c>
      <c r="P1249" s="1" t="s">
        <v>54</v>
      </c>
      <c r="Q1249" s="1" t="s">
        <v>69</v>
      </c>
      <c r="R1249" s="1">
        <v>1111.6600000000001</v>
      </c>
      <c r="S1249" s="1" t="s">
        <v>46</v>
      </c>
      <c r="T1249" s="1" t="s">
        <v>47</v>
      </c>
      <c r="U1249" s="1" t="s">
        <v>35</v>
      </c>
      <c r="V1249" s="1" t="s">
        <v>36</v>
      </c>
    </row>
    <row r="1250" spans="1:22" x14ac:dyDescent="0.3">
      <c r="A1250" s="1" t="s">
        <v>6033</v>
      </c>
      <c r="B1250" s="1" t="s">
        <v>6034</v>
      </c>
      <c r="C1250" s="1">
        <v>46</v>
      </c>
      <c r="D1250" s="1" t="s">
        <v>6035</v>
      </c>
      <c r="E1250" s="1" t="s">
        <v>61</v>
      </c>
      <c r="F1250" s="1" t="s">
        <v>3948</v>
      </c>
      <c r="G1250" s="1" t="s">
        <v>1983</v>
      </c>
      <c r="H1250" s="1">
        <v>3</v>
      </c>
      <c r="I1250" s="1" t="s">
        <v>27</v>
      </c>
      <c r="J1250" s="2">
        <v>44967</v>
      </c>
      <c r="K1250" s="1" t="s">
        <v>6036</v>
      </c>
      <c r="L1250" s="1">
        <v>9</v>
      </c>
      <c r="M1250" s="1">
        <v>5</v>
      </c>
      <c r="N1250" s="1" t="s">
        <v>45</v>
      </c>
      <c r="O1250" s="1" t="s">
        <v>425</v>
      </c>
      <c r="P1250" s="1" t="s">
        <v>30</v>
      </c>
      <c r="Q1250" s="1" t="s">
        <v>69</v>
      </c>
      <c r="R1250" s="1">
        <v>394.11</v>
      </c>
      <c r="S1250" s="1" t="s">
        <v>46</v>
      </c>
      <c r="T1250" s="1" t="s">
        <v>34</v>
      </c>
      <c r="U1250" s="1" t="s">
        <v>101</v>
      </c>
      <c r="V1250" s="1" t="s">
        <v>36</v>
      </c>
    </row>
    <row r="1251" spans="1:22" x14ac:dyDescent="0.3">
      <c r="A1251" s="1" t="s">
        <v>6037</v>
      </c>
      <c r="B1251" s="1" t="s">
        <v>6038</v>
      </c>
      <c r="C1251" s="1">
        <v>49</v>
      </c>
      <c r="D1251" s="1" t="s">
        <v>6039</v>
      </c>
      <c r="E1251" s="1" t="s">
        <v>88</v>
      </c>
      <c r="F1251" s="2">
        <v>44775</v>
      </c>
      <c r="G1251" s="2">
        <v>44965</v>
      </c>
      <c r="H1251" s="1">
        <v>4</v>
      </c>
      <c r="I1251" s="1" t="s">
        <v>52</v>
      </c>
      <c r="J1251" s="1" t="s">
        <v>6040</v>
      </c>
      <c r="K1251" s="1" t="s">
        <v>6041</v>
      </c>
      <c r="L1251" s="1">
        <v>6</v>
      </c>
      <c r="M1251" s="1">
        <v>35</v>
      </c>
      <c r="N1251" s="1" t="s">
        <v>45</v>
      </c>
      <c r="O1251" s="1" t="s">
        <v>77</v>
      </c>
      <c r="P1251" s="1" t="s">
        <v>54</v>
      </c>
      <c r="Q1251" s="1" t="s">
        <v>69</v>
      </c>
      <c r="R1251" s="1">
        <v>162.12</v>
      </c>
      <c r="S1251" s="1" t="s">
        <v>46</v>
      </c>
      <c r="T1251" s="1" t="s">
        <v>34</v>
      </c>
      <c r="U1251" s="1" t="s">
        <v>35</v>
      </c>
      <c r="V1251" s="1" t="s">
        <v>36</v>
      </c>
    </row>
    <row r="1252" spans="1:22" x14ac:dyDescent="0.3">
      <c r="A1252" s="1" t="s">
        <v>6042</v>
      </c>
      <c r="B1252" s="1" t="s">
        <v>6043</v>
      </c>
      <c r="C1252" s="1">
        <v>48</v>
      </c>
      <c r="D1252" s="1" t="s">
        <v>6044</v>
      </c>
      <c r="E1252" s="1" t="s">
        <v>95</v>
      </c>
      <c r="F1252" s="2">
        <v>44541</v>
      </c>
      <c r="G1252" s="2">
        <v>45053</v>
      </c>
      <c r="H1252" s="1">
        <v>1</v>
      </c>
      <c r="I1252" s="1" t="s">
        <v>27</v>
      </c>
      <c r="J1252" s="2">
        <v>44780</v>
      </c>
      <c r="K1252" s="1" t="s">
        <v>6045</v>
      </c>
      <c r="L1252" s="1">
        <v>4</v>
      </c>
      <c r="M1252" s="1">
        <v>10</v>
      </c>
      <c r="N1252" s="1" t="s">
        <v>54</v>
      </c>
      <c r="O1252" s="1" t="s">
        <v>169</v>
      </c>
      <c r="P1252" s="1" t="s">
        <v>30</v>
      </c>
      <c r="Q1252" s="1" t="s">
        <v>69</v>
      </c>
      <c r="R1252" s="1">
        <v>499.12</v>
      </c>
      <c r="S1252" s="1" t="s">
        <v>46</v>
      </c>
      <c r="T1252" s="1" t="s">
        <v>34</v>
      </c>
      <c r="U1252" s="1" t="s">
        <v>35</v>
      </c>
      <c r="V1252" s="1" t="s">
        <v>36</v>
      </c>
    </row>
    <row r="1253" spans="1:22" x14ac:dyDescent="0.3">
      <c r="A1253" s="1" t="s">
        <v>6046</v>
      </c>
      <c r="B1253" s="1" t="s">
        <v>6047</v>
      </c>
      <c r="C1253" s="1">
        <v>58</v>
      </c>
      <c r="D1253" s="1" t="s">
        <v>6048</v>
      </c>
      <c r="E1253" s="1" t="s">
        <v>40</v>
      </c>
      <c r="F1253" s="2">
        <v>43991</v>
      </c>
      <c r="G1253" s="1" t="s">
        <v>1148</v>
      </c>
      <c r="H1253" s="1">
        <v>4</v>
      </c>
      <c r="I1253" s="1" t="s">
        <v>52</v>
      </c>
      <c r="J1253" s="2">
        <v>45694</v>
      </c>
      <c r="K1253" s="1" t="s">
        <v>6049</v>
      </c>
      <c r="L1253" s="1">
        <v>6</v>
      </c>
      <c r="M1253" s="1">
        <v>44</v>
      </c>
      <c r="N1253" s="1" t="s">
        <v>68</v>
      </c>
      <c r="O1253" s="1" t="s">
        <v>169</v>
      </c>
      <c r="P1253" s="1" t="s">
        <v>30</v>
      </c>
      <c r="Q1253" s="1" t="s">
        <v>32</v>
      </c>
      <c r="R1253" s="1">
        <v>1014.18</v>
      </c>
      <c r="S1253" s="1" t="s">
        <v>46</v>
      </c>
      <c r="T1253" s="1" t="s">
        <v>47</v>
      </c>
      <c r="U1253" s="1" t="s">
        <v>35</v>
      </c>
      <c r="V1253" s="1" t="s">
        <v>36</v>
      </c>
    </row>
    <row r="1254" spans="1:22" x14ac:dyDescent="0.3">
      <c r="A1254" s="1" t="s">
        <v>6050</v>
      </c>
      <c r="B1254" s="1" t="s">
        <v>6051</v>
      </c>
      <c r="C1254" s="1">
        <v>26</v>
      </c>
      <c r="D1254" s="1" t="s">
        <v>6052</v>
      </c>
      <c r="E1254" s="1" t="s">
        <v>25</v>
      </c>
      <c r="F1254" s="2">
        <v>44323</v>
      </c>
      <c r="G1254" s="1" t="s">
        <v>2241</v>
      </c>
      <c r="H1254" s="1">
        <v>1</v>
      </c>
      <c r="I1254" s="1" t="s">
        <v>27</v>
      </c>
      <c r="J1254" s="2">
        <v>45424</v>
      </c>
      <c r="K1254" s="1" t="s">
        <v>6053</v>
      </c>
      <c r="L1254" s="1">
        <v>2</v>
      </c>
      <c r="M1254" s="1">
        <v>39</v>
      </c>
      <c r="N1254" s="1" t="s">
        <v>30</v>
      </c>
      <c r="O1254" s="1" t="s">
        <v>223</v>
      </c>
      <c r="P1254" s="1" t="s">
        <v>56</v>
      </c>
      <c r="Q1254" s="1" t="s">
        <v>69</v>
      </c>
      <c r="R1254" s="1">
        <v>266.92</v>
      </c>
      <c r="S1254" s="1" t="s">
        <v>46</v>
      </c>
      <c r="T1254" s="1" t="s">
        <v>57</v>
      </c>
      <c r="U1254" s="1" t="s">
        <v>35</v>
      </c>
      <c r="V1254" s="1" t="s">
        <v>36</v>
      </c>
    </row>
    <row r="1255" spans="1:22" x14ac:dyDescent="0.3">
      <c r="A1255" s="1" t="s">
        <v>6054</v>
      </c>
      <c r="B1255" s="1" t="s">
        <v>6055</v>
      </c>
      <c r="C1255" s="1">
        <v>42</v>
      </c>
      <c r="D1255" s="1" t="s">
        <v>6056</v>
      </c>
      <c r="E1255" s="1" t="s">
        <v>51</v>
      </c>
      <c r="F1255" s="2">
        <v>44477</v>
      </c>
      <c r="G1255" s="2">
        <v>45176</v>
      </c>
      <c r="H1255" s="1">
        <v>2</v>
      </c>
      <c r="I1255" s="1" t="s">
        <v>27</v>
      </c>
      <c r="J1255" s="2">
        <v>45363</v>
      </c>
      <c r="K1255" s="1" t="s">
        <v>6057</v>
      </c>
      <c r="L1255" s="1">
        <v>8</v>
      </c>
      <c r="M1255" s="1">
        <v>19</v>
      </c>
      <c r="N1255" s="1" t="s">
        <v>45</v>
      </c>
      <c r="O1255" s="1" t="s">
        <v>31</v>
      </c>
      <c r="P1255" s="1" t="s">
        <v>30</v>
      </c>
      <c r="Q1255" s="1" t="s">
        <v>32</v>
      </c>
      <c r="R1255" s="1">
        <v>38.96</v>
      </c>
      <c r="S1255" s="1" t="s">
        <v>46</v>
      </c>
      <c r="T1255" s="1" t="s">
        <v>34</v>
      </c>
      <c r="U1255" s="1" t="s">
        <v>70</v>
      </c>
      <c r="V1255" s="1" t="s">
        <v>36</v>
      </c>
    </row>
    <row r="1256" spans="1:22" x14ac:dyDescent="0.3">
      <c r="A1256" s="1" t="s">
        <v>6058</v>
      </c>
      <c r="B1256" s="1" t="s">
        <v>6059</v>
      </c>
      <c r="C1256" s="1">
        <v>54</v>
      </c>
      <c r="D1256" s="1" t="s">
        <v>6060</v>
      </c>
      <c r="E1256" s="1" t="s">
        <v>25</v>
      </c>
      <c r="F1256" s="1" t="s">
        <v>980</v>
      </c>
      <c r="G1256" s="1" t="s">
        <v>584</v>
      </c>
      <c r="H1256" s="1">
        <v>4</v>
      </c>
      <c r="I1256" s="1" t="s">
        <v>64</v>
      </c>
      <c r="J1256" s="1" t="s">
        <v>1318</v>
      </c>
      <c r="K1256" s="1" t="s">
        <v>6061</v>
      </c>
      <c r="L1256" s="1">
        <v>1</v>
      </c>
      <c r="M1256" s="1">
        <v>33</v>
      </c>
      <c r="N1256" s="1" t="s">
        <v>45</v>
      </c>
      <c r="O1256" s="1" t="s">
        <v>67</v>
      </c>
      <c r="P1256" s="1" t="s">
        <v>68</v>
      </c>
      <c r="Q1256" s="1" t="s">
        <v>32</v>
      </c>
      <c r="R1256" s="1">
        <v>526.33000000000004</v>
      </c>
      <c r="S1256" s="1" t="s">
        <v>46</v>
      </c>
      <c r="T1256" s="1" t="s">
        <v>47</v>
      </c>
      <c r="U1256" s="1" t="s">
        <v>35</v>
      </c>
      <c r="V1256" s="1" t="s">
        <v>71</v>
      </c>
    </row>
    <row r="1257" spans="1:22" x14ac:dyDescent="0.3">
      <c r="A1257" s="1" t="s">
        <v>6062</v>
      </c>
      <c r="B1257" s="1" t="s">
        <v>6063</v>
      </c>
      <c r="C1257" s="1">
        <v>51</v>
      </c>
      <c r="D1257" s="1" t="s">
        <v>6064</v>
      </c>
      <c r="E1257" s="1" t="s">
        <v>61</v>
      </c>
      <c r="F1257" s="2">
        <v>44474</v>
      </c>
      <c r="G1257" s="2">
        <v>44874</v>
      </c>
      <c r="H1257" s="1">
        <v>2</v>
      </c>
      <c r="I1257" s="1" t="s">
        <v>52</v>
      </c>
      <c r="J1257" s="2">
        <v>44572</v>
      </c>
      <c r="K1257" s="1" t="s">
        <v>6065</v>
      </c>
      <c r="L1257" s="1">
        <v>3</v>
      </c>
      <c r="M1257" s="1">
        <v>19</v>
      </c>
      <c r="N1257" s="1" t="s">
        <v>30</v>
      </c>
      <c r="O1257" s="1" t="s">
        <v>122</v>
      </c>
      <c r="P1257" s="1" t="s">
        <v>30</v>
      </c>
      <c r="Q1257" s="1" t="s">
        <v>32</v>
      </c>
      <c r="R1257" s="1">
        <v>1964.49</v>
      </c>
      <c r="S1257" s="1" t="s">
        <v>33</v>
      </c>
      <c r="T1257" s="1" t="s">
        <v>47</v>
      </c>
      <c r="U1257" s="1" t="s">
        <v>35</v>
      </c>
      <c r="V1257" s="1" t="s">
        <v>36</v>
      </c>
    </row>
    <row r="1258" spans="1:22" x14ac:dyDescent="0.3">
      <c r="A1258" s="1" t="s">
        <v>6066</v>
      </c>
      <c r="B1258" s="1" t="s">
        <v>6067</v>
      </c>
      <c r="C1258" s="1">
        <v>28</v>
      </c>
      <c r="D1258" s="1" t="s">
        <v>6068</v>
      </c>
      <c r="E1258" s="1" t="s">
        <v>88</v>
      </c>
      <c r="F1258" s="1" t="s">
        <v>550</v>
      </c>
      <c r="G1258" s="2">
        <v>44632</v>
      </c>
      <c r="H1258" s="1">
        <v>0</v>
      </c>
      <c r="I1258" s="1" t="s">
        <v>27</v>
      </c>
      <c r="J1258" s="2">
        <v>45840</v>
      </c>
      <c r="K1258" s="1" t="s">
        <v>6069</v>
      </c>
      <c r="L1258" s="1">
        <v>3</v>
      </c>
      <c r="M1258" s="1">
        <v>39</v>
      </c>
      <c r="N1258" s="1" t="s">
        <v>56</v>
      </c>
      <c r="O1258" s="1" t="s">
        <v>142</v>
      </c>
      <c r="P1258" s="1" t="s">
        <v>68</v>
      </c>
      <c r="Q1258" s="1" t="s">
        <v>32</v>
      </c>
      <c r="R1258" s="1">
        <v>984.45</v>
      </c>
      <c r="S1258" s="1" t="s">
        <v>46</v>
      </c>
      <c r="T1258" s="1" t="s">
        <v>57</v>
      </c>
      <c r="U1258" s="1" t="s">
        <v>35</v>
      </c>
      <c r="V1258" s="1" t="s">
        <v>36</v>
      </c>
    </row>
    <row r="1259" spans="1:22" x14ac:dyDescent="0.3">
      <c r="A1259" s="1" t="s">
        <v>6070</v>
      </c>
      <c r="B1259" s="1" t="s">
        <v>6071</v>
      </c>
      <c r="C1259" s="1">
        <v>56</v>
      </c>
      <c r="D1259" s="1" t="s">
        <v>6072</v>
      </c>
      <c r="E1259" s="1" t="s">
        <v>25</v>
      </c>
      <c r="F1259" s="2">
        <v>44174</v>
      </c>
      <c r="G1259" s="1" t="s">
        <v>2323</v>
      </c>
      <c r="H1259" s="1">
        <v>2</v>
      </c>
      <c r="I1259" s="1" t="s">
        <v>52</v>
      </c>
      <c r="J1259" s="1" t="s">
        <v>3856</v>
      </c>
      <c r="K1259" s="1" t="s">
        <v>6073</v>
      </c>
      <c r="L1259" s="1">
        <v>4</v>
      </c>
      <c r="M1259" s="1">
        <v>6</v>
      </c>
      <c r="N1259" s="1" t="s">
        <v>45</v>
      </c>
      <c r="O1259" s="1" t="s">
        <v>175</v>
      </c>
      <c r="P1259" s="1" t="s">
        <v>56</v>
      </c>
      <c r="Q1259" s="1" t="s">
        <v>69</v>
      </c>
      <c r="R1259" s="1">
        <v>424.44</v>
      </c>
      <c r="S1259" s="1" t="s">
        <v>46</v>
      </c>
      <c r="T1259" s="1" t="s">
        <v>47</v>
      </c>
      <c r="U1259" s="1" t="s">
        <v>35</v>
      </c>
      <c r="V1259" s="1" t="s">
        <v>36</v>
      </c>
    </row>
    <row r="1260" spans="1:22" x14ac:dyDescent="0.3">
      <c r="A1260" s="1" t="s">
        <v>6074</v>
      </c>
      <c r="B1260" s="1" t="s">
        <v>6075</v>
      </c>
      <c r="C1260" s="1">
        <v>46</v>
      </c>
      <c r="D1260" s="1" t="s">
        <v>6076</v>
      </c>
      <c r="E1260" s="1" t="s">
        <v>25</v>
      </c>
      <c r="F1260" s="1" t="s">
        <v>6077</v>
      </c>
      <c r="G1260" s="1" t="s">
        <v>784</v>
      </c>
      <c r="H1260" s="1">
        <v>3</v>
      </c>
      <c r="I1260" s="1" t="s">
        <v>27</v>
      </c>
      <c r="J1260" s="1" t="s">
        <v>1106</v>
      </c>
      <c r="K1260" s="1" t="s">
        <v>6078</v>
      </c>
      <c r="L1260" s="1">
        <v>3</v>
      </c>
      <c r="M1260" s="1">
        <v>17</v>
      </c>
      <c r="N1260" s="1" t="s">
        <v>68</v>
      </c>
      <c r="O1260" s="1" t="s">
        <v>604</v>
      </c>
      <c r="P1260" s="1" t="s">
        <v>45</v>
      </c>
      <c r="Q1260" s="1" t="s">
        <v>69</v>
      </c>
      <c r="R1260" s="1">
        <v>306.42</v>
      </c>
      <c r="S1260" s="1" t="s">
        <v>46</v>
      </c>
      <c r="T1260" s="1" t="s">
        <v>34</v>
      </c>
      <c r="U1260" s="1" t="s">
        <v>35</v>
      </c>
      <c r="V1260" s="1" t="s">
        <v>36</v>
      </c>
    </row>
    <row r="1261" spans="1:22" x14ac:dyDescent="0.3">
      <c r="A1261" s="1" t="s">
        <v>6079</v>
      </c>
      <c r="B1261" s="1" t="s">
        <v>6080</v>
      </c>
      <c r="C1261" s="1">
        <v>39</v>
      </c>
      <c r="D1261" s="1" t="s">
        <v>6081</v>
      </c>
      <c r="E1261" s="1" t="s">
        <v>88</v>
      </c>
      <c r="F1261" s="1" t="s">
        <v>2988</v>
      </c>
      <c r="G1261" s="1" t="s">
        <v>3832</v>
      </c>
      <c r="H1261" s="1">
        <v>0</v>
      </c>
      <c r="I1261" s="1" t="s">
        <v>27</v>
      </c>
      <c r="J1261" s="2">
        <v>45139</v>
      </c>
      <c r="K1261" s="1" t="s">
        <v>6082</v>
      </c>
      <c r="L1261" s="1">
        <v>7</v>
      </c>
      <c r="M1261" s="1">
        <v>39</v>
      </c>
      <c r="N1261" s="1" t="s">
        <v>56</v>
      </c>
      <c r="O1261" s="1" t="s">
        <v>251</v>
      </c>
      <c r="P1261" s="1" t="s">
        <v>30</v>
      </c>
      <c r="Q1261" s="1" t="s">
        <v>69</v>
      </c>
      <c r="R1261" s="1">
        <v>1358.91</v>
      </c>
      <c r="S1261" s="1" t="s">
        <v>46</v>
      </c>
      <c r="T1261" s="1" t="s">
        <v>34</v>
      </c>
      <c r="U1261" s="1" t="s">
        <v>35</v>
      </c>
      <c r="V1261" s="1" t="s">
        <v>36</v>
      </c>
    </row>
    <row r="1262" spans="1:22" x14ac:dyDescent="0.3">
      <c r="A1262" s="1" t="s">
        <v>6083</v>
      </c>
      <c r="B1262" s="1" t="s">
        <v>6084</v>
      </c>
      <c r="C1262" s="1">
        <v>50</v>
      </c>
      <c r="D1262" s="1" t="s">
        <v>6085</v>
      </c>
      <c r="E1262" s="1" t="s">
        <v>88</v>
      </c>
      <c r="F1262" s="1" t="s">
        <v>6086</v>
      </c>
      <c r="G1262" s="2">
        <v>45239</v>
      </c>
      <c r="H1262" s="1">
        <v>5</v>
      </c>
      <c r="I1262" s="1" t="s">
        <v>27</v>
      </c>
      <c r="J1262" s="2">
        <v>45323</v>
      </c>
      <c r="K1262" s="1" t="s">
        <v>6087</v>
      </c>
      <c r="L1262" s="1">
        <v>6</v>
      </c>
      <c r="M1262" s="1">
        <v>4</v>
      </c>
      <c r="N1262" s="1" t="s">
        <v>68</v>
      </c>
      <c r="O1262" s="1" t="s">
        <v>122</v>
      </c>
      <c r="P1262" s="1" t="s">
        <v>30</v>
      </c>
      <c r="Q1262" s="1" t="s">
        <v>69</v>
      </c>
      <c r="R1262" s="1">
        <v>1161.9000000000001</v>
      </c>
      <c r="S1262" s="1" t="s">
        <v>46</v>
      </c>
      <c r="T1262" s="1" t="s">
        <v>47</v>
      </c>
      <c r="U1262" s="1" t="s">
        <v>35</v>
      </c>
      <c r="V1262" s="1" t="s">
        <v>188</v>
      </c>
    </row>
    <row r="1263" spans="1:22" x14ac:dyDescent="0.3">
      <c r="A1263" s="1" t="s">
        <v>6088</v>
      </c>
      <c r="B1263" s="1" t="s">
        <v>6089</v>
      </c>
      <c r="C1263" s="1">
        <v>50</v>
      </c>
      <c r="D1263" s="1" t="s">
        <v>6090</v>
      </c>
      <c r="E1263" s="1" t="s">
        <v>95</v>
      </c>
      <c r="F1263" s="2">
        <v>45232</v>
      </c>
      <c r="G1263" s="1" t="s">
        <v>1402</v>
      </c>
      <c r="H1263" s="1">
        <v>2</v>
      </c>
      <c r="I1263" s="1" t="s">
        <v>27</v>
      </c>
      <c r="J1263" s="1" t="s">
        <v>410</v>
      </c>
      <c r="K1263" s="1" t="s">
        <v>6091</v>
      </c>
      <c r="L1263" s="1">
        <v>6</v>
      </c>
      <c r="M1263" s="1">
        <v>47</v>
      </c>
      <c r="N1263" s="1" t="s">
        <v>56</v>
      </c>
      <c r="O1263" s="1" t="s">
        <v>142</v>
      </c>
      <c r="P1263" s="1" t="s">
        <v>68</v>
      </c>
      <c r="Q1263" s="1" t="s">
        <v>32</v>
      </c>
      <c r="R1263" s="1">
        <v>210.18</v>
      </c>
      <c r="S1263" s="1" t="s">
        <v>46</v>
      </c>
      <c r="T1263" s="1" t="s">
        <v>47</v>
      </c>
      <c r="U1263" s="1" t="s">
        <v>35</v>
      </c>
      <c r="V1263" s="1" t="s">
        <v>36</v>
      </c>
    </row>
    <row r="1264" spans="1:22" x14ac:dyDescent="0.3">
      <c r="A1264" s="1" t="s">
        <v>6092</v>
      </c>
      <c r="B1264" s="1" t="s">
        <v>6093</v>
      </c>
      <c r="C1264" s="1">
        <v>58</v>
      </c>
      <c r="D1264" s="1" t="s">
        <v>6094</v>
      </c>
      <c r="E1264" s="1" t="s">
        <v>40</v>
      </c>
      <c r="F1264" s="1" t="s">
        <v>6095</v>
      </c>
      <c r="G1264" s="2">
        <v>44936</v>
      </c>
      <c r="H1264" s="1">
        <v>0</v>
      </c>
      <c r="I1264" s="1" t="s">
        <v>64</v>
      </c>
      <c r="J1264" s="2">
        <v>45264</v>
      </c>
      <c r="K1264" s="1" t="s">
        <v>6096</v>
      </c>
      <c r="L1264" s="1">
        <v>3</v>
      </c>
      <c r="M1264" s="1">
        <v>29</v>
      </c>
      <c r="N1264" s="1" t="s">
        <v>56</v>
      </c>
      <c r="O1264" s="1" t="s">
        <v>44</v>
      </c>
      <c r="P1264" s="1" t="s">
        <v>45</v>
      </c>
      <c r="Q1264" s="1" t="s">
        <v>69</v>
      </c>
      <c r="R1264" s="1">
        <v>91.23</v>
      </c>
      <c r="S1264" s="1" t="s">
        <v>46</v>
      </c>
      <c r="T1264" s="1" t="s">
        <v>47</v>
      </c>
      <c r="U1264" s="1" t="s">
        <v>35</v>
      </c>
      <c r="V1264" s="1" t="s">
        <v>71</v>
      </c>
    </row>
    <row r="1265" spans="1:22" x14ac:dyDescent="0.3">
      <c r="A1265" s="1" t="s">
        <v>6097</v>
      </c>
      <c r="B1265" s="1" t="s">
        <v>6098</v>
      </c>
      <c r="C1265" s="1">
        <v>19</v>
      </c>
      <c r="D1265" s="1" t="s">
        <v>6099</v>
      </c>
      <c r="E1265" s="1" t="s">
        <v>95</v>
      </c>
      <c r="F1265" s="2">
        <v>45233</v>
      </c>
      <c r="G1265" s="2">
        <v>45812</v>
      </c>
      <c r="H1265" s="1">
        <v>3</v>
      </c>
      <c r="I1265" s="1" t="s">
        <v>64</v>
      </c>
      <c r="J1265" s="2">
        <v>45384</v>
      </c>
      <c r="K1265" s="1" t="s">
        <v>6100</v>
      </c>
      <c r="L1265" s="1">
        <v>3</v>
      </c>
      <c r="M1265" s="1">
        <v>38</v>
      </c>
      <c r="N1265" s="1" t="s">
        <v>54</v>
      </c>
      <c r="O1265" s="1" t="s">
        <v>169</v>
      </c>
      <c r="P1265" s="1" t="s">
        <v>30</v>
      </c>
      <c r="Q1265" s="1" t="s">
        <v>32</v>
      </c>
      <c r="R1265" s="1">
        <v>1127.94</v>
      </c>
      <c r="S1265" s="1" t="s">
        <v>46</v>
      </c>
      <c r="T1265" s="1" t="s">
        <v>100</v>
      </c>
      <c r="U1265" s="1" t="s">
        <v>35</v>
      </c>
      <c r="V1265" s="1" t="s">
        <v>71</v>
      </c>
    </row>
    <row r="1266" spans="1:22" x14ac:dyDescent="0.3">
      <c r="A1266" s="1" t="s">
        <v>6101</v>
      </c>
      <c r="B1266" s="1" t="s">
        <v>6102</v>
      </c>
      <c r="C1266" s="1">
        <v>25</v>
      </c>
      <c r="D1266" s="1" t="s">
        <v>6103</v>
      </c>
      <c r="E1266" s="1" t="s">
        <v>51</v>
      </c>
      <c r="F1266" s="1" t="s">
        <v>1696</v>
      </c>
      <c r="G1266" s="1" t="s">
        <v>1535</v>
      </c>
      <c r="H1266" s="1">
        <v>1</v>
      </c>
      <c r="I1266" s="1" t="s">
        <v>27</v>
      </c>
      <c r="J1266" s="1" t="s">
        <v>3669</v>
      </c>
      <c r="K1266" s="1" t="s">
        <v>6104</v>
      </c>
      <c r="L1266" s="1">
        <v>2</v>
      </c>
      <c r="M1266" s="1">
        <v>38</v>
      </c>
      <c r="N1266" s="1" t="s">
        <v>56</v>
      </c>
      <c r="O1266" s="1" t="s">
        <v>169</v>
      </c>
      <c r="P1266" s="1" t="s">
        <v>30</v>
      </c>
      <c r="Q1266" s="1" t="s">
        <v>69</v>
      </c>
      <c r="R1266" s="1">
        <v>578.12</v>
      </c>
      <c r="S1266" s="1" t="s">
        <v>46</v>
      </c>
      <c r="T1266" s="1" t="s">
        <v>57</v>
      </c>
      <c r="U1266" s="1" t="s">
        <v>35</v>
      </c>
      <c r="V1266" s="1" t="s">
        <v>36</v>
      </c>
    </row>
    <row r="1267" spans="1:22" x14ac:dyDescent="0.3">
      <c r="A1267" s="1" t="s">
        <v>6105</v>
      </c>
      <c r="B1267" s="1" t="s">
        <v>6106</v>
      </c>
      <c r="C1267" s="1">
        <v>48</v>
      </c>
      <c r="D1267" s="1" t="s">
        <v>6107</v>
      </c>
      <c r="E1267" s="1" t="s">
        <v>25</v>
      </c>
      <c r="F1267" s="2">
        <v>44327</v>
      </c>
      <c r="G1267" s="2">
        <v>44842</v>
      </c>
      <c r="H1267" s="1">
        <v>3</v>
      </c>
      <c r="I1267" s="1" t="s">
        <v>27</v>
      </c>
      <c r="J1267" s="1" t="s">
        <v>173</v>
      </c>
      <c r="K1267" s="1" t="s">
        <v>6108</v>
      </c>
      <c r="L1267" s="1">
        <v>3</v>
      </c>
      <c r="M1267" s="1">
        <v>27</v>
      </c>
      <c r="N1267" s="1" t="s">
        <v>54</v>
      </c>
      <c r="O1267" s="1" t="s">
        <v>67</v>
      </c>
      <c r="P1267" s="1" t="s">
        <v>68</v>
      </c>
      <c r="Q1267" s="1" t="s">
        <v>32</v>
      </c>
      <c r="R1267" s="1">
        <v>372.21</v>
      </c>
      <c r="S1267" s="1" t="s">
        <v>46</v>
      </c>
      <c r="T1267" s="1" t="s">
        <v>34</v>
      </c>
      <c r="U1267" s="1" t="s">
        <v>35</v>
      </c>
      <c r="V1267" s="1" t="s">
        <v>36</v>
      </c>
    </row>
    <row r="1268" spans="1:22" x14ac:dyDescent="0.3">
      <c r="A1268" s="1" t="s">
        <v>6109</v>
      </c>
      <c r="B1268" s="1" t="s">
        <v>6110</v>
      </c>
      <c r="C1268" s="1">
        <v>28</v>
      </c>
      <c r="D1268" s="1" t="s">
        <v>6111</v>
      </c>
      <c r="E1268" s="1" t="s">
        <v>25</v>
      </c>
      <c r="F1268" s="2">
        <v>43930</v>
      </c>
      <c r="G1268" s="2">
        <v>45080</v>
      </c>
      <c r="H1268" s="1">
        <v>5</v>
      </c>
      <c r="I1268" s="1" t="s">
        <v>27</v>
      </c>
      <c r="J1268" s="1" t="s">
        <v>285</v>
      </c>
      <c r="K1268" s="1" t="s">
        <v>6112</v>
      </c>
      <c r="L1268" s="1">
        <v>2</v>
      </c>
      <c r="M1268" s="1">
        <v>49</v>
      </c>
      <c r="N1268" s="1" t="s">
        <v>68</v>
      </c>
      <c r="O1268" s="1" t="s">
        <v>366</v>
      </c>
      <c r="P1268" s="1" t="s">
        <v>54</v>
      </c>
      <c r="Q1268" s="1" t="s">
        <v>32</v>
      </c>
      <c r="R1268" s="1">
        <v>1127.8</v>
      </c>
      <c r="S1268" s="1" t="s">
        <v>46</v>
      </c>
      <c r="T1268" s="1" t="s">
        <v>57</v>
      </c>
      <c r="U1268" s="1" t="s">
        <v>35</v>
      </c>
      <c r="V1268" s="1" t="s">
        <v>188</v>
      </c>
    </row>
    <row r="1269" spans="1:22" x14ac:dyDescent="0.3">
      <c r="A1269" s="1" t="s">
        <v>6113</v>
      </c>
      <c r="B1269" s="1" t="s">
        <v>6114</v>
      </c>
      <c r="C1269" s="1">
        <v>65</v>
      </c>
      <c r="D1269" s="1" t="s">
        <v>6115</v>
      </c>
      <c r="E1269" s="1" t="s">
        <v>95</v>
      </c>
      <c r="F1269" s="1" t="s">
        <v>3912</v>
      </c>
      <c r="G1269" s="1" t="s">
        <v>1100</v>
      </c>
      <c r="H1269" s="1">
        <v>1</v>
      </c>
      <c r="I1269" s="1" t="s">
        <v>52</v>
      </c>
      <c r="J1269" s="1" t="s">
        <v>3205</v>
      </c>
      <c r="K1269" s="1" t="s">
        <v>6116</v>
      </c>
      <c r="L1269" s="1">
        <v>6</v>
      </c>
      <c r="M1269" s="1">
        <v>11</v>
      </c>
      <c r="N1269" s="1" t="s">
        <v>45</v>
      </c>
      <c r="O1269" s="1" t="s">
        <v>238</v>
      </c>
      <c r="P1269" s="1" t="s">
        <v>45</v>
      </c>
      <c r="Q1269" s="1" t="s">
        <v>69</v>
      </c>
      <c r="R1269" s="1">
        <v>1191.8399999999999</v>
      </c>
      <c r="S1269" s="1" t="s">
        <v>33</v>
      </c>
      <c r="T1269" s="1" t="s">
        <v>232</v>
      </c>
      <c r="U1269" s="1" t="s">
        <v>35</v>
      </c>
      <c r="V1269" s="1" t="s">
        <v>36</v>
      </c>
    </row>
    <row r="1270" spans="1:22" x14ac:dyDescent="0.3">
      <c r="A1270" s="1" t="s">
        <v>6117</v>
      </c>
      <c r="B1270" s="1" t="s">
        <v>6118</v>
      </c>
      <c r="C1270" s="1">
        <v>68</v>
      </c>
      <c r="D1270" s="1" t="s">
        <v>6119</v>
      </c>
      <c r="E1270" s="1" t="s">
        <v>40</v>
      </c>
      <c r="F1270" s="1" t="s">
        <v>2019</v>
      </c>
      <c r="G1270" s="2">
        <v>44509</v>
      </c>
      <c r="H1270" s="1">
        <v>3</v>
      </c>
      <c r="I1270" s="1" t="s">
        <v>52</v>
      </c>
      <c r="J1270" s="1" t="s">
        <v>298</v>
      </c>
      <c r="K1270" s="1" t="s">
        <v>6120</v>
      </c>
      <c r="L1270" s="1">
        <v>8</v>
      </c>
      <c r="M1270" s="1">
        <v>4</v>
      </c>
      <c r="N1270" s="1" t="s">
        <v>45</v>
      </c>
      <c r="O1270" s="1" t="s">
        <v>67</v>
      </c>
      <c r="P1270" s="1" t="s">
        <v>68</v>
      </c>
      <c r="Q1270" s="1" t="s">
        <v>32</v>
      </c>
      <c r="R1270" s="1">
        <v>1988.48</v>
      </c>
      <c r="S1270" s="1" t="s">
        <v>46</v>
      </c>
      <c r="T1270" s="1" t="s">
        <v>232</v>
      </c>
      <c r="U1270" s="1" t="s">
        <v>35</v>
      </c>
      <c r="V1270" s="1" t="s">
        <v>36</v>
      </c>
    </row>
    <row r="1271" spans="1:22" x14ac:dyDescent="0.3">
      <c r="A1271" s="1" t="s">
        <v>6121</v>
      </c>
      <c r="B1271" s="1" t="s">
        <v>6122</v>
      </c>
      <c r="C1271" s="1">
        <v>43</v>
      </c>
      <c r="D1271" s="1" t="s">
        <v>6123</v>
      </c>
      <c r="E1271" s="1" t="s">
        <v>51</v>
      </c>
      <c r="F1271" s="1" t="s">
        <v>3831</v>
      </c>
      <c r="G1271" s="1" t="s">
        <v>3223</v>
      </c>
      <c r="H1271" s="1">
        <v>4</v>
      </c>
      <c r="I1271" s="1" t="s">
        <v>27</v>
      </c>
      <c r="J1271" s="1" t="s">
        <v>3112</v>
      </c>
      <c r="K1271" s="1" t="s">
        <v>6124</v>
      </c>
      <c r="L1271" s="1">
        <v>7</v>
      </c>
      <c r="M1271" s="1">
        <v>23</v>
      </c>
      <c r="N1271" s="1" t="s">
        <v>30</v>
      </c>
      <c r="O1271" s="1" t="s">
        <v>142</v>
      </c>
      <c r="P1271" s="1" t="s">
        <v>68</v>
      </c>
      <c r="Q1271" s="1" t="s">
        <v>32</v>
      </c>
      <c r="R1271" s="1">
        <v>1532.79</v>
      </c>
      <c r="S1271" s="1" t="s">
        <v>46</v>
      </c>
      <c r="T1271" s="1" t="s">
        <v>34</v>
      </c>
      <c r="U1271" s="1" t="s">
        <v>35</v>
      </c>
      <c r="V1271" s="1" t="s">
        <v>188</v>
      </c>
    </row>
    <row r="1272" spans="1:22" x14ac:dyDescent="0.3">
      <c r="A1272" s="1" t="s">
        <v>6125</v>
      </c>
      <c r="B1272" s="1" t="s">
        <v>6126</v>
      </c>
      <c r="C1272" s="1">
        <v>24</v>
      </c>
      <c r="D1272" s="1" t="s">
        <v>6127</v>
      </c>
      <c r="E1272" s="1" t="s">
        <v>95</v>
      </c>
      <c r="F1272" s="1" t="s">
        <v>1354</v>
      </c>
      <c r="G1272" s="2">
        <v>45148</v>
      </c>
      <c r="H1272" s="1">
        <v>0</v>
      </c>
      <c r="I1272" s="1" t="s">
        <v>27</v>
      </c>
      <c r="J1272" s="1" t="s">
        <v>1293</v>
      </c>
      <c r="K1272" s="1" t="s">
        <v>6128</v>
      </c>
      <c r="L1272" s="1">
        <v>1</v>
      </c>
      <c r="M1272" s="1">
        <v>42</v>
      </c>
      <c r="N1272" s="1" t="s">
        <v>45</v>
      </c>
      <c r="O1272" s="1" t="s">
        <v>425</v>
      </c>
      <c r="P1272" s="1" t="s">
        <v>30</v>
      </c>
      <c r="Q1272" s="1" t="s">
        <v>69</v>
      </c>
      <c r="R1272" s="1">
        <v>915.31</v>
      </c>
      <c r="S1272" s="1" t="s">
        <v>46</v>
      </c>
      <c r="T1272" s="1" t="s">
        <v>100</v>
      </c>
      <c r="U1272" s="1" t="s">
        <v>35</v>
      </c>
      <c r="V1272" s="1" t="s">
        <v>36</v>
      </c>
    </row>
    <row r="1273" spans="1:22" x14ac:dyDescent="0.3">
      <c r="A1273" s="1" t="s">
        <v>6129</v>
      </c>
      <c r="B1273" s="1" t="s">
        <v>6130</v>
      </c>
      <c r="C1273" s="1">
        <v>55</v>
      </c>
      <c r="D1273" s="1" t="s">
        <v>6131</v>
      </c>
      <c r="E1273" s="1" t="s">
        <v>25</v>
      </c>
      <c r="F1273" s="2">
        <v>44838</v>
      </c>
      <c r="G1273" s="1" t="s">
        <v>1430</v>
      </c>
      <c r="H1273" s="1">
        <v>3</v>
      </c>
      <c r="I1273" s="1" t="s">
        <v>27</v>
      </c>
      <c r="J1273" s="1" t="s">
        <v>6132</v>
      </c>
      <c r="K1273" s="1" t="s">
        <v>6133</v>
      </c>
      <c r="L1273" s="1">
        <v>3</v>
      </c>
      <c r="M1273" s="1">
        <v>43</v>
      </c>
      <c r="N1273" s="1" t="s">
        <v>68</v>
      </c>
      <c r="O1273" s="1" t="s">
        <v>837</v>
      </c>
      <c r="P1273" s="1" t="s">
        <v>56</v>
      </c>
      <c r="Q1273" s="1" t="s">
        <v>69</v>
      </c>
      <c r="R1273" s="1">
        <v>969.39</v>
      </c>
      <c r="S1273" s="1" t="s">
        <v>46</v>
      </c>
      <c r="T1273" s="1" t="s">
        <v>47</v>
      </c>
      <c r="U1273" s="1" t="s">
        <v>35</v>
      </c>
      <c r="V1273" s="1" t="s">
        <v>36</v>
      </c>
    </row>
    <row r="1274" spans="1:22" x14ac:dyDescent="0.3">
      <c r="A1274" s="1" t="s">
        <v>6134</v>
      </c>
      <c r="B1274" s="1" t="s">
        <v>6135</v>
      </c>
      <c r="C1274" s="1">
        <v>47</v>
      </c>
      <c r="D1274" s="1" t="s">
        <v>6136</v>
      </c>
      <c r="E1274" s="1" t="s">
        <v>40</v>
      </c>
      <c r="F1274" s="2">
        <v>45018</v>
      </c>
      <c r="G1274" s="1" t="s">
        <v>1716</v>
      </c>
      <c r="H1274" s="1">
        <v>2</v>
      </c>
      <c r="I1274" s="1" t="s">
        <v>64</v>
      </c>
      <c r="J1274" s="2">
        <v>45208</v>
      </c>
      <c r="K1274" s="1" t="s">
        <v>6137</v>
      </c>
      <c r="L1274" s="1">
        <v>8</v>
      </c>
      <c r="M1274" s="1">
        <v>17</v>
      </c>
      <c r="N1274" s="1" t="s">
        <v>68</v>
      </c>
      <c r="O1274" s="1" t="s">
        <v>135</v>
      </c>
      <c r="P1274" s="1" t="s">
        <v>45</v>
      </c>
      <c r="Q1274" s="1" t="s">
        <v>69</v>
      </c>
      <c r="R1274" s="1">
        <v>401.12</v>
      </c>
      <c r="S1274" s="1" t="s">
        <v>46</v>
      </c>
      <c r="T1274" s="1" t="s">
        <v>34</v>
      </c>
      <c r="U1274" s="1" t="s">
        <v>35</v>
      </c>
      <c r="V1274" s="1" t="s">
        <v>71</v>
      </c>
    </row>
    <row r="1275" spans="1:22" x14ac:dyDescent="0.3">
      <c r="A1275" s="1" t="s">
        <v>6138</v>
      </c>
      <c r="B1275" s="1" t="s">
        <v>6139</v>
      </c>
      <c r="C1275" s="1">
        <v>25</v>
      </c>
      <c r="D1275" s="1" t="s">
        <v>6140</v>
      </c>
      <c r="E1275" s="1" t="s">
        <v>51</v>
      </c>
      <c r="F1275" s="1" t="s">
        <v>639</v>
      </c>
      <c r="G1275" s="1" t="s">
        <v>4191</v>
      </c>
      <c r="H1275" s="1">
        <v>5</v>
      </c>
      <c r="I1275" s="1" t="s">
        <v>27</v>
      </c>
      <c r="J1275" s="1" t="s">
        <v>3856</v>
      </c>
      <c r="K1275" s="1" t="s">
        <v>6141</v>
      </c>
      <c r="L1275" s="1">
        <v>1</v>
      </c>
      <c r="M1275" s="1">
        <v>31</v>
      </c>
      <c r="N1275" s="1" t="s">
        <v>68</v>
      </c>
      <c r="O1275" s="1" t="s">
        <v>194</v>
      </c>
      <c r="P1275" s="1" t="s">
        <v>56</v>
      </c>
      <c r="Q1275" s="1" t="s">
        <v>32</v>
      </c>
      <c r="R1275" s="1">
        <v>1991.63</v>
      </c>
      <c r="S1275" s="1" t="s">
        <v>46</v>
      </c>
      <c r="T1275" s="1" t="s">
        <v>57</v>
      </c>
      <c r="U1275" s="1" t="s">
        <v>35</v>
      </c>
      <c r="V1275" s="1" t="s">
        <v>188</v>
      </c>
    </row>
    <row r="1276" spans="1:22" x14ac:dyDescent="0.3">
      <c r="A1276" s="1" t="s">
        <v>6142</v>
      </c>
      <c r="B1276" s="1" t="s">
        <v>6143</v>
      </c>
      <c r="C1276" s="1">
        <v>60</v>
      </c>
      <c r="D1276" s="1" t="s">
        <v>6144</v>
      </c>
      <c r="E1276" s="1" t="s">
        <v>25</v>
      </c>
      <c r="F1276" s="1" t="s">
        <v>2757</v>
      </c>
      <c r="G1276" s="2">
        <v>45576</v>
      </c>
      <c r="H1276" s="1">
        <v>0</v>
      </c>
      <c r="I1276" s="1" t="s">
        <v>27</v>
      </c>
      <c r="J1276" s="1" t="s">
        <v>4685</v>
      </c>
      <c r="K1276" s="1" t="s">
        <v>6145</v>
      </c>
      <c r="L1276" s="1">
        <v>3</v>
      </c>
      <c r="M1276" s="1">
        <v>1</v>
      </c>
      <c r="N1276" s="1" t="s">
        <v>30</v>
      </c>
      <c r="O1276" s="1" t="s">
        <v>122</v>
      </c>
      <c r="P1276" s="1" t="s">
        <v>30</v>
      </c>
      <c r="Q1276" s="1" t="s">
        <v>32</v>
      </c>
      <c r="R1276" s="1">
        <v>1147.6500000000001</v>
      </c>
      <c r="S1276" s="1" t="s">
        <v>33</v>
      </c>
      <c r="T1276" s="1" t="s">
        <v>47</v>
      </c>
      <c r="U1276" s="1" t="s">
        <v>101</v>
      </c>
      <c r="V1276" s="1" t="s">
        <v>36</v>
      </c>
    </row>
    <row r="1277" spans="1:22" x14ac:dyDescent="0.3">
      <c r="A1277" s="1" t="s">
        <v>6146</v>
      </c>
      <c r="B1277" s="1" t="s">
        <v>6147</v>
      </c>
      <c r="C1277" s="1">
        <v>58</v>
      </c>
      <c r="D1277" s="1" t="s">
        <v>6148</v>
      </c>
      <c r="E1277" s="1" t="s">
        <v>61</v>
      </c>
      <c r="F1277" s="1" t="s">
        <v>2810</v>
      </c>
      <c r="G1277" s="2">
        <v>45724</v>
      </c>
      <c r="H1277" s="1">
        <v>4</v>
      </c>
      <c r="I1277" s="1" t="s">
        <v>27</v>
      </c>
      <c r="J1277" s="2">
        <v>45968</v>
      </c>
      <c r="K1277" s="1" t="s">
        <v>6149</v>
      </c>
      <c r="L1277" s="1">
        <v>5</v>
      </c>
      <c r="M1277" s="1">
        <v>12</v>
      </c>
      <c r="N1277" s="1" t="s">
        <v>54</v>
      </c>
      <c r="O1277" s="1" t="s">
        <v>597</v>
      </c>
      <c r="P1277" s="1" t="s">
        <v>45</v>
      </c>
      <c r="Q1277" s="1" t="s">
        <v>69</v>
      </c>
      <c r="R1277" s="1">
        <v>149.19999999999999</v>
      </c>
      <c r="S1277" s="1" t="s">
        <v>46</v>
      </c>
      <c r="T1277" s="1" t="s">
        <v>47</v>
      </c>
      <c r="U1277" s="1" t="s">
        <v>101</v>
      </c>
      <c r="V1277" s="1" t="s">
        <v>188</v>
      </c>
    </row>
    <row r="1278" spans="1:22" x14ac:dyDescent="0.3">
      <c r="A1278" s="1" t="s">
        <v>6150</v>
      </c>
      <c r="B1278" s="1" t="s">
        <v>6151</v>
      </c>
      <c r="C1278" s="1">
        <v>18</v>
      </c>
      <c r="D1278" s="1" t="s">
        <v>6152</v>
      </c>
      <c r="E1278" s="1" t="s">
        <v>61</v>
      </c>
      <c r="F1278" s="1" t="s">
        <v>1923</v>
      </c>
      <c r="G1278" s="2">
        <v>44724</v>
      </c>
      <c r="H1278" s="1">
        <v>5</v>
      </c>
      <c r="I1278" s="1" t="s">
        <v>64</v>
      </c>
      <c r="J1278" s="1" t="s">
        <v>4113</v>
      </c>
      <c r="K1278" s="1" t="s">
        <v>6153</v>
      </c>
      <c r="L1278" s="1">
        <v>6</v>
      </c>
      <c r="M1278" s="1">
        <v>19</v>
      </c>
      <c r="N1278" s="1" t="s">
        <v>30</v>
      </c>
      <c r="O1278" s="1" t="s">
        <v>366</v>
      </c>
      <c r="P1278" s="1" t="s">
        <v>54</v>
      </c>
      <c r="Q1278" s="1" t="s">
        <v>32</v>
      </c>
      <c r="R1278" s="1">
        <v>840.06</v>
      </c>
      <c r="S1278" s="1" t="s">
        <v>46</v>
      </c>
      <c r="T1278" s="1" t="s">
        <v>100</v>
      </c>
      <c r="U1278" s="1" t="s">
        <v>35</v>
      </c>
      <c r="V1278" s="1" t="s">
        <v>71</v>
      </c>
    </row>
    <row r="1279" spans="1:22" x14ac:dyDescent="0.3">
      <c r="A1279" s="1" t="s">
        <v>6154</v>
      </c>
      <c r="B1279" s="1" t="s">
        <v>6155</v>
      </c>
      <c r="C1279" s="1">
        <v>53</v>
      </c>
      <c r="D1279" s="1" t="s">
        <v>6156</v>
      </c>
      <c r="E1279" s="1" t="s">
        <v>40</v>
      </c>
      <c r="F1279" s="2">
        <v>44199</v>
      </c>
      <c r="G1279" s="1" t="s">
        <v>6157</v>
      </c>
      <c r="H1279" s="1">
        <v>2</v>
      </c>
      <c r="I1279" s="1" t="s">
        <v>27</v>
      </c>
      <c r="J1279" s="2">
        <v>45323</v>
      </c>
      <c r="K1279" s="1" t="s">
        <v>6158</v>
      </c>
      <c r="L1279" s="1">
        <v>5</v>
      </c>
      <c r="M1279" s="1">
        <v>18</v>
      </c>
      <c r="N1279" s="1" t="s">
        <v>45</v>
      </c>
      <c r="O1279" s="1" t="s">
        <v>116</v>
      </c>
      <c r="P1279" s="1" t="s">
        <v>54</v>
      </c>
      <c r="Q1279" s="1" t="s">
        <v>69</v>
      </c>
      <c r="R1279" s="1">
        <v>163.1</v>
      </c>
      <c r="S1279" s="1" t="s">
        <v>46</v>
      </c>
      <c r="T1279" s="1" t="s">
        <v>47</v>
      </c>
      <c r="U1279" s="1" t="s">
        <v>35</v>
      </c>
      <c r="V1279" s="1" t="s">
        <v>36</v>
      </c>
    </row>
    <row r="1280" spans="1:22" x14ac:dyDescent="0.3">
      <c r="A1280" s="1" t="s">
        <v>6159</v>
      </c>
      <c r="B1280" s="1" t="s">
        <v>6160</v>
      </c>
      <c r="C1280" s="1">
        <v>34</v>
      </c>
      <c r="D1280" s="1" t="s">
        <v>6161</v>
      </c>
      <c r="E1280" s="1" t="s">
        <v>95</v>
      </c>
      <c r="F1280" s="1" t="s">
        <v>1143</v>
      </c>
      <c r="G1280" s="1" t="s">
        <v>140</v>
      </c>
      <c r="H1280" s="1">
        <v>0</v>
      </c>
      <c r="I1280" s="1" t="s">
        <v>52</v>
      </c>
      <c r="J1280" s="2">
        <v>45238</v>
      </c>
      <c r="K1280" s="1" t="s">
        <v>6162</v>
      </c>
      <c r="L1280" s="1">
        <v>3</v>
      </c>
      <c r="M1280" s="1">
        <v>32</v>
      </c>
      <c r="N1280" s="1" t="s">
        <v>30</v>
      </c>
      <c r="O1280" s="1" t="s">
        <v>536</v>
      </c>
      <c r="P1280" s="1" t="s">
        <v>68</v>
      </c>
      <c r="Q1280" s="1" t="s">
        <v>32</v>
      </c>
      <c r="R1280" s="1">
        <v>1587.3</v>
      </c>
      <c r="S1280" s="1" t="s">
        <v>46</v>
      </c>
      <c r="T1280" s="1" t="s">
        <v>57</v>
      </c>
      <c r="U1280" s="1" t="s">
        <v>35</v>
      </c>
      <c r="V1280" s="1" t="s">
        <v>36</v>
      </c>
    </row>
    <row r="1281" spans="1:22" x14ac:dyDescent="0.3">
      <c r="A1281" s="1" t="s">
        <v>6163</v>
      </c>
      <c r="B1281" s="1" t="s">
        <v>6164</v>
      </c>
      <c r="C1281" s="1">
        <v>53</v>
      </c>
      <c r="D1281" s="1" t="s">
        <v>6165</v>
      </c>
      <c r="E1281" s="1" t="s">
        <v>25</v>
      </c>
      <c r="F1281" s="1" t="s">
        <v>4731</v>
      </c>
      <c r="G1281" s="2">
        <v>45785</v>
      </c>
      <c r="H1281" s="1">
        <v>1</v>
      </c>
      <c r="I1281" s="1" t="s">
        <v>27</v>
      </c>
      <c r="J1281" s="1" t="s">
        <v>467</v>
      </c>
      <c r="K1281" s="1" t="s">
        <v>6166</v>
      </c>
      <c r="L1281" s="1">
        <v>6</v>
      </c>
      <c r="M1281" s="1">
        <v>4</v>
      </c>
      <c r="N1281" s="1" t="s">
        <v>45</v>
      </c>
      <c r="O1281" s="1" t="s">
        <v>149</v>
      </c>
      <c r="P1281" s="1" t="s">
        <v>30</v>
      </c>
      <c r="Q1281" s="1" t="s">
        <v>32</v>
      </c>
      <c r="R1281" s="1">
        <v>61.74</v>
      </c>
      <c r="S1281" s="1" t="s">
        <v>46</v>
      </c>
      <c r="T1281" s="1" t="s">
        <v>47</v>
      </c>
      <c r="U1281" s="1" t="s">
        <v>70</v>
      </c>
      <c r="V1281" s="1" t="s">
        <v>36</v>
      </c>
    </row>
    <row r="1282" spans="1:22" x14ac:dyDescent="0.3">
      <c r="A1282" s="1" t="s">
        <v>6167</v>
      </c>
      <c r="B1282" s="1" t="s">
        <v>6168</v>
      </c>
      <c r="C1282" s="1">
        <v>41</v>
      </c>
      <c r="D1282" s="1" t="s">
        <v>6169</v>
      </c>
      <c r="E1282" s="1" t="s">
        <v>88</v>
      </c>
      <c r="F1282" s="2">
        <v>45171</v>
      </c>
      <c r="G1282" s="2">
        <v>45545</v>
      </c>
      <c r="H1282" s="1">
        <v>1</v>
      </c>
      <c r="I1282" s="1" t="s">
        <v>27</v>
      </c>
      <c r="J1282" s="1" t="s">
        <v>2035</v>
      </c>
      <c r="K1282" s="1" t="s">
        <v>6170</v>
      </c>
      <c r="L1282" s="1">
        <v>8</v>
      </c>
      <c r="M1282" s="1">
        <v>21</v>
      </c>
      <c r="N1282" s="1" t="s">
        <v>56</v>
      </c>
      <c r="O1282" s="1" t="s">
        <v>55</v>
      </c>
      <c r="P1282" s="1" t="s">
        <v>56</v>
      </c>
      <c r="Q1282" s="1" t="s">
        <v>69</v>
      </c>
      <c r="R1282" s="1">
        <v>1137.2</v>
      </c>
      <c r="S1282" s="1" t="s">
        <v>33</v>
      </c>
      <c r="T1282" s="1" t="s">
        <v>34</v>
      </c>
      <c r="U1282" s="1" t="s">
        <v>35</v>
      </c>
      <c r="V1282" s="1" t="s">
        <v>36</v>
      </c>
    </row>
    <row r="1283" spans="1:22" x14ac:dyDescent="0.3">
      <c r="A1283" s="1" t="s">
        <v>6171</v>
      </c>
      <c r="B1283" s="1" t="s">
        <v>6172</v>
      </c>
      <c r="C1283" s="1">
        <v>27</v>
      </c>
      <c r="D1283" s="1" t="s">
        <v>6173</v>
      </c>
      <c r="E1283" s="1" t="s">
        <v>88</v>
      </c>
      <c r="F1283" s="2">
        <v>45047</v>
      </c>
      <c r="G1283" s="1" t="s">
        <v>901</v>
      </c>
      <c r="H1283" s="1">
        <v>2</v>
      </c>
      <c r="I1283" s="1" t="s">
        <v>27</v>
      </c>
      <c r="J1283" s="1" t="s">
        <v>846</v>
      </c>
      <c r="K1283" s="1" t="s">
        <v>6174</v>
      </c>
      <c r="L1283" s="1">
        <v>9</v>
      </c>
      <c r="M1283" s="1">
        <v>4</v>
      </c>
      <c r="N1283" s="1" t="s">
        <v>54</v>
      </c>
      <c r="O1283" s="1" t="s">
        <v>77</v>
      </c>
      <c r="P1283" s="1" t="s">
        <v>54</v>
      </c>
      <c r="Q1283" s="1" t="s">
        <v>69</v>
      </c>
      <c r="R1283" s="1">
        <v>1313.19</v>
      </c>
      <c r="S1283" s="1" t="s">
        <v>33</v>
      </c>
      <c r="T1283" s="1" t="s">
        <v>57</v>
      </c>
      <c r="U1283" s="1" t="s">
        <v>35</v>
      </c>
      <c r="V1283" s="1" t="s">
        <v>36</v>
      </c>
    </row>
    <row r="1284" spans="1:22" x14ac:dyDescent="0.3">
      <c r="A1284" s="1" t="s">
        <v>6175</v>
      </c>
      <c r="B1284" s="1" t="s">
        <v>6176</v>
      </c>
      <c r="C1284" s="1">
        <v>27</v>
      </c>
      <c r="D1284" s="1" t="s">
        <v>6177</v>
      </c>
      <c r="E1284" s="1" t="s">
        <v>95</v>
      </c>
      <c r="F1284" s="1" t="s">
        <v>1090</v>
      </c>
      <c r="G1284" s="2">
        <v>45512</v>
      </c>
      <c r="H1284" s="1">
        <v>0</v>
      </c>
      <c r="I1284" s="1" t="s">
        <v>27</v>
      </c>
      <c r="J1284" s="1" t="s">
        <v>712</v>
      </c>
      <c r="K1284" s="1" t="s">
        <v>6178</v>
      </c>
      <c r="L1284" s="1">
        <v>5</v>
      </c>
      <c r="M1284" s="1">
        <v>36</v>
      </c>
      <c r="N1284" s="1" t="s">
        <v>45</v>
      </c>
      <c r="O1284" s="1" t="s">
        <v>55</v>
      </c>
      <c r="P1284" s="1" t="s">
        <v>56</v>
      </c>
      <c r="Q1284" s="1" t="s">
        <v>32</v>
      </c>
      <c r="R1284" s="1">
        <v>526.25</v>
      </c>
      <c r="S1284" s="1" t="s">
        <v>46</v>
      </c>
      <c r="T1284" s="1" t="s">
        <v>57</v>
      </c>
      <c r="U1284" s="1" t="s">
        <v>35</v>
      </c>
      <c r="V1284" s="1" t="s">
        <v>36</v>
      </c>
    </row>
    <row r="1285" spans="1:22" x14ac:dyDescent="0.3">
      <c r="A1285" s="1" t="s">
        <v>6179</v>
      </c>
      <c r="B1285" s="1" t="s">
        <v>6180</v>
      </c>
      <c r="C1285" s="1">
        <v>52</v>
      </c>
      <c r="D1285" s="1" t="s">
        <v>6181</v>
      </c>
      <c r="E1285" s="1" t="s">
        <v>88</v>
      </c>
      <c r="F1285" s="1" t="s">
        <v>6182</v>
      </c>
      <c r="G1285" s="1" t="s">
        <v>3087</v>
      </c>
      <c r="H1285" s="1">
        <v>1</v>
      </c>
      <c r="I1285" s="1" t="s">
        <v>27</v>
      </c>
      <c r="J1285" s="1" t="s">
        <v>1112</v>
      </c>
      <c r="K1285" s="1" t="s">
        <v>6183</v>
      </c>
      <c r="L1285" s="1">
        <v>6</v>
      </c>
      <c r="M1285" s="1">
        <v>33</v>
      </c>
      <c r="N1285" s="1" t="s">
        <v>54</v>
      </c>
      <c r="O1285" s="1" t="s">
        <v>293</v>
      </c>
      <c r="P1285" s="1" t="s">
        <v>45</v>
      </c>
      <c r="Q1285" s="1" t="s">
        <v>69</v>
      </c>
      <c r="R1285" s="1">
        <v>585.72</v>
      </c>
      <c r="S1285" s="1" t="s">
        <v>46</v>
      </c>
      <c r="T1285" s="1" t="s">
        <v>47</v>
      </c>
      <c r="U1285" s="1" t="s">
        <v>35</v>
      </c>
      <c r="V1285" s="1" t="s">
        <v>36</v>
      </c>
    </row>
    <row r="1286" spans="1:22" x14ac:dyDescent="0.3">
      <c r="A1286" s="1" t="s">
        <v>6184</v>
      </c>
      <c r="B1286" s="1" t="s">
        <v>6185</v>
      </c>
      <c r="C1286" s="1">
        <v>46</v>
      </c>
      <c r="D1286" s="1" t="s">
        <v>6186</v>
      </c>
      <c r="E1286" s="1" t="s">
        <v>61</v>
      </c>
      <c r="F1286" s="1" t="s">
        <v>2087</v>
      </c>
      <c r="G1286" s="1" t="s">
        <v>1899</v>
      </c>
      <c r="H1286" s="1">
        <v>2</v>
      </c>
      <c r="I1286" s="1" t="s">
        <v>27</v>
      </c>
      <c r="J1286" s="1" t="s">
        <v>6187</v>
      </c>
      <c r="K1286" s="1" t="s">
        <v>6188</v>
      </c>
      <c r="L1286" s="1">
        <v>9</v>
      </c>
      <c r="M1286" s="1">
        <v>28</v>
      </c>
      <c r="N1286" s="1" t="s">
        <v>56</v>
      </c>
      <c r="O1286" s="1" t="s">
        <v>373</v>
      </c>
      <c r="P1286" s="1" t="s">
        <v>54</v>
      </c>
      <c r="Q1286" s="1" t="s">
        <v>69</v>
      </c>
      <c r="R1286" s="1">
        <v>1928.52</v>
      </c>
      <c r="S1286" s="1" t="s">
        <v>46</v>
      </c>
      <c r="T1286" s="1" t="s">
        <v>34</v>
      </c>
      <c r="U1286" s="1" t="s">
        <v>35</v>
      </c>
      <c r="V1286" s="1" t="s">
        <v>36</v>
      </c>
    </row>
    <row r="1287" spans="1:22" x14ac:dyDescent="0.3">
      <c r="A1287" s="1" t="s">
        <v>6189</v>
      </c>
      <c r="B1287" s="1" t="s">
        <v>6190</v>
      </c>
      <c r="C1287" s="1">
        <v>26</v>
      </c>
      <c r="D1287" s="1" t="s">
        <v>6191</v>
      </c>
      <c r="E1287" s="1" t="s">
        <v>95</v>
      </c>
      <c r="F1287" s="1" t="s">
        <v>3102</v>
      </c>
      <c r="G1287" s="2">
        <v>45905</v>
      </c>
      <c r="H1287" s="1">
        <v>4</v>
      </c>
      <c r="I1287" s="1" t="s">
        <v>27</v>
      </c>
      <c r="J1287" s="1" t="s">
        <v>566</v>
      </c>
      <c r="K1287" s="1" t="s">
        <v>6192</v>
      </c>
      <c r="L1287" s="1">
        <v>5</v>
      </c>
      <c r="M1287" s="1">
        <v>35</v>
      </c>
      <c r="N1287" s="1" t="s">
        <v>45</v>
      </c>
      <c r="O1287" s="1" t="s">
        <v>128</v>
      </c>
      <c r="P1287" s="1" t="s">
        <v>54</v>
      </c>
      <c r="Q1287" s="1" t="s">
        <v>69</v>
      </c>
      <c r="R1287" s="1">
        <v>1019.35</v>
      </c>
      <c r="S1287" s="1" t="s">
        <v>46</v>
      </c>
      <c r="T1287" s="1" t="s">
        <v>57</v>
      </c>
      <c r="U1287" s="1" t="s">
        <v>35</v>
      </c>
      <c r="V1287" s="1" t="s">
        <v>188</v>
      </c>
    </row>
    <row r="1288" spans="1:22" x14ac:dyDescent="0.3">
      <c r="A1288" s="1" t="s">
        <v>6193</v>
      </c>
      <c r="B1288" s="1" t="s">
        <v>6194</v>
      </c>
      <c r="C1288" s="1">
        <v>56</v>
      </c>
      <c r="D1288" s="1" t="s">
        <v>6195</v>
      </c>
      <c r="E1288" s="1" t="s">
        <v>95</v>
      </c>
      <c r="F1288" s="2">
        <v>44475</v>
      </c>
      <c r="G1288" s="1" t="s">
        <v>762</v>
      </c>
      <c r="H1288" s="1">
        <v>2</v>
      </c>
      <c r="I1288" s="1" t="s">
        <v>27</v>
      </c>
      <c r="J1288" s="2">
        <v>45352</v>
      </c>
      <c r="K1288" s="1" t="s">
        <v>6196</v>
      </c>
      <c r="L1288" s="1">
        <v>7</v>
      </c>
      <c r="M1288" s="1">
        <v>34</v>
      </c>
      <c r="N1288" s="1" t="s">
        <v>68</v>
      </c>
      <c r="O1288" s="1" t="s">
        <v>175</v>
      </c>
      <c r="P1288" s="1" t="s">
        <v>56</v>
      </c>
      <c r="Q1288" s="1" t="s">
        <v>32</v>
      </c>
      <c r="R1288" s="1">
        <v>729.75</v>
      </c>
      <c r="S1288" s="1" t="s">
        <v>46</v>
      </c>
      <c r="T1288" s="1" t="s">
        <v>47</v>
      </c>
      <c r="U1288" s="1" t="s">
        <v>35</v>
      </c>
      <c r="V1288" s="1" t="s">
        <v>36</v>
      </c>
    </row>
    <row r="1289" spans="1:22" x14ac:dyDescent="0.3">
      <c r="A1289" s="1" t="s">
        <v>6197</v>
      </c>
      <c r="B1289" s="1" t="s">
        <v>6198</v>
      </c>
      <c r="C1289" s="1">
        <v>32</v>
      </c>
      <c r="D1289" s="1" t="s">
        <v>6199</v>
      </c>
      <c r="E1289" s="1" t="s">
        <v>25</v>
      </c>
      <c r="F1289" s="2">
        <v>44201</v>
      </c>
      <c r="G1289" s="2">
        <v>45601</v>
      </c>
      <c r="H1289" s="1">
        <v>0</v>
      </c>
      <c r="I1289" s="1" t="s">
        <v>27</v>
      </c>
      <c r="J1289" s="2">
        <v>45566</v>
      </c>
      <c r="K1289" s="1" t="s">
        <v>6200</v>
      </c>
      <c r="L1289" s="1">
        <v>8</v>
      </c>
      <c r="M1289" s="1">
        <v>36</v>
      </c>
      <c r="N1289" s="1" t="s">
        <v>68</v>
      </c>
      <c r="O1289" s="1" t="s">
        <v>157</v>
      </c>
      <c r="P1289" s="1" t="s">
        <v>68</v>
      </c>
      <c r="Q1289" s="1" t="s">
        <v>32</v>
      </c>
      <c r="R1289" s="1">
        <v>337.6</v>
      </c>
      <c r="S1289" s="1" t="s">
        <v>33</v>
      </c>
      <c r="T1289" s="1" t="s">
        <v>57</v>
      </c>
      <c r="U1289" s="1" t="s">
        <v>35</v>
      </c>
      <c r="V1289" s="1" t="s">
        <v>36</v>
      </c>
    </row>
    <row r="1290" spans="1:22" x14ac:dyDescent="0.3">
      <c r="A1290" s="1" t="s">
        <v>6201</v>
      </c>
      <c r="B1290" s="1" t="s">
        <v>6202</v>
      </c>
      <c r="C1290" s="1">
        <v>69</v>
      </c>
      <c r="D1290" s="1" t="s">
        <v>6203</v>
      </c>
      <c r="E1290" s="1" t="s">
        <v>61</v>
      </c>
      <c r="F1290" s="2">
        <v>44749</v>
      </c>
      <c r="G1290" s="1" t="s">
        <v>1519</v>
      </c>
      <c r="H1290" s="1">
        <v>2</v>
      </c>
      <c r="I1290" s="1" t="s">
        <v>52</v>
      </c>
      <c r="J1290" s="1" t="s">
        <v>285</v>
      </c>
      <c r="K1290" s="1" t="s">
        <v>6204</v>
      </c>
      <c r="L1290" s="1">
        <v>4</v>
      </c>
      <c r="M1290" s="1">
        <v>35</v>
      </c>
      <c r="N1290" s="1" t="s">
        <v>30</v>
      </c>
      <c r="O1290" s="1" t="s">
        <v>142</v>
      </c>
      <c r="P1290" s="1" t="s">
        <v>68</v>
      </c>
      <c r="Q1290" s="1" t="s">
        <v>32</v>
      </c>
      <c r="R1290" s="1">
        <v>1671.92</v>
      </c>
      <c r="S1290" s="1" t="s">
        <v>46</v>
      </c>
      <c r="T1290" s="1" t="s">
        <v>232</v>
      </c>
      <c r="U1290" s="1" t="s">
        <v>35</v>
      </c>
      <c r="V1290" s="1" t="s">
        <v>36</v>
      </c>
    </row>
    <row r="1291" spans="1:22" x14ac:dyDescent="0.3">
      <c r="A1291" s="1" t="s">
        <v>6205</v>
      </c>
      <c r="B1291" s="1" t="s">
        <v>6206</v>
      </c>
      <c r="C1291" s="1">
        <v>64</v>
      </c>
      <c r="D1291" s="1" t="s">
        <v>6207</v>
      </c>
      <c r="E1291" s="1" t="s">
        <v>51</v>
      </c>
      <c r="F1291" s="2">
        <v>45019</v>
      </c>
      <c r="G1291" s="1" t="s">
        <v>2337</v>
      </c>
      <c r="H1291" s="1">
        <v>5</v>
      </c>
      <c r="I1291" s="1" t="s">
        <v>52</v>
      </c>
      <c r="J1291" s="1" t="s">
        <v>2049</v>
      </c>
      <c r="K1291" s="1" t="s">
        <v>6208</v>
      </c>
      <c r="L1291" s="1">
        <v>6</v>
      </c>
      <c r="M1291" s="1">
        <v>5</v>
      </c>
      <c r="N1291" s="1" t="s">
        <v>54</v>
      </c>
      <c r="O1291" s="1" t="s">
        <v>116</v>
      </c>
      <c r="P1291" s="1" t="s">
        <v>54</v>
      </c>
      <c r="Q1291" s="1" t="s">
        <v>32</v>
      </c>
      <c r="R1291" s="1">
        <v>692.16</v>
      </c>
      <c r="S1291" s="1" t="s">
        <v>33</v>
      </c>
      <c r="T1291" s="1" t="s">
        <v>47</v>
      </c>
      <c r="U1291" s="1" t="s">
        <v>35</v>
      </c>
      <c r="V1291" s="1" t="s">
        <v>36</v>
      </c>
    </row>
    <row r="1292" spans="1:22" x14ac:dyDescent="0.3">
      <c r="A1292" s="1" t="s">
        <v>6209</v>
      </c>
      <c r="B1292" s="1" t="s">
        <v>6210</v>
      </c>
      <c r="C1292" s="1">
        <v>24</v>
      </c>
      <c r="D1292" s="1" t="s">
        <v>6211</v>
      </c>
      <c r="E1292" s="1" t="s">
        <v>51</v>
      </c>
      <c r="F1292" s="1" t="s">
        <v>4581</v>
      </c>
      <c r="G1292" s="1" t="s">
        <v>4341</v>
      </c>
      <c r="H1292" s="1">
        <v>3</v>
      </c>
      <c r="I1292" s="1" t="s">
        <v>64</v>
      </c>
      <c r="J1292" s="2">
        <v>44929</v>
      </c>
      <c r="K1292" s="1" t="s">
        <v>6212</v>
      </c>
      <c r="L1292" s="1">
        <v>6</v>
      </c>
      <c r="M1292" s="1">
        <v>27</v>
      </c>
      <c r="N1292" s="1" t="s">
        <v>45</v>
      </c>
      <c r="O1292" s="1" t="s">
        <v>604</v>
      </c>
      <c r="P1292" s="1" t="s">
        <v>45</v>
      </c>
      <c r="Q1292" s="1" t="s">
        <v>32</v>
      </c>
      <c r="R1292" s="1">
        <v>309.36</v>
      </c>
      <c r="S1292" s="1" t="s">
        <v>33</v>
      </c>
      <c r="T1292" s="1" t="s">
        <v>100</v>
      </c>
      <c r="U1292" s="1" t="s">
        <v>35</v>
      </c>
      <c r="V1292" s="1" t="s">
        <v>71</v>
      </c>
    </row>
    <row r="1293" spans="1:22" x14ac:dyDescent="0.3">
      <c r="A1293" s="1" t="s">
        <v>6213</v>
      </c>
      <c r="B1293" s="1" t="s">
        <v>6214</v>
      </c>
      <c r="C1293" s="1">
        <v>18</v>
      </c>
      <c r="D1293" s="1" t="s">
        <v>6215</v>
      </c>
      <c r="E1293" s="1" t="s">
        <v>88</v>
      </c>
      <c r="F1293" s="2">
        <v>44842</v>
      </c>
      <c r="G1293" s="2">
        <v>45053</v>
      </c>
      <c r="H1293" s="1">
        <v>5</v>
      </c>
      <c r="I1293" s="1" t="s">
        <v>52</v>
      </c>
      <c r="J1293" s="1" t="s">
        <v>2744</v>
      </c>
      <c r="K1293" s="1" t="s">
        <v>6216</v>
      </c>
      <c r="L1293" s="1">
        <v>4</v>
      </c>
      <c r="M1293" s="1">
        <v>19</v>
      </c>
      <c r="N1293" s="1" t="s">
        <v>30</v>
      </c>
      <c r="O1293" s="1" t="s">
        <v>223</v>
      </c>
      <c r="P1293" s="1" t="s">
        <v>56</v>
      </c>
      <c r="Q1293" s="1" t="s">
        <v>69</v>
      </c>
      <c r="R1293" s="1">
        <v>806.96</v>
      </c>
      <c r="S1293" s="1" t="s">
        <v>46</v>
      </c>
      <c r="T1293" s="1" t="s">
        <v>100</v>
      </c>
      <c r="U1293" s="1" t="s">
        <v>35</v>
      </c>
      <c r="V1293" s="1" t="s">
        <v>36</v>
      </c>
    </row>
    <row r="1294" spans="1:22" x14ac:dyDescent="0.3">
      <c r="A1294" s="1" t="s">
        <v>6217</v>
      </c>
      <c r="B1294" s="1" t="s">
        <v>6218</v>
      </c>
      <c r="C1294" s="1">
        <v>19</v>
      </c>
      <c r="D1294" s="1" t="s">
        <v>6219</v>
      </c>
      <c r="E1294" s="1" t="s">
        <v>25</v>
      </c>
      <c r="F1294" s="1" t="s">
        <v>6220</v>
      </c>
      <c r="G1294" s="1" t="s">
        <v>6221</v>
      </c>
      <c r="H1294" s="1">
        <v>1</v>
      </c>
      <c r="I1294" s="1" t="s">
        <v>27</v>
      </c>
      <c r="J1294" s="2">
        <v>45266</v>
      </c>
      <c r="K1294" s="1" t="s">
        <v>6222</v>
      </c>
      <c r="L1294" s="1">
        <v>5</v>
      </c>
      <c r="M1294" s="1">
        <v>39</v>
      </c>
      <c r="N1294" s="1" t="s">
        <v>45</v>
      </c>
      <c r="O1294" s="1" t="s">
        <v>269</v>
      </c>
      <c r="P1294" s="1" t="s">
        <v>56</v>
      </c>
      <c r="Q1294" s="1" t="s">
        <v>32</v>
      </c>
      <c r="R1294" s="1">
        <v>27.35</v>
      </c>
      <c r="S1294" s="1" t="s">
        <v>46</v>
      </c>
      <c r="T1294" s="1" t="s">
        <v>100</v>
      </c>
      <c r="U1294" s="1" t="s">
        <v>101</v>
      </c>
      <c r="V1294" s="1" t="s">
        <v>36</v>
      </c>
    </row>
    <row r="1295" spans="1:22" x14ac:dyDescent="0.3">
      <c r="A1295" s="1" t="s">
        <v>6223</v>
      </c>
      <c r="B1295" s="1" t="s">
        <v>6224</v>
      </c>
      <c r="C1295" s="1">
        <v>59</v>
      </c>
      <c r="D1295" s="1" t="s">
        <v>6225</v>
      </c>
      <c r="E1295" s="1" t="s">
        <v>40</v>
      </c>
      <c r="F1295" s="1" t="s">
        <v>979</v>
      </c>
      <c r="G1295" s="2">
        <v>44724</v>
      </c>
      <c r="H1295" s="1">
        <v>2</v>
      </c>
      <c r="I1295" s="1" t="s">
        <v>52</v>
      </c>
      <c r="J1295" s="2">
        <v>44384</v>
      </c>
      <c r="K1295" s="1" t="s">
        <v>6226</v>
      </c>
      <c r="L1295" s="1">
        <v>9</v>
      </c>
      <c r="M1295" s="1">
        <v>26</v>
      </c>
      <c r="N1295" s="1" t="s">
        <v>30</v>
      </c>
      <c r="O1295" s="1" t="s">
        <v>855</v>
      </c>
      <c r="P1295" s="1" t="s">
        <v>45</v>
      </c>
      <c r="Q1295" s="1" t="s">
        <v>32</v>
      </c>
      <c r="R1295" s="1">
        <v>810.45</v>
      </c>
      <c r="S1295" s="1" t="s">
        <v>46</v>
      </c>
      <c r="T1295" s="1" t="s">
        <v>47</v>
      </c>
      <c r="U1295" s="1" t="s">
        <v>35</v>
      </c>
      <c r="V1295" s="1" t="s">
        <v>36</v>
      </c>
    </row>
    <row r="1296" spans="1:22" x14ac:dyDescent="0.3">
      <c r="A1296" s="1" t="s">
        <v>6227</v>
      </c>
      <c r="B1296" s="1" t="s">
        <v>6228</v>
      </c>
      <c r="C1296" s="1">
        <v>19</v>
      </c>
      <c r="D1296" s="1" t="s">
        <v>6229</v>
      </c>
      <c r="E1296" s="1" t="s">
        <v>95</v>
      </c>
      <c r="F1296" s="1" t="s">
        <v>1195</v>
      </c>
      <c r="G1296" s="2">
        <v>45809</v>
      </c>
      <c r="H1296" s="1">
        <v>2</v>
      </c>
      <c r="I1296" s="1" t="s">
        <v>27</v>
      </c>
      <c r="J1296" s="2">
        <v>45694</v>
      </c>
      <c r="K1296" s="1" t="s">
        <v>2432</v>
      </c>
      <c r="L1296" s="1">
        <v>6</v>
      </c>
      <c r="M1296" s="1">
        <v>32</v>
      </c>
      <c r="N1296" s="1" t="s">
        <v>56</v>
      </c>
      <c r="O1296" s="1" t="s">
        <v>418</v>
      </c>
      <c r="P1296" s="1" t="s">
        <v>56</v>
      </c>
      <c r="Q1296" s="1" t="s">
        <v>32</v>
      </c>
      <c r="R1296" s="1">
        <v>580.79999999999995</v>
      </c>
      <c r="S1296" s="1" t="s">
        <v>33</v>
      </c>
      <c r="T1296" s="1" t="s">
        <v>100</v>
      </c>
      <c r="U1296" s="1" t="s">
        <v>35</v>
      </c>
      <c r="V1296" s="1" t="s">
        <v>36</v>
      </c>
    </row>
    <row r="1297" spans="1:22" x14ac:dyDescent="0.3">
      <c r="A1297" s="1" t="s">
        <v>6230</v>
      </c>
      <c r="B1297" s="1" t="s">
        <v>6231</v>
      </c>
      <c r="C1297" s="1">
        <v>31</v>
      </c>
      <c r="D1297" s="1" t="s">
        <v>6232</v>
      </c>
      <c r="E1297" s="1" t="s">
        <v>51</v>
      </c>
      <c r="F1297" s="1" t="s">
        <v>1137</v>
      </c>
      <c r="G1297" s="1" t="s">
        <v>6233</v>
      </c>
      <c r="H1297" s="1">
        <v>4</v>
      </c>
      <c r="I1297" s="1" t="s">
        <v>27</v>
      </c>
      <c r="J1297" s="1" t="s">
        <v>3200</v>
      </c>
      <c r="K1297" s="1" t="s">
        <v>6234</v>
      </c>
      <c r="L1297" s="1">
        <v>6</v>
      </c>
      <c r="M1297" s="1">
        <v>40</v>
      </c>
      <c r="N1297" s="1" t="s">
        <v>68</v>
      </c>
      <c r="O1297" s="1" t="s">
        <v>175</v>
      </c>
      <c r="P1297" s="1" t="s">
        <v>56</v>
      </c>
      <c r="Q1297" s="1" t="s">
        <v>69</v>
      </c>
      <c r="R1297" s="1">
        <v>1457.46</v>
      </c>
      <c r="S1297" s="1" t="s">
        <v>46</v>
      </c>
      <c r="T1297" s="1" t="s">
        <v>57</v>
      </c>
      <c r="U1297" s="1" t="s">
        <v>35</v>
      </c>
      <c r="V1297" s="1" t="s">
        <v>188</v>
      </c>
    </row>
    <row r="1298" spans="1:22" x14ac:dyDescent="0.3">
      <c r="A1298" s="1" t="s">
        <v>6235</v>
      </c>
      <c r="B1298" s="1" t="s">
        <v>6236</v>
      </c>
      <c r="C1298" s="1">
        <v>66</v>
      </c>
      <c r="D1298" s="1" t="s">
        <v>6237</v>
      </c>
      <c r="E1298" s="1" t="s">
        <v>61</v>
      </c>
      <c r="F1298" s="2">
        <v>44596</v>
      </c>
      <c r="G1298" s="1" t="s">
        <v>6238</v>
      </c>
      <c r="H1298" s="1">
        <v>3</v>
      </c>
      <c r="I1298" s="1" t="s">
        <v>27</v>
      </c>
      <c r="J1298" s="1" t="s">
        <v>808</v>
      </c>
      <c r="K1298" s="1" t="s">
        <v>6239</v>
      </c>
      <c r="L1298" s="1">
        <v>4</v>
      </c>
      <c r="M1298" s="1">
        <v>10</v>
      </c>
      <c r="N1298" s="1" t="s">
        <v>30</v>
      </c>
      <c r="O1298" s="1" t="s">
        <v>77</v>
      </c>
      <c r="P1298" s="1" t="s">
        <v>54</v>
      </c>
      <c r="Q1298" s="1" t="s">
        <v>69</v>
      </c>
      <c r="R1298" s="1">
        <v>1385.72</v>
      </c>
      <c r="S1298" s="1" t="s">
        <v>46</v>
      </c>
      <c r="T1298" s="1" t="s">
        <v>232</v>
      </c>
      <c r="U1298" s="1" t="s">
        <v>35</v>
      </c>
      <c r="V1298" s="1" t="s">
        <v>36</v>
      </c>
    </row>
    <row r="1299" spans="1:22" x14ac:dyDescent="0.3">
      <c r="A1299" s="1" t="s">
        <v>6240</v>
      </c>
      <c r="B1299" s="1" t="s">
        <v>6241</v>
      </c>
      <c r="C1299" s="1">
        <v>63</v>
      </c>
      <c r="D1299" s="1" t="s">
        <v>6242</v>
      </c>
      <c r="E1299" s="1" t="s">
        <v>88</v>
      </c>
      <c r="F1299" s="2">
        <v>44693</v>
      </c>
      <c r="G1299" s="2">
        <v>45780</v>
      </c>
      <c r="H1299" s="1">
        <v>1</v>
      </c>
      <c r="I1299" s="1" t="s">
        <v>27</v>
      </c>
      <c r="J1299" s="1" t="s">
        <v>6243</v>
      </c>
      <c r="K1299" s="1" t="s">
        <v>6244</v>
      </c>
      <c r="L1299" s="1">
        <v>5</v>
      </c>
      <c r="M1299" s="1">
        <v>30</v>
      </c>
      <c r="N1299" s="1" t="s">
        <v>45</v>
      </c>
      <c r="O1299" s="1" t="s">
        <v>194</v>
      </c>
      <c r="P1299" s="1" t="s">
        <v>56</v>
      </c>
      <c r="Q1299" s="1" t="s">
        <v>32</v>
      </c>
      <c r="R1299" s="1">
        <v>1363.8</v>
      </c>
      <c r="S1299" s="1" t="s">
        <v>46</v>
      </c>
      <c r="T1299" s="1" t="s">
        <v>47</v>
      </c>
      <c r="U1299" s="1" t="s">
        <v>35</v>
      </c>
      <c r="V1299" s="1" t="s">
        <v>36</v>
      </c>
    </row>
    <row r="1300" spans="1:22" x14ac:dyDescent="0.3">
      <c r="A1300" s="1" t="s">
        <v>6245</v>
      </c>
      <c r="B1300" s="1" t="s">
        <v>6246</v>
      </c>
      <c r="C1300" s="1">
        <v>56</v>
      </c>
      <c r="D1300" s="1" t="s">
        <v>6247</v>
      </c>
      <c r="E1300" s="1" t="s">
        <v>25</v>
      </c>
      <c r="F1300" s="2">
        <v>44449</v>
      </c>
      <c r="G1300" s="1" t="s">
        <v>5045</v>
      </c>
      <c r="H1300" s="1">
        <v>0</v>
      </c>
      <c r="I1300" s="1" t="s">
        <v>64</v>
      </c>
      <c r="J1300" s="1" t="s">
        <v>4572</v>
      </c>
      <c r="K1300" s="1" t="s">
        <v>6248</v>
      </c>
      <c r="L1300" s="1">
        <v>2</v>
      </c>
      <c r="M1300" s="1">
        <v>16</v>
      </c>
      <c r="N1300" s="1" t="s">
        <v>54</v>
      </c>
      <c r="O1300" s="1" t="s">
        <v>624</v>
      </c>
      <c r="P1300" s="1" t="s">
        <v>30</v>
      </c>
      <c r="Q1300" s="1" t="s">
        <v>32</v>
      </c>
      <c r="R1300" s="1">
        <v>251.4</v>
      </c>
      <c r="S1300" s="1" t="s">
        <v>46</v>
      </c>
      <c r="T1300" s="1" t="s">
        <v>47</v>
      </c>
      <c r="U1300" s="1" t="s">
        <v>35</v>
      </c>
      <c r="V1300" s="1" t="s">
        <v>71</v>
      </c>
    </row>
    <row r="1301" spans="1:22" x14ac:dyDescent="0.3">
      <c r="A1301" s="1" t="s">
        <v>6249</v>
      </c>
      <c r="B1301" s="1" t="s">
        <v>6250</v>
      </c>
      <c r="C1301" s="1">
        <v>33</v>
      </c>
      <c r="D1301" s="1" t="s">
        <v>6251</v>
      </c>
      <c r="E1301" s="1" t="s">
        <v>40</v>
      </c>
      <c r="F1301" s="1" t="s">
        <v>1153</v>
      </c>
      <c r="G1301" s="1" t="s">
        <v>2626</v>
      </c>
      <c r="H1301" s="1">
        <v>2</v>
      </c>
      <c r="I1301" s="1" t="s">
        <v>27</v>
      </c>
      <c r="J1301" s="2">
        <v>45447</v>
      </c>
      <c r="K1301" s="1" t="s">
        <v>6252</v>
      </c>
      <c r="L1301" s="1">
        <v>8</v>
      </c>
      <c r="M1301" s="1">
        <v>13</v>
      </c>
      <c r="N1301" s="1" t="s">
        <v>54</v>
      </c>
      <c r="O1301" s="1" t="s">
        <v>536</v>
      </c>
      <c r="P1301" s="1" t="s">
        <v>68</v>
      </c>
      <c r="Q1301" s="1" t="s">
        <v>32</v>
      </c>
      <c r="R1301" s="1">
        <v>572.79999999999995</v>
      </c>
      <c r="S1301" s="1" t="s">
        <v>46</v>
      </c>
      <c r="T1301" s="1" t="s">
        <v>57</v>
      </c>
      <c r="U1301" s="1" t="s">
        <v>35</v>
      </c>
      <c r="V1301" s="1" t="s">
        <v>36</v>
      </c>
    </row>
    <row r="1302" spans="1:22" x14ac:dyDescent="0.3">
      <c r="A1302" s="1" t="s">
        <v>6253</v>
      </c>
      <c r="B1302" s="1" t="s">
        <v>6254</v>
      </c>
      <c r="C1302" s="1">
        <v>22</v>
      </c>
      <c r="D1302" s="1" t="s">
        <v>6255</v>
      </c>
      <c r="E1302" s="1" t="s">
        <v>51</v>
      </c>
      <c r="F1302" s="2">
        <v>44692</v>
      </c>
      <c r="G1302" s="2">
        <v>45022</v>
      </c>
      <c r="H1302" s="1">
        <v>1</v>
      </c>
      <c r="I1302" s="1" t="s">
        <v>52</v>
      </c>
      <c r="J1302" s="2">
        <v>45299</v>
      </c>
      <c r="K1302" s="1" t="s">
        <v>6256</v>
      </c>
      <c r="L1302" s="1">
        <v>4</v>
      </c>
      <c r="M1302" s="1">
        <v>36</v>
      </c>
      <c r="N1302" s="1" t="s">
        <v>45</v>
      </c>
      <c r="O1302" s="1" t="s">
        <v>425</v>
      </c>
      <c r="P1302" s="1" t="s">
        <v>30</v>
      </c>
      <c r="Q1302" s="1" t="s">
        <v>32</v>
      </c>
      <c r="R1302" s="1">
        <v>731.92</v>
      </c>
      <c r="S1302" s="1" t="s">
        <v>46</v>
      </c>
      <c r="T1302" s="1" t="s">
        <v>100</v>
      </c>
      <c r="U1302" s="1" t="s">
        <v>35</v>
      </c>
      <c r="V1302" s="1" t="s">
        <v>36</v>
      </c>
    </row>
    <row r="1303" spans="1:22" x14ac:dyDescent="0.3">
      <c r="A1303" s="1" t="s">
        <v>6257</v>
      </c>
      <c r="B1303" s="1" t="s">
        <v>6258</v>
      </c>
      <c r="C1303" s="1">
        <v>44</v>
      </c>
      <c r="D1303" s="1" t="s">
        <v>6259</v>
      </c>
      <c r="E1303" s="1" t="s">
        <v>40</v>
      </c>
      <c r="F1303" s="1" t="s">
        <v>1430</v>
      </c>
      <c r="G1303" s="1" t="s">
        <v>2323</v>
      </c>
      <c r="H1303" s="1">
        <v>2</v>
      </c>
      <c r="I1303" s="1" t="s">
        <v>52</v>
      </c>
      <c r="J1303" s="2">
        <v>45628</v>
      </c>
      <c r="K1303" s="1" t="s">
        <v>6260</v>
      </c>
      <c r="L1303" s="1">
        <v>1</v>
      </c>
      <c r="M1303" s="1">
        <v>18</v>
      </c>
      <c r="N1303" s="1" t="s">
        <v>54</v>
      </c>
      <c r="O1303" s="1" t="s">
        <v>157</v>
      </c>
      <c r="P1303" s="1" t="s">
        <v>68</v>
      </c>
      <c r="Q1303" s="1" t="s">
        <v>69</v>
      </c>
      <c r="R1303" s="1">
        <v>45.81</v>
      </c>
      <c r="S1303" s="1" t="s">
        <v>46</v>
      </c>
      <c r="T1303" s="1" t="s">
        <v>34</v>
      </c>
      <c r="U1303" s="1" t="s">
        <v>101</v>
      </c>
      <c r="V1303" s="1" t="s">
        <v>36</v>
      </c>
    </row>
    <row r="1304" spans="1:22" x14ac:dyDescent="0.3">
      <c r="A1304" s="1" t="s">
        <v>6261</v>
      </c>
      <c r="B1304" s="1" t="s">
        <v>6262</v>
      </c>
      <c r="C1304" s="1">
        <v>49</v>
      </c>
      <c r="D1304" s="1" t="s">
        <v>6263</v>
      </c>
      <c r="E1304" s="1" t="s">
        <v>61</v>
      </c>
      <c r="F1304" s="2">
        <v>44053</v>
      </c>
      <c r="G1304" s="1" t="s">
        <v>1011</v>
      </c>
      <c r="H1304" s="1">
        <v>3</v>
      </c>
      <c r="I1304" s="1" t="s">
        <v>27</v>
      </c>
      <c r="J1304" s="2">
        <v>45358</v>
      </c>
      <c r="K1304" s="1" t="s">
        <v>6264</v>
      </c>
      <c r="L1304" s="1">
        <v>6</v>
      </c>
      <c r="M1304" s="1">
        <v>29</v>
      </c>
      <c r="N1304" s="1" t="s">
        <v>45</v>
      </c>
      <c r="O1304" s="1" t="s">
        <v>366</v>
      </c>
      <c r="P1304" s="1" t="s">
        <v>54</v>
      </c>
      <c r="Q1304" s="1" t="s">
        <v>69</v>
      </c>
      <c r="R1304" s="1">
        <v>1328.7</v>
      </c>
      <c r="S1304" s="1" t="s">
        <v>46</v>
      </c>
      <c r="T1304" s="1" t="s">
        <v>34</v>
      </c>
      <c r="U1304" s="1" t="s">
        <v>35</v>
      </c>
      <c r="V1304" s="1" t="s">
        <v>36</v>
      </c>
    </row>
    <row r="1305" spans="1:22" x14ac:dyDescent="0.3">
      <c r="A1305" s="1" t="s">
        <v>6265</v>
      </c>
      <c r="B1305" s="1" t="s">
        <v>6266</v>
      </c>
      <c r="C1305" s="1">
        <v>24</v>
      </c>
      <c r="D1305" s="1" t="s">
        <v>6267</v>
      </c>
      <c r="E1305" s="1" t="s">
        <v>25</v>
      </c>
      <c r="F1305" s="1" t="s">
        <v>2732</v>
      </c>
      <c r="G1305" s="1" t="s">
        <v>3335</v>
      </c>
      <c r="H1305" s="1">
        <v>1</v>
      </c>
      <c r="I1305" s="1" t="s">
        <v>52</v>
      </c>
      <c r="J1305" s="1" t="s">
        <v>2732</v>
      </c>
      <c r="K1305" s="1" t="s">
        <v>6268</v>
      </c>
      <c r="L1305" s="1">
        <v>8</v>
      </c>
      <c r="M1305" s="1">
        <v>4</v>
      </c>
      <c r="N1305" s="1" t="s">
        <v>45</v>
      </c>
      <c r="O1305" s="1" t="s">
        <v>211</v>
      </c>
      <c r="P1305" s="1" t="s">
        <v>68</v>
      </c>
      <c r="Q1305" s="1" t="s">
        <v>32</v>
      </c>
      <c r="R1305" s="1">
        <v>1487.52</v>
      </c>
      <c r="S1305" s="1" t="s">
        <v>46</v>
      </c>
      <c r="T1305" s="1" t="s">
        <v>100</v>
      </c>
      <c r="U1305" s="1" t="s">
        <v>35</v>
      </c>
      <c r="V1305" s="1" t="s">
        <v>36</v>
      </c>
    </row>
    <row r="1306" spans="1:22" x14ac:dyDescent="0.3">
      <c r="A1306" s="1" t="s">
        <v>6269</v>
      </c>
      <c r="B1306" s="1" t="s">
        <v>6270</v>
      </c>
      <c r="C1306" s="1">
        <v>57</v>
      </c>
      <c r="D1306" s="1" t="s">
        <v>6271</v>
      </c>
      <c r="E1306" s="1" t="s">
        <v>40</v>
      </c>
      <c r="F1306" s="2">
        <v>43899</v>
      </c>
      <c r="G1306" s="1" t="s">
        <v>2066</v>
      </c>
      <c r="H1306" s="1">
        <v>4</v>
      </c>
      <c r="I1306" s="1" t="s">
        <v>27</v>
      </c>
      <c r="J1306" s="2">
        <v>44238</v>
      </c>
      <c r="K1306" s="1" t="s">
        <v>6272</v>
      </c>
      <c r="L1306" s="1">
        <v>2</v>
      </c>
      <c r="M1306" s="1">
        <v>11</v>
      </c>
      <c r="N1306" s="1" t="s">
        <v>45</v>
      </c>
      <c r="O1306" s="1" t="s">
        <v>99</v>
      </c>
      <c r="P1306" s="1" t="s">
        <v>56</v>
      </c>
      <c r="Q1306" s="1" t="s">
        <v>32</v>
      </c>
      <c r="R1306" s="1">
        <v>1684.6</v>
      </c>
      <c r="S1306" s="1" t="s">
        <v>46</v>
      </c>
      <c r="T1306" s="1" t="s">
        <v>47</v>
      </c>
      <c r="U1306" s="1" t="s">
        <v>35</v>
      </c>
      <c r="V1306" s="1" t="s">
        <v>188</v>
      </c>
    </row>
    <row r="1307" spans="1:22" x14ac:dyDescent="0.3">
      <c r="A1307" s="1" t="s">
        <v>6273</v>
      </c>
      <c r="B1307" s="1" t="s">
        <v>6274</v>
      </c>
      <c r="C1307" s="1">
        <v>19</v>
      </c>
      <c r="D1307" s="1" t="s">
        <v>6275</v>
      </c>
      <c r="E1307" s="1" t="s">
        <v>25</v>
      </c>
      <c r="F1307" s="2">
        <v>44259</v>
      </c>
      <c r="G1307" s="2">
        <v>44778</v>
      </c>
      <c r="H1307" s="1">
        <v>5</v>
      </c>
      <c r="I1307" s="1" t="s">
        <v>27</v>
      </c>
      <c r="J1307" s="1" t="s">
        <v>4062</v>
      </c>
      <c r="K1307" s="1" t="s">
        <v>6276</v>
      </c>
      <c r="L1307" s="1">
        <v>1</v>
      </c>
      <c r="M1307" s="1">
        <v>13</v>
      </c>
      <c r="N1307" s="1" t="s">
        <v>54</v>
      </c>
      <c r="O1307" s="1" t="s">
        <v>837</v>
      </c>
      <c r="P1307" s="1" t="s">
        <v>56</v>
      </c>
      <c r="Q1307" s="1" t="s">
        <v>69</v>
      </c>
      <c r="R1307" s="1">
        <v>1871.19</v>
      </c>
      <c r="S1307" s="1" t="s">
        <v>46</v>
      </c>
      <c r="T1307" s="1" t="s">
        <v>100</v>
      </c>
      <c r="U1307" s="1" t="s">
        <v>35</v>
      </c>
      <c r="V1307" s="1" t="s">
        <v>188</v>
      </c>
    </row>
    <row r="1308" spans="1:22" x14ac:dyDescent="0.3">
      <c r="A1308" s="1" t="s">
        <v>6277</v>
      </c>
      <c r="B1308" s="1" t="s">
        <v>6278</v>
      </c>
      <c r="C1308" s="1">
        <v>37</v>
      </c>
      <c r="D1308" s="1" t="s">
        <v>6279</v>
      </c>
      <c r="E1308" s="1" t="s">
        <v>40</v>
      </c>
      <c r="F1308" s="2">
        <v>45237</v>
      </c>
      <c r="G1308" s="1" t="s">
        <v>486</v>
      </c>
      <c r="H1308" s="1">
        <v>5</v>
      </c>
      <c r="I1308" s="1" t="s">
        <v>27</v>
      </c>
      <c r="J1308" s="1" t="s">
        <v>1200</v>
      </c>
      <c r="K1308" s="1" t="s">
        <v>6280</v>
      </c>
      <c r="L1308" s="1">
        <v>2</v>
      </c>
      <c r="M1308" s="1">
        <v>2</v>
      </c>
      <c r="N1308" s="1" t="s">
        <v>56</v>
      </c>
      <c r="O1308" s="1" t="s">
        <v>116</v>
      </c>
      <c r="P1308" s="1" t="s">
        <v>54</v>
      </c>
      <c r="Q1308" s="1" t="s">
        <v>69</v>
      </c>
      <c r="R1308" s="1">
        <v>1237.3800000000001</v>
      </c>
      <c r="S1308" s="1" t="s">
        <v>46</v>
      </c>
      <c r="T1308" s="1" t="s">
        <v>34</v>
      </c>
      <c r="U1308" s="1" t="s">
        <v>101</v>
      </c>
      <c r="V1308" s="1" t="s">
        <v>188</v>
      </c>
    </row>
    <row r="1309" spans="1:22" x14ac:dyDescent="0.3">
      <c r="A1309" s="1" t="s">
        <v>6281</v>
      </c>
      <c r="B1309" s="1" t="s">
        <v>6282</v>
      </c>
      <c r="C1309" s="1">
        <v>58</v>
      </c>
      <c r="D1309" s="1" t="s">
        <v>6283</v>
      </c>
      <c r="E1309" s="1" t="s">
        <v>25</v>
      </c>
      <c r="F1309" s="2">
        <v>44378</v>
      </c>
      <c r="G1309" s="1" t="s">
        <v>4786</v>
      </c>
      <c r="H1309" s="1">
        <v>4</v>
      </c>
      <c r="I1309" s="1" t="s">
        <v>52</v>
      </c>
      <c r="J1309" s="2">
        <v>44412</v>
      </c>
      <c r="K1309" s="1" t="s">
        <v>6284</v>
      </c>
      <c r="L1309" s="1">
        <v>7</v>
      </c>
      <c r="M1309" s="1">
        <v>22</v>
      </c>
      <c r="N1309" s="1" t="s">
        <v>45</v>
      </c>
      <c r="O1309" s="1" t="s">
        <v>169</v>
      </c>
      <c r="P1309" s="1" t="s">
        <v>30</v>
      </c>
      <c r="Q1309" s="1" t="s">
        <v>32</v>
      </c>
      <c r="R1309" s="1">
        <v>1161.79</v>
      </c>
      <c r="S1309" s="1" t="s">
        <v>46</v>
      </c>
      <c r="T1309" s="1" t="s">
        <v>47</v>
      </c>
      <c r="U1309" s="1" t="s">
        <v>35</v>
      </c>
      <c r="V1309" s="1" t="s">
        <v>36</v>
      </c>
    </row>
    <row r="1310" spans="1:22" x14ac:dyDescent="0.3">
      <c r="A1310" s="1" t="s">
        <v>6285</v>
      </c>
      <c r="B1310" s="1" t="s">
        <v>6286</v>
      </c>
      <c r="C1310" s="1">
        <v>27</v>
      </c>
      <c r="D1310" s="1" t="s">
        <v>6287</v>
      </c>
      <c r="E1310" s="1" t="s">
        <v>40</v>
      </c>
      <c r="F1310" s="1" t="s">
        <v>808</v>
      </c>
      <c r="G1310" s="1" t="s">
        <v>3130</v>
      </c>
      <c r="H1310" s="1">
        <v>1</v>
      </c>
      <c r="I1310" s="1" t="s">
        <v>52</v>
      </c>
      <c r="J1310" s="1" t="s">
        <v>2659</v>
      </c>
      <c r="K1310" s="1" t="s">
        <v>6288</v>
      </c>
      <c r="L1310" s="1">
        <v>7</v>
      </c>
      <c r="M1310" s="1">
        <v>20</v>
      </c>
      <c r="N1310" s="1" t="s">
        <v>56</v>
      </c>
      <c r="O1310" s="1" t="s">
        <v>199</v>
      </c>
      <c r="P1310" s="1" t="s">
        <v>54</v>
      </c>
      <c r="Q1310" s="1" t="s">
        <v>32</v>
      </c>
      <c r="R1310" s="1">
        <v>1693.65</v>
      </c>
      <c r="S1310" s="1" t="s">
        <v>46</v>
      </c>
      <c r="T1310" s="1" t="s">
        <v>57</v>
      </c>
      <c r="U1310" s="1" t="s">
        <v>35</v>
      </c>
      <c r="V1310" s="1" t="s">
        <v>36</v>
      </c>
    </row>
    <row r="1311" spans="1:22" x14ac:dyDescent="0.3">
      <c r="A1311" s="1" t="s">
        <v>6289</v>
      </c>
      <c r="B1311" s="1" t="s">
        <v>6290</v>
      </c>
      <c r="C1311" s="1">
        <v>67</v>
      </c>
      <c r="D1311" s="1" t="s">
        <v>6291</v>
      </c>
      <c r="E1311" s="1" t="s">
        <v>95</v>
      </c>
      <c r="F1311" s="1" t="s">
        <v>6292</v>
      </c>
      <c r="G1311" s="2">
        <v>45542</v>
      </c>
      <c r="H1311" s="1">
        <v>3</v>
      </c>
      <c r="I1311" s="1" t="s">
        <v>27</v>
      </c>
      <c r="J1311" s="1" t="s">
        <v>320</v>
      </c>
      <c r="K1311" s="1" t="s">
        <v>6293</v>
      </c>
      <c r="L1311" s="1">
        <v>8</v>
      </c>
      <c r="M1311" s="1">
        <v>6</v>
      </c>
      <c r="N1311" s="1" t="s">
        <v>30</v>
      </c>
      <c r="O1311" s="1" t="s">
        <v>251</v>
      </c>
      <c r="P1311" s="1" t="s">
        <v>30</v>
      </c>
      <c r="Q1311" s="1" t="s">
        <v>69</v>
      </c>
      <c r="R1311" s="1">
        <v>1657.92</v>
      </c>
      <c r="S1311" s="1" t="s">
        <v>33</v>
      </c>
      <c r="T1311" s="1" t="s">
        <v>232</v>
      </c>
      <c r="U1311" s="1" t="s">
        <v>35</v>
      </c>
      <c r="V1311" s="1" t="s">
        <v>36</v>
      </c>
    </row>
    <row r="1312" spans="1:22" x14ac:dyDescent="0.3">
      <c r="A1312" s="1" t="s">
        <v>6294</v>
      </c>
      <c r="B1312" s="1" t="s">
        <v>6295</v>
      </c>
      <c r="C1312" s="1">
        <v>27</v>
      </c>
      <c r="D1312" s="1" t="s">
        <v>6296</v>
      </c>
      <c r="E1312" s="1" t="s">
        <v>25</v>
      </c>
      <c r="F1312" s="1" t="s">
        <v>3078</v>
      </c>
      <c r="G1312" s="2">
        <v>45476</v>
      </c>
      <c r="H1312" s="1">
        <v>3</v>
      </c>
      <c r="I1312" s="1" t="s">
        <v>27</v>
      </c>
      <c r="J1312" s="1" t="s">
        <v>3516</v>
      </c>
      <c r="K1312" s="1" t="s">
        <v>6297</v>
      </c>
      <c r="L1312" s="1">
        <v>3</v>
      </c>
      <c r="M1312" s="1">
        <v>47</v>
      </c>
      <c r="N1312" s="1" t="s">
        <v>45</v>
      </c>
      <c r="O1312" s="1" t="s">
        <v>373</v>
      </c>
      <c r="P1312" s="1" t="s">
        <v>54</v>
      </c>
      <c r="Q1312" s="1" t="s">
        <v>69</v>
      </c>
      <c r="R1312" s="1">
        <v>1284.6300000000001</v>
      </c>
      <c r="S1312" s="1" t="s">
        <v>46</v>
      </c>
      <c r="T1312" s="1" t="s">
        <v>57</v>
      </c>
      <c r="U1312" s="1" t="s">
        <v>35</v>
      </c>
      <c r="V1312" s="1" t="s">
        <v>36</v>
      </c>
    </row>
    <row r="1313" spans="1:22" x14ac:dyDescent="0.3">
      <c r="A1313" s="1" t="s">
        <v>6298</v>
      </c>
      <c r="B1313" s="1" t="s">
        <v>6299</v>
      </c>
      <c r="C1313" s="1">
        <v>27</v>
      </c>
      <c r="D1313" s="1" t="s">
        <v>6300</v>
      </c>
      <c r="E1313" s="1" t="s">
        <v>40</v>
      </c>
      <c r="F1313" s="1" t="s">
        <v>430</v>
      </c>
      <c r="G1313" s="2">
        <v>45573</v>
      </c>
      <c r="H1313" s="1">
        <v>5</v>
      </c>
      <c r="I1313" s="1" t="s">
        <v>64</v>
      </c>
      <c r="J1313" s="2">
        <v>44564</v>
      </c>
      <c r="K1313" s="1" t="s">
        <v>6301</v>
      </c>
      <c r="L1313" s="1">
        <v>7</v>
      </c>
      <c r="M1313" s="1">
        <v>34</v>
      </c>
      <c r="N1313" s="1" t="s">
        <v>68</v>
      </c>
      <c r="O1313" s="1" t="s">
        <v>44</v>
      </c>
      <c r="P1313" s="1" t="s">
        <v>45</v>
      </c>
      <c r="Q1313" s="1" t="s">
        <v>69</v>
      </c>
      <c r="R1313" s="1">
        <v>1568.91</v>
      </c>
      <c r="S1313" s="1" t="s">
        <v>46</v>
      </c>
      <c r="T1313" s="1" t="s">
        <v>57</v>
      </c>
      <c r="U1313" s="1" t="s">
        <v>35</v>
      </c>
      <c r="V1313" s="1" t="s">
        <v>71</v>
      </c>
    </row>
    <row r="1314" spans="1:22" x14ac:dyDescent="0.3">
      <c r="A1314" s="1" t="s">
        <v>6302</v>
      </c>
      <c r="B1314" s="1" t="s">
        <v>6303</v>
      </c>
      <c r="C1314" s="1">
        <v>61</v>
      </c>
      <c r="D1314" s="1" t="s">
        <v>6304</v>
      </c>
      <c r="E1314" s="1" t="s">
        <v>51</v>
      </c>
      <c r="F1314" s="2">
        <v>45267</v>
      </c>
      <c r="G1314" s="1" t="s">
        <v>1716</v>
      </c>
      <c r="H1314" s="1">
        <v>5</v>
      </c>
      <c r="I1314" s="1" t="s">
        <v>27</v>
      </c>
      <c r="J1314" s="1" t="s">
        <v>2300</v>
      </c>
      <c r="K1314" s="1" t="s">
        <v>6305</v>
      </c>
      <c r="L1314" s="1">
        <v>8</v>
      </c>
      <c r="M1314" s="1">
        <v>19</v>
      </c>
      <c r="N1314" s="1" t="s">
        <v>30</v>
      </c>
      <c r="O1314" s="1" t="s">
        <v>610</v>
      </c>
      <c r="P1314" s="1" t="s">
        <v>68</v>
      </c>
      <c r="Q1314" s="1" t="s">
        <v>32</v>
      </c>
      <c r="R1314" s="1">
        <v>617.52</v>
      </c>
      <c r="S1314" s="1" t="s">
        <v>46</v>
      </c>
      <c r="T1314" s="1" t="s">
        <v>47</v>
      </c>
      <c r="U1314" s="1" t="s">
        <v>35</v>
      </c>
      <c r="V1314" s="1" t="s">
        <v>188</v>
      </c>
    </row>
    <row r="1315" spans="1:22" x14ac:dyDescent="0.3">
      <c r="A1315" s="1" t="s">
        <v>6306</v>
      </c>
      <c r="B1315" s="1" t="s">
        <v>6307</v>
      </c>
      <c r="C1315" s="1">
        <v>19</v>
      </c>
      <c r="D1315" s="1" t="s">
        <v>6308</v>
      </c>
      <c r="E1315" s="1" t="s">
        <v>40</v>
      </c>
      <c r="F1315" s="2">
        <v>44449</v>
      </c>
      <c r="G1315" s="2">
        <v>45421</v>
      </c>
      <c r="H1315" s="1">
        <v>3</v>
      </c>
      <c r="I1315" s="1" t="s">
        <v>52</v>
      </c>
      <c r="J1315" s="1" t="s">
        <v>2314</v>
      </c>
      <c r="K1315" s="1" t="s">
        <v>6309</v>
      </c>
      <c r="L1315" s="1">
        <v>2</v>
      </c>
      <c r="M1315" s="1">
        <v>25</v>
      </c>
      <c r="N1315" s="1" t="s">
        <v>56</v>
      </c>
      <c r="O1315" s="1" t="s">
        <v>231</v>
      </c>
      <c r="P1315" s="1" t="s">
        <v>30</v>
      </c>
      <c r="Q1315" s="1" t="s">
        <v>32</v>
      </c>
      <c r="R1315" s="1">
        <v>128.32</v>
      </c>
      <c r="S1315" s="1" t="s">
        <v>46</v>
      </c>
      <c r="T1315" s="1" t="s">
        <v>100</v>
      </c>
      <c r="U1315" s="1" t="s">
        <v>35</v>
      </c>
      <c r="V1315" s="1" t="s">
        <v>36</v>
      </c>
    </row>
    <row r="1316" spans="1:22" x14ac:dyDescent="0.3">
      <c r="A1316" s="1" t="s">
        <v>6310</v>
      </c>
      <c r="B1316" s="1" t="s">
        <v>6311</v>
      </c>
      <c r="C1316" s="1">
        <v>25</v>
      </c>
      <c r="D1316" s="1" t="s">
        <v>6312</v>
      </c>
      <c r="E1316" s="1" t="s">
        <v>51</v>
      </c>
      <c r="F1316" s="1" t="s">
        <v>2281</v>
      </c>
      <c r="G1316" s="2">
        <v>45998</v>
      </c>
      <c r="H1316" s="1">
        <v>4</v>
      </c>
      <c r="I1316" s="1" t="s">
        <v>52</v>
      </c>
      <c r="J1316" s="1" t="s">
        <v>746</v>
      </c>
      <c r="K1316" s="1" t="s">
        <v>6313</v>
      </c>
      <c r="L1316" s="1">
        <v>3</v>
      </c>
      <c r="M1316" s="1">
        <v>18</v>
      </c>
      <c r="N1316" s="1" t="s">
        <v>45</v>
      </c>
      <c r="O1316" s="1" t="s">
        <v>604</v>
      </c>
      <c r="P1316" s="1" t="s">
        <v>45</v>
      </c>
      <c r="Q1316" s="1" t="s">
        <v>69</v>
      </c>
      <c r="R1316" s="1">
        <v>1856.82</v>
      </c>
      <c r="S1316" s="1" t="s">
        <v>33</v>
      </c>
      <c r="T1316" s="1" t="s">
        <v>57</v>
      </c>
      <c r="U1316" s="1" t="s">
        <v>35</v>
      </c>
      <c r="V1316" s="1" t="s">
        <v>36</v>
      </c>
    </row>
    <row r="1317" spans="1:22" x14ac:dyDescent="0.3">
      <c r="A1317" s="1" t="s">
        <v>6314</v>
      </c>
      <c r="B1317" s="1" t="s">
        <v>6315</v>
      </c>
      <c r="C1317" s="1">
        <v>29</v>
      </c>
      <c r="D1317" s="1" t="s">
        <v>6316</v>
      </c>
      <c r="E1317" s="1" t="s">
        <v>40</v>
      </c>
      <c r="F1317" s="2">
        <v>44629</v>
      </c>
      <c r="G1317" s="1" t="s">
        <v>5697</v>
      </c>
      <c r="H1317" s="1">
        <v>1</v>
      </c>
      <c r="I1317" s="1" t="s">
        <v>52</v>
      </c>
      <c r="J1317" s="1" t="s">
        <v>729</v>
      </c>
      <c r="K1317" s="1" t="s">
        <v>6317</v>
      </c>
      <c r="L1317" s="1">
        <v>5</v>
      </c>
      <c r="M1317" s="1">
        <v>6</v>
      </c>
      <c r="N1317" s="1" t="s">
        <v>45</v>
      </c>
      <c r="O1317" s="1" t="s">
        <v>122</v>
      </c>
      <c r="P1317" s="1" t="s">
        <v>30</v>
      </c>
      <c r="Q1317" s="1" t="s">
        <v>69</v>
      </c>
      <c r="R1317" s="1">
        <v>433.9</v>
      </c>
      <c r="S1317" s="1" t="s">
        <v>46</v>
      </c>
      <c r="T1317" s="1" t="s">
        <v>57</v>
      </c>
      <c r="U1317" s="1" t="s">
        <v>35</v>
      </c>
      <c r="V1317" s="1" t="s">
        <v>36</v>
      </c>
    </row>
    <row r="1318" spans="1:22" x14ac:dyDescent="0.3">
      <c r="A1318" s="1" t="s">
        <v>6318</v>
      </c>
      <c r="B1318" s="1" t="s">
        <v>6319</v>
      </c>
      <c r="C1318" s="1">
        <v>52</v>
      </c>
      <c r="D1318" s="1" t="s">
        <v>6320</v>
      </c>
      <c r="E1318" s="1" t="s">
        <v>61</v>
      </c>
      <c r="F1318" s="2">
        <v>44387</v>
      </c>
      <c r="G1318" s="1" t="s">
        <v>1861</v>
      </c>
      <c r="H1318" s="1">
        <v>3</v>
      </c>
      <c r="I1318" s="1" t="s">
        <v>27</v>
      </c>
      <c r="J1318" s="2">
        <v>45540</v>
      </c>
      <c r="K1318" s="1" t="s">
        <v>6321</v>
      </c>
      <c r="L1318" s="1">
        <v>6</v>
      </c>
      <c r="M1318" s="1">
        <v>8</v>
      </c>
      <c r="N1318" s="1" t="s">
        <v>68</v>
      </c>
      <c r="O1318" s="1" t="s">
        <v>238</v>
      </c>
      <c r="P1318" s="1" t="s">
        <v>45</v>
      </c>
      <c r="Q1318" s="1" t="s">
        <v>69</v>
      </c>
      <c r="R1318" s="1">
        <v>1596</v>
      </c>
      <c r="S1318" s="1" t="s">
        <v>46</v>
      </c>
      <c r="T1318" s="1" t="s">
        <v>47</v>
      </c>
      <c r="U1318" s="1" t="s">
        <v>35</v>
      </c>
      <c r="V1318" s="1" t="s">
        <v>36</v>
      </c>
    </row>
    <row r="1319" spans="1:22" x14ac:dyDescent="0.3">
      <c r="A1319" s="1" t="s">
        <v>6322</v>
      </c>
      <c r="B1319" s="1" t="s">
        <v>6323</v>
      </c>
      <c r="C1319" s="1">
        <v>64</v>
      </c>
      <c r="D1319" s="1" t="s">
        <v>6324</v>
      </c>
      <c r="E1319" s="1" t="s">
        <v>88</v>
      </c>
      <c r="F1319" s="2">
        <v>44290</v>
      </c>
      <c r="G1319" s="2">
        <v>44595</v>
      </c>
      <c r="H1319" s="1">
        <v>0</v>
      </c>
      <c r="I1319" s="1" t="s">
        <v>64</v>
      </c>
      <c r="J1319" s="1" t="s">
        <v>140</v>
      </c>
      <c r="K1319" s="1" t="s">
        <v>6325</v>
      </c>
      <c r="L1319" s="1">
        <v>6</v>
      </c>
      <c r="M1319" s="1">
        <v>29</v>
      </c>
      <c r="N1319" s="1" t="s">
        <v>56</v>
      </c>
      <c r="O1319" s="1" t="s">
        <v>245</v>
      </c>
      <c r="P1319" s="1" t="s">
        <v>54</v>
      </c>
      <c r="Q1319" s="1" t="s">
        <v>32</v>
      </c>
      <c r="R1319" s="1">
        <v>1175.52</v>
      </c>
      <c r="S1319" s="1" t="s">
        <v>46</v>
      </c>
      <c r="T1319" s="1" t="s">
        <v>47</v>
      </c>
      <c r="U1319" s="1" t="s">
        <v>35</v>
      </c>
      <c r="V1319" s="1" t="s">
        <v>71</v>
      </c>
    </row>
    <row r="1320" spans="1:22" x14ac:dyDescent="0.3">
      <c r="A1320" s="1" t="s">
        <v>6326</v>
      </c>
      <c r="B1320" s="1" t="s">
        <v>6327</v>
      </c>
      <c r="C1320" s="1">
        <v>50</v>
      </c>
      <c r="D1320" s="1" t="s">
        <v>6328</v>
      </c>
      <c r="E1320" s="1" t="s">
        <v>40</v>
      </c>
      <c r="F1320" s="2">
        <v>44411</v>
      </c>
      <c r="G1320" s="1" t="s">
        <v>4883</v>
      </c>
      <c r="H1320" s="1">
        <v>2</v>
      </c>
      <c r="I1320" s="1" t="s">
        <v>52</v>
      </c>
      <c r="J1320" s="1" t="s">
        <v>4968</v>
      </c>
      <c r="K1320" s="1" t="s">
        <v>6329</v>
      </c>
      <c r="L1320" s="1">
        <v>9</v>
      </c>
      <c r="M1320" s="1">
        <v>25</v>
      </c>
      <c r="N1320" s="1" t="s">
        <v>56</v>
      </c>
      <c r="O1320" s="1" t="s">
        <v>269</v>
      </c>
      <c r="P1320" s="1" t="s">
        <v>56</v>
      </c>
      <c r="Q1320" s="1" t="s">
        <v>32</v>
      </c>
      <c r="R1320" s="1">
        <v>1230.75</v>
      </c>
      <c r="S1320" s="1" t="s">
        <v>33</v>
      </c>
      <c r="T1320" s="1" t="s">
        <v>47</v>
      </c>
      <c r="U1320" s="1" t="s">
        <v>35</v>
      </c>
      <c r="V1320" s="1" t="s">
        <v>36</v>
      </c>
    </row>
    <row r="1321" spans="1:22" x14ac:dyDescent="0.3">
      <c r="A1321" s="1" t="s">
        <v>6330</v>
      </c>
      <c r="B1321" s="1" t="s">
        <v>6331</v>
      </c>
      <c r="C1321" s="1">
        <v>26</v>
      </c>
      <c r="D1321" s="1" t="s">
        <v>6332</v>
      </c>
      <c r="E1321" s="1" t="s">
        <v>95</v>
      </c>
      <c r="F1321" s="2">
        <v>44207</v>
      </c>
      <c r="G1321" s="1" t="s">
        <v>961</v>
      </c>
      <c r="H1321" s="1">
        <v>4</v>
      </c>
      <c r="I1321" s="1" t="s">
        <v>27</v>
      </c>
      <c r="J1321" s="1" t="s">
        <v>6333</v>
      </c>
      <c r="K1321" s="1" t="s">
        <v>6334</v>
      </c>
      <c r="L1321" s="1">
        <v>3</v>
      </c>
      <c r="M1321" s="1">
        <v>23</v>
      </c>
      <c r="N1321" s="1" t="s">
        <v>45</v>
      </c>
      <c r="O1321" s="1" t="s">
        <v>77</v>
      </c>
      <c r="P1321" s="1" t="s">
        <v>54</v>
      </c>
      <c r="Q1321" s="1" t="s">
        <v>322</v>
      </c>
      <c r="R1321" s="1">
        <v>22.29</v>
      </c>
      <c r="S1321" s="1" t="s">
        <v>46</v>
      </c>
      <c r="T1321" s="1" t="s">
        <v>57</v>
      </c>
      <c r="U1321" s="1" t="s">
        <v>70</v>
      </c>
      <c r="V1321" s="1" t="s">
        <v>188</v>
      </c>
    </row>
    <row r="1322" spans="1:22" x14ac:dyDescent="0.3">
      <c r="A1322" s="1" t="s">
        <v>6335</v>
      </c>
      <c r="B1322" s="1" t="s">
        <v>6336</v>
      </c>
      <c r="C1322" s="1">
        <v>53</v>
      </c>
      <c r="D1322" s="1" t="s">
        <v>6337</v>
      </c>
      <c r="E1322" s="1" t="s">
        <v>88</v>
      </c>
      <c r="F1322" s="1" t="s">
        <v>6338</v>
      </c>
      <c r="G1322" s="1" t="s">
        <v>319</v>
      </c>
      <c r="H1322" s="1">
        <v>0</v>
      </c>
      <c r="I1322" s="1" t="s">
        <v>27</v>
      </c>
      <c r="J1322" s="1" t="s">
        <v>2135</v>
      </c>
      <c r="K1322" s="1" t="s">
        <v>6339</v>
      </c>
      <c r="L1322" s="1">
        <v>2</v>
      </c>
      <c r="M1322" s="1">
        <v>43</v>
      </c>
      <c r="N1322" s="1" t="s">
        <v>68</v>
      </c>
      <c r="O1322" s="1" t="s">
        <v>855</v>
      </c>
      <c r="P1322" s="1" t="s">
        <v>45</v>
      </c>
      <c r="Q1322" s="1" t="s">
        <v>69</v>
      </c>
      <c r="R1322" s="1">
        <v>1383.18</v>
      </c>
      <c r="S1322" s="1" t="s">
        <v>46</v>
      </c>
      <c r="T1322" s="1" t="s">
        <v>47</v>
      </c>
      <c r="U1322" s="1" t="s">
        <v>35</v>
      </c>
      <c r="V1322" s="1" t="s">
        <v>36</v>
      </c>
    </row>
    <row r="1323" spans="1:22" x14ac:dyDescent="0.3">
      <c r="A1323" s="1" t="s">
        <v>6340</v>
      </c>
      <c r="B1323" s="1" t="s">
        <v>6341</v>
      </c>
      <c r="C1323" s="1">
        <v>20</v>
      </c>
      <c r="D1323" s="1" t="s">
        <v>6342</v>
      </c>
      <c r="E1323" s="1" t="s">
        <v>51</v>
      </c>
      <c r="F1323" s="1" t="s">
        <v>1452</v>
      </c>
      <c r="G1323" s="1" t="s">
        <v>3278</v>
      </c>
      <c r="H1323" s="1">
        <v>0</v>
      </c>
      <c r="I1323" s="1" t="s">
        <v>27</v>
      </c>
      <c r="J1323" s="2">
        <v>44602</v>
      </c>
      <c r="K1323" s="1" t="s">
        <v>6343</v>
      </c>
      <c r="L1323" s="1">
        <v>2</v>
      </c>
      <c r="M1323" s="1">
        <v>12</v>
      </c>
      <c r="N1323" s="1" t="s">
        <v>45</v>
      </c>
      <c r="O1323" s="1" t="s">
        <v>238</v>
      </c>
      <c r="P1323" s="1" t="s">
        <v>45</v>
      </c>
      <c r="Q1323" s="1" t="s">
        <v>69</v>
      </c>
      <c r="R1323" s="1">
        <v>1000.52</v>
      </c>
      <c r="S1323" s="1" t="s">
        <v>33</v>
      </c>
      <c r="T1323" s="1" t="s">
        <v>100</v>
      </c>
      <c r="U1323" s="1" t="s">
        <v>35</v>
      </c>
      <c r="V1323" s="1" t="s">
        <v>36</v>
      </c>
    </row>
    <row r="1324" spans="1:22" x14ac:dyDescent="0.3">
      <c r="A1324" s="1" t="s">
        <v>6344</v>
      </c>
      <c r="B1324" s="1" t="s">
        <v>6345</v>
      </c>
      <c r="C1324" s="1">
        <v>23</v>
      </c>
      <c r="D1324" s="1" t="s">
        <v>6346</v>
      </c>
      <c r="E1324" s="1" t="s">
        <v>25</v>
      </c>
      <c r="F1324" s="2">
        <v>44811</v>
      </c>
      <c r="G1324" s="2">
        <v>45051</v>
      </c>
      <c r="H1324" s="1">
        <v>4</v>
      </c>
      <c r="I1324" s="1" t="s">
        <v>52</v>
      </c>
      <c r="J1324" s="1" t="s">
        <v>6347</v>
      </c>
      <c r="K1324" s="1" t="s">
        <v>6348</v>
      </c>
      <c r="L1324" s="1">
        <v>8</v>
      </c>
      <c r="M1324" s="1">
        <v>7</v>
      </c>
      <c r="N1324" s="1" t="s">
        <v>30</v>
      </c>
      <c r="O1324" s="1" t="s">
        <v>238</v>
      </c>
      <c r="P1324" s="1" t="s">
        <v>45</v>
      </c>
      <c r="Q1324" s="1" t="s">
        <v>69</v>
      </c>
      <c r="R1324" s="1">
        <v>1775.6</v>
      </c>
      <c r="S1324" s="1" t="s">
        <v>46</v>
      </c>
      <c r="T1324" s="1" t="s">
        <v>100</v>
      </c>
      <c r="U1324" s="1" t="s">
        <v>35</v>
      </c>
      <c r="V1324" s="1" t="s">
        <v>36</v>
      </c>
    </row>
    <row r="1325" spans="1:22" x14ac:dyDescent="0.3">
      <c r="A1325" s="1" t="s">
        <v>6349</v>
      </c>
      <c r="B1325" s="1" t="s">
        <v>6350</v>
      </c>
      <c r="C1325" s="1">
        <v>31</v>
      </c>
      <c r="D1325" s="1" t="s">
        <v>6351</v>
      </c>
      <c r="E1325" s="1" t="s">
        <v>61</v>
      </c>
      <c r="F1325" s="2">
        <v>45112</v>
      </c>
      <c r="G1325" s="1" t="s">
        <v>371</v>
      </c>
      <c r="H1325" s="1">
        <v>2</v>
      </c>
      <c r="I1325" s="1" t="s">
        <v>27</v>
      </c>
      <c r="J1325" s="1" t="s">
        <v>1791</v>
      </c>
      <c r="K1325" s="1" t="s">
        <v>6352</v>
      </c>
      <c r="L1325" s="1">
        <v>3</v>
      </c>
      <c r="M1325" s="1">
        <v>20</v>
      </c>
      <c r="N1325" s="1" t="s">
        <v>68</v>
      </c>
      <c r="O1325" s="1" t="s">
        <v>425</v>
      </c>
      <c r="P1325" s="1" t="s">
        <v>30</v>
      </c>
      <c r="Q1325" s="1" t="s">
        <v>69</v>
      </c>
      <c r="R1325" s="1">
        <v>1143.57</v>
      </c>
      <c r="S1325" s="1" t="s">
        <v>46</v>
      </c>
      <c r="T1325" s="1" t="s">
        <v>57</v>
      </c>
      <c r="U1325" s="1" t="s">
        <v>35</v>
      </c>
      <c r="V1325" s="1" t="s">
        <v>36</v>
      </c>
    </row>
    <row r="1326" spans="1:22" x14ac:dyDescent="0.3">
      <c r="A1326" s="1" t="s">
        <v>6353</v>
      </c>
      <c r="B1326" s="1" t="s">
        <v>6354</v>
      </c>
      <c r="C1326" s="1">
        <v>26</v>
      </c>
      <c r="D1326" s="1" t="s">
        <v>6355</v>
      </c>
      <c r="E1326" s="1" t="s">
        <v>88</v>
      </c>
      <c r="F1326" s="1" t="s">
        <v>6356</v>
      </c>
      <c r="G1326" s="1" t="s">
        <v>1298</v>
      </c>
      <c r="H1326" s="1">
        <v>5</v>
      </c>
      <c r="I1326" s="1" t="s">
        <v>27</v>
      </c>
      <c r="J1326" s="2">
        <v>45388</v>
      </c>
      <c r="K1326" s="1" t="s">
        <v>6357</v>
      </c>
      <c r="L1326" s="1">
        <v>1</v>
      </c>
      <c r="M1326" s="1">
        <v>15</v>
      </c>
      <c r="N1326" s="1" t="s">
        <v>56</v>
      </c>
      <c r="O1326" s="1" t="s">
        <v>77</v>
      </c>
      <c r="P1326" s="1" t="s">
        <v>54</v>
      </c>
      <c r="Q1326" s="1" t="s">
        <v>69</v>
      </c>
      <c r="R1326" s="1">
        <v>255.16</v>
      </c>
      <c r="S1326" s="1" t="s">
        <v>46</v>
      </c>
      <c r="T1326" s="1" t="s">
        <v>57</v>
      </c>
      <c r="U1326" s="1" t="s">
        <v>35</v>
      </c>
      <c r="V1326" s="1" t="s">
        <v>188</v>
      </c>
    </row>
    <row r="1327" spans="1:22" x14ac:dyDescent="0.3">
      <c r="A1327" s="1" t="s">
        <v>6358</v>
      </c>
      <c r="B1327" s="1" t="s">
        <v>6359</v>
      </c>
      <c r="C1327" s="1">
        <v>21</v>
      </c>
      <c r="D1327" s="1" t="s">
        <v>6360</v>
      </c>
      <c r="E1327" s="1" t="s">
        <v>95</v>
      </c>
      <c r="F1327" s="2">
        <v>44417</v>
      </c>
      <c r="G1327" s="1" t="s">
        <v>6361</v>
      </c>
      <c r="H1327" s="1">
        <v>5</v>
      </c>
      <c r="I1327" s="1" t="s">
        <v>52</v>
      </c>
      <c r="J1327" s="1" t="s">
        <v>4244</v>
      </c>
      <c r="K1327" s="1" t="s">
        <v>6362</v>
      </c>
      <c r="L1327" s="1">
        <v>7</v>
      </c>
      <c r="M1327" s="1">
        <v>48</v>
      </c>
      <c r="N1327" s="1" t="s">
        <v>56</v>
      </c>
      <c r="O1327" s="1" t="s">
        <v>211</v>
      </c>
      <c r="P1327" s="1" t="s">
        <v>68</v>
      </c>
      <c r="Q1327" s="1" t="s">
        <v>69</v>
      </c>
      <c r="R1327" s="1">
        <v>1384.53</v>
      </c>
      <c r="S1327" s="1" t="s">
        <v>46</v>
      </c>
      <c r="T1327" s="1" t="s">
        <v>100</v>
      </c>
      <c r="U1327" s="1" t="s">
        <v>35</v>
      </c>
      <c r="V1327" s="1" t="s">
        <v>36</v>
      </c>
    </row>
    <row r="1328" spans="1:22" x14ac:dyDescent="0.3">
      <c r="A1328" s="1" t="s">
        <v>6363</v>
      </c>
      <c r="B1328" s="1" t="s">
        <v>6364</v>
      </c>
      <c r="C1328" s="1">
        <v>49</v>
      </c>
      <c r="D1328" s="1" t="s">
        <v>6365</v>
      </c>
      <c r="E1328" s="1" t="s">
        <v>88</v>
      </c>
      <c r="F1328" s="1" t="s">
        <v>6366</v>
      </c>
      <c r="G1328" s="2">
        <v>45569</v>
      </c>
      <c r="H1328" s="1">
        <v>0</v>
      </c>
      <c r="I1328" s="1" t="s">
        <v>64</v>
      </c>
      <c r="J1328" s="1" t="s">
        <v>208</v>
      </c>
      <c r="K1328" s="1" t="s">
        <v>6367</v>
      </c>
      <c r="L1328" s="1">
        <v>7</v>
      </c>
      <c r="M1328" s="1">
        <v>10</v>
      </c>
      <c r="N1328" s="1" t="s">
        <v>68</v>
      </c>
      <c r="O1328" s="1" t="s">
        <v>157</v>
      </c>
      <c r="P1328" s="1" t="s">
        <v>68</v>
      </c>
      <c r="Q1328" s="1" t="s">
        <v>32</v>
      </c>
      <c r="R1328" s="1">
        <v>1032.6400000000001</v>
      </c>
      <c r="S1328" s="1" t="s">
        <v>33</v>
      </c>
      <c r="T1328" s="1" t="s">
        <v>34</v>
      </c>
      <c r="U1328" s="1" t="s">
        <v>35</v>
      </c>
      <c r="V1328" s="1" t="s">
        <v>71</v>
      </c>
    </row>
    <row r="1329" spans="1:22" x14ac:dyDescent="0.3">
      <c r="A1329" s="1" t="s">
        <v>6368</v>
      </c>
      <c r="B1329" s="1" t="s">
        <v>6369</v>
      </c>
      <c r="C1329" s="1">
        <v>58</v>
      </c>
      <c r="D1329" s="1" t="s">
        <v>6370</v>
      </c>
      <c r="E1329" s="1" t="s">
        <v>51</v>
      </c>
      <c r="F1329" s="2">
        <v>44508</v>
      </c>
      <c r="G1329" s="1" t="s">
        <v>81</v>
      </c>
      <c r="H1329" s="1">
        <v>3</v>
      </c>
      <c r="I1329" s="1" t="s">
        <v>27</v>
      </c>
      <c r="J1329" s="1" t="s">
        <v>2408</v>
      </c>
      <c r="K1329" s="1" t="s">
        <v>6371</v>
      </c>
      <c r="L1329" s="1">
        <v>4</v>
      </c>
      <c r="M1329" s="1">
        <v>29</v>
      </c>
      <c r="N1329" s="1" t="s">
        <v>56</v>
      </c>
      <c r="O1329" s="1" t="s">
        <v>142</v>
      </c>
      <c r="P1329" s="1" t="s">
        <v>68</v>
      </c>
      <c r="Q1329" s="1" t="s">
        <v>32</v>
      </c>
      <c r="R1329" s="1">
        <v>263.68</v>
      </c>
      <c r="S1329" s="1" t="s">
        <v>46</v>
      </c>
      <c r="T1329" s="1" t="s">
        <v>47</v>
      </c>
      <c r="U1329" s="1" t="s">
        <v>35</v>
      </c>
      <c r="V1329" s="1" t="s">
        <v>36</v>
      </c>
    </row>
    <row r="1330" spans="1:22" x14ac:dyDescent="0.3">
      <c r="A1330" s="1" t="s">
        <v>6372</v>
      </c>
      <c r="B1330" s="1" t="s">
        <v>6373</v>
      </c>
      <c r="C1330" s="1">
        <v>18</v>
      </c>
      <c r="D1330" s="1" t="s">
        <v>6374</v>
      </c>
      <c r="E1330" s="1" t="s">
        <v>40</v>
      </c>
      <c r="F1330" s="2">
        <v>44721</v>
      </c>
      <c r="G1330" s="2">
        <v>45753</v>
      </c>
      <c r="H1330" s="1">
        <v>5</v>
      </c>
      <c r="I1330" s="1" t="s">
        <v>27</v>
      </c>
      <c r="J1330" s="1" t="s">
        <v>4888</v>
      </c>
      <c r="K1330" s="1" t="s">
        <v>6375</v>
      </c>
      <c r="L1330" s="1">
        <v>2</v>
      </c>
      <c r="M1330" s="1">
        <v>13</v>
      </c>
      <c r="N1330" s="1" t="s">
        <v>45</v>
      </c>
      <c r="O1330" s="1" t="s">
        <v>44</v>
      </c>
      <c r="P1330" s="1" t="s">
        <v>45</v>
      </c>
      <c r="Q1330" s="1" t="s">
        <v>32</v>
      </c>
      <c r="R1330" s="1">
        <v>1898.8</v>
      </c>
      <c r="S1330" s="1" t="s">
        <v>33</v>
      </c>
      <c r="T1330" s="1" t="s">
        <v>100</v>
      </c>
      <c r="U1330" s="1" t="s">
        <v>35</v>
      </c>
      <c r="V1330" s="1" t="s">
        <v>188</v>
      </c>
    </row>
    <row r="1331" spans="1:22" x14ac:dyDescent="0.3">
      <c r="A1331" s="1" t="s">
        <v>6376</v>
      </c>
      <c r="B1331" s="1" t="s">
        <v>6377</v>
      </c>
      <c r="C1331" s="1">
        <v>30</v>
      </c>
      <c r="D1331" s="1" t="s">
        <v>6378</v>
      </c>
      <c r="E1331" s="1" t="s">
        <v>40</v>
      </c>
      <c r="F1331" s="2">
        <v>44905</v>
      </c>
      <c r="G1331" s="2">
        <v>44962</v>
      </c>
      <c r="H1331" s="1">
        <v>4</v>
      </c>
      <c r="I1331" s="1" t="s">
        <v>27</v>
      </c>
      <c r="J1331" s="1" t="s">
        <v>1826</v>
      </c>
      <c r="K1331" s="1" t="s">
        <v>6379</v>
      </c>
      <c r="L1331" s="1">
        <v>1</v>
      </c>
      <c r="M1331" s="1">
        <v>35</v>
      </c>
      <c r="N1331" s="1" t="s">
        <v>56</v>
      </c>
      <c r="O1331" s="1" t="s">
        <v>116</v>
      </c>
      <c r="P1331" s="1" t="s">
        <v>54</v>
      </c>
      <c r="Q1331" s="1" t="s">
        <v>32</v>
      </c>
      <c r="R1331" s="1">
        <v>1629.13</v>
      </c>
      <c r="S1331" s="1" t="s">
        <v>46</v>
      </c>
      <c r="T1331" s="1" t="s">
        <v>57</v>
      </c>
      <c r="U1331" s="1" t="s">
        <v>35</v>
      </c>
      <c r="V1331" s="1" t="s">
        <v>188</v>
      </c>
    </row>
    <row r="1332" spans="1:22" x14ac:dyDescent="0.3">
      <c r="A1332" s="1" t="s">
        <v>6380</v>
      </c>
      <c r="B1332" s="1" t="s">
        <v>6381</v>
      </c>
      <c r="C1332" s="1">
        <v>23</v>
      </c>
      <c r="D1332" s="1" t="s">
        <v>6382</v>
      </c>
      <c r="E1332" s="1" t="s">
        <v>51</v>
      </c>
      <c r="F1332" s="2">
        <v>43994</v>
      </c>
      <c r="G1332" s="2">
        <v>45932</v>
      </c>
      <c r="H1332" s="1">
        <v>4</v>
      </c>
      <c r="I1332" s="1" t="s">
        <v>27</v>
      </c>
      <c r="J1332" s="2">
        <v>45601</v>
      </c>
      <c r="K1332" s="1" t="s">
        <v>6383</v>
      </c>
      <c r="L1332" s="1">
        <v>5</v>
      </c>
      <c r="M1332" s="1">
        <v>44</v>
      </c>
      <c r="N1332" s="1" t="s">
        <v>45</v>
      </c>
      <c r="O1332" s="1" t="s">
        <v>269</v>
      </c>
      <c r="P1332" s="1" t="s">
        <v>56</v>
      </c>
      <c r="Q1332" s="1" t="s">
        <v>69</v>
      </c>
      <c r="R1332" s="1">
        <v>553.20000000000005</v>
      </c>
      <c r="S1332" s="1" t="s">
        <v>46</v>
      </c>
      <c r="T1332" s="1" t="s">
        <v>100</v>
      </c>
      <c r="U1332" s="1" t="s">
        <v>35</v>
      </c>
      <c r="V1332" s="1" t="s">
        <v>188</v>
      </c>
    </row>
    <row r="1333" spans="1:22" x14ac:dyDescent="0.3">
      <c r="A1333" s="1" t="s">
        <v>6384</v>
      </c>
      <c r="B1333" s="1" t="s">
        <v>6385</v>
      </c>
      <c r="C1333" s="1">
        <v>52</v>
      </c>
      <c r="D1333" s="1" t="s">
        <v>6386</v>
      </c>
      <c r="E1333" s="1" t="s">
        <v>25</v>
      </c>
      <c r="F1333" s="1" t="s">
        <v>5337</v>
      </c>
      <c r="G1333" s="1" t="s">
        <v>4505</v>
      </c>
      <c r="H1333" s="1">
        <v>2</v>
      </c>
      <c r="I1333" s="1" t="s">
        <v>64</v>
      </c>
      <c r="J1333" s="2">
        <v>45480</v>
      </c>
      <c r="K1333" s="1" t="s">
        <v>6387</v>
      </c>
      <c r="L1333" s="1">
        <v>7</v>
      </c>
      <c r="M1333" s="1">
        <v>30</v>
      </c>
      <c r="N1333" s="1" t="s">
        <v>68</v>
      </c>
      <c r="O1333" s="1" t="s">
        <v>425</v>
      </c>
      <c r="P1333" s="1" t="s">
        <v>30</v>
      </c>
      <c r="Q1333" s="1" t="s">
        <v>69</v>
      </c>
      <c r="R1333" s="1">
        <v>836.22</v>
      </c>
      <c r="S1333" s="1" t="s">
        <v>46</v>
      </c>
      <c r="T1333" s="1" t="s">
        <v>47</v>
      </c>
      <c r="U1333" s="1" t="s">
        <v>35</v>
      </c>
      <c r="V1333" s="1" t="s">
        <v>71</v>
      </c>
    </row>
    <row r="1334" spans="1:22" x14ac:dyDescent="0.3">
      <c r="A1334" s="1" t="s">
        <v>6388</v>
      </c>
      <c r="B1334" s="1" t="s">
        <v>6389</v>
      </c>
      <c r="C1334" s="1">
        <v>49</v>
      </c>
      <c r="D1334" s="1" t="s">
        <v>6390</v>
      </c>
      <c r="E1334" s="1" t="s">
        <v>51</v>
      </c>
      <c r="F1334" s="1" t="s">
        <v>2464</v>
      </c>
      <c r="G1334" s="1" t="s">
        <v>1414</v>
      </c>
      <c r="H1334" s="1">
        <v>4</v>
      </c>
      <c r="I1334" s="1" t="s">
        <v>52</v>
      </c>
      <c r="J1334" s="1" t="s">
        <v>3553</v>
      </c>
      <c r="K1334" s="1" t="s">
        <v>6391</v>
      </c>
      <c r="L1334" s="1">
        <v>2</v>
      </c>
      <c r="M1334" s="1">
        <v>36</v>
      </c>
      <c r="N1334" s="1" t="s">
        <v>56</v>
      </c>
      <c r="O1334" s="1" t="s">
        <v>135</v>
      </c>
      <c r="P1334" s="1" t="s">
        <v>45</v>
      </c>
      <c r="Q1334" s="1" t="s">
        <v>32</v>
      </c>
      <c r="R1334" s="1">
        <v>517.29999999999995</v>
      </c>
      <c r="S1334" s="1" t="s">
        <v>46</v>
      </c>
      <c r="T1334" s="1" t="s">
        <v>34</v>
      </c>
      <c r="U1334" s="1" t="s">
        <v>35</v>
      </c>
      <c r="V1334" s="1" t="s">
        <v>36</v>
      </c>
    </row>
    <row r="1335" spans="1:22" x14ac:dyDescent="0.3">
      <c r="A1335" s="1" t="s">
        <v>6392</v>
      </c>
      <c r="B1335" s="1" t="s">
        <v>6393</v>
      </c>
      <c r="C1335" s="1">
        <v>55</v>
      </c>
      <c r="D1335" s="1" t="s">
        <v>6394</v>
      </c>
      <c r="E1335" s="1" t="s">
        <v>95</v>
      </c>
      <c r="F1335" s="2">
        <v>44113</v>
      </c>
      <c r="G1335" s="2">
        <v>44907</v>
      </c>
      <c r="H1335" s="1">
        <v>1</v>
      </c>
      <c r="I1335" s="1" t="s">
        <v>27</v>
      </c>
      <c r="J1335" s="1" t="s">
        <v>6395</v>
      </c>
      <c r="K1335" s="1" t="s">
        <v>6396</v>
      </c>
      <c r="L1335" s="1">
        <v>2</v>
      </c>
      <c r="M1335" s="1">
        <v>34</v>
      </c>
      <c r="N1335" s="1" t="s">
        <v>30</v>
      </c>
      <c r="O1335" s="1" t="s">
        <v>418</v>
      </c>
      <c r="P1335" s="1" t="s">
        <v>56</v>
      </c>
      <c r="Q1335" s="1" t="s">
        <v>69</v>
      </c>
      <c r="R1335" s="1">
        <v>1381.08</v>
      </c>
      <c r="S1335" s="1" t="s">
        <v>46</v>
      </c>
      <c r="T1335" s="1" t="s">
        <v>47</v>
      </c>
      <c r="U1335" s="1" t="s">
        <v>35</v>
      </c>
      <c r="V1335" s="1" t="s">
        <v>36</v>
      </c>
    </row>
    <row r="1336" spans="1:22" x14ac:dyDescent="0.3">
      <c r="A1336" s="1" t="s">
        <v>6397</v>
      </c>
      <c r="B1336" s="1" t="s">
        <v>6398</v>
      </c>
      <c r="C1336" s="1">
        <v>36</v>
      </c>
      <c r="D1336" s="1" t="s">
        <v>6399</v>
      </c>
      <c r="E1336" s="1" t="s">
        <v>61</v>
      </c>
      <c r="F1336" s="1" t="s">
        <v>2722</v>
      </c>
      <c r="G1336" s="2">
        <v>45544</v>
      </c>
      <c r="H1336" s="1">
        <v>3</v>
      </c>
      <c r="I1336" s="1" t="s">
        <v>27</v>
      </c>
      <c r="J1336" s="1" t="s">
        <v>946</v>
      </c>
      <c r="K1336" s="1" t="s">
        <v>6400</v>
      </c>
      <c r="L1336" s="1">
        <v>8</v>
      </c>
      <c r="M1336" s="1">
        <v>43</v>
      </c>
      <c r="N1336" s="1" t="s">
        <v>56</v>
      </c>
      <c r="O1336" s="1" t="s">
        <v>175</v>
      </c>
      <c r="P1336" s="1" t="s">
        <v>56</v>
      </c>
      <c r="Q1336" s="1" t="s">
        <v>322</v>
      </c>
      <c r="R1336" s="1">
        <v>545.36</v>
      </c>
      <c r="S1336" s="1" t="s">
        <v>33</v>
      </c>
      <c r="T1336" s="1" t="s">
        <v>34</v>
      </c>
      <c r="U1336" s="1" t="s">
        <v>35</v>
      </c>
      <c r="V1336" s="1" t="s">
        <v>36</v>
      </c>
    </row>
    <row r="1337" spans="1:22" x14ac:dyDescent="0.3">
      <c r="A1337" s="1" t="s">
        <v>6401</v>
      </c>
      <c r="B1337" s="1" t="s">
        <v>6402</v>
      </c>
      <c r="C1337" s="1">
        <v>65</v>
      </c>
      <c r="D1337" s="1" t="s">
        <v>6403</v>
      </c>
      <c r="E1337" s="1" t="s">
        <v>40</v>
      </c>
      <c r="F1337" s="2">
        <v>44812</v>
      </c>
      <c r="G1337" s="2">
        <v>45052</v>
      </c>
      <c r="H1337" s="1">
        <v>4</v>
      </c>
      <c r="I1337" s="1" t="s">
        <v>27</v>
      </c>
      <c r="J1337" s="2">
        <v>45870</v>
      </c>
      <c r="K1337" s="1" t="s">
        <v>6404</v>
      </c>
      <c r="L1337" s="1">
        <v>2</v>
      </c>
      <c r="M1337" s="1">
        <v>2</v>
      </c>
      <c r="N1337" s="1" t="s">
        <v>45</v>
      </c>
      <c r="O1337" s="1" t="s">
        <v>624</v>
      </c>
      <c r="P1337" s="1" t="s">
        <v>30</v>
      </c>
      <c r="Q1337" s="1" t="s">
        <v>69</v>
      </c>
      <c r="R1337" s="1">
        <v>345.36</v>
      </c>
      <c r="S1337" s="1" t="s">
        <v>46</v>
      </c>
      <c r="T1337" s="1" t="s">
        <v>232</v>
      </c>
      <c r="U1337" s="1" t="s">
        <v>70</v>
      </c>
      <c r="V1337" s="1" t="s">
        <v>188</v>
      </c>
    </row>
    <row r="1338" spans="1:22" x14ac:dyDescent="0.3">
      <c r="A1338" s="1" t="s">
        <v>6405</v>
      </c>
      <c r="B1338" s="1" t="s">
        <v>6406</v>
      </c>
      <c r="C1338" s="1">
        <v>54</v>
      </c>
      <c r="D1338" s="1" t="s">
        <v>6407</v>
      </c>
      <c r="E1338" s="1" t="s">
        <v>51</v>
      </c>
      <c r="F1338" s="1" t="s">
        <v>5485</v>
      </c>
      <c r="G1338" s="2">
        <v>45538</v>
      </c>
      <c r="H1338" s="1">
        <v>3</v>
      </c>
      <c r="I1338" s="1" t="s">
        <v>52</v>
      </c>
      <c r="J1338" s="2">
        <v>44988</v>
      </c>
      <c r="K1338" s="1" t="s">
        <v>6408</v>
      </c>
      <c r="L1338" s="1">
        <v>6</v>
      </c>
      <c r="M1338" s="1">
        <v>6</v>
      </c>
      <c r="N1338" s="1" t="s">
        <v>54</v>
      </c>
      <c r="O1338" s="1" t="s">
        <v>238</v>
      </c>
      <c r="P1338" s="1" t="s">
        <v>45</v>
      </c>
      <c r="Q1338" s="1" t="s">
        <v>32</v>
      </c>
      <c r="R1338" s="1">
        <v>1983.66</v>
      </c>
      <c r="S1338" s="1" t="s">
        <v>46</v>
      </c>
      <c r="T1338" s="1" t="s">
        <v>47</v>
      </c>
      <c r="U1338" s="1" t="s">
        <v>35</v>
      </c>
      <c r="V1338" s="1" t="s">
        <v>36</v>
      </c>
    </row>
    <row r="1339" spans="1:22" x14ac:dyDescent="0.3">
      <c r="A1339" s="1" t="s">
        <v>6409</v>
      </c>
      <c r="B1339" s="1" t="s">
        <v>6410</v>
      </c>
      <c r="C1339" s="1">
        <v>57</v>
      </c>
      <c r="D1339" s="1" t="s">
        <v>6411</v>
      </c>
      <c r="E1339" s="1" t="s">
        <v>51</v>
      </c>
      <c r="F1339" s="2">
        <v>44200</v>
      </c>
      <c r="G1339" s="1" t="s">
        <v>6412</v>
      </c>
      <c r="H1339" s="1">
        <v>2</v>
      </c>
      <c r="I1339" s="1" t="s">
        <v>52</v>
      </c>
      <c r="J1339" s="1" t="s">
        <v>6413</v>
      </c>
      <c r="K1339" s="1" t="s">
        <v>6414</v>
      </c>
      <c r="L1339" s="1">
        <v>9</v>
      </c>
      <c r="M1339" s="1">
        <v>21</v>
      </c>
      <c r="N1339" s="1" t="s">
        <v>68</v>
      </c>
      <c r="O1339" s="1" t="s">
        <v>238</v>
      </c>
      <c r="P1339" s="1" t="s">
        <v>45</v>
      </c>
      <c r="Q1339" s="1" t="s">
        <v>32</v>
      </c>
      <c r="R1339" s="1">
        <v>642.96</v>
      </c>
      <c r="S1339" s="1" t="s">
        <v>46</v>
      </c>
      <c r="T1339" s="1" t="s">
        <v>47</v>
      </c>
      <c r="U1339" s="1" t="s">
        <v>35</v>
      </c>
      <c r="V1339" s="1" t="s">
        <v>36</v>
      </c>
    </row>
    <row r="1340" spans="1:22" x14ac:dyDescent="0.3">
      <c r="A1340" s="1" t="s">
        <v>6415</v>
      </c>
      <c r="B1340" s="1" t="s">
        <v>6416</v>
      </c>
      <c r="C1340" s="1">
        <v>19</v>
      </c>
      <c r="D1340" s="1" t="s">
        <v>6417</v>
      </c>
      <c r="E1340" s="1" t="s">
        <v>95</v>
      </c>
      <c r="F1340" s="1" t="s">
        <v>3002</v>
      </c>
      <c r="G1340" s="2">
        <v>44962</v>
      </c>
      <c r="H1340" s="1">
        <v>2</v>
      </c>
      <c r="I1340" s="1" t="s">
        <v>64</v>
      </c>
      <c r="J1340" s="1" t="s">
        <v>423</v>
      </c>
      <c r="K1340" s="1" t="s">
        <v>6418</v>
      </c>
      <c r="L1340" s="1">
        <v>7</v>
      </c>
      <c r="M1340" s="1">
        <v>14</v>
      </c>
      <c r="N1340" s="1" t="s">
        <v>54</v>
      </c>
      <c r="O1340" s="1" t="s">
        <v>55</v>
      </c>
      <c r="P1340" s="1" t="s">
        <v>56</v>
      </c>
      <c r="Q1340" s="1" t="s">
        <v>69</v>
      </c>
      <c r="R1340" s="1">
        <v>1776.88</v>
      </c>
      <c r="S1340" s="1" t="s">
        <v>46</v>
      </c>
      <c r="T1340" s="1" t="s">
        <v>100</v>
      </c>
      <c r="U1340" s="1" t="s">
        <v>35</v>
      </c>
      <c r="V1340" s="1" t="s">
        <v>71</v>
      </c>
    </row>
    <row r="1341" spans="1:22" x14ac:dyDescent="0.3">
      <c r="A1341" s="1" t="s">
        <v>6419</v>
      </c>
      <c r="B1341" s="1" t="s">
        <v>6420</v>
      </c>
      <c r="C1341" s="1">
        <v>56</v>
      </c>
      <c r="D1341" s="1" t="s">
        <v>6421</v>
      </c>
      <c r="E1341" s="1" t="s">
        <v>61</v>
      </c>
      <c r="F1341" s="1" t="s">
        <v>4253</v>
      </c>
      <c r="G1341" s="1" t="s">
        <v>2781</v>
      </c>
      <c r="H1341" s="1">
        <v>5</v>
      </c>
      <c r="I1341" s="1" t="s">
        <v>27</v>
      </c>
      <c r="J1341" s="2">
        <v>45327</v>
      </c>
      <c r="K1341" s="1" t="s">
        <v>6422</v>
      </c>
      <c r="L1341" s="1">
        <v>6</v>
      </c>
      <c r="M1341" s="1">
        <v>46</v>
      </c>
      <c r="N1341" s="1" t="s">
        <v>68</v>
      </c>
      <c r="O1341" s="1" t="s">
        <v>231</v>
      </c>
      <c r="P1341" s="1" t="s">
        <v>30</v>
      </c>
      <c r="Q1341" s="1" t="s">
        <v>69</v>
      </c>
      <c r="R1341" s="1">
        <v>1859.88</v>
      </c>
      <c r="S1341" s="1" t="s">
        <v>46</v>
      </c>
      <c r="T1341" s="1" t="s">
        <v>47</v>
      </c>
      <c r="U1341" s="1" t="s">
        <v>35</v>
      </c>
      <c r="V1341" s="1" t="s">
        <v>188</v>
      </c>
    </row>
    <row r="1342" spans="1:22" x14ac:dyDescent="0.3">
      <c r="A1342" s="1" t="s">
        <v>6423</v>
      </c>
      <c r="B1342" s="1" t="s">
        <v>6424</v>
      </c>
      <c r="C1342" s="1">
        <v>39</v>
      </c>
      <c r="D1342" s="1" t="s">
        <v>6425</v>
      </c>
      <c r="E1342" s="1" t="s">
        <v>25</v>
      </c>
      <c r="F1342" s="1" t="s">
        <v>3354</v>
      </c>
      <c r="G1342" s="2">
        <v>44744</v>
      </c>
      <c r="H1342" s="1">
        <v>3</v>
      </c>
      <c r="I1342" s="1" t="s">
        <v>52</v>
      </c>
      <c r="J1342" s="1" t="s">
        <v>545</v>
      </c>
      <c r="K1342" s="1" t="s">
        <v>6426</v>
      </c>
      <c r="L1342" s="1">
        <v>2</v>
      </c>
      <c r="M1342" s="1">
        <v>6</v>
      </c>
      <c r="N1342" s="1" t="s">
        <v>45</v>
      </c>
      <c r="O1342" s="1" t="s">
        <v>44</v>
      </c>
      <c r="P1342" s="1" t="s">
        <v>45</v>
      </c>
      <c r="Q1342" s="1" t="s">
        <v>32</v>
      </c>
      <c r="R1342" s="1">
        <v>1759.6</v>
      </c>
      <c r="S1342" s="1" t="s">
        <v>33</v>
      </c>
      <c r="T1342" s="1" t="s">
        <v>34</v>
      </c>
      <c r="U1342" s="1" t="s">
        <v>35</v>
      </c>
      <c r="V1342" s="1" t="s">
        <v>36</v>
      </c>
    </row>
    <row r="1343" spans="1:22" x14ac:dyDescent="0.3">
      <c r="A1343" s="1" t="s">
        <v>6427</v>
      </c>
      <c r="B1343" s="1" t="s">
        <v>6428</v>
      </c>
      <c r="C1343" s="1">
        <v>49</v>
      </c>
      <c r="D1343" s="1" t="s">
        <v>6429</v>
      </c>
      <c r="E1343" s="1" t="s">
        <v>51</v>
      </c>
      <c r="F1343" s="2">
        <v>45233</v>
      </c>
      <c r="G1343" s="2">
        <v>45234</v>
      </c>
      <c r="H1343" s="1">
        <v>2</v>
      </c>
      <c r="I1343" s="1" t="s">
        <v>64</v>
      </c>
      <c r="J1343" s="1" t="s">
        <v>2300</v>
      </c>
      <c r="K1343" s="1" t="s">
        <v>6430</v>
      </c>
      <c r="L1343" s="1">
        <v>8</v>
      </c>
      <c r="M1343" s="1">
        <v>38</v>
      </c>
      <c r="N1343" s="1" t="s">
        <v>45</v>
      </c>
      <c r="O1343" s="1" t="s">
        <v>425</v>
      </c>
      <c r="P1343" s="1" t="s">
        <v>30</v>
      </c>
      <c r="Q1343" s="1" t="s">
        <v>32</v>
      </c>
      <c r="R1343" s="1">
        <v>406.16</v>
      </c>
      <c r="S1343" s="1" t="s">
        <v>46</v>
      </c>
      <c r="T1343" s="1" t="s">
        <v>34</v>
      </c>
      <c r="U1343" s="1" t="s">
        <v>35</v>
      </c>
      <c r="V1343" s="1" t="s">
        <v>71</v>
      </c>
    </row>
    <row r="1344" spans="1:22" x14ac:dyDescent="0.3">
      <c r="A1344" s="1" t="s">
        <v>6431</v>
      </c>
      <c r="B1344" s="1" t="s">
        <v>6432</v>
      </c>
      <c r="C1344" s="1">
        <v>49</v>
      </c>
      <c r="D1344" s="1" t="s">
        <v>6433</v>
      </c>
      <c r="E1344" s="1" t="s">
        <v>61</v>
      </c>
      <c r="F1344" s="2">
        <v>44572</v>
      </c>
      <c r="G1344" s="1" t="s">
        <v>2522</v>
      </c>
      <c r="H1344" s="1">
        <v>0</v>
      </c>
      <c r="I1344" s="1" t="s">
        <v>27</v>
      </c>
      <c r="J1344" s="1" t="s">
        <v>912</v>
      </c>
      <c r="K1344" s="1" t="s">
        <v>6434</v>
      </c>
      <c r="L1344" s="1">
        <v>3</v>
      </c>
      <c r="M1344" s="1">
        <v>22</v>
      </c>
      <c r="N1344" s="1" t="s">
        <v>68</v>
      </c>
      <c r="O1344" s="1" t="s">
        <v>238</v>
      </c>
      <c r="P1344" s="1" t="s">
        <v>45</v>
      </c>
      <c r="Q1344" s="1" t="s">
        <v>32</v>
      </c>
      <c r="R1344" s="1">
        <v>1626.72</v>
      </c>
      <c r="S1344" s="1" t="s">
        <v>46</v>
      </c>
      <c r="T1344" s="1" t="s">
        <v>34</v>
      </c>
      <c r="U1344" s="1" t="s">
        <v>35</v>
      </c>
      <c r="V1344" s="1" t="s">
        <v>36</v>
      </c>
    </row>
    <row r="1345" spans="1:22" x14ac:dyDescent="0.3">
      <c r="A1345" s="1" t="s">
        <v>6435</v>
      </c>
      <c r="B1345" s="1" t="s">
        <v>6436</v>
      </c>
      <c r="C1345" s="1">
        <v>24</v>
      </c>
      <c r="D1345" s="1" t="s">
        <v>6437</v>
      </c>
      <c r="E1345" s="1" t="s">
        <v>61</v>
      </c>
      <c r="F1345" s="1" t="s">
        <v>3460</v>
      </c>
      <c r="G1345" s="1" t="s">
        <v>1123</v>
      </c>
      <c r="H1345" s="1">
        <v>4</v>
      </c>
      <c r="I1345" s="1" t="s">
        <v>27</v>
      </c>
      <c r="J1345" s="1" t="s">
        <v>974</v>
      </c>
      <c r="K1345" s="1" t="s">
        <v>6438</v>
      </c>
      <c r="L1345" s="1">
        <v>6</v>
      </c>
      <c r="M1345" s="1">
        <v>17</v>
      </c>
      <c r="N1345" s="1" t="s">
        <v>68</v>
      </c>
      <c r="O1345" s="1" t="s">
        <v>67</v>
      </c>
      <c r="P1345" s="1" t="s">
        <v>68</v>
      </c>
      <c r="Q1345" s="1" t="s">
        <v>32</v>
      </c>
      <c r="R1345" s="1">
        <v>329.58</v>
      </c>
      <c r="S1345" s="1" t="s">
        <v>33</v>
      </c>
      <c r="T1345" s="1" t="s">
        <v>100</v>
      </c>
      <c r="U1345" s="1" t="s">
        <v>35</v>
      </c>
      <c r="V1345" s="1" t="s">
        <v>188</v>
      </c>
    </row>
    <row r="1346" spans="1:22" x14ac:dyDescent="0.3">
      <c r="A1346" s="1" t="s">
        <v>6439</v>
      </c>
      <c r="B1346" s="1" t="s">
        <v>6440</v>
      </c>
      <c r="C1346" s="1">
        <v>56</v>
      </c>
      <c r="D1346" s="1" t="s">
        <v>6441</v>
      </c>
      <c r="E1346" s="1" t="s">
        <v>61</v>
      </c>
      <c r="F1346" s="1" t="s">
        <v>1283</v>
      </c>
      <c r="G1346" s="2">
        <v>44929</v>
      </c>
      <c r="H1346" s="1">
        <v>1</v>
      </c>
      <c r="I1346" s="1" t="s">
        <v>52</v>
      </c>
      <c r="J1346" s="2">
        <v>45176</v>
      </c>
      <c r="K1346" s="1" t="s">
        <v>6442</v>
      </c>
      <c r="L1346" s="1">
        <v>5</v>
      </c>
      <c r="M1346" s="1">
        <v>22</v>
      </c>
      <c r="N1346" s="1" t="s">
        <v>45</v>
      </c>
      <c r="O1346" s="1" t="s">
        <v>418</v>
      </c>
      <c r="P1346" s="1" t="s">
        <v>56</v>
      </c>
      <c r="Q1346" s="1" t="s">
        <v>69</v>
      </c>
      <c r="R1346" s="1">
        <v>924.8</v>
      </c>
      <c r="S1346" s="1" t="s">
        <v>46</v>
      </c>
      <c r="T1346" s="1" t="s">
        <v>47</v>
      </c>
      <c r="U1346" s="1" t="s">
        <v>35</v>
      </c>
      <c r="V1346" s="1" t="s">
        <v>36</v>
      </c>
    </row>
    <row r="1347" spans="1:22" x14ac:dyDescent="0.3">
      <c r="A1347" s="1" t="s">
        <v>6443</v>
      </c>
      <c r="B1347" s="1" t="s">
        <v>6444</v>
      </c>
      <c r="C1347" s="1">
        <v>20</v>
      </c>
      <c r="D1347" s="1" t="s">
        <v>6445</v>
      </c>
      <c r="E1347" s="1" t="s">
        <v>51</v>
      </c>
      <c r="F1347" s="1" t="s">
        <v>4954</v>
      </c>
      <c r="G1347" s="2">
        <v>45267</v>
      </c>
      <c r="H1347" s="1">
        <v>1</v>
      </c>
      <c r="I1347" s="1" t="s">
        <v>52</v>
      </c>
      <c r="J1347" s="2">
        <v>44785</v>
      </c>
      <c r="K1347" s="1" t="s">
        <v>6446</v>
      </c>
      <c r="L1347" s="1">
        <v>9</v>
      </c>
      <c r="M1347" s="1">
        <v>6</v>
      </c>
      <c r="N1347" s="1" t="s">
        <v>54</v>
      </c>
      <c r="O1347" s="1" t="s">
        <v>269</v>
      </c>
      <c r="P1347" s="1" t="s">
        <v>56</v>
      </c>
      <c r="Q1347" s="1" t="s">
        <v>322</v>
      </c>
      <c r="R1347" s="1">
        <v>1302.3</v>
      </c>
      <c r="S1347" s="1" t="s">
        <v>46</v>
      </c>
      <c r="T1347" s="1" t="s">
        <v>100</v>
      </c>
      <c r="U1347" s="1" t="s">
        <v>35</v>
      </c>
      <c r="V1347" s="1" t="s">
        <v>36</v>
      </c>
    </row>
    <row r="1348" spans="1:22" x14ac:dyDescent="0.3">
      <c r="A1348" s="1" t="s">
        <v>6447</v>
      </c>
      <c r="B1348" s="1" t="s">
        <v>6448</v>
      </c>
      <c r="C1348" s="1">
        <v>21</v>
      </c>
      <c r="D1348" s="1" t="s">
        <v>6449</v>
      </c>
      <c r="E1348" s="1" t="s">
        <v>61</v>
      </c>
      <c r="F1348" s="1" t="s">
        <v>6450</v>
      </c>
      <c r="G1348" s="1" t="s">
        <v>6451</v>
      </c>
      <c r="H1348" s="1">
        <v>2</v>
      </c>
      <c r="I1348" s="1" t="s">
        <v>27</v>
      </c>
      <c r="J1348" s="2">
        <v>45482</v>
      </c>
      <c r="K1348" s="1" t="s">
        <v>6452</v>
      </c>
      <c r="L1348" s="1">
        <v>3</v>
      </c>
      <c r="M1348" s="1">
        <v>13</v>
      </c>
      <c r="N1348" s="1" t="s">
        <v>30</v>
      </c>
      <c r="O1348" s="1" t="s">
        <v>211</v>
      </c>
      <c r="P1348" s="1" t="s">
        <v>68</v>
      </c>
      <c r="Q1348" s="1" t="s">
        <v>32</v>
      </c>
      <c r="R1348" s="1">
        <v>1868.97</v>
      </c>
      <c r="S1348" s="1" t="s">
        <v>46</v>
      </c>
      <c r="T1348" s="1" t="s">
        <v>100</v>
      </c>
      <c r="U1348" s="1" t="s">
        <v>35</v>
      </c>
      <c r="V1348" s="1" t="s">
        <v>36</v>
      </c>
    </row>
    <row r="1349" spans="1:22" x14ac:dyDescent="0.3">
      <c r="A1349" s="1" t="s">
        <v>6453</v>
      </c>
      <c r="B1349" s="1" t="s">
        <v>6454</v>
      </c>
      <c r="C1349" s="1">
        <v>45</v>
      </c>
      <c r="D1349" s="1" t="s">
        <v>6455</v>
      </c>
      <c r="E1349" s="1" t="s">
        <v>25</v>
      </c>
      <c r="F1349" s="2">
        <v>45264</v>
      </c>
      <c r="G1349" s="1" t="s">
        <v>2902</v>
      </c>
      <c r="H1349" s="1">
        <v>1</v>
      </c>
      <c r="I1349" s="1" t="s">
        <v>64</v>
      </c>
      <c r="J1349" s="1" t="s">
        <v>1821</v>
      </c>
      <c r="K1349" s="1" t="s">
        <v>6456</v>
      </c>
      <c r="L1349" s="1">
        <v>7</v>
      </c>
      <c r="M1349" s="1">
        <v>43</v>
      </c>
      <c r="N1349" s="1" t="s">
        <v>56</v>
      </c>
      <c r="O1349" s="1" t="s">
        <v>821</v>
      </c>
      <c r="P1349" s="1" t="s">
        <v>68</v>
      </c>
      <c r="Q1349" s="1" t="s">
        <v>69</v>
      </c>
      <c r="R1349" s="1">
        <v>1228.1500000000001</v>
      </c>
      <c r="S1349" s="1" t="s">
        <v>46</v>
      </c>
      <c r="T1349" s="1" t="s">
        <v>34</v>
      </c>
      <c r="U1349" s="1" t="s">
        <v>35</v>
      </c>
      <c r="V1349" s="1" t="s">
        <v>71</v>
      </c>
    </row>
    <row r="1350" spans="1:22" x14ac:dyDescent="0.3">
      <c r="A1350" s="1" t="s">
        <v>6457</v>
      </c>
      <c r="B1350" s="1" t="s">
        <v>6458</v>
      </c>
      <c r="C1350" s="1">
        <v>47</v>
      </c>
      <c r="D1350" s="1" t="s">
        <v>6459</v>
      </c>
      <c r="E1350" s="1" t="s">
        <v>61</v>
      </c>
      <c r="F1350" s="1" t="s">
        <v>3001</v>
      </c>
      <c r="G1350" s="1" t="s">
        <v>2615</v>
      </c>
      <c r="H1350" s="1">
        <v>0</v>
      </c>
      <c r="I1350" s="1" t="s">
        <v>52</v>
      </c>
      <c r="J1350" s="1" t="s">
        <v>2281</v>
      </c>
      <c r="K1350" s="1" t="s">
        <v>6460</v>
      </c>
      <c r="L1350" s="1">
        <v>9</v>
      </c>
      <c r="M1350" s="1">
        <v>49</v>
      </c>
      <c r="N1350" s="1" t="s">
        <v>45</v>
      </c>
      <c r="O1350" s="1" t="s">
        <v>425</v>
      </c>
      <c r="P1350" s="1" t="s">
        <v>30</v>
      </c>
      <c r="Q1350" s="1" t="s">
        <v>32</v>
      </c>
      <c r="R1350" s="1">
        <v>1914.57</v>
      </c>
      <c r="S1350" s="1" t="s">
        <v>46</v>
      </c>
      <c r="T1350" s="1" t="s">
        <v>34</v>
      </c>
      <c r="U1350" s="1" t="s">
        <v>35</v>
      </c>
      <c r="V1350" s="1" t="s">
        <v>36</v>
      </c>
    </row>
    <row r="1351" spans="1:22" x14ac:dyDescent="0.3">
      <c r="A1351" s="1" t="s">
        <v>6461</v>
      </c>
      <c r="B1351" s="1" t="s">
        <v>6462</v>
      </c>
      <c r="C1351" s="1">
        <v>53</v>
      </c>
      <c r="D1351" s="1" t="s">
        <v>6463</v>
      </c>
      <c r="E1351" s="1" t="s">
        <v>88</v>
      </c>
      <c r="F1351" s="1" t="s">
        <v>1226</v>
      </c>
      <c r="G1351" s="1" t="s">
        <v>3024</v>
      </c>
      <c r="H1351" s="1">
        <v>3</v>
      </c>
      <c r="I1351" s="1" t="s">
        <v>52</v>
      </c>
      <c r="J1351" s="1" t="s">
        <v>5499</v>
      </c>
      <c r="K1351" s="1" t="s">
        <v>5540</v>
      </c>
      <c r="L1351" s="1">
        <v>9</v>
      </c>
      <c r="M1351" s="1">
        <v>11</v>
      </c>
      <c r="N1351" s="1" t="s">
        <v>54</v>
      </c>
      <c r="O1351" s="1" t="s">
        <v>624</v>
      </c>
      <c r="P1351" s="1" t="s">
        <v>30</v>
      </c>
      <c r="Q1351" s="1" t="s">
        <v>69</v>
      </c>
      <c r="R1351" s="1">
        <v>1074.1500000000001</v>
      </c>
      <c r="S1351" s="1" t="s">
        <v>46</v>
      </c>
      <c r="T1351" s="1" t="s">
        <v>47</v>
      </c>
      <c r="U1351" s="1" t="s">
        <v>35</v>
      </c>
      <c r="V1351" s="1" t="s">
        <v>36</v>
      </c>
    </row>
    <row r="1352" spans="1:22" x14ac:dyDescent="0.3">
      <c r="A1352" s="1" t="s">
        <v>6464</v>
      </c>
      <c r="B1352" s="1" t="s">
        <v>6465</v>
      </c>
      <c r="C1352" s="1">
        <v>52</v>
      </c>
      <c r="D1352" s="1" t="s">
        <v>6466</v>
      </c>
      <c r="E1352" s="1" t="s">
        <v>51</v>
      </c>
      <c r="F1352" s="2">
        <v>44876</v>
      </c>
      <c r="G1352" s="2">
        <v>45507</v>
      </c>
      <c r="H1352" s="1">
        <v>5</v>
      </c>
      <c r="I1352" s="1" t="s">
        <v>27</v>
      </c>
      <c r="J1352" s="2">
        <v>45415</v>
      </c>
      <c r="K1352" s="1" t="s">
        <v>6467</v>
      </c>
      <c r="L1352" s="1">
        <v>6</v>
      </c>
      <c r="M1352" s="1">
        <v>1</v>
      </c>
      <c r="N1352" s="1" t="s">
        <v>54</v>
      </c>
      <c r="O1352" s="1" t="s">
        <v>269</v>
      </c>
      <c r="P1352" s="1" t="s">
        <v>56</v>
      </c>
      <c r="Q1352" s="1" t="s">
        <v>32</v>
      </c>
      <c r="R1352" s="1">
        <v>907.86</v>
      </c>
      <c r="S1352" s="1" t="s">
        <v>46</v>
      </c>
      <c r="T1352" s="1" t="s">
        <v>47</v>
      </c>
      <c r="U1352" s="1" t="s">
        <v>101</v>
      </c>
      <c r="V1352" s="1" t="s">
        <v>188</v>
      </c>
    </row>
    <row r="1353" spans="1:22" x14ac:dyDescent="0.3">
      <c r="A1353" s="1" t="s">
        <v>6468</v>
      </c>
      <c r="B1353" s="1" t="s">
        <v>6469</v>
      </c>
      <c r="C1353" s="1">
        <v>45</v>
      </c>
      <c r="D1353" s="1" t="s">
        <v>6470</v>
      </c>
      <c r="E1353" s="1" t="s">
        <v>88</v>
      </c>
      <c r="F1353" s="1" t="s">
        <v>3300</v>
      </c>
      <c r="G1353" s="2">
        <v>45509</v>
      </c>
      <c r="H1353" s="1">
        <v>4</v>
      </c>
      <c r="I1353" s="1" t="s">
        <v>64</v>
      </c>
      <c r="J1353" s="1" t="s">
        <v>1989</v>
      </c>
      <c r="K1353" s="1" t="s">
        <v>6471</v>
      </c>
      <c r="L1353" s="1">
        <v>3</v>
      </c>
      <c r="M1353" s="1">
        <v>16</v>
      </c>
      <c r="N1353" s="1" t="s">
        <v>54</v>
      </c>
      <c r="O1353" s="1" t="s">
        <v>536</v>
      </c>
      <c r="P1353" s="1" t="s">
        <v>68</v>
      </c>
      <c r="Q1353" s="1" t="s">
        <v>69</v>
      </c>
      <c r="R1353" s="1">
        <v>1336.56</v>
      </c>
      <c r="S1353" s="1" t="s">
        <v>46</v>
      </c>
      <c r="T1353" s="1" t="s">
        <v>34</v>
      </c>
      <c r="U1353" s="1" t="s">
        <v>35</v>
      </c>
      <c r="V1353" s="1" t="s">
        <v>71</v>
      </c>
    </row>
    <row r="1354" spans="1:22" x14ac:dyDescent="0.3">
      <c r="A1354" s="1" t="s">
        <v>6472</v>
      </c>
      <c r="B1354" s="1" t="s">
        <v>6473</v>
      </c>
      <c r="C1354" s="1">
        <v>62</v>
      </c>
      <c r="D1354" s="1" t="s">
        <v>6474</v>
      </c>
      <c r="E1354" s="1" t="s">
        <v>25</v>
      </c>
      <c r="F1354" s="1" t="s">
        <v>1664</v>
      </c>
      <c r="G1354" s="2">
        <v>45813</v>
      </c>
      <c r="H1354" s="1">
        <v>0</v>
      </c>
      <c r="I1354" s="1" t="s">
        <v>27</v>
      </c>
      <c r="J1354" s="1" t="s">
        <v>1153</v>
      </c>
      <c r="K1354" s="1" t="s">
        <v>6475</v>
      </c>
      <c r="L1354" s="1">
        <v>1</v>
      </c>
      <c r="M1354" s="1">
        <v>20</v>
      </c>
      <c r="N1354" s="1" t="s">
        <v>54</v>
      </c>
      <c r="O1354" s="1" t="s">
        <v>199</v>
      </c>
      <c r="P1354" s="1" t="s">
        <v>54</v>
      </c>
      <c r="Q1354" s="1" t="s">
        <v>69</v>
      </c>
      <c r="R1354" s="1">
        <v>1700</v>
      </c>
      <c r="S1354" s="1" t="s">
        <v>33</v>
      </c>
      <c r="T1354" s="1" t="s">
        <v>47</v>
      </c>
      <c r="U1354" s="1" t="s">
        <v>35</v>
      </c>
      <c r="V1354" s="1" t="s">
        <v>36</v>
      </c>
    </row>
    <row r="1355" spans="1:22" x14ac:dyDescent="0.3">
      <c r="A1355" s="1" t="s">
        <v>6476</v>
      </c>
      <c r="B1355" s="1" t="s">
        <v>6477</v>
      </c>
      <c r="C1355" s="1">
        <v>45</v>
      </c>
      <c r="D1355" s="1" t="s">
        <v>6478</v>
      </c>
      <c r="E1355" s="1" t="s">
        <v>61</v>
      </c>
      <c r="F1355" s="1" t="s">
        <v>3500</v>
      </c>
      <c r="G1355" s="2">
        <v>45234</v>
      </c>
      <c r="H1355" s="1">
        <v>4</v>
      </c>
      <c r="I1355" s="1" t="s">
        <v>52</v>
      </c>
      <c r="J1355" s="2">
        <v>44813</v>
      </c>
      <c r="K1355" s="1" t="s">
        <v>6479</v>
      </c>
      <c r="L1355" s="1">
        <v>7</v>
      </c>
      <c r="M1355" s="1">
        <v>7</v>
      </c>
      <c r="N1355" s="1" t="s">
        <v>56</v>
      </c>
      <c r="O1355" s="1" t="s">
        <v>55</v>
      </c>
      <c r="P1355" s="1" t="s">
        <v>56</v>
      </c>
      <c r="Q1355" s="1" t="s">
        <v>32</v>
      </c>
      <c r="R1355" s="1">
        <v>158.76</v>
      </c>
      <c r="S1355" s="1" t="s">
        <v>33</v>
      </c>
      <c r="T1355" s="1" t="s">
        <v>34</v>
      </c>
      <c r="U1355" s="1" t="s">
        <v>101</v>
      </c>
      <c r="V1355" s="1" t="s">
        <v>36</v>
      </c>
    </row>
    <row r="1356" spans="1:22" x14ac:dyDescent="0.3">
      <c r="A1356" s="1" t="s">
        <v>6480</v>
      </c>
      <c r="B1356" s="1" t="s">
        <v>6481</v>
      </c>
      <c r="C1356" s="1">
        <v>20</v>
      </c>
      <c r="D1356" s="1" t="s">
        <v>6482</v>
      </c>
      <c r="E1356" s="1" t="s">
        <v>51</v>
      </c>
      <c r="F1356" s="2">
        <v>45173</v>
      </c>
      <c r="G1356" s="1" t="s">
        <v>2225</v>
      </c>
      <c r="H1356" s="1">
        <v>1</v>
      </c>
      <c r="I1356" s="1" t="s">
        <v>64</v>
      </c>
      <c r="J1356" s="1" t="s">
        <v>2354</v>
      </c>
      <c r="K1356" s="1" t="s">
        <v>6483</v>
      </c>
      <c r="L1356" s="1">
        <v>4</v>
      </c>
      <c r="M1356" s="1">
        <v>10</v>
      </c>
      <c r="N1356" s="1" t="s">
        <v>30</v>
      </c>
      <c r="O1356" s="1" t="s">
        <v>231</v>
      </c>
      <c r="P1356" s="1" t="s">
        <v>30</v>
      </c>
      <c r="Q1356" s="1" t="s">
        <v>32</v>
      </c>
      <c r="R1356" s="1">
        <v>81.92</v>
      </c>
      <c r="S1356" s="1" t="s">
        <v>33</v>
      </c>
      <c r="T1356" s="1" t="s">
        <v>100</v>
      </c>
      <c r="U1356" s="1" t="s">
        <v>101</v>
      </c>
      <c r="V1356" s="1" t="s">
        <v>71</v>
      </c>
    </row>
    <row r="1357" spans="1:22" x14ac:dyDescent="0.3">
      <c r="A1357" s="1" t="s">
        <v>6484</v>
      </c>
      <c r="B1357" s="1" t="s">
        <v>6485</v>
      </c>
      <c r="C1357" s="1">
        <v>33</v>
      </c>
      <c r="D1357" s="1" t="s">
        <v>6486</v>
      </c>
      <c r="E1357" s="1" t="s">
        <v>40</v>
      </c>
      <c r="F1357" s="1" t="s">
        <v>1273</v>
      </c>
      <c r="G1357" s="2">
        <v>45690</v>
      </c>
      <c r="H1357" s="1">
        <v>0</v>
      </c>
      <c r="I1357" s="1" t="s">
        <v>27</v>
      </c>
      <c r="J1357" s="2">
        <v>45455</v>
      </c>
      <c r="K1357" s="1" t="s">
        <v>6487</v>
      </c>
      <c r="L1357" s="1">
        <v>8</v>
      </c>
      <c r="M1357" s="1">
        <v>24</v>
      </c>
      <c r="N1357" s="1" t="s">
        <v>54</v>
      </c>
      <c r="O1357" s="1" t="s">
        <v>55</v>
      </c>
      <c r="P1357" s="1" t="s">
        <v>56</v>
      </c>
      <c r="Q1357" s="1" t="s">
        <v>32</v>
      </c>
      <c r="R1357" s="1">
        <v>1353.6</v>
      </c>
      <c r="S1357" s="1" t="s">
        <v>46</v>
      </c>
      <c r="T1357" s="1" t="s">
        <v>57</v>
      </c>
      <c r="U1357" s="1" t="s">
        <v>35</v>
      </c>
      <c r="V1357" s="1" t="s">
        <v>36</v>
      </c>
    </row>
    <row r="1358" spans="1:22" x14ac:dyDescent="0.3">
      <c r="A1358" s="1" t="s">
        <v>6488</v>
      </c>
      <c r="B1358" s="1" t="s">
        <v>6489</v>
      </c>
      <c r="C1358" s="1">
        <v>58</v>
      </c>
      <c r="D1358" s="1" t="s">
        <v>6490</v>
      </c>
      <c r="E1358" s="1" t="s">
        <v>61</v>
      </c>
      <c r="F1358" s="2">
        <v>45023</v>
      </c>
      <c r="G1358" s="2">
        <v>45906</v>
      </c>
      <c r="H1358" s="1">
        <v>0</v>
      </c>
      <c r="I1358" s="1" t="s">
        <v>27</v>
      </c>
      <c r="J1358" s="2">
        <v>45841</v>
      </c>
      <c r="K1358" s="1" t="s">
        <v>6491</v>
      </c>
      <c r="L1358" s="1">
        <v>2</v>
      </c>
      <c r="M1358" s="1">
        <v>12</v>
      </c>
      <c r="N1358" s="1" t="s">
        <v>56</v>
      </c>
      <c r="O1358" s="1" t="s">
        <v>610</v>
      </c>
      <c r="P1358" s="1" t="s">
        <v>68</v>
      </c>
      <c r="Q1358" s="1" t="s">
        <v>32</v>
      </c>
      <c r="R1358" s="1">
        <v>335.08</v>
      </c>
      <c r="S1358" s="1" t="s">
        <v>46</v>
      </c>
      <c r="T1358" s="1" t="s">
        <v>47</v>
      </c>
      <c r="U1358" s="1" t="s">
        <v>35</v>
      </c>
      <c r="V1358" s="1" t="s">
        <v>36</v>
      </c>
    </row>
    <row r="1359" spans="1:22" x14ac:dyDescent="0.3">
      <c r="A1359" s="1" t="s">
        <v>6492</v>
      </c>
      <c r="B1359" s="1" t="s">
        <v>6493</v>
      </c>
      <c r="C1359" s="1">
        <v>49</v>
      </c>
      <c r="D1359" s="1" t="s">
        <v>6494</v>
      </c>
      <c r="E1359" s="1" t="s">
        <v>95</v>
      </c>
      <c r="F1359" s="1" t="s">
        <v>3340</v>
      </c>
      <c r="G1359" s="1" t="s">
        <v>1811</v>
      </c>
      <c r="H1359" s="1">
        <v>3</v>
      </c>
      <c r="I1359" s="1" t="s">
        <v>52</v>
      </c>
      <c r="J1359" s="2">
        <v>45018</v>
      </c>
      <c r="K1359" s="1" t="s">
        <v>6495</v>
      </c>
      <c r="L1359" s="1">
        <v>9</v>
      </c>
      <c r="M1359" s="1">
        <v>29</v>
      </c>
      <c r="N1359" s="1" t="s">
        <v>54</v>
      </c>
      <c r="O1359" s="1" t="s">
        <v>116</v>
      </c>
      <c r="P1359" s="1" t="s">
        <v>54</v>
      </c>
      <c r="Q1359" s="1" t="s">
        <v>32</v>
      </c>
      <c r="R1359" s="1">
        <v>1002.51</v>
      </c>
      <c r="S1359" s="1" t="s">
        <v>33</v>
      </c>
      <c r="T1359" s="1" t="s">
        <v>34</v>
      </c>
      <c r="U1359" s="1" t="s">
        <v>35</v>
      </c>
      <c r="V1359" s="1" t="s">
        <v>36</v>
      </c>
    </row>
    <row r="1360" spans="1:22" x14ac:dyDescent="0.3">
      <c r="A1360" s="1" t="s">
        <v>6496</v>
      </c>
      <c r="B1360" s="1" t="s">
        <v>6497</v>
      </c>
      <c r="C1360" s="1">
        <v>58</v>
      </c>
      <c r="D1360" s="1" t="s">
        <v>6498</v>
      </c>
      <c r="E1360" s="1" t="s">
        <v>88</v>
      </c>
      <c r="F1360" s="2">
        <v>44357</v>
      </c>
      <c r="G1360" s="1" t="s">
        <v>4944</v>
      </c>
      <c r="H1360" s="1">
        <v>4</v>
      </c>
      <c r="I1360" s="1" t="s">
        <v>52</v>
      </c>
      <c r="J1360" s="2">
        <v>45089</v>
      </c>
      <c r="K1360" s="1" t="s">
        <v>6499</v>
      </c>
      <c r="L1360" s="1">
        <v>9</v>
      </c>
      <c r="M1360" s="1">
        <v>47</v>
      </c>
      <c r="N1360" s="1" t="s">
        <v>54</v>
      </c>
      <c r="O1360" s="1" t="s">
        <v>610</v>
      </c>
      <c r="P1360" s="1" t="s">
        <v>68</v>
      </c>
      <c r="Q1360" s="1" t="s">
        <v>32</v>
      </c>
      <c r="R1360" s="1">
        <v>1700.1</v>
      </c>
      <c r="S1360" s="1" t="s">
        <v>46</v>
      </c>
      <c r="T1360" s="1" t="s">
        <v>47</v>
      </c>
      <c r="U1360" s="1" t="s">
        <v>35</v>
      </c>
      <c r="V1360" s="1" t="s">
        <v>36</v>
      </c>
    </row>
    <row r="1361" spans="1:22" x14ac:dyDescent="0.3">
      <c r="A1361" s="1" t="s">
        <v>6500</v>
      </c>
      <c r="B1361" s="1" t="s">
        <v>6501</v>
      </c>
      <c r="C1361" s="1">
        <v>57</v>
      </c>
      <c r="D1361" s="1" t="s">
        <v>6502</v>
      </c>
      <c r="E1361" s="1" t="s">
        <v>40</v>
      </c>
      <c r="F1361" s="1" t="s">
        <v>403</v>
      </c>
      <c r="G1361" s="1" t="s">
        <v>2299</v>
      </c>
      <c r="H1361" s="1">
        <v>0</v>
      </c>
      <c r="I1361" s="1" t="s">
        <v>27</v>
      </c>
      <c r="J1361" s="2">
        <v>45325</v>
      </c>
      <c r="K1361" s="1" t="s">
        <v>2528</v>
      </c>
      <c r="L1361" s="1">
        <v>3</v>
      </c>
      <c r="M1361" s="1">
        <v>26</v>
      </c>
      <c r="N1361" s="1" t="s">
        <v>56</v>
      </c>
      <c r="O1361" s="1" t="s">
        <v>77</v>
      </c>
      <c r="P1361" s="1" t="s">
        <v>54</v>
      </c>
      <c r="Q1361" s="1" t="s">
        <v>32</v>
      </c>
      <c r="R1361" s="1">
        <v>973.62</v>
      </c>
      <c r="S1361" s="1" t="s">
        <v>46</v>
      </c>
      <c r="T1361" s="1" t="s">
        <v>47</v>
      </c>
      <c r="U1361" s="1" t="s">
        <v>35</v>
      </c>
      <c r="V1361" s="1" t="s">
        <v>36</v>
      </c>
    </row>
    <row r="1362" spans="1:22" x14ac:dyDescent="0.3">
      <c r="A1362" s="1" t="s">
        <v>6503</v>
      </c>
      <c r="B1362" s="1" t="s">
        <v>6504</v>
      </c>
      <c r="C1362" s="1">
        <v>65</v>
      </c>
      <c r="D1362" s="1" t="s">
        <v>6505</v>
      </c>
      <c r="E1362" s="1" t="s">
        <v>95</v>
      </c>
      <c r="F1362" s="1" t="s">
        <v>6506</v>
      </c>
      <c r="G1362" s="2">
        <v>45902</v>
      </c>
      <c r="H1362" s="1">
        <v>3</v>
      </c>
      <c r="I1362" s="1" t="s">
        <v>27</v>
      </c>
      <c r="J1362" s="1" t="s">
        <v>1716</v>
      </c>
      <c r="K1362" s="1" t="s">
        <v>6507</v>
      </c>
      <c r="L1362" s="1">
        <v>9</v>
      </c>
      <c r="M1362" s="1">
        <v>3</v>
      </c>
      <c r="N1362" s="1" t="s">
        <v>45</v>
      </c>
      <c r="O1362" s="1" t="s">
        <v>149</v>
      </c>
      <c r="P1362" s="1" t="s">
        <v>30</v>
      </c>
      <c r="Q1362" s="1" t="s">
        <v>32</v>
      </c>
      <c r="R1362" s="1">
        <v>566.91</v>
      </c>
      <c r="S1362" s="1" t="s">
        <v>46</v>
      </c>
      <c r="T1362" s="1" t="s">
        <v>232</v>
      </c>
      <c r="U1362" s="1" t="s">
        <v>101</v>
      </c>
      <c r="V1362" s="1" t="s">
        <v>36</v>
      </c>
    </row>
    <row r="1363" spans="1:22" x14ac:dyDescent="0.3">
      <c r="A1363" s="1" t="s">
        <v>6508</v>
      </c>
      <c r="B1363" s="1" t="s">
        <v>6509</v>
      </c>
      <c r="C1363" s="1">
        <v>58</v>
      </c>
      <c r="D1363" s="1" t="s">
        <v>6510</v>
      </c>
      <c r="E1363" s="1" t="s">
        <v>40</v>
      </c>
      <c r="F1363" s="1" t="s">
        <v>446</v>
      </c>
      <c r="G1363" s="1" t="s">
        <v>6511</v>
      </c>
      <c r="H1363" s="1">
        <v>2</v>
      </c>
      <c r="I1363" s="1" t="s">
        <v>27</v>
      </c>
      <c r="J1363" s="1" t="s">
        <v>724</v>
      </c>
      <c r="K1363" s="1" t="s">
        <v>6512</v>
      </c>
      <c r="L1363" s="1">
        <v>4</v>
      </c>
      <c r="M1363" s="1">
        <v>49</v>
      </c>
      <c r="N1363" s="1" t="s">
        <v>45</v>
      </c>
      <c r="O1363" s="1" t="s">
        <v>418</v>
      </c>
      <c r="P1363" s="1" t="s">
        <v>56</v>
      </c>
      <c r="Q1363" s="1" t="s">
        <v>69</v>
      </c>
      <c r="R1363" s="1">
        <v>1884.2</v>
      </c>
      <c r="S1363" s="1" t="s">
        <v>46</v>
      </c>
      <c r="T1363" s="1" t="s">
        <v>47</v>
      </c>
      <c r="U1363" s="1" t="s">
        <v>35</v>
      </c>
      <c r="V1363" s="1" t="s">
        <v>36</v>
      </c>
    </row>
    <row r="1364" spans="1:22" x14ac:dyDescent="0.3">
      <c r="A1364" s="1" t="s">
        <v>6513</v>
      </c>
      <c r="B1364" s="1" t="s">
        <v>6514</v>
      </c>
      <c r="C1364" s="1">
        <v>67</v>
      </c>
      <c r="D1364" s="1" t="s">
        <v>6515</v>
      </c>
      <c r="E1364" s="1" t="s">
        <v>25</v>
      </c>
      <c r="F1364" s="2">
        <v>44627</v>
      </c>
      <c r="G1364" s="1" t="s">
        <v>3972</v>
      </c>
      <c r="H1364" s="1">
        <v>1</v>
      </c>
      <c r="I1364" s="1" t="s">
        <v>64</v>
      </c>
      <c r="J1364" s="1" t="s">
        <v>2225</v>
      </c>
      <c r="K1364" s="1" t="s">
        <v>6516</v>
      </c>
      <c r="L1364" s="1">
        <v>8</v>
      </c>
      <c r="M1364" s="1">
        <v>3</v>
      </c>
      <c r="N1364" s="1" t="s">
        <v>30</v>
      </c>
      <c r="O1364" s="1" t="s">
        <v>116</v>
      </c>
      <c r="P1364" s="1" t="s">
        <v>54</v>
      </c>
      <c r="Q1364" s="1" t="s">
        <v>32</v>
      </c>
      <c r="R1364" s="1">
        <v>184.08</v>
      </c>
      <c r="S1364" s="1" t="s">
        <v>46</v>
      </c>
      <c r="T1364" s="1" t="s">
        <v>232</v>
      </c>
      <c r="U1364" s="1" t="s">
        <v>70</v>
      </c>
      <c r="V1364" s="1" t="s">
        <v>71</v>
      </c>
    </row>
    <row r="1365" spans="1:22" x14ac:dyDescent="0.3">
      <c r="A1365" s="1" t="s">
        <v>6517</v>
      </c>
      <c r="B1365" s="1" t="s">
        <v>6518</v>
      </c>
      <c r="C1365" s="1">
        <v>41</v>
      </c>
      <c r="D1365" s="1" t="s">
        <v>6519</v>
      </c>
      <c r="E1365" s="1" t="s">
        <v>51</v>
      </c>
      <c r="F1365" s="2">
        <v>45021</v>
      </c>
      <c r="G1365" s="2">
        <v>45995</v>
      </c>
      <c r="H1365" s="1">
        <v>2</v>
      </c>
      <c r="I1365" s="1" t="s">
        <v>64</v>
      </c>
      <c r="J1365" s="1" t="s">
        <v>2403</v>
      </c>
      <c r="K1365" s="1" t="s">
        <v>6520</v>
      </c>
      <c r="L1365" s="1">
        <v>6</v>
      </c>
      <c r="M1365" s="1">
        <v>36</v>
      </c>
      <c r="N1365" s="1" t="s">
        <v>54</v>
      </c>
      <c r="O1365" s="1" t="s">
        <v>128</v>
      </c>
      <c r="P1365" s="1" t="s">
        <v>54</v>
      </c>
      <c r="Q1365" s="1" t="s">
        <v>32</v>
      </c>
      <c r="R1365" s="1">
        <v>690.54</v>
      </c>
      <c r="S1365" s="1" t="s">
        <v>33</v>
      </c>
      <c r="T1365" s="1" t="s">
        <v>34</v>
      </c>
      <c r="U1365" s="1" t="s">
        <v>35</v>
      </c>
      <c r="V1365" s="1" t="s">
        <v>71</v>
      </c>
    </row>
    <row r="1366" spans="1:22" x14ac:dyDescent="0.3">
      <c r="A1366" s="1" t="s">
        <v>6521</v>
      </c>
      <c r="B1366" s="1" t="s">
        <v>6522</v>
      </c>
      <c r="C1366" s="1">
        <v>23</v>
      </c>
      <c r="D1366" s="1" t="s">
        <v>6523</v>
      </c>
      <c r="E1366" s="1" t="s">
        <v>25</v>
      </c>
      <c r="F1366" s="1" t="s">
        <v>5513</v>
      </c>
      <c r="G1366" s="1" t="s">
        <v>6524</v>
      </c>
      <c r="H1366" s="1">
        <v>3</v>
      </c>
      <c r="I1366" s="1" t="s">
        <v>52</v>
      </c>
      <c r="J1366" s="2">
        <v>45811</v>
      </c>
      <c r="K1366" s="1" t="s">
        <v>6525</v>
      </c>
      <c r="L1366" s="1">
        <v>1</v>
      </c>
      <c r="M1366" s="1">
        <v>40</v>
      </c>
      <c r="N1366" s="1" t="s">
        <v>30</v>
      </c>
      <c r="O1366" s="1" t="s">
        <v>293</v>
      </c>
      <c r="P1366" s="1" t="s">
        <v>45</v>
      </c>
      <c r="Q1366" s="1" t="s">
        <v>69</v>
      </c>
      <c r="R1366" s="1">
        <v>1588.58</v>
      </c>
      <c r="S1366" s="1" t="s">
        <v>46</v>
      </c>
      <c r="T1366" s="1" t="s">
        <v>100</v>
      </c>
      <c r="U1366" s="1" t="s">
        <v>35</v>
      </c>
      <c r="V1366" s="1" t="s">
        <v>36</v>
      </c>
    </row>
    <row r="1367" spans="1:22" x14ac:dyDescent="0.3">
      <c r="A1367" s="1" t="s">
        <v>6526</v>
      </c>
      <c r="B1367" s="1" t="s">
        <v>6527</v>
      </c>
      <c r="C1367" s="1">
        <v>45</v>
      </c>
      <c r="D1367" s="1" t="s">
        <v>6528</v>
      </c>
      <c r="E1367" s="1" t="s">
        <v>95</v>
      </c>
      <c r="F1367" s="2">
        <v>44813</v>
      </c>
      <c r="G1367" s="1" t="s">
        <v>6529</v>
      </c>
      <c r="H1367" s="1">
        <v>3</v>
      </c>
      <c r="I1367" s="1" t="s">
        <v>64</v>
      </c>
      <c r="J1367" s="1" t="s">
        <v>1430</v>
      </c>
      <c r="K1367" s="1" t="s">
        <v>6530</v>
      </c>
      <c r="L1367" s="1">
        <v>7</v>
      </c>
      <c r="M1367" s="1">
        <v>48</v>
      </c>
      <c r="N1367" s="1" t="s">
        <v>54</v>
      </c>
      <c r="O1367" s="1" t="s">
        <v>610</v>
      </c>
      <c r="P1367" s="1" t="s">
        <v>68</v>
      </c>
      <c r="Q1367" s="1" t="s">
        <v>32</v>
      </c>
      <c r="R1367" s="1">
        <v>912.31</v>
      </c>
      <c r="S1367" s="1" t="s">
        <v>46</v>
      </c>
      <c r="T1367" s="1" t="s">
        <v>34</v>
      </c>
      <c r="U1367" s="1" t="s">
        <v>35</v>
      </c>
      <c r="V1367" s="1" t="s">
        <v>71</v>
      </c>
    </row>
    <row r="1368" spans="1:22" x14ac:dyDescent="0.3">
      <c r="A1368" s="1" t="s">
        <v>6531</v>
      </c>
      <c r="B1368" s="1" t="s">
        <v>6532</v>
      </c>
      <c r="C1368" s="1">
        <v>57</v>
      </c>
      <c r="D1368" s="1" t="s">
        <v>6533</v>
      </c>
      <c r="E1368" s="1" t="s">
        <v>61</v>
      </c>
      <c r="F1368" s="2">
        <v>44901</v>
      </c>
      <c r="G1368" s="1" t="s">
        <v>6413</v>
      </c>
      <c r="H1368" s="1">
        <v>4</v>
      </c>
      <c r="I1368" s="1" t="s">
        <v>27</v>
      </c>
      <c r="J1368" s="1" t="s">
        <v>4826</v>
      </c>
      <c r="K1368" s="1" t="s">
        <v>6534</v>
      </c>
      <c r="L1368" s="1">
        <v>7</v>
      </c>
      <c r="M1368" s="1">
        <v>9</v>
      </c>
      <c r="N1368" s="1" t="s">
        <v>30</v>
      </c>
      <c r="O1368" s="1" t="s">
        <v>354</v>
      </c>
      <c r="P1368" s="1" t="s">
        <v>45</v>
      </c>
      <c r="Q1368" s="1" t="s">
        <v>32</v>
      </c>
      <c r="R1368" s="1">
        <v>84.28</v>
      </c>
      <c r="S1368" s="1" t="s">
        <v>46</v>
      </c>
      <c r="T1368" s="1" t="s">
        <v>47</v>
      </c>
      <c r="U1368" s="1" t="s">
        <v>101</v>
      </c>
      <c r="V1368" s="1" t="s">
        <v>188</v>
      </c>
    </row>
    <row r="1369" spans="1:22" x14ac:dyDescent="0.3">
      <c r="A1369" s="1" t="s">
        <v>6535</v>
      </c>
      <c r="B1369" s="1" t="s">
        <v>6536</v>
      </c>
      <c r="C1369" s="1">
        <v>41</v>
      </c>
      <c r="D1369" s="1" t="s">
        <v>6537</v>
      </c>
      <c r="E1369" s="1" t="s">
        <v>25</v>
      </c>
      <c r="F1369" s="1" t="s">
        <v>6538</v>
      </c>
      <c r="G1369" s="2">
        <v>45724</v>
      </c>
      <c r="H1369" s="1">
        <v>4</v>
      </c>
      <c r="I1369" s="1" t="s">
        <v>27</v>
      </c>
      <c r="J1369" s="1" t="s">
        <v>228</v>
      </c>
      <c r="K1369" s="1" t="s">
        <v>6539</v>
      </c>
      <c r="L1369" s="1">
        <v>1</v>
      </c>
      <c r="M1369" s="1">
        <v>17</v>
      </c>
      <c r="N1369" s="1" t="s">
        <v>56</v>
      </c>
      <c r="O1369" s="1" t="s">
        <v>44</v>
      </c>
      <c r="P1369" s="1" t="s">
        <v>45</v>
      </c>
      <c r="Q1369" s="1" t="s">
        <v>32</v>
      </c>
      <c r="R1369" s="1">
        <v>246.03</v>
      </c>
      <c r="S1369" s="1" t="s">
        <v>46</v>
      </c>
      <c r="T1369" s="1" t="s">
        <v>34</v>
      </c>
      <c r="U1369" s="1" t="s">
        <v>35</v>
      </c>
      <c r="V1369" s="1" t="s">
        <v>188</v>
      </c>
    </row>
    <row r="1370" spans="1:22" x14ac:dyDescent="0.3">
      <c r="A1370" s="1" t="s">
        <v>6540</v>
      </c>
      <c r="B1370" s="1" t="s">
        <v>6541</v>
      </c>
      <c r="C1370" s="1">
        <v>54</v>
      </c>
      <c r="D1370" s="1" t="s">
        <v>6542</v>
      </c>
      <c r="E1370" s="1" t="s">
        <v>88</v>
      </c>
      <c r="F1370" s="1" t="s">
        <v>6543</v>
      </c>
      <c r="G1370" s="1" t="s">
        <v>1391</v>
      </c>
      <c r="H1370" s="1">
        <v>4</v>
      </c>
      <c r="I1370" s="1" t="s">
        <v>52</v>
      </c>
      <c r="J1370" s="1" t="s">
        <v>589</v>
      </c>
      <c r="K1370" s="1" t="s">
        <v>6544</v>
      </c>
      <c r="L1370" s="1">
        <v>1</v>
      </c>
      <c r="M1370" s="1">
        <v>18</v>
      </c>
      <c r="N1370" s="1" t="s">
        <v>68</v>
      </c>
      <c r="O1370" s="1" t="s">
        <v>223</v>
      </c>
      <c r="P1370" s="1" t="s">
        <v>56</v>
      </c>
      <c r="Q1370" s="1" t="s">
        <v>69</v>
      </c>
      <c r="R1370" s="1">
        <v>908.2</v>
      </c>
      <c r="S1370" s="1" t="s">
        <v>46</v>
      </c>
      <c r="T1370" s="1" t="s">
        <v>47</v>
      </c>
      <c r="U1370" s="1" t="s">
        <v>35</v>
      </c>
      <c r="V1370" s="1" t="s">
        <v>36</v>
      </c>
    </row>
    <row r="1371" spans="1:22" x14ac:dyDescent="0.3">
      <c r="A1371" s="1" t="s">
        <v>6545</v>
      </c>
      <c r="B1371" s="1" t="s">
        <v>6546</v>
      </c>
      <c r="C1371" s="1">
        <v>57</v>
      </c>
      <c r="D1371" s="1" t="s">
        <v>6547</v>
      </c>
      <c r="E1371" s="1" t="s">
        <v>61</v>
      </c>
      <c r="F1371" s="1" t="s">
        <v>6548</v>
      </c>
      <c r="G1371" s="1" t="s">
        <v>3595</v>
      </c>
      <c r="H1371" s="1">
        <v>2</v>
      </c>
      <c r="I1371" s="1" t="s">
        <v>52</v>
      </c>
      <c r="J1371" s="2">
        <v>45630</v>
      </c>
      <c r="K1371" s="1" t="s">
        <v>6549</v>
      </c>
      <c r="L1371" s="1">
        <v>9</v>
      </c>
      <c r="M1371" s="1">
        <v>35</v>
      </c>
      <c r="N1371" s="1" t="s">
        <v>68</v>
      </c>
      <c r="O1371" s="1" t="s">
        <v>610</v>
      </c>
      <c r="P1371" s="1" t="s">
        <v>68</v>
      </c>
      <c r="Q1371" s="1" t="s">
        <v>322</v>
      </c>
      <c r="R1371" s="1">
        <v>1350</v>
      </c>
      <c r="S1371" s="1" t="s">
        <v>33</v>
      </c>
      <c r="T1371" s="1" t="s">
        <v>47</v>
      </c>
      <c r="U1371" s="1" t="s">
        <v>35</v>
      </c>
      <c r="V1371" s="1" t="s">
        <v>36</v>
      </c>
    </row>
    <row r="1372" spans="1:22" x14ac:dyDescent="0.3">
      <c r="A1372" s="1" t="s">
        <v>6550</v>
      </c>
      <c r="B1372" s="1" t="s">
        <v>6551</v>
      </c>
      <c r="C1372" s="1">
        <v>61</v>
      </c>
      <c r="D1372" s="1" t="s">
        <v>6552</v>
      </c>
      <c r="E1372" s="1" t="s">
        <v>61</v>
      </c>
      <c r="F1372" s="1" t="s">
        <v>1988</v>
      </c>
      <c r="G1372" s="2">
        <v>45387</v>
      </c>
      <c r="H1372" s="1">
        <v>3</v>
      </c>
      <c r="I1372" s="1" t="s">
        <v>27</v>
      </c>
      <c r="J1372" s="1" t="s">
        <v>4015</v>
      </c>
      <c r="K1372" s="1" t="s">
        <v>6553</v>
      </c>
      <c r="L1372" s="1">
        <v>5</v>
      </c>
      <c r="M1372" s="1">
        <v>22</v>
      </c>
      <c r="N1372" s="1" t="s">
        <v>54</v>
      </c>
      <c r="O1372" s="1" t="s">
        <v>269</v>
      </c>
      <c r="P1372" s="1" t="s">
        <v>56</v>
      </c>
      <c r="Q1372" s="1" t="s">
        <v>69</v>
      </c>
      <c r="R1372" s="1">
        <v>710.4</v>
      </c>
      <c r="S1372" s="1" t="s">
        <v>46</v>
      </c>
      <c r="T1372" s="1" t="s">
        <v>47</v>
      </c>
      <c r="U1372" s="1" t="s">
        <v>35</v>
      </c>
      <c r="V1372" s="1" t="s">
        <v>36</v>
      </c>
    </row>
    <row r="1373" spans="1:22" x14ac:dyDescent="0.3">
      <c r="A1373" s="1" t="s">
        <v>6554</v>
      </c>
      <c r="B1373" s="1" t="s">
        <v>6555</v>
      </c>
      <c r="C1373" s="1">
        <v>19</v>
      </c>
      <c r="D1373" s="1" t="s">
        <v>6556</v>
      </c>
      <c r="E1373" s="1" t="s">
        <v>25</v>
      </c>
      <c r="F1373" s="1" t="s">
        <v>6557</v>
      </c>
      <c r="G1373" s="2">
        <v>44414</v>
      </c>
      <c r="H1373" s="1">
        <v>2</v>
      </c>
      <c r="I1373" s="1" t="s">
        <v>27</v>
      </c>
      <c r="J1373" s="2">
        <v>45209</v>
      </c>
      <c r="K1373" s="1" t="s">
        <v>6558</v>
      </c>
      <c r="L1373" s="1">
        <v>5</v>
      </c>
      <c r="M1373" s="1">
        <v>9</v>
      </c>
      <c r="N1373" s="1" t="s">
        <v>54</v>
      </c>
      <c r="O1373" s="1" t="s">
        <v>855</v>
      </c>
      <c r="P1373" s="1" t="s">
        <v>45</v>
      </c>
      <c r="Q1373" s="1" t="s">
        <v>69</v>
      </c>
      <c r="R1373" s="1">
        <v>1897.8</v>
      </c>
      <c r="S1373" s="1" t="s">
        <v>46</v>
      </c>
      <c r="T1373" s="1" t="s">
        <v>100</v>
      </c>
      <c r="U1373" s="1" t="s">
        <v>35</v>
      </c>
      <c r="V1373" s="1" t="s">
        <v>36</v>
      </c>
    </row>
    <row r="1374" spans="1:22" x14ac:dyDescent="0.3">
      <c r="A1374" s="1" t="s">
        <v>6559</v>
      </c>
      <c r="B1374" s="1" t="s">
        <v>6560</v>
      </c>
      <c r="C1374" s="1">
        <v>23</v>
      </c>
      <c r="D1374" s="1" t="s">
        <v>6561</v>
      </c>
      <c r="E1374" s="1" t="s">
        <v>25</v>
      </c>
      <c r="F1374" s="2">
        <v>45142</v>
      </c>
      <c r="G1374" s="2">
        <v>45603</v>
      </c>
      <c r="H1374" s="1">
        <v>2</v>
      </c>
      <c r="I1374" s="1" t="s">
        <v>27</v>
      </c>
      <c r="J1374" s="1" t="s">
        <v>326</v>
      </c>
      <c r="K1374" s="1" t="s">
        <v>6562</v>
      </c>
      <c r="L1374" s="1">
        <v>5</v>
      </c>
      <c r="M1374" s="1">
        <v>37</v>
      </c>
      <c r="N1374" s="1" t="s">
        <v>45</v>
      </c>
      <c r="O1374" s="1" t="s">
        <v>109</v>
      </c>
      <c r="P1374" s="1" t="s">
        <v>68</v>
      </c>
      <c r="Q1374" s="1" t="s">
        <v>32</v>
      </c>
      <c r="R1374" s="1">
        <v>514.9</v>
      </c>
      <c r="S1374" s="1" t="s">
        <v>46</v>
      </c>
      <c r="T1374" s="1" t="s">
        <v>100</v>
      </c>
      <c r="U1374" s="1" t="s">
        <v>35</v>
      </c>
      <c r="V1374" s="1" t="s">
        <v>36</v>
      </c>
    </row>
    <row r="1375" spans="1:22" x14ac:dyDescent="0.3">
      <c r="A1375" s="1" t="s">
        <v>6563</v>
      </c>
      <c r="B1375" s="1" t="s">
        <v>6564</v>
      </c>
      <c r="C1375" s="1">
        <v>64</v>
      </c>
      <c r="D1375" s="1" t="s">
        <v>6565</v>
      </c>
      <c r="E1375" s="1" t="s">
        <v>25</v>
      </c>
      <c r="F1375" s="2">
        <v>44383</v>
      </c>
      <c r="G1375" s="1" t="s">
        <v>1546</v>
      </c>
      <c r="H1375" s="1">
        <v>3</v>
      </c>
      <c r="I1375" s="1" t="s">
        <v>64</v>
      </c>
      <c r="J1375" s="2">
        <v>44715</v>
      </c>
      <c r="K1375" s="1" t="s">
        <v>6566</v>
      </c>
      <c r="L1375" s="1">
        <v>7</v>
      </c>
      <c r="M1375" s="1">
        <v>36</v>
      </c>
      <c r="N1375" s="1" t="s">
        <v>56</v>
      </c>
      <c r="O1375" s="1" t="s">
        <v>128</v>
      </c>
      <c r="P1375" s="1" t="s">
        <v>54</v>
      </c>
      <c r="Q1375" s="1" t="s">
        <v>32</v>
      </c>
      <c r="R1375" s="1">
        <v>1772.26</v>
      </c>
      <c r="S1375" s="1" t="s">
        <v>46</v>
      </c>
      <c r="T1375" s="1" t="s">
        <v>47</v>
      </c>
      <c r="U1375" s="1" t="s">
        <v>35</v>
      </c>
      <c r="V1375" s="1" t="s">
        <v>71</v>
      </c>
    </row>
    <row r="1376" spans="1:22" x14ac:dyDescent="0.3">
      <c r="A1376" s="1" t="s">
        <v>6567</v>
      </c>
      <c r="B1376" s="1" t="s">
        <v>6568</v>
      </c>
      <c r="C1376" s="1">
        <v>64</v>
      </c>
      <c r="D1376" s="1" t="s">
        <v>6569</v>
      </c>
      <c r="E1376" s="1" t="s">
        <v>25</v>
      </c>
      <c r="F1376" s="1" t="s">
        <v>1407</v>
      </c>
      <c r="G1376" s="1" t="s">
        <v>675</v>
      </c>
      <c r="H1376" s="1">
        <v>3</v>
      </c>
      <c r="I1376" s="1" t="s">
        <v>52</v>
      </c>
      <c r="J1376" s="1" t="s">
        <v>486</v>
      </c>
      <c r="K1376" s="1" t="s">
        <v>6570</v>
      </c>
      <c r="L1376" s="1">
        <v>3</v>
      </c>
      <c r="M1376" s="1">
        <v>39</v>
      </c>
      <c r="N1376" s="1" t="s">
        <v>30</v>
      </c>
      <c r="O1376" s="1" t="s">
        <v>223</v>
      </c>
      <c r="P1376" s="1" t="s">
        <v>56</v>
      </c>
      <c r="Q1376" s="1" t="s">
        <v>69</v>
      </c>
      <c r="R1376" s="1">
        <v>584.30999999999995</v>
      </c>
      <c r="S1376" s="1" t="s">
        <v>46</v>
      </c>
      <c r="T1376" s="1" t="s">
        <v>47</v>
      </c>
      <c r="U1376" s="1" t="s">
        <v>35</v>
      </c>
      <c r="V1376" s="1" t="s">
        <v>36</v>
      </c>
    </row>
    <row r="1377" spans="1:22" x14ac:dyDescent="0.3">
      <c r="A1377" s="1" t="s">
        <v>6571</v>
      </c>
      <c r="B1377" s="1" t="s">
        <v>6572</v>
      </c>
      <c r="C1377" s="1">
        <v>50</v>
      </c>
      <c r="D1377" s="1" t="s">
        <v>6573</v>
      </c>
      <c r="E1377" s="1" t="s">
        <v>95</v>
      </c>
      <c r="F1377" s="1" t="s">
        <v>2208</v>
      </c>
      <c r="G1377" s="1" t="s">
        <v>4572</v>
      </c>
      <c r="H1377" s="1">
        <v>4</v>
      </c>
      <c r="I1377" s="1" t="s">
        <v>27</v>
      </c>
      <c r="J1377" s="2">
        <v>45385</v>
      </c>
      <c r="K1377" s="1" t="s">
        <v>6574</v>
      </c>
      <c r="L1377" s="1">
        <v>1</v>
      </c>
      <c r="M1377" s="1">
        <v>13</v>
      </c>
      <c r="N1377" s="1" t="s">
        <v>68</v>
      </c>
      <c r="O1377" s="1" t="s">
        <v>624</v>
      </c>
      <c r="P1377" s="1" t="s">
        <v>30</v>
      </c>
      <c r="Q1377" s="1" t="s">
        <v>69</v>
      </c>
      <c r="R1377" s="1">
        <v>684.85</v>
      </c>
      <c r="S1377" s="1" t="s">
        <v>46</v>
      </c>
      <c r="T1377" s="1" t="s">
        <v>47</v>
      </c>
      <c r="U1377" s="1" t="s">
        <v>35</v>
      </c>
      <c r="V1377" s="1" t="s">
        <v>188</v>
      </c>
    </row>
    <row r="1378" spans="1:22" x14ac:dyDescent="0.3">
      <c r="A1378" s="1" t="s">
        <v>6575</v>
      </c>
      <c r="B1378" s="1" t="s">
        <v>6576</v>
      </c>
      <c r="C1378" s="1">
        <v>63</v>
      </c>
      <c r="D1378" s="1" t="s">
        <v>6577</v>
      </c>
      <c r="E1378" s="1" t="s">
        <v>51</v>
      </c>
      <c r="F1378" s="2">
        <v>45114</v>
      </c>
      <c r="G1378" s="1" t="s">
        <v>4222</v>
      </c>
      <c r="H1378" s="1">
        <v>0</v>
      </c>
      <c r="I1378" s="1" t="s">
        <v>27</v>
      </c>
      <c r="J1378" s="1" t="s">
        <v>895</v>
      </c>
      <c r="K1378" s="1" t="s">
        <v>6578</v>
      </c>
      <c r="L1378" s="1">
        <v>5</v>
      </c>
      <c r="M1378" s="1">
        <v>3</v>
      </c>
      <c r="N1378" s="1" t="s">
        <v>30</v>
      </c>
      <c r="O1378" s="1" t="s">
        <v>238</v>
      </c>
      <c r="P1378" s="1" t="s">
        <v>45</v>
      </c>
      <c r="Q1378" s="1" t="s">
        <v>32</v>
      </c>
      <c r="R1378" s="1">
        <v>399.2</v>
      </c>
      <c r="S1378" s="1" t="s">
        <v>46</v>
      </c>
      <c r="T1378" s="1" t="s">
        <v>47</v>
      </c>
      <c r="U1378" s="1" t="s">
        <v>101</v>
      </c>
      <c r="V1378" s="1" t="s">
        <v>36</v>
      </c>
    </row>
    <row r="1379" spans="1:22" x14ac:dyDescent="0.3">
      <c r="A1379" s="1" t="s">
        <v>6579</v>
      </c>
      <c r="B1379" s="1" t="s">
        <v>6580</v>
      </c>
      <c r="C1379" s="1">
        <v>38</v>
      </c>
      <c r="D1379" s="1" t="s">
        <v>6581</v>
      </c>
      <c r="E1379" s="1" t="s">
        <v>25</v>
      </c>
      <c r="F1379" s="1" t="s">
        <v>6582</v>
      </c>
      <c r="G1379" s="1" t="s">
        <v>1074</v>
      </c>
      <c r="H1379" s="1">
        <v>4</v>
      </c>
      <c r="I1379" s="1" t="s">
        <v>52</v>
      </c>
      <c r="J1379" s="2">
        <v>44350</v>
      </c>
      <c r="K1379" s="1" t="s">
        <v>6583</v>
      </c>
      <c r="L1379" s="1">
        <v>9</v>
      </c>
      <c r="M1379" s="1">
        <v>47</v>
      </c>
      <c r="N1379" s="1" t="s">
        <v>68</v>
      </c>
      <c r="O1379" s="1" t="s">
        <v>122</v>
      </c>
      <c r="P1379" s="1" t="s">
        <v>30</v>
      </c>
      <c r="Q1379" s="1" t="s">
        <v>32</v>
      </c>
      <c r="R1379" s="1">
        <v>531.09</v>
      </c>
      <c r="S1379" s="1" t="s">
        <v>46</v>
      </c>
      <c r="T1379" s="1" t="s">
        <v>34</v>
      </c>
      <c r="U1379" s="1" t="s">
        <v>35</v>
      </c>
      <c r="V1379" s="1" t="s">
        <v>36</v>
      </c>
    </row>
    <row r="1380" spans="1:22" x14ac:dyDescent="0.3">
      <c r="A1380" s="1" t="s">
        <v>6584</v>
      </c>
      <c r="B1380" s="1" t="s">
        <v>6585</v>
      </c>
      <c r="C1380" s="1">
        <v>33</v>
      </c>
      <c r="D1380" s="1" t="s">
        <v>6586</v>
      </c>
      <c r="E1380" s="1" t="s">
        <v>88</v>
      </c>
      <c r="F1380" s="2">
        <v>45082</v>
      </c>
      <c r="G1380" s="2">
        <v>45845</v>
      </c>
      <c r="H1380" s="1">
        <v>4</v>
      </c>
      <c r="I1380" s="1" t="s">
        <v>52</v>
      </c>
      <c r="J1380" s="2">
        <v>45358</v>
      </c>
      <c r="K1380" s="1" t="s">
        <v>6587</v>
      </c>
      <c r="L1380" s="1">
        <v>2</v>
      </c>
      <c r="M1380" s="1">
        <v>47</v>
      </c>
      <c r="N1380" s="1" t="s">
        <v>30</v>
      </c>
      <c r="O1380" s="1" t="s">
        <v>109</v>
      </c>
      <c r="P1380" s="1" t="s">
        <v>68</v>
      </c>
      <c r="Q1380" s="1" t="s">
        <v>32</v>
      </c>
      <c r="R1380" s="1">
        <v>582</v>
      </c>
      <c r="S1380" s="1" t="s">
        <v>46</v>
      </c>
      <c r="T1380" s="1" t="s">
        <v>57</v>
      </c>
      <c r="U1380" s="1" t="s">
        <v>35</v>
      </c>
      <c r="V1380" s="1" t="s">
        <v>36</v>
      </c>
    </row>
    <row r="1381" spans="1:22" x14ac:dyDescent="0.3">
      <c r="A1381" s="1" t="s">
        <v>6588</v>
      </c>
      <c r="B1381" s="1" t="s">
        <v>6589</v>
      </c>
      <c r="C1381" s="1">
        <v>22</v>
      </c>
      <c r="D1381" s="1" t="s">
        <v>6590</v>
      </c>
      <c r="E1381" s="1" t="s">
        <v>40</v>
      </c>
      <c r="F1381" s="1" t="s">
        <v>1769</v>
      </c>
      <c r="G1381" s="1" t="s">
        <v>2858</v>
      </c>
      <c r="H1381" s="1">
        <v>1</v>
      </c>
      <c r="I1381" s="1" t="s">
        <v>64</v>
      </c>
      <c r="J1381" s="2">
        <v>44539</v>
      </c>
      <c r="K1381" s="1" t="s">
        <v>6591</v>
      </c>
      <c r="L1381" s="1">
        <v>7</v>
      </c>
      <c r="M1381" s="1">
        <v>37</v>
      </c>
      <c r="N1381" s="1" t="s">
        <v>56</v>
      </c>
      <c r="O1381" s="1" t="s">
        <v>169</v>
      </c>
      <c r="P1381" s="1" t="s">
        <v>30</v>
      </c>
      <c r="Q1381" s="1" t="s">
        <v>32</v>
      </c>
      <c r="R1381" s="1">
        <v>1115.8</v>
      </c>
      <c r="S1381" s="1" t="s">
        <v>46</v>
      </c>
      <c r="T1381" s="1" t="s">
        <v>100</v>
      </c>
      <c r="U1381" s="1" t="s">
        <v>35</v>
      </c>
      <c r="V1381" s="1" t="s">
        <v>71</v>
      </c>
    </row>
    <row r="1382" spans="1:22" x14ac:dyDescent="0.3">
      <c r="A1382" s="1" t="s">
        <v>6592</v>
      </c>
      <c r="B1382" s="1" t="s">
        <v>6593</v>
      </c>
      <c r="C1382" s="1">
        <v>67</v>
      </c>
      <c r="D1382" s="1" t="s">
        <v>6594</v>
      </c>
      <c r="E1382" s="1" t="s">
        <v>40</v>
      </c>
      <c r="F1382" s="2">
        <v>44204</v>
      </c>
      <c r="G1382" s="1" t="s">
        <v>616</v>
      </c>
      <c r="H1382" s="1">
        <v>3</v>
      </c>
      <c r="I1382" s="1" t="s">
        <v>52</v>
      </c>
      <c r="J1382" s="2">
        <v>44959</v>
      </c>
      <c r="K1382" s="1" t="s">
        <v>6595</v>
      </c>
      <c r="L1382" s="1">
        <v>1</v>
      </c>
      <c r="M1382" s="1">
        <v>20</v>
      </c>
      <c r="N1382" s="1" t="s">
        <v>56</v>
      </c>
      <c r="O1382" s="1" t="s">
        <v>175</v>
      </c>
      <c r="P1382" s="1" t="s">
        <v>56</v>
      </c>
      <c r="Q1382" s="1" t="s">
        <v>32</v>
      </c>
      <c r="R1382" s="1">
        <v>755.57</v>
      </c>
      <c r="S1382" s="1" t="s">
        <v>33</v>
      </c>
      <c r="T1382" s="1" t="s">
        <v>232</v>
      </c>
      <c r="U1382" s="1" t="s">
        <v>35</v>
      </c>
      <c r="V1382" s="1" t="s">
        <v>36</v>
      </c>
    </row>
    <row r="1383" spans="1:22" x14ac:dyDescent="0.3">
      <c r="A1383" s="1" t="s">
        <v>6596</v>
      </c>
      <c r="B1383" s="1" t="s">
        <v>6597</v>
      </c>
      <c r="C1383" s="1">
        <v>63</v>
      </c>
      <c r="D1383" s="1" t="s">
        <v>6598</v>
      </c>
      <c r="E1383" s="1" t="s">
        <v>40</v>
      </c>
      <c r="F1383" s="2">
        <v>44538</v>
      </c>
      <c r="G1383" s="1" t="s">
        <v>180</v>
      </c>
      <c r="H1383" s="1">
        <v>1</v>
      </c>
      <c r="I1383" s="1" t="s">
        <v>27</v>
      </c>
      <c r="J1383" s="1" t="s">
        <v>4169</v>
      </c>
      <c r="K1383" s="1" t="s">
        <v>6599</v>
      </c>
      <c r="L1383" s="1">
        <v>9</v>
      </c>
      <c r="M1383" s="1">
        <v>5</v>
      </c>
      <c r="N1383" s="1" t="s">
        <v>54</v>
      </c>
      <c r="O1383" s="1" t="s">
        <v>536</v>
      </c>
      <c r="P1383" s="1" t="s">
        <v>68</v>
      </c>
      <c r="Q1383" s="1" t="s">
        <v>69</v>
      </c>
      <c r="R1383" s="1">
        <v>1721.16</v>
      </c>
      <c r="S1383" s="1" t="s">
        <v>46</v>
      </c>
      <c r="T1383" s="1" t="s">
        <v>47</v>
      </c>
      <c r="U1383" s="1" t="s">
        <v>35</v>
      </c>
      <c r="V1383" s="1" t="s">
        <v>36</v>
      </c>
    </row>
    <row r="1384" spans="1:22" x14ac:dyDescent="0.3">
      <c r="A1384" s="1" t="s">
        <v>6600</v>
      </c>
      <c r="B1384" s="1" t="s">
        <v>6601</v>
      </c>
      <c r="C1384" s="1">
        <v>64</v>
      </c>
      <c r="D1384" s="1" t="s">
        <v>6602</v>
      </c>
      <c r="E1384" s="1" t="s">
        <v>40</v>
      </c>
      <c r="F1384" s="1" t="s">
        <v>2087</v>
      </c>
      <c r="G1384" s="1" t="s">
        <v>2049</v>
      </c>
      <c r="H1384" s="1">
        <v>3</v>
      </c>
      <c r="I1384" s="1" t="s">
        <v>64</v>
      </c>
      <c r="J1384" s="2">
        <v>44967</v>
      </c>
      <c r="K1384" s="1" t="s">
        <v>6603</v>
      </c>
      <c r="L1384" s="1">
        <v>1</v>
      </c>
      <c r="M1384" s="1">
        <v>10</v>
      </c>
      <c r="N1384" s="1" t="s">
        <v>56</v>
      </c>
      <c r="O1384" s="1" t="s">
        <v>837</v>
      </c>
      <c r="P1384" s="1" t="s">
        <v>56</v>
      </c>
      <c r="Q1384" s="1" t="s">
        <v>322</v>
      </c>
      <c r="R1384" s="1">
        <v>161.58000000000001</v>
      </c>
      <c r="S1384" s="1" t="s">
        <v>33</v>
      </c>
      <c r="T1384" s="1" t="s">
        <v>47</v>
      </c>
      <c r="U1384" s="1" t="s">
        <v>101</v>
      </c>
      <c r="V1384" s="1" t="s">
        <v>71</v>
      </c>
    </row>
    <row r="1385" spans="1:22" x14ac:dyDescent="0.3">
      <c r="A1385" s="1" t="s">
        <v>6604</v>
      </c>
      <c r="B1385" s="1" t="s">
        <v>6605</v>
      </c>
      <c r="C1385" s="1">
        <v>67</v>
      </c>
      <c r="D1385" s="1" t="s">
        <v>6606</v>
      </c>
      <c r="E1385" s="1" t="s">
        <v>88</v>
      </c>
      <c r="F1385" s="1" t="s">
        <v>1263</v>
      </c>
      <c r="G1385" s="2">
        <v>45839</v>
      </c>
      <c r="H1385" s="1">
        <v>3</v>
      </c>
      <c r="I1385" s="1" t="s">
        <v>64</v>
      </c>
      <c r="J1385" s="2">
        <v>45385</v>
      </c>
      <c r="K1385" s="1" t="s">
        <v>6607</v>
      </c>
      <c r="L1385" s="1">
        <v>8</v>
      </c>
      <c r="M1385" s="1">
        <v>34</v>
      </c>
      <c r="N1385" s="1" t="s">
        <v>54</v>
      </c>
      <c r="O1385" s="1" t="s">
        <v>418</v>
      </c>
      <c r="P1385" s="1" t="s">
        <v>56</v>
      </c>
      <c r="Q1385" s="1" t="s">
        <v>32</v>
      </c>
      <c r="R1385" s="1">
        <v>126.56</v>
      </c>
      <c r="S1385" s="1" t="s">
        <v>46</v>
      </c>
      <c r="T1385" s="1" t="s">
        <v>232</v>
      </c>
      <c r="U1385" s="1" t="s">
        <v>35</v>
      </c>
      <c r="V1385" s="1" t="s">
        <v>71</v>
      </c>
    </row>
    <row r="1386" spans="1:22" x14ac:dyDescent="0.3">
      <c r="A1386" s="1" t="s">
        <v>6608</v>
      </c>
      <c r="B1386" s="1" t="s">
        <v>6609</v>
      </c>
      <c r="C1386" s="1">
        <v>53</v>
      </c>
      <c r="D1386" s="1" t="s">
        <v>6610</v>
      </c>
      <c r="E1386" s="1" t="s">
        <v>51</v>
      </c>
      <c r="F1386" s="2">
        <v>45052</v>
      </c>
      <c r="G1386" s="2">
        <v>45300</v>
      </c>
      <c r="H1386" s="1">
        <v>3</v>
      </c>
      <c r="I1386" s="1" t="s">
        <v>27</v>
      </c>
      <c r="J1386" s="2">
        <v>45839</v>
      </c>
      <c r="K1386" s="1" t="s">
        <v>6611</v>
      </c>
      <c r="L1386" s="1">
        <v>2</v>
      </c>
      <c r="M1386" s="1">
        <v>2</v>
      </c>
      <c r="N1386" s="1" t="s">
        <v>56</v>
      </c>
      <c r="O1386" s="1" t="s">
        <v>855</v>
      </c>
      <c r="P1386" s="1" t="s">
        <v>45</v>
      </c>
      <c r="Q1386" s="1" t="s">
        <v>69</v>
      </c>
      <c r="R1386" s="1">
        <v>1592.44</v>
      </c>
      <c r="S1386" s="1" t="s">
        <v>46</v>
      </c>
      <c r="T1386" s="1" t="s">
        <v>47</v>
      </c>
      <c r="U1386" s="1" t="s">
        <v>35</v>
      </c>
      <c r="V1386" s="1" t="s">
        <v>36</v>
      </c>
    </row>
    <row r="1387" spans="1:22" x14ac:dyDescent="0.3">
      <c r="A1387" s="1" t="s">
        <v>6612</v>
      </c>
      <c r="B1387" s="1" t="s">
        <v>6613</v>
      </c>
      <c r="C1387" s="1">
        <v>44</v>
      </c>
      <c r="D1387" s="1" t="s">
        <v>6614</v>
      </c>
      <c r="E1387" s="1" t="s">
        <v>51</v>
      </c>
      <c r="F1387" s="2">
        <v>45266</v>
      </c>
      <c r="G1387" s="1" t="s">
        <v>3430</v>
      </c>
      <c r="H1387" s="1">
        <v>2</v>
      </c>
      <c r="I1387" s="1" t="s">
        <v>52</v>
      </c>
      <c r="J1387" s="1" t="s">
        <v>1884</v>
      </c>
      <c r="K1387" s="1" t="s">
        <v>6615</v>
      </c>
      <c r="L1387" s="1">
        <v>4</v>
      </c>
      <c r="M1387" s="1">
        <v>39</v>
      </c>
      <c r="N1387" s="1" t="s">
        <v>54</v>
      </c>
      <c r="O1387" s="1" t="s">
        <v>418</v>
      </c>
      <c r="P1387" s="1" t="s">
        <v>56</v>
      </c>
      <c r="Q1387" s="1" t="s">
        <v>69</v>
      </c>
      <c r="R1387" s="1">
        <v>822.44</v>
      </c>
      <c r="S1387" s="1" t="s">
        <v>46</v>
      </c>
      <c r="T1387" s="1" t="s">
        <v>34</v>
      </c>
      <c r="U1387" s="1" t="s">
        <v>35</v>
      </c>
      <c r="V1387" s="1" t="s">
        <v>36</v>
      </c>
    </row>
    <row r="1388" spans="1:22" x14ac:dyDescent="0.3">
      <c r="A1388" s="1" t="s">
        <v>6616</v>
      </c>
      <c r="B1388" s="1" t="s">
        <v>6617</v>
      </c>
      <c r="C1388" s="1">
        <v>26</v>
      </c>
      <c r="D1388" s="1" t="s">
        <v>6618</v>
      </c>
      <c r="E1388" s="1" t="s">
        <v>61</v>
      </c>
      <c r="F1388" s="1" t="s">
        <v>4200</v>
      </c>
      <c r="G1388" s="2">
        <v>45778</v>
      </c>
      <c r="H1388" s="1">
        <v>2</v>
      </c>
      <c r="I1388" s="1" t="s">
        <v>27</v>
      </c>
      <c r="J1388" s="1" t="s">
        <v>4861</v>
      </c>
      <c r="K1388" s="1" t="s">
        <v>6619</v>
      </c>
      <c r="L1388" s="1">
        <v>3</v>
      </c>
      <c r="M1388" s="1">
        <v>18</v>
      </c>
      <c r="N1388" s="1" t="s">
        <v>56</v>
      </c>
      <c r="O1388" s="1" t="s">
        <v>855</v>
      </c>
      <c r="P1388" s="1" t="s">
        <v>45</v>
      </c>
      <c r="Q1388" s="1" t="s">
        <v>69</v>
      </c>
      <c r="R1388" s="1">
        <v>815.1</v>
      </c>
      <c r="S1388" s="1" t="s">
        <v>46</v>
      </c>
      <c r="T1388" s="1" t="s">
        <v>57</v>
      </c>
      <c r="U1388" s="1" t="s">
        <v>35</v>
      </c>
      <c r="V1388" s="1" t="s">
        <v>36</v>
      </c>
    </row>
    <row r="1389" spans="1:22" x14ac:dyDescent="0.3">
      <c r="A1389" s="1" t="s">
        <v>6620</v>
      </c>
      <c r="B1389" s="1" t="s">
        <v>6621</v>
      </c>
      <c r="C1389" s="1">
        <v>25</v>
      </c>
      <c r="D1389" s="1" t="s">
        <v>6622</v>
      </c>
      <c r="E1389" s="1" t="s">
        <v>51</v>
      </c>
      <c r="F1389" s="2">
        <v>45020</v>
      </c>
      <c r="G1389" s="1" t="s">
        <v>1791</v>
      </c>
      <c r="H1389" s="1">
        <v>1</v>
      </c>
      <c r="I1389" s="1" t="s">
        <v>27</v>
      </c>
      <c r="J1389" s="2">
        <v>45938</v>
      </c>
      <c r="K1389" s="1" t="s">
        <v>6623</v>
      </c>
      <c r="L1389" s="1">
        <v>6</v>
      </c>
      <c r="M1389" s="1">
        <v>15</v>
      </c>
      <c r="N1389" s="1" t="s">
        <v>56</v>
      </c>
      <c r="O1389" s="1" t="s">
        <v>199</v>
      </c>
      <c r="P1389" s="1" t="s">
        <v>54</v>
      </c>
      <c r="Q1389" s="1" t="s">
        <v>32</v>
      </c>
      <c r="R1389" s="1">
        <v>281.76</v>
      </c>
      <c r="S1389" s="1" t="s">
        <v>46</v>
      </c>
      <c r="T1389" s="1" t="s">
        <v>57</v>
      </c>
      <c r="U1389" s="1" t="s">
        <v>35</v>
      </c>
      <c r="V1389" s="1" t="s">
        <v>36</v>
      </c>
    </row>
    <row r="1390" spans="1:22" x14ac:dyDescent="0.3">
      <c r="A1390" s="1" t="s">
        <v>6624</v>
      </c>
      <c r="B1390" s="1" t="s">
        <v>6625</v>
      </c>
      <c r="C1390" s="1">
        <v>64</v>
      </c>
      <c r="D1390" s="1" t="s">
        <v>6626</v>
      </c>
      <c r="E1390" s="1" t="s">
        <v>88</v>
      </c>
      <c r="F1390" s="2">
        <v>44663</v>
      </c>
      <c r="G1390" s="1" t="s">
        <v>5531</v>
      </c>
      <c r="H1390" s="1">
        <v>2</v>
      </c>
      <c r="I1390" s="1" t="s">
        <v>27</v>
      </c>
      <c r="J1390" s="1" t="s">
        <v>2403</v>
      </c>
      <c r="K1390" s="1" t="s">
        <v>6627</v>
      </c>
      <c r="L1390" s="1">
        <v>1</v>
      </c>
      <c r="M1390" s="1">
        <v>8</v>
      </c>
      <c r="N1390" s="1" t="s">
        <v>68</v>
      </c>
      <c r="O1390" s="1" t="s">
        <v>238</v>
      </c>
      <c r="P1390" s="1" t="s">
        <v>45</v>
      </c>
      <c r="Q1390" s="1" t="s">
        <v>32</v>
      </c>
      <c r="R1390" s="1">
        <v>1221.69</v>
      </c>
      <c r="S1390" s="1" t="s">
        <v>46</v>
      </c>
      <c r="T1390" s="1" t="s">
        <v>47</v>
      </c>
      <c r="U1390" s="1" t="s">
        <v>35</v>
      </c>
      <c r="V1390" s="1" t="s">
        <v>36</v>
      </c>
    </row>
    <row r="1391" spans="1:22" x14ac:dyDescent="0.3">
      <c r="A1391" s="1" t="s">
        <v>6628</v>
      </c>
      <c r="B1391" s="1" t="s">
        <v>6629</v>
      </c>
      <c r="C1391" s="1">
        <v>39</v>
      </c>
      <c r="D1391" s="1" t="s">
        <v>6630</v>
      </c>
      <c r="E1391" s="1" t="s">
        <v>88</v>
      </c>
      <c r="F1391" s="1" t="s">
        <v>1644</v>
      </c>
      <c r="G1391" s="2">
        <v>45352</v>
      </c>
      <c r="H1391" s="1">
        <v>3</v>
      </c>
      <c r="I1391" s="1" t="s">
        <v>52</v>
      </c>
      <c r="J1391" s="1" t="s">
        <v>6221</v>
      </c>
      <c r="K1391" s="1" t="s">
        <v>6631</v>
      </c>
      <c r="L1391" s="1">
        <v>3</v>
      </c>
      <c r="M1391" s="1">
        <v>12</v>
      </c>
      <c r="N1391" s="1" t="s">
        <v>68</v>
      </c>
      <c r="O1391" s="1" t="s">
        <v>67</v>
      </c>
      <c r="P1391" s="1" t="s">
        <v>68</v>
      </c>
      <c r="Q1391" s="1" t="s">
        <v>69</v>
      </c>
      <c r="R1391" s="1">
        <v>1270.6199999999999</v>
      </c>
      <c r="S1391" s="1" t="s">
        <v>33</v>
      </c>
      <c r="T1391" s="1" t="s">
        <v>34</v>
      </c>
      <c r="U1391" s="1" t="s">
        <v>35</v>
      </c>
      <c r="V1391" s="1" t="s">
        <v>36</v>
      </c>
    </row>
    <row r="1392" spans="1:22" x14ac:dyDescent="0.3">
      <c r="A1392" s="1" t="s">
        <v>6632</v>
      </c>
      <c r="B1392" s="1" t="s">
        <v>6633</v>
      </c>
      <c r="C1392" s="1">
        <v>26</v>
      </c>
      <c r="D1392" s="1" t="s">
        <v>6634</v>
      </c>
      <c r="E1392" s="1" t="s">
        <v>61</v>
      </c>
      <c r="F1392" s="1" t="s">
        <v>4795</v>
      </c>
      <c r="G1392" s="1" t="s">
        <v>2902</v>
      </c>
      <c r="H1392" s="1">
        <v>3</v>
      </c>
      <c r="I1392" s="1" t="s">
        <v>52</v>
      </c>
      <c r="J1392" s="1" t="s">
        <v>6635</v>
      </c>
      <c r="K1392" s="1" t="s">
        <v>6636</v>
      </c>
      <c r="L1392" s="1">
        <v>9</v>
      </c>
      <c r="M1392" s="1">
        <v>40</v>
      </c>
      <c r="N1392" s="1" t="s">
        <v>45</v>
      </c>
      <c r="O1392" s="1" t="s">
        <v>536</v>
      </c>
      <c r="P1392" s="1" t="s">
        <v>68</v>
      </c>
      <c r="Q1392" s="1" t="s">
        <v>32</v>
      </c>
      <c r="R1392" s="1">
        <v>1612.8</v>
      </c>
      <c r="S1392" s="1" t="s">
        <v>46</v>
      </c>
      <c r="T1392" s="1" t="s">
        <v>57</v>
      </c>
      <c r="U1392" s="1" t="s">
        <v>35</v>
      </c>
      <c r="V1392" s="1" t="s">
        <v>36</v>
      </c>
    </row>
    <row r="1393" spans="1:22" x14ac:dyDescent="0.3">
      <c r="A1393" s="1" t="s">
        <v>6637</v>
      </c>
      <c r="B1393" s="1" t="s">
        <v>6638</v>
      </c>
      <c r="C1393" s="1">
        <v>54</v>
      </c>
      <c r="D1393" s="1" t="s">
        <v>6639</v>
      </c>
      <c r="E1393" s="1" t="s">
        <v>40</v>
      </c>
      <c r="F1393" s="1" t="s">
        <v>3300</v>
      </c>
      <c r="G1393" s="1" t="s">
        <v>1137</v>
      </c>
      <c r="H1393" s="1">
        <v>0</v>
      </c>
      <c r="I1393" s="1" t="s">
        <v>27</v>
      </c>
      <c r="J1393" s="1" t="s">
        <v>1148</v>
      </c>
      <c r="K1393" s="1" t="s">
        <v>6640</v>
      </c>
      <c r="L1393" s="1">
        <v>4</v>
      </c>
      <c r="M1393" s="1">
        <v>31</v>
      </c>
      <c r="N1393" s="1" t="s">
        <v>45</v>
      </c>
      <c r="O1393" s="1" t="s">
        <v>77</v>
      </c>
      <c r="P1393" s="1" t="s">
        <v>54</v>
      </c>
      <c r="Q1393" s="1" t="s">
        <v>69</v>
      </c>
      <c r="R1393" s="1">
        <v>148.12</v>
      </c>
      <c r="S1393" s="1" t="s">
        <v>46</v>
      </c>
      <c r="T1393" s="1" t="s">
        <v>47</v>
      </c>
      <c r="U1393" s="1" t="s">
        <v>35</v>
      </c>
      <c r="V1393" s="1" t="s">
        <v>36</v>
      </c>
    </row>
    <row r="1394" spans="1:22" x14ac:dyDescent="0.3">
      <c r="A1394" s="1" t="s">
        <v>6641</v>
      </c>
      <c r="B1394" s="1" t="s">
        <v>6642</v>
      </c>
      <c r="C1394" s="1">
        <v>63</v>
      </c>
      <c r="D1394" s="1" t="s">
        <v>6643</v>
      </c>
      <c r="E1394" s="1" t="s">
        <v>61</v>
      </c>
      <c r="F1394" s="2">
        <v>44114</v>
      </c>
      <c r="G1394" s="2">
        <v>44262</v>
      </c>
      <c r="H1394" s="1">
        <v>0</v>
      </c>
      <c r="I1394" s="1" t="s">
        <v>27</v>
      </c>
      <c r="J1394" s="1" t="s">
        <v>2907</v>
      </c>
      <c r="K1394" s="1" t="s">
        <v>6644</v>
      </c>
      <c r="L1394" s="1">
        <v>8</v>
      </c>
      <c r="M1394" s="1">
        <v>47</v>
      </c>
      <c r="N1394" s="1" t="s">
        <v>54</v>
      </c>
      <c r="O1394" s="1" t="s">
        <v>366</v>
      </c>
      <c r="P1394" s="1" t="s">
        <v>54</v>
      </c>
      <c r="Q1394" s="1" t="s">
        <v>69</v>
      </c>
      <c r="R1394" s="1">
        <v>949.04</v>
      </c>
      <c r="S1394" s="1" t="s">
        <v>33</v>
      </c>
      <c r="T1394" s="1" t="s">
        <v>47</v>
      </c>
      <c r="U1394" s="1" t="s">
        <v>35</v>
      </c>
      <c r="V1394" s="1" t="s">
        <v>36</v>
      </c>
    </row>
    <row r="1395" spans="1:22" x14ac:dyDescent="0.3">
      <c r="A1395" s="1" t="s">
        <v>6645</v>
      </c>
      <c r="B1395" s="1" t="s">
        <v>6646</v>
      </c>
      <c r="C1395" s="1">
        <v>33</v>
      </c>
      <c r="D1395" s="1" t="s">
        <v>6647</v>
      </c>
      <c r="E1395" s="1" t="s">
        <v>95</v>
      </c>
      <c r="F1395" s="2">
        <v>45203</v>
      </c>
      <c r="G1395" s="2">
        <v>45513</v>
      </c>
      <c r="H1395" s="1">
        <v>1</v>
      </c>
      <c r="I1395" s="1" t="s">
        <v>64</v>
      </c>
      <c r="J1395" s="1" t="s">
        <v>1402</v>
      </c>
      <c r="K1395" s="1" t="s">
        <v>6648</v>
      </c>
      <c r="L1395" s="1">
        <v>5</v>
      </c>
      <c r="M1395" s="1">
        <v>15</v>
      </c>
      <c r="N1395" s="1" t="s">
        <v>30</v>
      </c>
      <c r="O1395" s="1" t="s">
        <v>169</v>
      </c>
      <c r="P1395" s="1" t="s">
        <v>30</v>
      </c>
      <c r="Q1395" s="1" t="s">
        <v>69</v>
      </c>
      <c r="R1395" s="1">
        <v>1298.8</v>
      </c>
      <c r="S1395" s="1" t="s">
        <v>33</v>
      </c>
      <c r="T1395" s="1" t="s">
        <v>57</v>
      </c>
      <c r="U1395" s="1" t="s">
        <v>35</v>
      </c>
      <c r="V1395" s="1" t="s">
        <v>71</v>
      </c>
    </row>
    <row r="1396" spans="1:22" x14ac:dyDescent="0.3">
      <c r="A1396" s="1" t="s">
        <v>6649</v>
      </c>
      <c r="B1396" s="1" t="s">
        <v>6650</v>
      </c>
      <c r="C1396" s="1">
        <v>51</v>
      </c>
      <c r="D1396" s="1" t="s">
        <v>6651</v>
      </c>
      <c r="E1396" s="1" t="s">
        <v>95</v>
      </c>
      <c r="F1396" s="1" t="s">
        <v>1988</v>
      </c>
      <c r="G1396" s="1" t="s">
        <v>2744</v>
      </c>
      <c r="H1396" s="1">
        <v>2</v>
      </c>
      <c r="I1396" s="1" t="s">
        <v>64</v>
      </c>
      <c r="J1396" s="1" t="s">
        <v>1195</v>
      </c>
      <c r="K1396" s="1" t="s">
        <v>6652</v>
      </c>
      <c r="L1396" s="1">
        <v>5</v>
      </c>
      <c r="M1396" s="1">
        <v>39</v>
      </c>
      <c r="N1396" s="1" t="s">
        <v>56</v>
      </c>
      <c r="O1396" s="1" t="s">
        <v>223</v>
      </c>
      <c r="P1396" s="1" t="s">
        <v>56</v>
      </c>
      <c r="Q1396" s="1" t="s">
        <v>69</v>
      </c>
      <c r="R1396" s="1">
        <v>847.4</v>
      </c>
      <c r="S1396" s="1" t="s">
        <v>33</v>
      </c>
      <c r="T1396" s="1" t="s">
        <v>47</v>
      </c>
      <c r="U1396" s="1" t="s">
        <v>35</v>
      </c>
      <c r="V1396" s="1" t="s">
        <v>71</v>
      </c>
    </row>
    <row r="1397" spans="1:22" x14ac:dyDescent="0.3">
      <c r="A1397" s="1" t="s">
        <v>6653</v>
      </c>
      <c r="B1397" s="1" t="s">
        <v>6654</v>
      </c>
      <c r="C1397" s="1">
        <v>59</v>
      </c>
      <c r="D1397" s="1" t="s">
        <v>6655</v>
      </c>
      <c r="E1397" s="1" t="s">
        <v>95</v>
      </c>
      <c r="F1397" s="2">
        <v>44479</v>
      </c>
      <c r="G1397" s="2">
        <v>45384</v>
      </c>
      <c r="H1397" s="1">
        <v>4</v>
      </c>
      <c r="I1397" s="1" t="s">
        <v>52</v>
      </c>
      <c r="J1397" s="2">
        <v>45301</v>
      </c>
      <c r="K1397" s="1" t="s">
        <v>6656</v>
      </c>
      <c r="L1397" s="1">
        <v>9</v>
      </c>
      <c r="M1397" s="1">
        <v>31</v>
      </c>
      <c r="N1397" s="1" t="s">
        <v>45</v>
      </c>
      <c r="O1397" s="1" t="s">
        <v>199</v>
      </c>
      <c r="P1397" s="1" t="s">
        <v>54</v>
      </c>
      <c r="Q1397" s="1" t="s">
        <v>69</v>
      </c>
      <c r="R1397" s="1">
        <v>895.59</v>
      </c>
      <c r="S1397" s="1" t="s">
        <v>46</v>
      </c>
      <c r="T1397" s="1" t="s">
        <v>47</v>
      </c>
      <c r="U1397" s="1" t="s">
        <v>35</v>
      </c>
      <c r="V1397" s="1" t="s">
        <v>36</v>
      </c>
    </row>
    <row r="1398" spans="1:22" x14ac:dyDescent="0.3">
      <c r="A1398" s="1" t="s">
        <v>6657</v>
      </c>
      <c r="B1398" s="1" t="s">
        <v>6658</v>
      </c>
      <c r="C1398" s="1">
        <v>62</v>
      </c>
      <c r="D1398" s="1" t="s">
        <v>6659</v>
      </c>
      <c r="E1398" s="1" t="s">
        <v>95</v>
      </c>
      <c r="F1398" s="1" t="s">
        <v>589</v>
      </c>
      <c r="G1398" s="1" t="s">
        <v>4861</v>
      </c>
      <c r="H1398" s="1">
        <v>3</v>
      </c>
      <c r="I1398" s="1" t="s">
        <v>27</v>
      </c>
      <c r="J1398" s="2">
        <v>45053</v>
      </c>
      <c r="K1398" s="1" t="s">
        <v>6660</v>
      </c>
      <c r="L1398" s="1">
        <v>1</v>
      </c>
      <c r="M1398" s="1">
        <v>9</v>
      </c>
      <c r="N1398" s="1" t="s">
        <v>45</v>
      </c>
      <c r="O1398" s="1" t="s">
        <v>604</v>
      </c>
      <c r="P1398" s="1" t="s">
        <v>45</v>
      </c>
      <c r="Q1398" s="1" t="s">
        <v>32</v>
      </c>
      <c r="R1398" s="1">
        <v>1615.8</v>
      </c>
      <c r="S1398" s="1" t="s">
        <v>33</v>
      </c>
      <c r="T1398" s="1" t="s">
        <v>47</v>
      </c>
      <c r="U1398" s="1" t="s">
        <v>35</v>
      </c>
      <c r="V1398" s="1" t="s">
        <v>36</v>
      </c>
    </row>
    <row r="1399" spans="1:22" x14ac:dyDescent="0.3">
      <c r="A1399" s="1" t="s">
        <v>6661</v>
      </c>
      <c r="B1399" s="1" t="s">
        <v>6662</v>
      </c>
      <c r="C1399" s="1">
        <v>67</v>
      </c>
      <c r="D1399" s="1" t="s">
        <v>6663</v>
      </c>
      <c r="E1399" s="1" t="s">
        <v>51</v>
      </c>
      <c r="F1399" s="1" t="s">
        <v>2019</v>
      </c>
      <c r="G1399" s="1" t="s">
        <v>4403</v>
      </c>
      <c r="H1399" s="1">
        <v>2</v>
      </c>
      <c r="I1399" s="1" t="s">
        <v>27</v>
      </c>
      <c r="J1399" s="1" t="s">
        <v>6157</v>
      </c>
      <c r="K1399" s="1" t="s">
        <v>6664</v>
      </c>
      <c r="L1399" s="1">
        <v>1</v>
      </c>
      <c r="M1399" s="1">
        <v>41</v>
      </c>
      <c r="N1399" s="1" t="s">
        <v>30</v>
      </c>
      <c r="O1399" s="1" t="s">
        <v>44</v>
      </c>
      <c r="P1399" s="1" t="s">
        <v>45</v>
      </c>
      <c r="Q1399" s="1" t="s">
        <v>32</v>
      </c>
      <c r="R1399" s="1">
        <v>1785.74</v>
      </c>
      <c r="S1399" s="1" t="s">
        <v>46</v>
      </c>
      <c r="T1399" s="1" t="s">
        <v>232</v>
      </c>
      <c r="U1399" s="1" t="s">
        <v>35</v>
      </c>
      <c r="V1399" s="1" t="s">
        <v>36</v>
      </c>
    </row>
    <row r="1400" spans="1:22" x14ac:dyDescent="0.3">
      <c r="A1400" s="1" t="s">
        <v>6665</v>
      </c>
      <c r="B1400" s="1" t="s">
        <v>6666</v>
      </c>
      <c r="C1400" s="1">
        <v>69</v>
      </c>
      <c r="D1400" s="1" t="s">
        <v>6667</v>
      </c>
      <c r="E1400" s="1" t="s">
        <v>25</v>
      </c>
      <c r="F1400" s="1" t="s">
        <v>3967</v>
      </c>
      <c r="G1400" s="2">
        <v>44692</v>
      </c>
      <c r="H1400" s="1">
        <v>4</v>
      </c>
      <c r="I1400" s="1" t="s">
        <v>27</v>
      </c>
      <c r="J1400" s="1" t="s">
        <v>5337</v>
      </c>
      <c r="K1400" s="1" t="s">
        <v>6668</v>
      </c>
      <c r="L1400" s="1">
        <v>7</v>
      </c>
      <c r="M1400" s="1">
        <v>33</v>
      </c>
      <c r="N1400" s="1" t="s">
        <v>30</v>
      </c>
      <c r="O1400" s="1" t="s">
        <v>231</v>
      </c>
      <c r="P1400" s="1" t="s">
        <v>30</v>
      </c>
      <c r="Q1400" s="1" t="s">
        <v>69</v>
      </c>
      <c r="R1400" s="1">
        <v>582.96</v>
      </c>
      <c r="S1400" s="1" t="s">
        <v>33</v>
      </c>
      <c r="T1400" s="1" t="s">
        <v>232</v>
      </c>
      <c r="U1400" s="1" t="s">
        <v>35</v>
      </c>
      <c r="V1400" s="1" t="s">
        <v>188</v>
      </c>
    </row>
    <row r="1401" spans="1:22" x14ac:dyDescent="0.3">
      <c r="A1401" s="1" t="s">
        <v>6669</v>
      </c>
      <c r="B1401" s="1" t="s">
        <v>6670</v>
      </c>
      <c r="C1401" s="1">
        <v>31</v>
      </c>
      <c r="D1401" s="1" t="s">
        <v>6671</v>
      </c>
      <c r="E1401" s="1" t="s">
        <v>40</v>
      </c>
      <c r="F1401" s="1" t="s">
        <v>3024</v>
      </c>
      <c r="G1401" s="2">
        <v>45021</v>
      </c>
      <c r="H1401" s="1">
        <v>1</v>
      </c>
      <c r="I1401" s="1" t="s">
        <v>27</v>
      </c>
      <c r="J1401" s="1" t="s">
        <v>1715</v>
      </c>
      <c r="K1401" s="1" t="s">
        <v>1573</v>
      </c>
      <c r="L1401" s="1">
        <v>9</v>
      </c>
      <c r="M1401" s="1">
        <v>49</v>
      </c>
      <c r="N1401" s="1" t="s">
        <v>30</v>
      </c>
      <c r="O1401" s="1" t="s">
        <v>211</v>
      </c>
      <c r="P1401" s="1" t="s">
        <v>68</v>
      </c>
      <c r="Q1401" s="1" t="s">
        <v>69</v>
      </c>
      <c r="R1401" s="1">
        <v>393.84</v>
      </c>
      <c r="S1401" s="1" t="s">
        <v>46</v>
      </c>
      <c r="T1401" s="1" t="s">
        <v>57</v>
      </c>
      <c r="U1401" s="1" t="s">
        <v>35</v>
      </c>
      <c r="V1401" s="1" t="s">
        <v>36</v>
      </c>
    </row>
    <row r="1402" spans="1:22" x14ac:dyDescent="0.3">
      <c r="A1402" s="1" t="s">
        <v>6672</v>
      </c>
      <c r="B1402" s="1" t="s">
        <v>6673</v>
      </c>
      <c r="C1402" s="1">
        <v>18</v>
      </c>
      <c r="D1402" s="1" t="s">
        <v>6674</v>
      </c>
      <c r="E1402" s="1" t="s">
        <v>25</v>
      </c>
      <c r="F1402" s="2">
        <v>44480</v>
      </c>
      <c r="G1402" s="2">
        <v>45546</v>
      </c>
      <c r="H1402" s="1">
        <v>4</v>
      </c>
      <c r="I1402" s="1" t="s">
        <v>27</v>
      </c>
      <c r="J1402" s="1" t="s">
        <v>298</v>
      </c>
      <c r="K1402" s="1" t="s">
        <v>6675</v>
      </c>
      <c r="L1402" s="1">
        <v>4</v>
      </c>
      <c r="M1402" s="1">
        <v>35</v>
      </c>
      <c r="N1402" s="1" t="s">
        <v>54</v>
      </c>
      <c r="O1402" s="1" t="s">
        <v>135</v>
      </c>
      <c r="P1402" s="1" t="s">
        <v>45</v>
      </c>
      <c r="Q1402" s="1" t="s">
        <v>69</v>
      </c>
      <c r="R1402" s="1">
        <v>1660.88</v>
      </c>
      <c r="S1402" s="1" t="s">
        <v>46</v>
      </c>
      <c r="T1402" s="1" t="s">
        <v>100</v>
      </c>
      <c r="U1402" s="1" t="s">
        <v>35</v>
      </c>
      <c r="V1402" s="1" t="s">
        <v>188</v>
      </c>
    </row>
    <row r="1403" spans="1:22" x14ac:dyDescent="0.3">
      <c r="A1403" s="1" t="s">
        <v>6676</v>
      </c>
      <c r="B1403" s="1" t="s">
        <v>6677</v>
      </c>
      <c r="C1403" s="1">
        <v>56</v>
      </c>
      <c r="D1403" s="1" t="s">
        <v>6678</v>
      </c>
      <c r="E1403" s="1" t="s">
        <v>61</v>
      </c>
      <c r="F1403" s="1" t="s">
        <v>5723</v>
      </c>
      <c r="G1403" s="1" t="s">
        <v>1546</v>
      </c>
      <c r="H1403" s="1">
        <v>2</v>
      </c>
      <c r="I1403" s="1" t="s">
        <v>52</v>
      </c>
      <c r="J1403" s="2">
        <v>44565</v>
      </c>
      <c r="K1403" s="1" t="s">
        <v>6679</v>
      </c>
      <c r="L1403" s="1">
        <v>6</v>
      </c>
      <c r="M1403" s="1">
        <v>32</v>
      </c>
      <c r="N1403" s="1" t="s">
        <v>54</v>
      </c>
      <c r="O1403" s="1" t="s">
        <v>149</v>
      </c>
      <c r="P1403" s="1" t="s">
        <v>30</v>
      </c>
      <c r="Q1403" s="1" t="s">
        <v>69</v>
      </c>
      <c r="R1403" s="1">
        <v>1567.92</v>
      </c>
      <c r="S1403" s="1" t="s">
        <v>46</v>
      </c>
      <c r="T1403" s="1" t="s">
        <v>47</v>
      </c>
      <c r="U1403" s="1" t="s">
        <v>35</v>
      </c>
      <c r="V1403" s="1" t="s">
        <v>36</v>
      </c>
    </row>
    <row r="1404" spans="1:22" x14ac:dyDescent="0.3">
      <c r="A1404" s="1" t="s">
        <v>6680</v>
      </c>
      <c r="B1404" s="1" t="s">
        <v>6681</v>
      </c>
      <c r="C1404" s="1">
        <v>57</v>
      </c>
      <c r="D1404" s="1" t="s">
        <v>6682</v>
      </c>
      <c r="E1404" s="1" t="s">
        <v>40</v>
      </c>
      <c r="F1404" s="2">
        <v>44567</v>
      </c>
      <c r="G1404" s="1" t="s">
        <v>4539</v>
      </c>
      <c r="H1404" s="1">
        <v>3</v>
      </c>
      <c r="I1404" s="1" t="s">
        <v>27</v>
      </c>
      <c r="J1404" s="2">
        <v>44931</v>
      </c>
      <c r="K1404" s="1" t="s">
        <v>6683</v>
      </c>
      <c r="L1404" s="1">
        <v>3</v>
      </c>
      <c r="M1404" s="1">
        <v>32</v>
      </c>
      <c r="N1404" s="1" t="s">
        <v>30</v>
      </c>
      <c r="O1404" s="1" t="s">
        <v>366</v>
      </c>
      <c r="P1404" s="1" t="s">
        <v>54</v>
      </c>
      <c r="Q1404" s="1" t="s">
        <v>32</v>
      </c>
      <c r="R1404" s="1">
        <v>799.17</v>
      </c>
      <c r="S1404" s="1" t="s">
        <v>46</v>
      </c>
      <c r="T1404" s="1" t="s">
        <v>47</v>
      </c>
      <c r="U1404" s="1" t="s">
        <v>35</v>
      </c>
      <c r="V1404" s="1" t="s">
        <v>36</v>
      </c>
    </row>
    <row r="1405" spans="1:22" x14ac:dyDescent="0.3">
      <c r="A1405" s="1" t="s">
        <v>6684</v>
      </c>
      <c r="B1405" s="1" t="s">
        <v>6685</v>
      </c>
      <c r="C1405" s="1">
        <v>35</v>
      </c>
      <c r="D1405" s="1" t="s">
        <v>6686</v>
      </c>
      <c r="E1405" s="1" t="s">
        <v>40</v>
      </c>
      <c r="F1405" s="1" t="s">
        <v>6687</v>
      </c>
      <c r="G1405" s="2">
        <v>44480</v>
      </c>
      <c r="H1405" s="1">
        <v>2</v>
      </c>
      <c r="I1405" s="1" t="s">
        <v>64</v>
      </c>
      <c r="J1405" s="1" t="s">
        <v>5078</v>
      </c>
      <c r="K1405" s="1" t="s">
        <v>6688</v>
      </c>
      <c r="L1405" s="1">
        <v>8</v>
      </c>
      <c r="M1405" s="1">
        <v>11</v>
      </c>
      <c r="N1405" s="1" t="s">
        <v>30</v>
      </c>
      <c r="O1405" s="1" t="s">
        <v>821</v>
      </c>
      <c r="P1405" s="1" t="s">
        <v>68</v>
      </c>
      <c r="Q1405" s="1" t="s">
        <v>322</v>
      </c>
      <c r="R1405" s="1">
        <v>1058.48</v>
      </c>
      <c r="S1405" s="1" t="s">
        <v>46</v>
      </c>
      <c r="T1405" s="1" t="s">
        <v>34</v>
      </c>
      <c r="U1405" s="1" t="s">
        <v>35</v>
      </c>
      <c r="V1405" s="1" t="s">
        <v>71</v>
      </c>
    </row>
    <row r="1406" spans="1:22" x14ac:dyDescent="0.3">
      <c r="A1406" s="1" t="s">
        <v>6689</v>
      </c>
      <c r="B1406" s="1" t="s">
        <v>6690</v>
      </c>
      <c r="C1406" s="1">
        <v>56</v>
      </c>
      <c r="D1406" s="1" t="s">
        <v>6691</v>
      </c>
      <c r="E1406" s="1" t="s">
        <v>95</v>
      </c>
      <c r="F1406" s="2">
        <v>45021</v>
      </c>
      <c r="G1406" s="1" t="s">
        <v>473</v>
      </c>
      <c r="H1406" s="1">
        <v>3</v>
      </c>
      <c r="I1406" s="1" t="s">
        <v>27</v>
      </c>
      <c r="J1406" s="1" t="s">
        <v>1536</v>
      </c>
      <c r="K1406" s="1" t="s">
        <v>6692</v>
      </c>
      <c r="L1406" s="1">
        <v>5</v>
      </c>
      <c r="M1406" s="1">
        <v>18</v>
      </c>
      <c r="N1406" s="1" t="s">
        <v>54</v>
      </c>
      <c r="O1406" s="1" t="s">
        <v>245</v>
      </c>
      <c r="P1406" s="1" t="s">
        <v>54</v>
      </c>
      <c r="Q1406" s="1" t="s">
        <v>69</v>
      </c>
      <c r="R1406" s="1">
        <v>1923.4</v>
      </c>
      <c r="S1406" s="1" t="s">
        <v>33</v>
      </c>
      <c r="T1406" s="1" t="s">
        <v>47</v>
      </c>
      <c r="U1406" s="1" t="s">
        <v>35</v>
      </c>
      <c r="V1406" s="1" t="s">
        <v>36</v>
      </c>
    </row>
    <row r="1407" spans="1:22" x14ac:dyDescent="0.3">
      <c r="A1407" s="1" t="s">
        <v>6693</v>
      </c>
      <c r="B1407" s="1" t="s">
        <v>6694</v>
      </c>
      <c r="C1407" s="1">
        <v>20</v>
      </c>
      <c r="D1407" s="1" t="s">
        <v>6695</v>
      </c>
      <c r="E1407" s="1" t="s">
        <v>25</v>
      </c>
      <c r="F1407" s="1" t="s">
        <v>383</v>
      </c>
      <c r="G1407" s="1" t="s">
        <v>773</v>
      </c>
      <c r="H1407" s="1">
        <v>5</v>
      </c>
      <c r="I1407" s="1" t="s">
        <v>27</v>
      </c>
      <c r="J1407" s="1" t="s">
        <v>1402</v>
      </c>
      <c r="K1407" s="1" t="s">
        <v>6696</v>
      </c>
      <c r="L1407" s="1">
        <v>1</v>
      </c>
      <c r="M1407" s="1">
        <v>10</v>
      </c>
      <c r="N1407" s="1" t="s">
        <v>45</v>
      </c>
      <c r="O1407" s="1" t="s">
        <v>122</v>
      </c>
      <c r="P1407" s="1" t="s">
        <v>30</v>
      </c>
      <c r="Q1407" s="1" t="s">
        <v>69</v>
      </c>
      <c r="R1407" s="1">
        <v>1914.38</v>
      </c>
      <c r="S1407" s="1" t="s">
        <v>46</v>
      </c>
      <c r="T1407" s="1" t="s">
        <v>100</v>
      </c>
      <c r="U1407" s="1" t="s">
        <v>35</v>
      </c>
      <c r="V1407" s="1" t="s">
        <v>188</v>
      </c>
    </row>
    <row r="1408" spans="1:22" x14ac:dyDescent="0.3">
      <c r="A1408" s="1" t="s">
        <v>6697</v>
      </c>
      <c r="B1408" s="1" t="s">
        <v>6698</v>
      </c>
      <c r="C1408" s="1">
        <v>49</v>
      </c>
      <c r="D1408" s="1" t="s">
        <v>6699</v>
      </c>
      <c r="E1408" s="1" t="s">
        <v>51</v>
      </c>
      <c r="F1408" s="2">
        <v>45052</v>
      </c>
      <c r="G1408" s="1" t="s">
        <v>1622</v>
      </c>
      <c r="H1408" s="1">
        <v>0</v>
      </c>
      <c r="I1408" s="1" t="s">
        <v>27</v>
      </c>
      <c r="J1408" s="1" t="s">
        <v>6700</v>
      </c>
      <c r="K1408" s="1" t="s">
        <v>6701</v>
      </c>
      <c r="L1408" s="1">
        <v>2</v>
      </c>
      <c r="M1408" s="1">
        <v>41</v>
      </c>
      <c r="N1408" s="1" t="s">
        <v>56</v>
      </c>
      <c r="O1408" s="1" t="s">
        <v>837</v>
      </c>
      <c r="P1408" s="1" t="s">
        <v>56</v>
      </c>
      <c r="Q1408" s="1" t="s">
        <v>69</v>
      </c>
      <c r="R1408" s="1">
        <v>1358.82</v>
      </c>
      <c r="S1408" s="1" t="s">
        <v>33</v>
      </c>
      <c r="T1408" s="1" t="s">
        <v>34</v>
      </c>
      <c r="U1408" s="1" t="s">
        <v>35</v>
      </c>
      <c r="V1408" s="1" t="s">
        <v>36</v>
      </c>
    </row>
    <row r="1409" spans="1:22" x14ac:dyDescent="0.3">
      <c r="A1409" s="1" t="s">
        <v>6702</v>
      </c>
      <c r="B1409" s="1" t="s">
        <v>6703</v>
      </c>
      <c r="C1409" s="1">
        <v>63</v>
      </c>
      <c r="D1409" s="1" t="s">
        <v>6704</v>
      </c>
      <c r="E1409" s="1" t="s">
        <v>51</v>
      </c>
      <c r="F1409" s="1" t="s">
        <v>446</v>
      </c>
      <c r="G1409" s="2">
        <v>44511</v>
      </c>
      <c r="H1409" s="1">
        <v>2</v>
      </c>
      <c r="I1409" s="1" t="s">
        <v>52</v>
      </c>
      <c r="J1409" s="2">
        <v>44297</v>
      </c>
      <c r="K1409" s="1" t="s">
        <v>6705</v>
      </c>
      <c r="L1409" s="1">
        <v>3</v>
      </c>
      <c r="M1409" s="1">
        <v>30</v>
      </c>
      <c r="N1409" s="1" t="s">
        <v>54</v>
      </c>
      <c r="O1409" s="1" t="s">
        <v>67</v>
      </c>
      <c r="P1409" s="1" t="s">
        <v>68</v>
      </c>
      <c r="Q1409" s="1" t="s">
        <v>69</v>
      </c>
      <c r="R1409" s="1">
        <v>436.14</v>
      </c>
      <c r="S1409" s="1" t="s">
        <v>46</v>
      </c>
      <c r="T1409" s="1" t="s">
        <v>47</v>
      </c>
      <c r="U1409" s="1" t="s">
        <v>35</v>
      </c>
      <c r="V1409" s="1" t="s">
        <v>36</v>
      </c>
    </row>
    <row r="1410" spans="1:22" x14ac:dyDescent="0.3">
      <c r="A1410" s="1" t="s">
        <v>6706</v>
      </c>
      <c r="B1410" s="1" t="s">
        <v>6707</v>
      </c>
      <c r="C1410" s="1">
        <v>33</v>
      </c>
      <c r="D1410" s="1" t="s">
        <v>6708</v>
      </c>
      <c r="E1410" s="1" t="s">
        <v>88</v>
      </c>
      <c r="F1410" s="1" t="s">
        <v>6709</v>
      </c>
      <c r="G1410" s="1" t="s">
        <v>6710</v>
      </c>
      <c r="H1410" s="1">
        <v>3</v>
      </c>
      <c r="I1410" s="1" t="s">
        <v>27</v>
      </c>
      <c r="J1410" s="1" t="s">
        <v>6711</v>
      </c>
      <c r="K1410" s="1" t="s">
        <v>6712</v>
      </c>
      <c r="L1410" s="1">
        <v>7</v>
      </c>
      <c r="M1410" s="1">
        <v>16</v>
      </c>
      <c r="N1410" s="1" t="s">
        <v>56</v>
      </c>
      <c r="O1410" s="1" t="s">
        <v>597</v>
      </c>
      <c r="P1410" s="1" t="s">
        <v>45</v>
      </c>
      <c r="Q1410" s="1" t="s">
        <v>32</v>
      </c>
      <c r="R1410" s="1">
        <v>1533.56</v>
      </c>
      <c r="S1410" s="1" t="s">
        <v>46</v>
      </c>
      <c r="T1410" s="1" t="s">
        <v>57</v>
      </c>
      <c r="U1410" s="1" t="s">
        <v>35</v>
      </c>
      <c r="V1410" s="1" t="s">
        <v>36</v>
      </c>
    </row>
    <row r="1411" spans="1:22" x14ac:dyDescent="0.3">
      <c r="A1411" s="1" t="s">
        <v>6713</v>
      </c>
      <c r="B1411" s="1" t="s">
        <v>6714</v>
      </c>
      <c r="C1411" s="1">
        <v>43</v>
      </c>
      <c r="D1411" s="1" t="s">
        <v>6715</v>
      </c>
      <c r="E1411" s="1" t="s">
        <v>61</v>
      </c>
      <c r="F1411" s="1" t="s">
        <v>819</v>
      </c>
      <c r="G1411" s="1" t="s">
        <v>645</v>
      </c>
      <c r="H1411" s="1">
        <v>2</v>
      </c>
      <c r="I1411" s="1" t="s">
        <v>27</v>
      </c>
      <c r="J1411" s="1" t="s">
        <v>1873</v>
      </c>
      <c r="K1411" s="1" t="s">
        <v>6716</v>
      </c>
      <c r="L1411" s="1">
        <v>7</v>
      </c>
      <c r="M1411" s="1">
        <v>25</v>
      </c>
      <c r="N1411" s="1" t="s">
        <v>30</v>
      </c>
      <c r="O1411" s="1" t="s">
        <v>122</v>
      </c>
      <c r="P1411" s="1" t="s">
        <v>30</v>
      </c>
      <c r="Q1411" s="1" t="s">
        <v>69</v>
      </c>
      <c r="R1411" s="1">
        <v>636.09</v>
      </c>
      <c r="S1411" s="1" t="s">
        <v>33</v>
      </c>
      <c r="T1411" s="1" t="s">
        <v>34</v>
      </c>
      <c r="U1411" s="1" t="s">
        <v>35</v>
      </c>
      <c r="V1411" s="1" t="s">
        <v>36</v>
      </c>
    </row>
    <row r="1412" spans="1:22" x14ac:dyDescent="0.3">
      <c r="A1412" s="1" t="s">
        <v>6717</v>
      </c>
      <c r="B1412" s="1" t="s">
        <v>6718</v>
      </c>
      <c r="C1412" s="1">
        <v>21</v>
      </c>
      <c r="D1412" s="1" t="s">
        <v>6719</v>
      </c>
      <c r="E1412" s="1" t="s">
        <v>88</v>
      </c>
      <c r="F1412" s="1" t="s">
        <v>2397</v>
      </c>
      <c r="G1412" s="1" t="s">
        <v>1934</v>
      </c>
      <c r="H1412" s="1">
        <v>4</v>
      </c>
      <c r="I1412" s="1" t="s">
        <v>64</v>
      </c>
      <c r="J1412" s="1" t="s">
        <v>3461</v>
      </c>
      <c r="K1412" s="1" t="s">
        <v>6720</v>
      </c>
      <c r="L1412" s="1">
        <v>2</v>
      </c>
      <c r="M1412" s="1">
        <v>9</v>
      </c>
      <c r="N1412" s="1" t="s">
        <v>30</v>
      </c>
      <c r="O1412" s="1" t="s">
        <v>199</v>
      </c>
      <c r="P1412" s="1" t="s">
        <v>54</v>
      </c>
      <c r="Q1412" s="1" t="s">
        <v>69</v>
      </c>
      <c r="R1412" s="1">
        <v>72.02</v>
      </c>
      <c r="S1412" s="1" t="s">
        <v>46</v>
      </c>
      <c r="T1412" s="1" t="s">
        <v>100</v>
      </c>
      <c r="U1412" s="1" t="s">
        <v>70</v>
      </c>
      <c r="V1412" s="1" t="s">
        <v>71</v>
      </c>
    </row>
    <row r="1413" spans="1:22" x14ac:dyDescent="0.3">
      <c r="A1413" s="1" t="s">
        <v>6721</v>
      </c>
      <c r="B1413" s="1" t="s">
        <v>6722</v>
      </c>
      <c r="C1413" s="1">
        <v>65</v>
      </c>
      <c r="D1413" s="1" t="s">
        <v>6723</v>
      </c>
      <c r="E1413" s="1" t="s">
        <v>40</v>
      </c>
      <c r="F1413" s="1" t="s">
        <v>2938</v>
      </c>
      <c r="G1413" s="1" t="s">
        <v>6724</v>
      </c>
      <c r="H1413" s="1">
        <v>2</v>
      </c>
      <c r="I1413" s="1" t="s">
        <v>64</v>
      </c>
      <c r="J1413" s="1" t="s">
        <v>4466</v>
      </c>
      <c r="K1413" s="1" t="s">
        <v>6725</v>
      </c>
      <c r="L1413" s="1">
        <v>5</v>
      </c>
      <c r="M1413" s="1">
        <v>45</v>
      </c>
      <c r="N1413" s="1" t="s">
        <v>68</v>
      </c>
      <c r="O1413" s="1" t="s">
        <v>366</v>
      </c>
      <c r="P1413" s="1" t="s">
        <v>54</v>
      </c>
      <c r="Q1413" s="1" t="s">
        <v>69</v>
      </c>
      <c r="R1413" s="1">
        <v>1940.3</v>
      </c>
      <c r="S1413" s="1" t="s">
        <v>46</v>
      </c>
      <c r="T1413" s="1" t="s">
        <v>232</v>
      </c>
      <c r="U1413" s="1" t="s">
        <v>35</v>
      </c>
      <c r="V1413" s="1" t="s">
        <v>71</v>
      </c>
    </row>
    <row r="1414" spans="1:22" x14ac:dyDescent="0.3">
      <c r="A1414" s="1" t="s">
        <v>6726</v>
      </c>
      <c r="B1414" s="1" t="s">
        <v>6727</v>
      </c>
      <c r="C1414" s="1">
        <v>48</v>
      </c>
      <c r="D1414" s="1" t="s">
        <v>6728</v>
      </c>
      <c r="E1414" s="1" t="s">
        <v>25</v>
      </c>
      <c r="F1414" s="2">
        <v>44324</v>
      </c>
      <c r="G1414" s="1" t="s">
        <v>873</v>
      </c>
      <c r="H1414" s="1">
        <v>5</v>
      </c>
      <c r="I1414" s="1" t="s">
        <v>27</v>
      </c>
      <c r="J1414" s="1" t="s">
        <v>1263</v>
      </c>
      <c r="K1414" s="1" t="s">
        <v>6729</v>
      </c>
      <c r="L1414" s="1">
        <v>4</v>
      </c>
      <c r="M1414" s="1">
        <v>33</v>
      </c>
      <c r="N1414" s="1" t="s">
        <v>54</v>
      </c>
      <c r="O1414" s="1" t="s">
        <v>245</v>
      </c>
      <c r="P1414" s="1" t="s">
        <v>54</v>
      </c>
      <c r="Q1414" s="1" t="s">
        <v>32</v>
      </c>
      <c r="R1414" s="1">
        <v>327.27999999999997</v>
      </c>
      <c r="S1414" s="1" t="s">
        <v>33</v>
      </c>
      <c r="T1414" s="1" t="s">
        <v>34</v>
      </c>
      <c r="U1414" s="1" t="s">
        <v>35</v>
      </c>
      <c r="V1414" s="1" t="s">
        <v>188</v>
      </c>
    </row>
    <row r="1415" spans="1:22" x14ac:dyDescent="0.3">
      <c r="A1415" s="1" t="s">
        <v>6730</v>
      </c>
      <c r="B1415" s="1" t="s">
        <v>6731</v>
      </c>
      <c r="C1415" s="1">
        <v>42</v>
      </c>
      <c r="D1415" s="1" t="s">
        <v>6732</v>
      </c>
      <c r="E1415" s="1" t="s">
        <v>88</v>
      </c>
      <c r="F1415" s="1" t="s">
        <v>1396</v>
      </c>
      <c r="G1415" s="2">
        <v>45874</v>
      </c>
      <c r="H1415" s="1">
        <v>0</v>
      </c>
      <c r="I1415" s="1" t="s">
        <v>27</v>
      </c>
      <c r="J1415" s="2">
        <v>45145</v>
      </c>
      <c r="K1415" s="1" t="s">
        <v>6733</v>
      </c>
      <c r="L1415" s="1">
        <v>8</v>
      </c>
      <c r="M1415" s="1">
        <v>5</v>
      </c>
      <c r="N1415" s="1" t="s">
        <v>30</v>
      </c>
      <c r="O1415" s="1" t="s">
        <v>610</v>
      </c>
      <c r="P1415" s="1" t="s">
        <v>68</v>
      </c>
      <c r="Q1415" s="1" t="s">
        <v>32</v>
      </c>
      <c r="R1415" s="1">
        <v>859.2</v>
      </c>
      <c r="S1415" s="1" t="s">
        <v>46</v>
      </c>
      <c r="T1415" s="1" t="s">
        <v>34</v>
      </c>
      <c r="U1415" s="1" t="s">
        <v>35</v>
      </c>
      <c r="V1415" s="1" t="s">
        <v>36</v>
      </c>
    </row>
    <row r="1416" spans="1:22" x14ac:dyDescent="0.3">
      <c r="A1416" s="1" t="s">
        <v>6734</v>
      </c>
      <c r="B1416" s="1" t="s">
        <v>6735</v>
      </c>
      <c r="C1416" s="1">
        <v>38</v>
      </c>
      <c r="D1416" s="1" t="s">
        <v>6736</v>
      </c>
      <c r="E1416" s="1" t="s">
        <v>40</v>
      </c>
      <c r="F1416" s="1" t="s">
        <v>1036</v>
      </c>
      <c r="G1416" s="2">
        <v>45296</v>
      </c>
      <c r="H1416" s="1">
        <v>3</v>
      </c>
      <c r="I1416" s="1" t="s">
        <v>27</v>
      </c>
      <c r="J1416" s="2">
        <v>45545</v>
      </c>
      <c r="K1416" s="1" t="s">
        <v>6737</v>
      </c>
      <c r="L1416" s="1">
        <v>3</v>
      </c>
      <c r="M1416" s="1">
        <v>13</v>
      </c>
      <c r="N1416" s="1" t="s">
        <v>45</v>
      </c>
      <c r="O1416" s="1" t="s">
        <v>67</v>
      </c>
      <c r="P1416" s="1" t="s">
        <v>68</v>
      </c>
      <c r="Q1416" s="1" t="s">
        <v>69</v>
      </c>
      <c r="R1416" s="1">
        <v>1969.95</v>
      </c>
      <c r="S1416" s="1" t="s">
        <v>46</v>
      </c>
      <c r="T1416" s="1" t="s">
        <v>34</v>
      </c>
      <c r="U1416" s="1" t="s">
        <v>35</v>
      </c>
      <c r="V1416" s="1" t="s">
        <v>36</v>
      </c>
    </row>
    <row r="1417" spans="1:22" x14ac:dyDescent="0.3">
      <c r="A1417" s="1" t="s">
        <v>6738</v>
      </c>
      <c r="B1417" s="1" t="s">
        <v>6739</v>
      </c>
      <c r="C1417" s="1">
        <v>69</v>
      </c>
      <c r="D1417" s="1" t="s">
        <v>6740</v>
      </c>
      <c r="E1417" s="1" t="s">
        <v>95</v>
      </c>
      <c r="F1417" s="1" t="s">
        <v>2885</v>
      </c>
      <c r="G1417" s="1" t="s">
        <v>4466</v>
      </c>
      <c r="H1417" s="1">
        <v>1</v>
      </c>
      <c r="I1417" s="1" t="s">
        <v>27</v>
      </c>
      <c r="J1417" s="2">
        <v>45480</v>
      </c>
      <c r="K1417" s="1" t="s">
        <v>6741</v>
      </c>
      <c r="L1417" s="1">
        <v>8</v>
      </c>
      <c r="M1417" s="1">
        <v>47</v>
      </c>
      <c r="N1417" s="1" t="s">
        <v>45</v>
      </c>
      <c r="O1417" s="1" t="s">
        <v>122</v>
      </c>
      <c r="P1417" s="1" t="s">
        <v>30</v>
      </c>
      <c r="Q1417" s="1" t="s">
        <v>69</v>
      </c>
      <c r="R1417" s="1">
        <v>1704.56</v>
      </c>
      <c r="S1417" s="1" t="s">
        <v>46</v>
      </c>
      <c r="T1417" s="1" t="s">
        <v>232</v>
      </c>
      <c r="U1417" s="1" t="s">
        <v>35</v>
      </c>
      <c r="V1417" s="1" t="s">
        <v>36</v>
      </c>
    </row>
    <row r="1418" spans="1:22" x14ac:dyDescent="0.3">
      <c r="A1418" s="1" t="s">
        <v>6742</v>
      </c>
      <c r="B1418" s="1" t="s">
        <v>6743</v>
      </c>
      <c r="C1418" s="1">
        <v>63</v>
      </c>
      <c r="D1418" s="1" t="s">
        <v>6744</v>
      </c>
      <c r="E1418" s="1" t="s">
        <v>25</v>
      </c>
      <c r="F1418" s="2">
        <v>45021</v>
      </c>
      <c r="G1418" s="2">
        <v>45514</v>
      </c>
      <c r="H1418" s="1">
        <v>4</v>
      </c>
      <c r="I1418" s="1" t="s">
        <v>52</v>
      </c>
      <c r="J1418" s="2">
        <v>45476</v>
      </c>
      <c r="K1418" s="1" t="s">
        <v>6745</v>
      </c>
      <c r="L1418" s="1">
        <v>6</v>
      </c>
      <c r="M1418" s="1">
        <v>34</v>
      </c>
      <c r="N1418" s="1" t="s">
        <v>56</v>
      </c>
      <c r="O1418" s="1" t="s">
        <v>175</v>
      </c>
      <c r="P1418" s="1" t="s">
        <v>56</v>
      </c>
      <c r="Q1418" s="1" t="s">
        <v>32</v>
      </c>
      <c r="R1418" s="1">
        <v>1559.4</v>
      </c>
      <c r="S1418" s="1" t="s">
        <v>33</v>
      </c>
      <c r="T1418" s="1" t="s">
        <v>47</v>
      </c>
      <c r="U1418" s="1" t="s">
        <v>35</v>
      </c>
      <c r="V1418" s="1" t="s">
        <v>36</v>
      </c>
    </row>
    <row r="1419" spans="1:22" x14ac:dyDescent="0.3">
      <c r="A1419" s="1" t="s">
        <v>6746</v>
      </c>
      <c r="B1419" s="1" t="s">
        <v>6747</v>
      </c>
      <c r="C1419" s="1">
        <v>59</v>
      </c>
      <c r="D1419" s="1" t="s">
        <v>6748</v>
      </c>
      <c r="E1419" s="1" t="s">
        <v>95</v>
      </c>
      <c r="F1419" s="1" t="s">
        <v>4664</v>
      </c>
      <c r="G1419" s="1" t="s">
        <v>778</v>
      </c>
      <c r="H1419" s="1">
        <v>1</v>
      </c>
      <c r="I1419" s="1" t="s">
        <v>27</v>
      </c>
      <c r="J1419" s="1" t="s">
        <v>4107</v>
      </c>
      <c r="K1419" s="1" t="s">
        <v>6749</v>
      </c>
      <c r="L1419" s="1">
        <v>1</v>
      </c>
      <c r="M1419" s="1">
        <v>4</v>
      </c>
      <c r="N1419" s="1" t="s">
        <v>45</v>
      </c>
      <c r="O1419" s="1" t="s">
        <v>610</v>
      </c>
      <c r="P1419" s="1" t="s">
        <v>68</v>
      </c>
      <c r="Q1419" s="1" t="s">
        <v>32</v>
      </c>
      <c r="R1419" s="1">
        <v>1499.25</v>
      </c>
      <c r="S1419" s="1" t="s">
        <v>46</v>
      </c>
      <c r="T1419" s="1" t="s">
        <v>47</v>
      </c>
      <c r="U1419" s="1" t="s">
        <v>35</v>
      </c>
      <c r="V1419" s="1" t="s">
        <v>36</v>
      </c>
    </row>
    <row r="1420" spans="1:22" x14ac:dyDescent="0.3">
      <c r="A1420" s="1" t="s">
        <v>6750</v>
      </c>
      <c r="B1420" s="1" t="s">
        <v>6751</v>
      </c>
      <c r="C1420" s="1">
        <v>57</v>
      </c>
      <c r="D1420" s="1" t="s">
        <v>6752</v>
      </c>
      <c r="E1420" s="1" t="s">
        <v>95</v>
      </c>
      <c r="F1420" s="2">
        <v>44236</v>
      </c>
      <c r="G1420" s="1" t="s">
        <v>572</v>
      </c>
      <c r="H1420" s="1">
        <v>2</v>
      </c>
      <c r="I1420" s="1" t="s">
        <v>27</v>
      </c>
      <c r="J1420" s="2">
        <v>45025</v>
      </c>
      <c r="K1420" s="1" t="s">
        <v>6753</v>
      </c>
      <c r="L1420" s="1">
        <v>9</v>
      </c>
      <c r="M1420" s="1">
        <v>39</v>
      </c>
      <c r="N1420" s="1" t="s">
        <v>30</v>
      </c>
      <c r="O1420" s="1" t="s">
        <v>245</v>
      </c>
      <c r="P1420" s="1" t="s">
        <v>54</v>
      </c>
      <c r="Q1420" s="1" t="s">
        <v>32</v>
      </c>
      <c r="R1420" s="1">
        <v>1457.37</v>
      </c>
      <c r="S1420" s="1" t="s">
        <v>46</v>
      </c>
      <c r="T1420" s="1" t="s">
        <v>47</v>
      </c>
      <c r="U1420" s="1" t="s">
        <v>35</v>
      </c>
      <c r="V1420" s="1" t="s">
        <v>36</v>
      </c>
    </row>
    <row r="1421" spans="1:22" x14ac:dyDescent="0.3">
      <c r="A1421" s="1" t="s">
        <v>6754</v>
      </c>
      <c r="B1421" s="1" t="s">
        <v>6755</v>
      </c>
      <c r="C1421" s="1">
        <v>33</v>
      </c>
      <c r="D1421" s="1" t="s">
        <v>6756</v>
      </c>
      <c r="E1421" s="1" t="s">
        <v>51</v>
      </c>
      <c r="F1421" s="1" t="s">
        <v>1644</v>
      </c>
      <c r="G1421" s="1" t="s">
        <v>6757</v>
      </c>
      <c r="H1421" s="1">
        <v>3</v>
      </c>
      <c r="I1421" s="1" t="s">
        <v>27</v>
      </c>
      <c r="J1421" s="1" t="s">
        <v>622</v>
      </c>
      <c r="K1421" s="1" t="s">
        <v>6758</v>
      </c>
      <c r="L1421" s="1">
        <v>8</v>
      </c>
      <c r="M1421" s="1">
        <v>21</v>
      </c>
      <c r="N1421" s="1" t="s">
        <v>54</v>
      </c>
      <c r="O1421" s="1" t="s">
        <v>99</v>
      </c>
      <c r="P1421" s="1" t="s">
        <v>56</v>
      </c>
      <c r="Q1421" s="1" t="s">
        <v>69</v>
      </c>
      <c r="R1421" s="1">
        <v>1836.4</v>
      </c>
      <c r="S1421" s="1" t="s">
        <v>46</v>
      </c>
      <c r="T1421" s="1" t="s">
        <v>57</v>
      </c>
      <c r="U1421" s="1" t="s">
        <v>35</v>
      </c>
      <c r="V1421" s="1" t="s">
        <v>36</v>
      </c>
    </row>
    <row r="1422" spans="1:22" x14ac:dyDescent="0.3">
      <c r="A1422" s="1" t="s">
        <v>6759</v>
      </c>
      <c r="B1422" s="1" t="s">
        <v>6760</v>
      </c>
      <c r="C1422" s="1">
        <v>66</v>
      </c>
      <c r="D1422" s="1" t="s">
        <v>6761</v>
      </c>
      <c r="E1422" s="1" t="s">
        <v>40</v>
      </c>
      <c r="F1422" s="1" t="s">
        <v>1420</v>
      </c>
      <c r="G1422" s="1" t="s">
        <v>4392</v>
      </c>
      <c r="H1422" s="1">
        <v>1</v>
      </c>
      <c r="I1422" s="1" t="s">
        <v>52</v>
      </c>
      <c r="J1422" s="1" t="s">
        <v>2446</v>
      </c>
      <c r="K1422" s="1" t="s">
        <v>6762</v>
      </c>
      <c r="L1422" s="1">
        <v>1</v>
      </c>
      <c r="M1422" s="1">
        <v>13</v>
      </c>
      <c r="N1422" s="1" t="s">
        <v>45</v>
      </c>
      <c r="O1422" s="1" t="s">
        <v>418</v>
      </c>
      <c r="P1422" s="1" t="s">
        <v>56</v>
      </c>
      <c r="Q1422" s="1" t="s">
        <v>32</v>
      </c>
      <c r="R1422" s="1">
        <v>298.18</v>
      </c>
      <c r="S1422" s="1" t="s">
        <v>46</v>
      </c>
      <c r="T1422" s="1" t="s">
        <v>232</v>
      </c>
      <c r="U1422" s="1" t="s">
        <v>35</v>
      </c>
      <c r="V1422" s="1" t="s">
        <v>36</v>
      </c>
    </row>
    <row r="1423" spans="1:22" x14ac:dyDescent="0.3">
      <c r="A1423" s="1" t="s">
        <v>6763</v>
      </c>
      <c r="B1423" s="1" t="s">
        <v>6764</v>
      </c>
      <c r="C1423" s="1">
        <v>56</v>
      </c>
      <c r="D1423" s="1" t="s">
        <v>6765</v>
      </c>
      <c r="E1423" s="1" t="s">
        <v>61</v>
      </c>
      <c r="F1423" s="1" t="s">
        <v>2543</v>
      </c>
      <c r="G1423" s="2">
        <v>45637</v>
      </c>
      <c r="H1423" s="1">
        <v>1</v>
      </c>
      <c r="I1423" s="1" t="s">
        <v>52</v>
      </c>
      <c r="J1423" s="2">
        <v>44745</v>
      </c>
      <c r="K1423" s="1" t="s">
        <v>6766</v>
      </c>
      <c r="L1423" s="1">
        <v>1</v>
      </c>
      <c r="M1423" s="1">
        <v>8</v>
      </c>
      <c r="N1423" s="1" t="s">
        <v>68</v>
      </c>
      <c r="O1423" s="1" t="s">
        <v>536</v>
      </c>
      <c r="P1423" s="1" t="s">
        <v>68</v>
      </c>
      <c r="Q1423" s="1" t="s">
        <v>32</v>
      </c>
      <c r="R1423" s="1">
        <v>1299.21</v>
      </c>
      <c r="S1423" s="1" t="s">
        <v>33</v>
      </c>
      <c r="T1423" s="1" t="s">
        <v>47</v>
      </c>
      <c r="U1423" s="1" t="s">
        <v>35</v>
      </c>
      <c r="V1423" s="1" t="s">
        <v>36</v>
      </c>
    </row>
    <row r="1424" spans="1:22" x14ac:dyDescent="0.3">
      <c r="A1424" s="1" t="s">
        <v>6767</v>
      </c>
      <c r="B1424" s="1" t="s">
        <v>6768</v>
      </c>
      <c r="C1424" s="1">
        <v>28</v>
      </c>
      <c r="D1424" s="1" t="s">
        <v>6769</v>
      </c>
      <c r="E1424" s="1" t="s">
        <v>61</v>
      </c>
      <c r="F1424" s="1" t="s">
        <v>5023</v>
      </c>
      <c r="G1424" s="2">
        <v>44688</v>
      </c>
      <c r="H1424" s="1">
        <v>0</v>
      </c>
      <c r="I1424" s="1" t="s">
        <v>27</v>
      </c>
      <c r="J1424" s="1" t="s">
        <v>6770</v>
      </c>
      <c r="K1424" s="1" t="s">
        <v>6771</v>
      </c>
      <c r="L1424" s="1">
        <v>7</v>
      </c>
      <c r="M1424" s="1">
        <v>19</v>
      </c>
      <c r="N1424" s="1" t="s">
        <v>45</v>
      </c>
      <c r="O1424" s="1" t="s">
        <v>55</v>
      </c>
      <c r="P1424" s="1" t="s">
        <v>56</v>
      </c>
      <c r="Q1424" s="1" t="s">
        <v>32</v>
      </c>
      <c r="R1424" s="1">
        <v>1208.83</v>
      </c>
      <c r="S1424" s="1" t="s">
        <v>46</v>
      </c>
      <c r="T1424" s="1" t="s">
        <v>57</v>
      </c>
      <c r="U1424" s="1" t="s">
        <v>35</v>
      </c>
      <c r="V1424" s="1" t="s">
        <v>36</v>
      </c>
    </row>
    <row r="1425" spans="1:22" x14ac:dyDescent="0.3">
      <c r="A1425" s="1" t="s">
        <v>6772</v>
      </c>
      <c r="B1425" s="1" t="s">
        <v>6773</v>
      </c>
      <c r="C1425" s="1">
        <v>56</v>
      </c>
      <c r="D1425" s="1" t="s">
        <v>6774</v>
      </c>
      <c r="E1425" s="1" t="s">
        <v>95</v>
      </c>
      <c r="F1425" s="1" t="s">
        <v>1944</v>
      </c>
      <c r="G1425" s="2">
        <v>45353</v>
      </c>
      <c r="H1425" s="1">
        <v>3</v>
      </c>
      <c r="I1425" s="1" t="s">
        <v>27</v>
      </c>
      <c r="J1425" s="2">
        <v>45300</v>
      </c>
      <c r="K1425" s="1" t="s">
        <v>6775</v>
      </c>
      <c r="L1425" s="1">
        <v>3</v>
      </c>
      <c r="M1425" s="1">
        <v>35</v>
      </c>
      <c r="N1425" s="1" t="s">
        <v>54</v>
      </c>
      <c r="O1425" s="1" t="s">
        <v>149</v>
      </c>
      <c r="P1425" s="1" t="s">
        <v>30</v>
      </c>
      <c r="Q1425" s="1" t="s">
        <v>32</v>
      </c>
      <c r="R1425" s="1">
        <v>1437.36</v>
      </c>
      <c r="S1425" s="1" t="s">
        <v>46</v>
      </c>
      <c r="T1425" s="1" t="s">
        <v>47</v>
      </c>
      <c r="U1425" s="1" t="s">
        <v>35</v>
      </c>
      <c r="V1425" s="1" t="s">
        <v>36</v>
      </c>
    </row>
    <row r="1426" spans="1:22" x14ac:dyDescent="0.3">
      <c r="A1426" s="1" t="s">
        <v>6776</v>
      </c>
      <c r="B1426" s="1" t="s">
        <v>6777</v>
      </c>
      <c r="C1426" s="1">
        <v>53</v>
      </c>
      <c r="D1426" s="1" t="s">
        <v>6778</v>
      </c>
      <c r="E1426" s="1" t="s">
        <v>95</v>
      </c>
      <c r="F1426" s="1" t="s">
        <v>5692</v>
      </c>
      <c r="G1426" s="1" t="s">
        <v>2049</v>
      </c>
      <c r="H1426" s="1">
        <v>2</v>
      </c>
      <c r="I1426" s="1" t="s">
        <v>27</v>
      </c>
      <c r="J1426" s="1" t="s">
        <v>1465</v>
      </c>
      <c r="K1426" s="1" t="s">
        <v>6779</v>
      </c>
      <c r="L1426" s="1">
        <v>8</v>
      </c>
      <c r="M1426" s="1">
        <v>2</v>
      </c>
      <c r="N1426" s="1" t="s">
        <v>30</v>
      </c>
      <c r="O1426" s="1" t="s">
        <v>77</v>
      </c>
      <c r="P1426" s="1" t="s">
        <v>54</v>
      </c>
      <c r="Q1426" s="1" t="s">
        <v>32</v>
      </c>
      <c r="R1426" s="1">
        <v>1124.8800000000001</v>
      </c>
      <c r="S1426" s="1" t="s">
        <v>46</v>
      </c>
      <c r="T1426" s="1" t="s">
        <v>47</v>
      </c>
      <c r="U1426" s="1" t="s">
        <v>101</v>
      </c>
      <c r="V1426" s="1" t="s">
        <v>36</v>
      </c>
    </row>
    <row r="1427" spans="1:22" x14ac:dyDescent="0.3">
      <c r="A1427" s="1" t="s">
        <v>6780</v>
      </c>
      <c r="B1427" s="1" t="s">
        <v>6781</v>
      </c>
      <c r="C1427" s="1">
        <v>49</v>
      </c>
      <c r="D1427" s="1" t="s">
        <v>6782</v>
      </c>
      <c r="E1427" s="1" t="s">
        <v>95</v>
      </c>
      <c r="F1427" s="2">
        <v>44260</v>
      </c>
      <c r="G1427" s="1" t="s">
        <v>1407</v>
      </c>
      <c r="H1427" s="1">
        <v>0</v>
      </c>
      <c r="I1427" s="1" t="s">
        <v>64</v>
      </c>
      <c r="J1427" s="1" t="s">
        <v>622</v>
      </c>
      <c r="K1427" s="1" t="s">
        <v>6783</v>
      </c>
      <c r="L1427" s="1">
        <v>7</v>
      </c>
      <c r="M1427" s="1">
        <v>30</v>
      </c>
      <c r="N1427" s="1" t="s">
        <v>45</v>
      </c>
      <c r="O1427" s="1" t="s">
        <v>211</v>
      </c>
      <c r="P1427" s="1" t="s">
        <v>68</v>
      </c>
      <c r="Q1427" s="1" t="s">
        <v>69</v>
      </c>
      <c r="R1427" s="1">
        <v>1458.31</v>
      </c>
      <c r="S1427" s="1" t="s">
        <v>46</v>
      </c>
      <c r="T1427" s="1" t="s">
        <v>34</v>
      </c>
      <c r="U1427" s="1" t="s">
        <v>35</v>
      </c>
      <c r="V1427" s="1" t="s">
        <v>71</v>
      </c>
    </row>
    <row r="1428" spans="1:22" x14ac:dyDescent="0.3">
      <c r="A1428" s="1" t="s">
        <v>6784</v>
      </c>
      <c r="B1428" s="1" t="s">
        <v>6785</v>
      </c>
      <c r="C1428" s="1">
        <v>23</v>
      </c>
      <c r="D1428" s="1" t="s">
        <v>6786</v>
      </c>
      <c r="E1428" s="1" t="s">
        <v>88</v>
      </c>
      <c r="F1428" s="1" t="s">
        <v>5787</v>
      </c>
      <c r="G1428" s="1" t="s">
        <v>6238</v>
      </c>
      <c r="H1428" s="1">
        <v>1</v>
      </c>
      <c r="I1428" s="1" t="s">
        <v>27</v>
      </c>
      <c r="J1428" s="2">
        <v>44507</v>
      </c>
      <c r="K1428" s="1" t="s">
        <v>6787</v>
      </c>
      <c r="L1428" s="1">
        <v>9</v>
      </c>
      <c r="M1428" s="1">
        <v>13</v>
      </c>
      <c r="N1428" s="1" t="s">
        <v>68</v>
      </c>
      <c r="O1428" s="1" t="s">
        <v>169</v>
      </c>
      <c r="P1428" s="1" t="s">
        <v>30</v>
      </c>
      <c r="Q1428" s="1" t="s">
        <v>32</v>
      </c>
      <c r="R1428" s="1">
        <v>905.58</v>
      </c>
      <c r="S1428" s="1" t="s">
        <v>46</v>
      </c>
      <c r="T1428" s="1" t="s">
        <v>100</v>
      </c>
      <c r="U1428" s="1" t="s">
        <v>35</v>
      </c>
      <c r="V1428" s="1" t="s">
        <v>36</v>
      </c>
    </row>
    <row r="1429" spans="1:22" x14ac:dyDescent="0.3">
      <c r="A1429" s="1" t="s">
        <v>6788</v>
      </c>
      <c r="B1429" s="1" t="s">
        <v>6789</v>
      </c>
      <c r="C1429" s="1">
        <v>21</v>
      </c>
      <c r="D1429" s="1" t="s">
        <v>6790</v>
      </c>
      <c r="E1429" s="1" t="s">
        <v>88</v>
      </c>
      <c r="F1429" s="2">
        <v>44595</v>
      </c>
      <c r="G1429" s="1" t="s">
        <v>3948</v>
      </c>
      <c r="H1429" s="1">
        <v>0</v>
      </c>
      <c r="I1429" s="1" t="s">
        <v>52</v>
      </c>
      <c r="J1429" s="1" t="s">
        <v>2388</v>
      </c>
      <c r="K1429" s="1" t="s">
        <v>5816</v>
      </c>
      <c r="L1429" s="1">
        <v>8</v>
      </c>
      <c r="M1429" s="1">
        <v>15</v>
      </c>
      <c r="N1429" s="1" t="s">
        <v>68</v>
      </c>
      <c r="O1429" s="1" t="s">
        <v>31</v>
      </c>
      <c r="P1429" s="1" t="s">
        <v>30</v>
      </c>
      <c r="Q1429" s="1" t="s">
        <v>69</v>
      </c>
      <c r="R1429" s="1">
        <v>53.12</v>
      </c>
      <c r="S1429" s="1" t="s">
        <v>46</v>
      </c>
      <c r="T1429" s="1" t="s">
        <v>100</v>
      </c>
      <c r="U1429" s="1" t="s">
        <v>101</v>
      </c>
      <c r="V1429" s="1" t="s">
        <v>36</v>
      </c>
    </row>
    <row r="1430" spans="1:22" x14ac:dyDescent="0.3">
      <c r="A1430" s="1" t="s">
        <v>6791</v>
      </c>
      <c r="B1430" s="1" t="s">
        <v>6792</v>
      </c>
      <c r="C1430" s="1">
        <v>48</v>
      </c>
      <c r="D1430" s="1" t="s">
        <v>6793</v>
      </c>
      <c r="E1430" s="1" t="s">
        <v>88</v>
      </c>
      <c r="F1430" s="2">
        <v>45143</v>
      </c>
      <c r="G1430" s="2">
        <v>45505</v>
      </c>
      <c r="H1430" s="1">
        <v>4</v>
      </c>
      <c r="I1430" s="1" t="s">
        <v>64</v>
      </c>
      <c r="J1430" s="2">
        <v>45237</v>
      </c>
      <c r="K1430" s="1" t="s">
        <v>6794</v>
      </c>
      <c r="L1430" s="1">
        <v>8</v>
      </c>
      <c r="M1430" s="1">
        <v>31</v>
      </c>
      <c r="N1430" s="1" t="s">
        <v>45</v>
      </c>
      <c r="O1430" s="1" t="s">
        <v>116</v>
      </c>
      <c r="P1430" s="1" t="s">
        <v>54</v>
      </c>
      <c r="Q1430" s="1" t="s">
        <v>32</v>
      </c>
      <c r="R1430" s="1">
        <v>1050.72</v>
      </c>
      <c r="S1430" s="1" t="s">
        <v>46</v>
      </c>
      <c r="T1430" s="1" t="s">
        <v>34</v>
      </c>
      <c r="U1430" s="1" t="s">
        <v>35</v>
      </c>
      <c r="V1430" s="1" t="s">
        <v>71</v>
      </c>
    </row>
    <row r="1431" spans="1:22" x14ac:dyDescent="0.3">
      <c r="A1431" s="1" t="s">
        <v>6795</v>
      </c>
      <c r="B1431" s="1" t="s">
        <v>6796</v>
      </c>
      <c r="C1431" s="1">
        <v>36</v>
      </c>
      <c r="D1431" s="1" t="s">
        <v>6797</v>
      </c>
      <c r="E1431" s="1" t="s">
        <v>88</v>
      </c>
      <c r="F1431" s="1" t="s">
        <v>6798</v>
      </c>
      <c r="G1431" s="2">
        <v>45391</v>
      </c>
      <c r="H1431" s="1">
        <v>5</v>
      </c>
      <c r="I1431" s="1" t="s">
        <v>27</v>
      </c>
      <c r="J1431" s="1" t="s">
        <v>4402</v>
      </c>
      <c r="K1431" s="1" t="s">
        <v>6799</v>
      </c>
      <c r="L1431" s="1">
        <v>1</v>
      </c>
      <c r="M1431" s="1">
        <v>45</v>
      </c>
      <c r="N1431" s="1" t="s">
        <v>54</v>
      </c>
      <c r="O1431" s="1" t="s">
        <v>116</v>
      </c>
      <c r="P1431" s="1" t="s">
        <v>54</v>
      </c>
      <c r="Q1431" s="1" t="s">
        <v>69</v>
      </c>
      <c r="R1431" s="1">
        <v>1092.3900000000001</v>
      </c>
      <c r="S1431" s="1" t="s">
        <v>33</v>
      </c>
      <c r="T1431" s="1" t="s">
        <v>34</v>
      </c>
      <c r="U1431" s="1" t="s">
        <v>35</v>
      </c>
      <c r="V1431" s="1" t="s">
        <v>188</v>
      </c>
    </row>
    <row r="1432" spans="1:22" x14ac:dyDescent="0.3">
      <c r="A1432" s="1" t="s">
        <v>6800</v>
      </c>
      <c r="B1432" s="1" t="s">
        <v>6801</v>
      </c>
      <c r="C1432" s="1">
        <v>50</v>
      </c>
      <c r="D1432" s="1" t="s">
        <v>6802</v>
      </c>
      <c r="E1432" s="1" t="s">
        <v>95</v>
      </c>
      <c r="F1432" s="1" t="s">
        <v>6803</v>
      </c>
      <c r="G1432" s="2">
        <v>45057</v>
      </c>
      <c r="H1432" s="1">
        <v>2</v>
      </c>
      <c r="I1432" s="1" t="s">
        <v>52</v>
      </c>
      <c r="J1432" s="1" t="s">
        <v>2578</v>
      </c>
      <c r="K1432" s="1" t="s">
        <v>6804</v>
      </c>
      <c r="L1432" s="1">
        <v>4</v>
      </c>
      <c r="M1432" s="1">
        <v>41</v>
      </c>
      <c r="N1432" s="1" t="s">
        <v>45</v>
      </c>
      <c r="O1432" s="1" t="s">
        <v>122</v>
      </c>
      <c r="P1432" s="1" t="s">
        <v>30</v>
      </c>
      <c r="Q1432" s="1" t="s">
        <v>32</v>
      </c>
      <c r="R1432" s="1">
        <v>1638.6</v>
      </c>
      <c r="S1432" s="1" t="s">
        <v>46</v>
      </c>
      <c r="T1432" s="1" t="s">
        <v>47</v>
      </c>
      <c r="U1432" s="1" t="s">
        <v>35</v>
      </c>
      <c r="V1432" s="1" t="s">
        <v>36</v>
      </c>
    </row>
    <row r="1433" spans="1:22" x14ac:dyDescent="0.3">
      <c r="A1433" s="1" t="s">
        <v>6805</v>
      </c>
      <c r="B1433" s="1" t="s">
        <v>6806</v>
      </c>
      <c r="C1433" s="1">
        <v>25</v>
      </c>
      <c r="D1433" s="1" t="s">
        <v>6807</v>
      </c>
      <c r="E1433" s="1" t="s">
        <v>40</v>
      </c>
      <c r="F1433" s="1" t="s">
        <v>4221</v>
      </c>
      <c r="G1433" s="1" t="s">
        <v>2431</v>
      </c>
      <c r="H1433" s="1">
        <v>4</v>
      </c>
      <c r="I1433" s="1" t="s">
        <v>52</v>
      </c>
      <c r="J1433" s="1" t="s">
        <v>180</v>
      </c>
      <c r="K1433" s="1" t="s">
        <v>6808</v>
      </c>
      <c r="L1433" s="1">
        <v>4</v>
      </c>
      <c r="M1433" s="1">
        <v>4</v>
      </c>
      <c r="N1433" s="1" t="s">
        <v>56</v>
      </c>
      <c r="O1433" s="1" t="s">
        <v>354</v>
      </c>
      <c r="P1433" s="1" t="s">
        <v>45</v>
      </c>
      <c r="Q1433" s="1" t="s">
        <v>69</v>
      </c>
      <c r="R1433" s="1">
        <v>622.91999999999996</v>
      </c>
      <c r="S1433" s="1" t="s">
        <v>46</v>
      </c>
      <c r="T1433" s="1" t="s">
        <v>57</v>
      </c>
      <c r="U1433" s="1" t="s">
        <v>101</v>
      </c>
      <c r="V1433" s="1" t="s">
        <v>36</v>
      </c>
    </row>
    <row r="1434" spans="1:22" x14ac:dyDescent="0.3">
      <c r="A1434" s="1" t="s">
        <v>6809</v>
      </c>
      <c r="B1434" s="1" t="s">
        <v>6810</v>
      </c>
      <c r="C1434" s="1">
        <v>47</v>
      </c>
      <c r="D1434" s="1" t="s">
        <v>6811</v>
      </c>
      <c r="E1434" s="1" t="s">
        <v>95</v>
      </c>
      <c r="F1434" s="1" t="s">
        <v>1616</v>
      </c>
      <c r="G1434" s="1" t="s">
        <v>1020</v>
      </c>
      <c r="H1434" s="1">
        <v>3</v>
      </c>
      <c r="I1434" s="1" t="s">
        <v>64</v>
      </c>
      <c r="J1434" s="1" t="s">
        <v>6182</v>
      </c>
      <c r="K1434" s="1" t="s">
        <v>6812</v>
      </c>
      <c r="L1434" s="1">
        <v>8</v>
      </c>
      <c r="M1434" s="1">
        <v>5</v>
      </c>
      <c r="N1434" s="1" t="s">
        <v>68</v>
      </c>
      <c r="O1434" s="1" t="s">
        <v>169</v>
      </c>
      <c r="P1434" s="1" t="s">
        <v>30</v>
      </c>
      <c r="Q1434" s="1" t="s">
        <v>32</v>
      </c>
      <c r="R1434" s="1">
        <v>1808.64</v>
      </c>
      <c r="S1434" s="1" t="s">
        <v>46</v>
      </c>
      <c r="T1434" s="1" t="s">
        <v>34</v>
      </c>
      <c r="U1434" s="1" t="s">
        <v>35</v>
      </c>
      <c r="V1434" s="1" t="s">
        <v>71</v>
      </c>
    </row>
    <row r="1435" spans="1:22" x14ac:dyDescent="0.3">
      <c r="A1435" s="1" t="s">
        <v>6813</v>
      </c>
      <c r="B1435" s="1" t="s">
        <v>6814</v>
      </c>
      <c r="C1435" s="1">
        <v>31</v>
      </c>
      <c r="D1435" s="1" t="s">
        <v>6815</v>
      </c>
      <c r="E1435" s="1" t="s">
        <v>88</v>
      </c>
      <c r="F1435" s="1" t="s">
        <v>3019</v>
      </c>
      <c r="G1435" s="2">
        <v>45417</v>
      </c>
      <c r="H1435" s="1">
        <v>0</v>
      </c>
      <c r="I1435" s="1" t="s">
        <v>27</v>
      </c>
      <c r="J1435" s="1" t="s">
        <v>1339</v>
      </c>
      <c r="K1435" s="1" t="s">
        <v>6816</v>
      </c>
      <c r="L1435" s="1">
        <v>1</v>
      </c>
      <c r="M1435" s="1">
        <v>32</v>
      </c>
      <c r="N1435" s="1" t="s">
        <v>45</v>
      </c>
      <c r="O1435" s="1" t="s">
        <v>245</v>
      </c>
      <c r="P1435" s="1" t="s">
        <v>54</v>
      </c>
      <c r="Q1435" s="1" t="s">
        <v>32</v>
      </c>
      <c r="R1435" s="1">
        <v>1695</v>
      </c>
      <c r="S1435" s="1" t="s">
        <v>46</v>
      </c>
      <c r="T1435" s="1" t="s">
        <v>57</v>
      </c>
      <c r="U1435" s="1" t="s">
        <v>35</v>
      </c>
      <c r="V1435" s="1" t="s">
        <v>36</v>
      </c>
    </row>
    <row r="1436" spans="1:22" x14ac:dyDescent="0.3">
      <c r="A1436" s="1" t="s">
        <v>6817</v>
      </c>
      <c r="B1436" s="1" t="s">
        <v>6818</v>
      </c>
      <c r="C1436" s="1">
        <v>54</v>
      </c>
      <c r="D1436" s="1" t="s">
        <v>6819</v>
      </c>
      <c r="E1436" s="1" t="s">
        <v>88</v>
      </c>
      <c r="F1436" s="1" t="s">
        <v>2603</v>
      </c>
      <c r="G1436" s="1" t="s">
        <v>2609</v>
      </c>
      <c r="H1436" s="1">
        <v>0</v>
      </c>
      <c r="I1436" s="1" t="s">
        <v>27</v>
      </c>
      <c r="J1436" s="1" t="s">
        <v>3461</v>
      </c>
      <c r="K1436" s="1" t="s">
        <v>6820</v>
      </c>
      <c r="L1436" s="1">
        <v>7</v>
      </c>
      <c r="M1436" s="1">
        <v>10</v>
      </c>
      <c r="N1436" s="1" t="s">
        <v>30</v>
      </c>
      <c r="O1436" s="1" t="s">
        <v>194</v>
      </c>
      <c r="P1436" s="1" t="s">
        <v>56</v>
      </c>
      <c r="Q1436" s="1" t="s">
        <v>69</v>
      </c>
      <c r="R1436" s="1">
        <v>703.71</v>
      </c>
      <c r="S1436" s="1" t="s">
        <v>46</v>
      </c>
      <c r="T1436" s="1" t="s">
        <v>47</v>
      </c>
      <c r="U1436" s="1" t="s">
        <v>35</v>
      </c>
      <c r="V1436" s="1" t="s">
        <v>36</v>
      </c>
    </row>
    <row r="1437" spans="1:22" x14ac:dyDescent="0.3">
      <c r="A1437" s="1" t="s">
        <v>6821</v>
      </c>
      <c r="B1437" s="1" t="s">
        <v>6822</v>
      </c>
      <c r="C1437" s="1">
        <v>68</v>
      </c>
      <c r="D1437" s="1" t="s">
        <v>6823</v>
      </c>
      <c r="E1437" s="1" t="s">
        <v>25</v>
      </c>
      <c r="F1437" s="2">
        <v>44904</v>
      </c>
      <c r="G1437" s="2">
        <v>45454</v>
      </c>
      <c r="H1437" s="1">
        <v>2</v>
      </c>
      <c r="I1437" s="1" t="s">
        <v>52</v>
      </c>
      <c r="J1437" s="1" t="s">
        <v>1716</v>
      </c>
      <c r="K1437" s="1" t="s">
        <v>6824</v>
      </c>
      <c r="L1437" s="1">
        <v>2</v>
      </c>
      <c r="M1437" s="1">
        <v>37</v>
      </c>
      <c r="N1437" s="1" t="s">
        <v>56</v>
      </c>
      <c r="O1437" s="1" t="s">
        <v>855</v>
      </c>
      <c r="P1437" s="1" t="s">
        <v>45</v>
      </c>
      <c r="Q1437" s="1" t="s">
        <v>32</v>
      </c>
      <c r="R1437" s="1">
        <v>1502.12</v>
      </c>
      <c r="S1437" s="1" t="s">
        <v>46</v>
      </c>
      <c r="T1437" s="1" t="s">
        <v>232</v>
      </c>
      <c r="U1437" s="1" t="s">
        <v>35</v>
      </c>
      <c r="V1437" s="1" t="s">
        <v>36</v>
      </c>
    </row>
    <row r="1438" spans="1:22" x14ac:dyDescent="0.3">
      <c r="A1438" s="1" t="s">
        <v>6825</v>
      </c>
      <c r="B1438" s="1" t="s">
        <v>6826</v>
      </c>
      <c r="C1438" s="1">
        <v>36</v>
      </c>
      <c r="D1438" s="1" t="s">
        <v>6827</v>
      </c>
      <c r="E1438" s="1" t="s">
        <v>25</v>
      </c>
      <c r="F1438" s="1" t="s">
        <v>1982</v>
      </c>
      <c r="G1438" s="1" t="s">
        <v>63</v>
      </c>
      <c r="H1438" s="1">
        <v>1</v>
      </c>
      <c r="I1438" s="1" t="s">
        <v>64</v>
      </c>
      <c r="J1438" s="2">
        <v>45293</v>
      </c>
      <c r="K1438" s="1" t="s">
        <v>6828</v>
      </c>
      <c r="L1438" s="1">
        <v>2</v>
      </c>
      <c r="M1438" s="1">
        <v>34</v>
      </c>
      <c r="N1438" s="1" t="s">
        <v>56</v>
      </c>
      <c r="O1438" s="1" t="s">
        <v>135</v>
      </c>
      <c r="P1438" s="1" t="s">
        <v>45</v>
      </c>
      <c r="Q1438" s="1" t="s">
        <v>32</v>
      </c>
      <c r="R1438" s="1">
        <v>908.34</v>
      </c>
      <c r="S1438" s="1" t="s">
        <v>46</v>
      </c>
      <c r="T1438" s="1" t="s">
        <v>34</v>
      </c>
      <c r="U1438" s="1" t="s">
        <v>35</v>
      </c>
      <c r="V1438" s="1" t="s">
        <v>71</v>
      </c>
    </row>
    <row r="1439" spans="1:22" x14ac:dyDescent="0.3">
      <c r="A1439" s="1" t="s">
        <v>6829</v>
      </c>
      <c r="B1439" s="1" t="s">
        <v>6830</v>
      </c>
      <c r="C1439" s="1">
        <v>51</v>
      </c>
      <c r="D1439" s="1" t="s">
        <v>6831</v>
      </c>
      <c r="E1439" s="1" t="s">
        <v>88</v>
      </c>
      <c r="F1439" s="1" t="s">
        <v>1601</v>
      </c>
      <c r="G1439" s="1" t="s">
        <v>1811</v>
      </c>
      <c r="H1439" s="1">
        <v>0</v>
      </c>
      <c r="I1439" s="1" t="s">
        <v>27</v>
      </c>
      <c r="J1439" s="2">
        <v>45752</v>
      </c>
      <c r="K1439" s="1" t="s">
        <v>6832</v>
      </c>
      <c r="L1439" s="1">
        <v>4</v>
      </c>
      <c r="M1439" s="1">
        <v>15</v>
      </c>
      <c r="N1439" s="1" t="s">
        <v>68</v>
      </c>
      <c r="O1439" s="1" t="s">
        <v>128</v>
      </c>
      <c r="P1439" s="1" t="s">
        <v>54</v>
      </c>
      <c r="Q1439" s="1" t="s">
        <v>69</v>
      </c>
      <c r="R1439" s="1">
        <v>1197.2</v>
      </c>
      <c r="S1439" s="1" t="s">
        <v>46</v>
      </c>
      <c r="T1439" s="1" t="s">
        <v>47</v>
      </c>
      <c r="U1439" s="1" t="s">
        <v>35</v>
      </c>
      <c r="V1439" s="1" t="s">
        <v>36</v>
      </c>
    </row>
    <row r="1440" spans="1:22" x14ac:dyDescent="0.3">
      <c r="A1440" s="1" t="s">
        <v>6833</v>
      </c>
      <c r="B1440" s="1" t="s">
        <v>6834</v>
      </c>
      <c r="C1440" s="1">
        <v>64</v>
      </c>
      <c r="D1440" s="1" t="s">
        <v>6835</v>
      </c>
      <c r="E1440" s="1" t="s">
        <v>40</v>
      </c>
      <c r="F1440" s="2">
        <v>44357</v>
      </c>
      <c r="G1440" s="1" t="s">
        <v>1268</v>
      </c>
      <c r="H1440" s="1">
        <v>1</v>
      </c>
      <c r="I1440" s="1" t="s">
        <v>27</v>
      </c>
      <c r="J1440" s="2">
        <v>44838</v>
      </c>
      <c r="K1440" s="1" t="s">
        <v>6836</v>
      </c>
      <c r="L1440" s="1">
        <v>1</v>
      </c>
      <c r="M1440" s="1">
        <v>36</v>
      </c>
      <c r="N1440" s="1" t="s">
        <v>45</v>
      </c>
      <c r="O1440" s="1" t="s">
        <v>142</v>
      </c>
      <c r="P1440" s="1" t="s">
        <v>68</v>
      </c>
      <c r="Q1440" s="1" t="s">
        <v>32</v>
      </c>
      <c r="R1440" s="1">
        <v>234.74</v>
      </c>
      <c r="S1440" s="1" t="s">
        <v>46</v>
      </c>
      <c r="T1440" s="1" t="s">
        <v>47</v>
      </c>
      <c r="U1440" s="1" t="s">
        <v>35</v>
      </c>
      <c r="V1440" s="1" t="s">
        <v>36</v>
      </c>
    </row>
    <row r="1441" spans="1:22" x14ac:dyDescent="0.3">
      <c r="A1441" s="1" t="s">
        <v>6837</v>
      </c>
      <c r="B1441" s="1" t="s">
        <v>6838</v>
      </c>
      <c r="C1441" s="1">
        <v>63</v>
      </c>
      <c r="D1441" s="1" t="s">
        <v>6839</v>
      </c>
      <c r="E1441" s="1" t="s">
        <v>40</v>
      </c>
      <c r="F1441" s="1" t="s">
        <v>6840</v>
      </c>
      <c r="G1441" s="2">
        <v>44960</v>
      </c>
      <c r="H1441" s="1">
        <v>2</v>
      </c>
      <c r="I1441" s="1" t="s">
        <v>52</v>
      </c>
      <c r="J1441" s="1" t="s">
        <v>6841</v>
      </c>
      <c r="K1441" s="1" t="s">
        <v>6842</v>
      </c>
      <c r="L1441" s="1">
        <v>6</v>
      </c>
      <c r="M1441" s="1">
        <v>11</v>
      </c>
      <c r="N1441" s="1" t="s">
        <v>56</v>
      </c>
      <c r="O1441" s="1" t="s">
        <v>238</v>
      </c>
      <c r="P1441" s="1" t="s">
        <v>45</v>
      </c>
      <c r="Q1441" s="1" t="s">
        <v>32</v>
      </c>
      <c r="R1441" s="1">
        <v>1330.14</v>
      </c>
      <c r="S1441" s="1" t="s">
        <v>46</v>
      </c>
      <c r="T1441" s="1" t="s">
        <v>47</v>
      </c>
      <c r="U1441" s="1" t="s">
        <v>35</v>
      </c>
      <c r="V1441" s="1" t="s">
        <v>36</v>
      </c>
    </row>
    <row r="1442" spans="1:22" x14ac:dyDescent="0.3">
      <c r="A1442" s="1" t="s">
        <v>6843</v>
      </c>
      <c r="B1442" s="1" t="s">
        <v>6844</v>
      </c>
      <c r="C1442" s="1">
        <v>66</v>
      </c>
      <c r="D1442" s="1" t="s">
        <v>6845</v>
      </c>
      <c r="E1442" s="1" t="s">
        <v>95</v>
      </c>
      <c r="F1442" s="1" t="s">
        <v>1680</v>
      </c>
      <c r="G1442" s="2">
        <v>44868</v>
      </c>
      <c r="H1442" s="1">
        <v>4</v>
      </c>
      <c r="I1442" s="1" t="s">
        <v>64</v>
      </c>
      <c r="J1442" s="2">
        <v>44594</v>
      </c>
      <c r="K1442" s="1" t="s">
        <v>6846</v>
      </c>
      <c r="L1442" s="1">
        <v>2</v>
      </c>
      <c r="M1442" s="1">
        <v>37</v>
      </c>
      <c r="N1442" s="1" t="s">
        <v>54</v>
      </c>
      <c r="O1442" s="1" t="s">
        <v>238</v>
      </c>
      <c r="P1442" s="1" t="s">
        <v>45</v>
      </c>
      <c r="Q1442" s="1" t="s">
        <v>69</v>
      </c>
      <c r="R1442" s="1">
        <v>1489.12</v>
      </c>
      <c r="S1442" s="1" t="s">
        <v>46</v>
      </c>
      <c r="T1442" s="1" t="s">
        <v>232</v>
      </c>
      <c r="U1442" s="1" t="s">
        <v>35</v>
      </c>
      <c r="V1442" s="1" t="s">
        <v>71</v>
      </c>
    </row>
    <row r="1443" spans="1:22" x14ac:dyDescent="0.3">
      <c r="A1443" s="1" t="s">
        <v>6847</v>
      </c>
      <c r="B1443" s="1" t="s">
        <v>6848</v>
      </c>
      <c r="C1443" s="1">
        <v>26</v>
      </c>
      <c r="D1443" s="1" t="s">
        <v>6849</v>
      </c>
      <c r="E1443" s="1" t="s">
        <v>95</v>
      </c>
      <c r="F1443" s="1" t="s">
        <v>2087</v>
      </c>
      <c r="G1443" s="2">
        <v>44298</v>
      </c>
      <c r="H1443" s="1">
        <v>3</v>
      </c>
      <c r="I1443" s="1" t="s">
        <v>27</v>
      </c>
      <c r="J1443" s="2">
        <v>44328</v>
      </c>
      <c r="K1443" s="1" t="s">
        <v>6850</v>
      </c>
      <c r="L1443" s="1">
        <v>3</v>
      </c>
      <c r="M1443" s="1">
        <v>24</v>
      </c>
      <c r="N1443" s="1" t="s">
        <v>68</v>
      </c>
      <c r="O1443" s="1" t="s">
        <v>223</v>
      </c>
      <c r="P1443" s="1" t="s">
        <v>56</v>
      </c>
      <c r="Q1443" s="1" t="s">
        <v>69</v>
      </c>
      <c r="R1443" s="1">
        <v>1200.21</v>
      </c>
      <c r="S1443" s="1" t="s">
        <v>46</v>
      </c>
      <c r="T1443" s="1" t="s">
        <v>57</v>
      </c>
      <c r="U1443" s="1" t="s">
        <v>35</v>
      </c>
      <c r="V1443" s="1" t="s">
        <v>36</v>
      </c>
    </row>
    <row r="1444" spans="1:22" x14ac:dyDescent="0.3">
      <c r="A1444" s="1" t="s">
        <v>6851</v>
      </c>
      <c r="B1444" s="1" t="s">
        <v>6852</v>
      </c>
      <c r="C1444" s="1">
        <v>21</v>
      </c>
      <c r="D1444" s="1" t="s">
        <v>6853</v>
      </c>
      <c r="E1444" s="1" t="s">
        <v>40</v>
      </c>
      <c r="F1444" s="1" t="s">
        <v>1955</v>
      </c>
      <c r="G1444" s="2">
        <v>45363</v>
      </c>
      <c r="H1444" s="1">
        <v>5</v>
      </c>
      <c r="I1444" s="1" t="s">
        <v>52</v>
      </c>
      <c r="J1444" s="2">
        <v>44657</v>
      </c>
      <c r="K1444" s="1" t="s">
        <v>6854</v>
      </c>
      <c r="L1444" s="1">
        <v>3</v>
      </c>
      <c r="M1444" s="1">
        <v>34</v>
      </c>
      <c r="N1444" s="1" t="s">
        <v>30</v>
      </c>
      <c r="O1444" s="1" t="s">
        <v>91</v>
      </c>
      <c r="P1444" s="1" t="s">
        <v>54</v>
      </c>
      <c r="Q1444" s="1" t="s">
        <v>69</v>
      </c>
      <c r="R1444" s="1">
        <v>1172.97</v>
      </c>
      <c r="S1444" s="1" t="s">
        <v>46</v>
      </c>
      <c r="T1444" s="1" t="s">
        <v>100</v>
      </c>
      <c r="U1444" s="1" t="s">
        <v>35</v>
      </c>
      <c r="V1444" s="1" t="s">
        <v>36</v>
      </c>
    </row>
    <row r="1445" spans="1:22" x14ac:dyDescent="0.3">
      <c r="A1445" s="1" t="s">
        <v>6855</v>
      </c>
      <c r="B1445" s="1" t="s">
        <v>6856</v>
      </c>
      <c r="C1445" s="1">
        <v>64</v>
      </c>
      <c r="D1445" s="1" t="s">
        <v>6857</v>
      </c>
      <c r="E1445" s="1" t="s">
        <v>61</v>
      </c>
      <c r="F1445" s="2">
        <v>44384</v>
      </c>
      <c r="G1445" s="2">
        <v>44594</v>
      </c>
      <c r="H1445" s="1">
        <v>2</v>
      </c>
      <c r="I1445" s="1" t="s">
        <v>52</v>
      </c>
      <c r="J1445" s="1" t="s">
        <v>1796</v>
      </c>
      <c r="K1445" s="1" t="s">
        <v>6858</v>
      </c>
      <c r="L1445" s="1">
        <v>4</v>
      </c>
      <c r="M1445" s="1">
        <v>8</v>
      </c>
      <c r="N1445" s="1" t="s">
        <v>30</v>
      </c>
      <c r="O1445" s="1" t="s">
        <v>211</v>
      </c>
      <c r="P1445" s="1" t="s">
        <v>68</v>
      </c>
      <c r="Q1445" s="1" t="s">
        <v>69</v>
      </c>
      <c r="R1445" s="1">
        <v>445.12</v>
      </c>
      <c r="S1445" s="1" t="s">
        <v>46</v>
      </c>
      <c r="T1445" s="1" t="s">
        <v>47</v>
      </c>
      <c r="U1445" s="1" t="s">
        <v>35</v>
      </c>
      <c r="V1445" s="1" t="s">
        <v>36</v>
      </c>
    </row>
    <row r="1446" spans="1:22" x14ac:dyDescent="0.3">
      <c r="A1446" s="1" t="s">
        <v>6859</v>
      </c>
      <c r="B1446" s="1" t="s">
        <v>6860</v>
      </c>
      <c r="C1446" s="1">
        <v>45</v>
      </c>
      <c r="D1446" s="1" t="s">
        <v>6861</v>
      </c>
      <c r="E1446" s="1" t="s">
        <v>61</v>
      </c>
      <c r="F1446" s="1" t="s">
        <v>5110</v>
      </c>
      <c r="G1446" s="1" t="s">
        <v>602</v>
      </c>
      <c r="H1446" s="1">
        <v>3</v>
      </c>
      <c r="I1446" s="1" t="s">
        <v>27</v>
      </c>
      <c r="J1446" s="2">
        <v>45754</v>
      </c>
      <c r="K1446" s="1" t="s">
        <v>6862</v>
      </c>
      <c r="L1446" s="1">
        <v>7</v>
      </c>
      <c r="M1446" s="1">
        <v>49</v>
      </c>
      <c r="N1446" s="1" t="s">
        <v>68</v>
      </c>
      <c r="O1446" s="1" t="s">
        <v>55</v>
      </c>
      <c r="P1446" s="1" t="s">
        <v>56</v>
      </c>
      <c r="Q1446" s="1" t="s">
        <v>32</v>
      </c>
      <c r="R1446" s="1">
        <v>1822.52</v>
      </c>
      <c r="S1446" s="1" t="s">
        <v>46</v>
      </c>
      <c r="T1446" s="1" t="s">
        <v>34</v>
      </c>
      <c r="U1446" s="1" t="s">
        <v>35</v>
      </c>
      <c r="V1446" s="1" t="s">
        <v>36</v>
      </c>
    </row>
    <row r="1447" spans="1:22" x14ac:dyDescent="0.3">
      <c r="A1447" s="1" t="s">
        <v>6863</v>
      </c>
      <c r="B1447" s="1" t="s">
        <v>6864</v>
      </c>
      <c r="C1447" s="1">
        <v>26</v>
      </c>
      <c r="D1447" s="1" t="s">
        <v>6865</v>
      </c>
      <c r="E1447" s="1" t="s">
        <v>61</v>
      </c>
      <c r="F1447" s="1" t="s">
        <v>6866</v>
      </c>
      <c r="G1447" s="1" t="s">
        <v>161</v>
      </c>
      <c r="H1447" s="1">
        <v>5</v>
      </c>
      <c r="I1447" s="1" t="s">
        <v>64</v>
      </c>
      <c r="J1447" s="1" t="s">
        <v>3183</v>
      </c>
      <c r="K1447" s="1" t="s">
        <v>2650</v>
      </c>
      <c r="L1447" s="1">
        <v>6</v>
      </c>
      <c r="M1447" s="1">
        <v>15</v>
      </c>
      <c r="N1447" s="1" t="s">
        <v>45</v>
      </c>
      <c r="O1447" s="1" t="s">
        <v>157</v>
      </c>
      <c r="P1447" s="1" t="s">
        <v>68</v>
      </c>
      <c r="Q1447" s="1" t="s">
        <v>32</v>
      </c>
      <c r="R1447" s="1">
        <v>1370.04</v>
      </c>
      <c r="S1447" s="1" t="s">
        <v>46</v>
      </c>
      <c r="T1447" s="1" t="s">
        <v>57</v>
      </c>
      <c r="U1447" s="1" t="s">
        <v>35</v>
      </c>
      <c r="V1447" s="1" t="s">
        <v>71</v>
      </c>
    </row>
    <row r="1448" spans="1:22" x14ac:dyDescent="0.3">
      <c r="A1448" s="1" t="s">
        <v>6867</v>
      </c>
      <c r="B1448" s="1" t="s">
        <v>6868</v>
      </c>
      <c r="C1448" s="1">
        <v>31</v>
      </c>
      <c r="D1448" s="1" t="s">
        <v>6869</v>
      </c>
      <c r="E1448" s="1" t="s">
        <v>95</v>
      </c>
      <c r="F1448" s="1" t="s">
        <v>6870</v>
      </c>
      <c r="G1448" s="1" t="s">
        <v>243</v>
      </c>
      <c r="H1448" s="1">
        <v>2</v>
      </c>
      <c r="I1448" s="1" t="s">
        <v>27</v>
      </c>
      <c r="J1448" s="2">
        <v>44682</v>
      </c>
      <c r="K1448" s="1" t="s">
        <v>6871</v>
      </c>
      <c r="L1448" s="1">
        <v>8</v>
      </c>
      <c r="M1448" s="1">
        <v>45</v>
      </c>
      <c r="N1448" s="1" t="s">
        <v>68</v>
      </c>
      <c r="O1448" s="1" t="s">
        <v>238</v>
      </c>
      <c r="P1448" s="1" t="s">
        <v>45</v>
      </c>
      <c r="Q1448" s="1" t="s">
        <v>32</v>
      </c>
      <c r="R1448" s="1">
        <v>1192.08</v>
      </c>
      <c r="S1448" s="1" t="s">
        <v>46</v>
      </c>
      <c r="T1448" s="1" t="s">
        <v>57</v>
      </c>
      <c r="U1448" s="1" t="s">
        <v>35</v>
      </c>
      <c r="V1448" s="1" t="s">
        <v>36</v>
      </c>
    </row>
    <row r="1449" spans="1:22" x14ac:dyDescent="0.3">
      <c r="A1449" s="1" t="s">
        <v>6872</v>
      </c>
      <c r="B1449" s="1" t="s">
        <v>6873</v>
      </c>
      <c r="C1449" s="1">
        <v>67</v>
      </c>
      <c r="D1449" s="1" t="s">
        <v>6874</v>
      </c>
      <c r="E1449" s="1" t="s">
        <v>95</v>
      </c>
      <c r="F1449" s="1" t="s">
        <v>5393</v>
      </c>
      <c r="G1449" s="2">
        <v>44907</v>
      </c>
      <c r="H1449" s="1">
        <v>1</v>
      </c>
      <c r="I1449" s="1" t="s">
        <v>27</v>
      </c>
      <c r="J1449" s="1" t="s">
        <v>1960</v>
      </c>
      <c r="K1449" s="1" t="s">
        <v>6875</v>
      </c>
      <c r="L1449" s="1">
        <v>2</v>
      </c>
      <c r="M1449" s="1">
        <v>6</v>
      </c>
      <c r="N1449" s="1" t="s">
        <v>45</v>
      </c>
      <c r="O1449" s="1" t="s">
        <v>821</v>
      </c>
      <c r="P1449" s="1" t="s">
        <v>68</v>
      </c>
      <c r="Q1449" s="1" t="s">
        <v>32</v>
      </c>
      <c r="R1449" s="1">
        <v>1205.24</v>
      </c>
      <c r="S1449" s="1" t="s">
        <v>46</v>
      </c>
      <c r="T1449" s="1" t="s">
        <v>232</v>
      </c>
      <c r="U1449" s="1" t="s">
        <v>35</v>
      </c>
      <c r="V1449" s="1" t="s">
        <v>36</v>
      </c>
    </row>
    <row r="1450" spans="1:22" x14ac:dyDescent="0.3">
      <c r="A1450" s="1" t="s">
        <v>6876</v>
      </c>
      <c r="B1450" s="1" t="s">
        <v>6877</v>
      </c>
      <c r="C1450" s="1">
        <v>52</v>
      </c>
      <c r="D1450" s="1" t="s">
        <v>6878</v>
      </c>
      <c r="E1450" s="1" t="s">
        <v>40</v>
      </c>
      <c r="F1450" s="1" t="s">
        <v>1577</v>
      </c>
      <c r="G1450" s="2">
        <v>45782</v>
      </c>
      <c r="H1450" s="1">
        <v>5</v>
      </c>
      <c r="I1450" s="1" t="s">
        <v>27</v>
      </c>
      <c r="J1450" s="1" t="s">
        <v>2849</v>
      </c>
      <c r="K1450" s="1" t="s">
        <v>6879</v>
      </c>
      <c r="L1450" s="1">
        <v>5</v>
      </c>
      <c r="M1450" s="1">
        <v>22</v>
      </c>
      <c r="N1450" s="1" t="s">
        <v>56</v>
      </c>
      <c r="O1450" s="1" t="s">
        <v>536</v>
      </c>
      <c r="P1450" s="1" t="s">
        <v>68</v>
      </c>
      <c r="Q1450" s="1" t="s">
        <v>69</v>
      </c>
      <c r="R1450" s="1">
        <v>1618.55</v>
      </c>
      <c r="S1450" s="1" t="s">
        <v>46</v>
      </c>
      <c r="T1450" s="1" t="s">
        <v>47</v>
      </c>
      <c r="U1450" s="1" t="s">
        <v>35</v>
      </c>
      <c r="V1450" s="1" t="s">
        <v>188</v>
      </c>
    </row>
    <row r="1451" spans="1:22" x14ac:dyDescent="0.3">
      <c r="A1451" s="1" t="s">
        <v>6880</v>
      </c>
      <c r="B1451" s="1" t="s">
        <v>6881</v>
      </c>
      <c r="C1451" s="1">
        <v>58</v>
      </c>
      <c r="D1451" s="1" t="s">
        <v>6882</v>
      </c>
      <c r="E1451" s="1" t="s">
        <v>61</v>
      </c>
      <c r="F1451" s="1" t="s">
        <v>6086</v>
      </c>
      <c r="G1451" s="1" t="s">
        <v>3283</v>
      </c>
      <c r="H1451" s="1">
        <v>1</v>
      </c>
      <c r="I1451" s="1" t="s">
        <v>27</v>
      </c>
      <c r="J1451" s="1" t="s">
        <v>1971</v>
      </c>
      <c r="K1451" s="1" t="s">
        <v>6883</v>
      </c>
      <c r="L1451" s="1">
        <v>9</v>
      </c>
      <c r="M1451" s="1">
        <v>44</v>
      </c>
      <c r="N1451" s="1" t="s">
        <v>68</v>
      </c>
      <c r="O1451" s="1" t="s">
        <v>175</v>
      </c>
      <c r="P1451" s="1" t="s">
        <v>56</v>
      </c>
      <c r="Q1451" s="1" t="s">
        <v>69</v>
      </c>
      <c r="R1451" s="1">
        <v>1838.97</v>
      </c>
      <c r="S1451" s="1" t="s">
        <v>46</v>
      </c>
      <c r="T1451" s="1" t="s">
        <v>47</v>
      </c>
      <c r="U1451" s="1" t="s">
        <v>35</v>
      </c>
      <c r="V1451" s="1" t="s">
        <v>36</v>
      </c>
    </row>
    <row r="1452" spans="1:22" x14ac:dyDescent="0.3">
      <c r="A1452" s="1" t="s">
        <v>6884</v>
      </c>
      <c r="B1452" s="1" t="s">
        <v>6885</v>
      </c>
      <c r="C1452" s="1">
        <v>42</v>
      </c>
      <c r="D1452" s="1" t="s">
        <v>6886</v>
      </c>
      <c r="E1452" s="1" t="s">
        <v>51</v>
      </c>
      <c r="F1452" s="2">
        <v>45237</v>
      </c>
      <c r="G1452" s="2">
        <v>45754</v>
      </c>
      <c r="H1452" s="1">
        <v>1</v>
      </c>
      <c r="I1452" s="1" t="s">
        <v>27</v>
      </c>
      <c r="J1452" s="2">
        <v>45302</v>
      </c>
      <c r="K1452" s="1" t="s">
        <v>6887</v>
      </c>
      <c r="L1452" s="1">
        <v>6</v>
      </c>
      <c r="M1452" s="1">
        <v>14</v>
      </c>
      <c r="N1452" s="1" t="s">
        <v>56</v>
      </c>
      <c r="O1452" s="1" t="s">
        <v>245</v>
      </c>
      <c r="P1452" s="1" t="s">
        <v>54</v>
      </c>
      <c r="Q1452" s="1" t="s">
        <v>69</v>
      </c>
      <c r="R1452" s="1">
        <v>1626.48</v>
      </c>
      <c r="S1452" s="1" t="s">
        <v>46</v>
      </c>
      <c r="T1452" s="1" t="s">
        <v>34</v>
      </c>
      <c r="U1452" s="1" t="s">
        <v>35</v>
      </c>
      <c r="V1452" s="1" t="s">
        <v>36</v>
      </c>
    </row>
    <row r="1453" spans="1:22" x14ac:dyDescent="0.3">
      <c r="A1453" s="1" t="s">
        <v>6888</v>
      </c>
      <c r="B1453" s="1" t="s">
        <v>6889</v>
      </c>
      <c r="C1453" s="1">
        <v>52</v>
      </c>
      <c r="D1453" s="1" t="s">
        <v>6890</v>
      </c>
      <c r="E1453" s="1" t="s">
        <v>25</v>
      </c>
      <c r="F1453" s="1" t="s">
        <v>6095</v>
      </c>
      <c r="G1453" s="2">
        <v>45422</v>
      </c>
      <c r="H1453" s="1">
        <v>5</v>
      </c>
      <c r="I1453" s="1" t="s">
        <v>27</v>
      </c>
      <c r="J1453" s="2">
        <v>45574</v>
      </c>
      <c r="K1453" s="1" t="s">
        <v>6891</v>
      </c>
      <c r="L1453" s="1">
        <v>8</v>
      </c>
      <c r="M1453" s="1">
        <v>48</v>
      </c>
      <c r="N1453" s="1" t="s">
        <v>68</v>
      </c>
      <c r="O1453" s="1" t="s">
        <v>31</v>
      </c>
      <c r="P1453" s="1" t="s">
        <v>30</v>
      </c>
      <c r="Q1453" s="1" t="s">
        <v>32</v>
      </c>
      <c r="R1453" s="1">
        <v>1224.08</v>
      </c>
      <c r="S1453" s="1" t="s">
        <v>46</v>
      </c>
      <c r="T1453" s="1" t="s">
        <v>47</v>
      </c>
      <c r="U1453" s="1" t="s">
        <v>35</v>
      </c>
      <c r="V1453" s="1" t="s">
        <v>188</v>
      </c>
    </row>
    <row r="1454" spans="1:22" x14ac:dyDescent="0.3">
      <c r="A1454" s="1" t="s">
        <v>6892</v>
      </c>
      <c r="B1454" s="1" t="s">
        <v>6893</v>
      </c>
      <c r="C1454" s="1">
        <v>65</v>
      </c>
      <c r="D1454" s="1" t="s">
        <v>6894</v>
      </c>
      <c r="E1454" s="1" t="s">
        <v>51</v>
      </c>
      <c r="F1454" s="1" t="s">
        <v>1769</v>
      </c>
      <c r="G1454" s="1" t="s">
        <v>2000</v>
      </c>
      <c r="H1454" s="1">
        <v>1</v>
      </c>
      <c r="I1454" s="1" t="s">
        <v>52</v>
      </c>
      <c r="J1454" s="1" t="s">
        <v>274</v>
      </c>
      <c r="K1454" s="1" t="s">
        <v>6895</v>
      </c>
      <c r="L1454" s="1">
        <v>8</v>
      </c>
      <c r="M1454" s="1">
        <v>32</v>
      </c>
      <c r="N1454" s="1" t="s">
        <v>68</v>
      </c>
      <c r="O1454" s="1" t="s">
        <v>122</v>
      </c>
      <c r="P1454" s="1" t="s">
        <v>30</v>
      </c>
      <c r="Q1454" s="1" t="s">
        <v>32</v>
      </c>
      <c r="R1454" s="1">
        <v>1842.8</v>
      </c>
      <c r="S1454" s="1" t="s">
        <v>46</v>
      </c>
      <c r="T1454" s="1" t="s">
        <v>232</v>
      </c>
      <c r="U1454" s="1" t="s">
        <v>35</v>
      </c>
      <c r="V1454" s="1" t="s">
        <v>36</v>
      </c>
    </row>
    <row r="1455" spans="1:22" x14ac:dyDescent="0.3">
      <c r="A1455" s="1" t="s">
        <v>6896</v>
      </c>
      <c r="B1455" s="1" t="s">
        <v>6897</v>
      </c>
      <c r="C1455" s="1">
        <v>60</v>
      </c>
      <c r="D1455" s="1" t="s">
        <v>6898</v>
      </c>
      <c r="E1455" s="1" t="s">
        <v>95</v>
      </c>
      <c r="F1455" s="2">
        <v>45049</v>
      </c>
      <c r="G1455" s="1" t="s">
        <v>929</v>
      </c>
      <c r="H1455" s="1">
        <v>1</v>
      </c>
      <c r="I1455" s="1" t="s">
        <v>52</v>
      </c>
      <c r="J1455" s="1" t="s">
        <v>5045</v>
      </c>
      <c r="K1455" s="1" t="s">
        <v>6899</v>
      </c>
      <c r="L1455" s="1">
        <v>9</v>
      </c>
      <c r="M1455" s="1">
        <v>17</v>
      </c>
      <c r="N1455" s="1" t="s">
        <v>54</v>
      </c>
      <c r="O1455" s="1" t="s">
        <v>231</v>
      </c>
      <c r="P1455" s="1" t="s">
        <v>30</v>
      </c>
      <c r="Q1455" s="1" t="s">
        <v>32</v>
      </c>
      <c r="R1455" s="1">
        <v>603.99</v>
      </c>
      <c r="S1455" s="1" t="s">
        <v>46</v>
      </c>
      <c r="T1455" s="1" t="s">
        <v>47</v>
      </c>
      <c r="U1455" s="1" t="s">
        <v>35</v>
      </c>
      <c r="V1455" s="1" t="s">
        <v>36</v>
      </c>
    </row>
    <row r="1456" spans="1:22" x14ac:dyDescent="0.3">
      <c r="A1456" s="1" t="s">
        <v>6900</v>
      </c>
      <c r="B1456" s="1" t="s">
        <v>6901</v>
      </c>
      <c r="C1456" s="1">
        <v>23</v>
      </c>
      <c r="D1456" s="1" t="s">
        <v>6902</v>
      </c>
      <c r="E1456" s="1" t="s">
        <v>95</v>
      </c>
      <c r="F1456" s="1" t="s">
        <v>242</v>
      </c>
      <c r="G1456" s="1" t="s">
        <v>3251</v>
      </c>
      <c r="H1456" s="1">
        <v>1</v>
      </c>
      <c r="I1456" s="1" t="s">
        <v>64</v>
      </c>
      <c r="J1456" s="1" t="s">
        <v>4703</v>
      </c>
      <c r="K1456" s="1" t="s">
        <v>6903</v>
      </c>
      <c r="L1456" s="1">
        <v>6</v>
      </c>
      <c r="M1456" s="1">
        <v>27</v>
      </c>
      <c r="N1456" s="1" t="s">
        <v>45</v>
      </c>
      <c r="O1456" s="1" t="s">
        <v>245</v>
      </c>
      <c r="P1456" s="1" t="s">
        <v>54</v>
      </c>
      <c r="Q1456" s="1" t="s">
        <v>32</v>
      </c>
      <c r="R1456" s="1">
        <v>104.4</v>
      </c>
      <c r="S1456" s="1" t="s">
        <v>46</v>
      </c>
      <c r="T1456" s="1" t="s">
        <v>100</v>
      </c>
      <c r="U1456" s="1" t="s">
        <v>35</v>
      </c>
      <c r="V1456" s="1" t="s">
        <v>71</v>
      </c>
    </row>
    <row r="1457" spans="1:22" x14ac:dyDescent="0.3">
      <c r="A1457" s="1" t="s">
        <v>6904</v>
      </c>
      <c r="B1457" s="1" t="s">
        <v>6905</v>
      </c>
      <c r="C1457" s="1">
        <v>48</v>
      </c>
      <c r="D1457" s="1" t="s">
        <v>6906</v>
      </c>
      <c r="E1457" s="1" t="s">
        <v>95</v>
      </c>
      <c r="F1457" s="1" t="s">
        <v>2484</v>
      </c>
      <c r="G1457" s="1" t="s">
        <v>2088</v>
      </c>
      <c r="H1457" s="1">
        <v>1</v>
      </c>
      <c r="I1457" s="1" t="s">
        <v>27</v>
      </c>
      <c r="J1457" s="2">
        <v>45455</v>
      </c>
      <c r="K1457" s="1" t="s">
        <v>6907</v>
      </c>
      <c r="L1457" s="1">
        <v>2</v>
      </c>
      <c r="M1457" s="1">
        <v>16</v>
      </c>
      <c r="N1457" s="1" t="s">
        <v>45</v>
      </c>
      <c r="O1457" s="1" t="s">
        <v>77</v>
      </c>
      <c r="P1457" s="1" t="s">
        <v>54</v>
      </c>
      <c r="Q1457" s="1" t="s">
        <v>69</v>
      </c>
      <c r="R1457" s="1">
        <v>1394.4</v>
      </c>
      <c r="S1457" s="1" t="s">
        <v>46</v>
      </c>
      <c r="T1457" s="1" t="s">
        <v>34</v>
      </c>
      <c r="U1457" s="1" t="s">
        <v>35</v>
      </c>
      <c r="V1457" s="1" t="s">
        <v>36</v>
      </c>
    </row>
    <row r="1458" spans="1:22" x14ac:dyDescent="0.3">
      <c r="A1458" s="1" t="s">
        <v>6908</v>
      </c>
      <c r="B1458" s="1" t="s">
        <v>6909</v>
      </c>
      <c r="C1458" s="1">
        <v>44</v>
      </c>
      <c r="D1458" s="1" t="s">
        <v>6910</v>
      </c>
      <c r="E1458" s="1" t="s">
        <v>88</v>
      </c>
      <c r="F1458" s="2">
        <v>44503</v>
      </c>
      <c r="G1458" s="2">
        <v>44572</v>
      </c>
      <c r="H1458" s="1">
        <v>5</v>
      </c>
      <c r="I1458" s="1" t="s">
        <v>27</v>
      </c>
      <c r="J1458" s="1" t="s">
        <v>5332</v>
      </c>
      <c r="K1458" s="1" t="s">
        <v>6911</v>
      </c>
      <c r="L1458" s="1">
        <v>2</v>
      </c>
      <c r="M1458" s="1">
        <v>45</v>
      </c>
      <c r="N1458" s="1" t="s">
        <v>56</v>
      </c>
      <c r="O1458" s="1" t="s">
        <v>624</v>
      </c>
      <c r="P1458" s="1" t="s">
        <v>30</v>
      </c>
      <c r="Q1458" s="1" t="s">
        <v>69</v>
      </c>
      <c r="R1458" s="1">
        <v>1952.02</v>
      </c>
      <c r="S1458" s="1" t="s">
        <v>46</v>
      </c>
      <c r="T1458" s="1" t="s">
        <v>34</v>
      </c>
      <c r="U1458" s="1" t="s">
        <v>35</v>
      </c>
      <c r="V1458" s="1" t="s">
        <v>188</v>
      </c>
    </row>
    <row r="1459" spans="1:22" x14ac:dyDescent="0.3">
      <c r="A1459" s="1" t="s">
        <v>6912</v>
      </c>
      <c r="B1459" s="1" t="s">
        <v>6913</v>
      </c>
      <c r="C1459" s="1">
        <v>35</v>
      </c>
      <c r="D1459" s="1" t="s">
        <v>6914</v>
      </c>
      <c r="E1459" s="1" t="s">
        <v>95</v>
      </c>
      <c r="F1459" s="2">
        <v>45144</v>
      </c>
      <c r="G1459" s="1" t="s">
        <v>1106</v>
      </c>
      <c r="H1459" s="1">
        <v>1</v>
      </c>
      <c r="I1459" s="1" t="s">
        <v>27</v>
      </c>
      <c r="J1459" s="1" t="s">
        <v>578</v>
      </c>
      <c r="K1459" s="1" t="s">
        <v>6915</v>
      </c>
      <c r="L1459" s="1">
        <v>7</v>
      </c>
      <c r="M1459" s="1">
        <v>15</v>
      </c>
      <c r="N1459" s="1" t="s">
        <v>68</v>
      </c>
      <c r="O1459" s="1" t="s">
        <v>211</v>
      </c>
      <c r="P1459" s="1" t="s">
        <v>68</v>
      </c>
      <c r="Q1459" s="1" t="s">
        <v>69</v>
      </c>
      <c r="R1459" s="1">
        <v>1680.91</v>
      </c>
      <c r="S1459" s="1" t="s">
        <v>33</v>
      </c>
      <c r="T1459" s="1" t="s">
        <v>34</v>
      </c>
      <c r="U1459" s="1" t="s">
        <v>35</v>
      </c>
      <c r="V1459" s="1" t="s">
        <v>36</v>
      </c>
    </row>
    <row r="1460" spans="1:22" x14ac:dyDescent="0.3">
      <c r="A1460" s="1" t="s">
        <v>6916</v>
      </c>
      <c r="B1460" s="1" t="s">
        <v>6917</v>
      </c>
      <c r="C1460" s="1">
        <v>43</v>
      </c>
      <c r="D1460" s="1" t="s">
        <v>6918</v>
      </c>
      <c r="E1460" s="1" t="s">
        <v>40</v>
      </c>
      <c r="F1460" s="2">
        <v>44816</v>
      </c>
      <c r="G1460" s="2">
        <v>45234</v>
      </c>
      <c r="H1460" s="1">
        <v>5</v>
      </c>
      <c r="I1460" s="1" t="s">
        <v>52</v>
      </c>
      <c r="J1460" s="1" t="s">
        <v>5946</v>
      </c>
      <c r="K1460" s="1" t="s">
        <v>6919</v>
      </c>
      <c r="L1460" s="1">
        <v>7</v>
      </c>
      <c r="M1460" s="1">
        <v>19</v>
      </c>
      <c r="N1460" s="1" t="s">
        <v>54</v>
      </c>
      <c r="O1460" s="1" t="s">
        <v>194</v>
      </c>
      <c r="P1460" s="1" t="s">
        <v>56</v>
      </c>
      <c r="Q1460" s="1" t="s">
        <v>69</v>
      </c>
      <c r="R1460" s="1">
        <v>572.88</v>
      </c>
      <c r="S1460" s="1" t="s">
        <v>46</v>
      </c>
      <c r="T1460" s="1" t="s">
        <v>34</v>
      </c>
      <c r="U1460" s="1" t="s">
        <v>35</v>
      </c>
      <c r="V1460" s="1" t="s">
        <v>36</v>
      </c>
    </row>
    <row r="1461" spans="1:22" x14ac:dyDescent="0.3">
      <c r="A1461" s="1" t="s">
        <v>6920</v>
      </c>
      <c r="B1461" s="1" t="s">
        <v>6921</v>
      </c>
      <c r="C1461" s="1">
        <v>66</v>
      </c>
      <c r="D1461" s="1" t="s">
        <v>6922</v>
      </c>
      <c r="E1461" s="1" t="s">
        <v>61</v>
      </c>
      <c r="F1461" s="2">
        <v>44175</v>
      </c>
      <c r="G1461" s="1" t="s">
        <v>6557</v>
      </c>
      <c r="H1461" s="1">
        <v>2</v>
      </c>
      <c r="I1461" s="1" t="s">
        <v>27</v>
      </c>
      <c r="J1461" s="1" t="s">
        <v>995</v>
      </c>
      <c r="K1461" s="1" t="s">
        <v>6923</v>
      </c>
      <c r="L1461" s="1">
        <v>7</v>
      </c>
      <c r="M1461" s="1">
        <v>22</v>
      </c>
      <c r="N1461" s="1" t="s">
        <v>45</v>
      </c>
      <c r="O1461" s="1" t="s">
        <v>425</v>
      </c>
      <c r="P1461" s="1" t="s">
        <v>30</v>
      </c>
      <c r="Q1461" s="1" t="s">
        <v>32</v>
      </c>
      <c r="R1461" s="1">
        <v>884.73</v>
      </c>
      <c r="S1461" s="1" t="s">
        <v>46</v>
      </c>
      <c r="T1461" s="1" t="s">
        <v>232</v>
      </c>
      <c r="U1461" s="1" t="s">
        <v>35</v>
      </c>
      <c r="V1461" s="1" t="s">
        <v>36</v>
      </c>
    </row>
    <row r="1462" spans="1:22" x14ac:dyDescent="0.3">
      <c r="A1462" s="1" t="s">
        <v>6924</v>
      </c>
      <c r="B1462" s="1" t="s">
        <v>6925</v>
      </c>
      <c r="C1462" s="1">
        <v>42</v>
      </c>
      <c r="D1462" s="1" t="s">
        <v>6926</v>
      </c>
      <c r="E1462" s="1" t="s">
        <v>88</v>
      </c>
      <c r="F1462" s="1" t="s">
        <v>723</v>
      </c>
      <c r="G1462" s="2">
        <v>45083</v>
      </c>
      <c r="H1462" s="1">
        <v>3</v>
      </c>
      <c r="I1462" s="1" t="s">
        <v>64</v>
      </c>
      <c r="J1462" s="1" t="s">
        <v>2470</v>
      </c>
      <c r="K1462" s="1" t="s">
        <v>6927</v>
      </c>
      <c r="L1462" s="1">
        <v>4</v>
      </c>
      <c r="M1462" s="1">
        <v>27</v>
      </c>
      <c r="N1462" s="1" t="s">
        <v>56</v>
      </c>
      <c r="O1462" s="1" t="s">
        <v>269</v>
      </c>
      <c r="P1462" s="1" t="s">
        <v>56</v>
      </c>
      <c r="Q1462" s="1" t="s">
        <v>69</v>
      </c>
      <c r="R1462" s="1">
        <v>202.64</v>
      </c>
      <c r="S1462" s="1" t="s">
        <v>33</v>
      </c>
      <c r="T1462" s="1" t="s">
        <v>34</v>
      </c>
      <c r="U1462" s="1" t="s">
        <v>35</v>
      </c>
      <c r="V1462" s="1" t="s">
        <v>71</v>
      </c>
    </row>
    <row r="1463" spans="1:22" x14ac:dyDescent="0.3">
      <c r="A1463" s="1" t="s">
        <v>6928</v>
      </c>
      <c r="B1463" s="1" t="s">
        <v>6929</v>
      </c>
      <c r="C1463" s="1">
        <v>20</v>
      </c>
      <c r="D1463" s="1" t="s">
        <v>6930</v>
      </c>
      <c r="E1463" s="1" t="s">
        <v>51</v>
      </c>
      <c r="F1463" s="1" t="s">
        <v>5977</v>
      </c>
      <c r="G1463" s="1" t="s">
        <v>2578</v>
      </c>
      <c r="H1463" s="1">
        <v>4</v>
      </c>
      <c r="I1463" s="1" t="s">
        <v>27</v>
      </c>
      <c r="J1463" s="1" t="s">
        <v>1690</v>
      </c>
      <c r="K1463" s="1" t="s">
        <v>6931</v>
      </c>
      <c r="L1463" s="1">
        <v>1</v>
      </c>
      <c r="M1463" s="1">
        <v>18</v>
      </c>
      <c r="N1463" s="1" t="s">
        <v>54</v>
      </c>
      <c r="O1463" s="1" t="s">
        <v>245</v>
      </c>
      <c r="P1463" s="1" t="s">
        <v>54</v>
      </c>
      <c r="Q1463" s="1" t="s">
        <v>32</v>
      </c>
      <c r="R1463" s="1">
        <v>1034.24</v>
      </c>
      <c r="S1463" s="1" t="s">
        <v>33</v>
      </c>
      <c r="T1463" s="1" t="s">
        <v>100</v>
      </c>
      <c r="U1463" s="1" t="s">
        <v>35</v>
      </c>
      <c r="V1463" s="1" t="s">
        <v>188</v>
      </c>
    </row>
    <row r="1464" spans="1:22" x14ac:dyDescent="0.3">
      <c r="A1464" s="1" t="s">
        <v>6932</v>
      </c>
      <c r="B1464" s="1" t="s">
        <v>6933</v>
      </c>
      <c r="C1464" s="1">
        <v>47</v>
      </c>
      <c r="D1464" s="1" t="s">
        <v>6934</v>
      </c>
      <c r="E1464" s="1" t="s">
        <v>25</v>
      </c>
      <c r="F1464" s="2">
        <v>44324</v>
      </c>
      <c r="G1464" s="2">
        <v>45691</v>
      </c>
      <c r="H1464" s="1">
        <v>4</v>
      </c>
      <c r="I1464" s="1" t="s">
        <v>64</v>
      </c>
      <c r="J1464" s="1" t="s">
        <v>1174</v>
      </c>
      <c r="K1464" s="1" t="s">
        <v>1573</v>
      </c>
      <c r="L1464" s="1">
        <v>9</v>
      </c>
      <c r="M1464" s="1">
        <v>24</v>
      </c>
      <c r="N1464" s="1" t="s">
        <v>54</v>
      </c>
      <c r="O1464" s="1" t="s">
        <v>604</v>
      </c>
      <c r="P1464" s="1" t="s">
        <v>45</v>
      </c>
      <c r="Q1464" s="1" t="s">
        <v>32</v>
      </c>
      <c r="R1464" s="1">
        <v>393.84</v>
      </c>
      <c r="S1464" s="1" t="s">
        <v>46</v>
      </c>
      <c r="T1464" s="1" t="s">
        <v>34</v>
      </c>
      <c r="U1464" s="1" t="s">
        <v>35</v>
      </c>
      <c r="V1464" s="1" t="s">
        <v>71</v>
      </c>
    </row>
    <row r="1465" spans="1:22" x14ac:dyDescent="0.3">
      <c r="A1465" s="1" t="s">
        <v>6935</v>
      </c>
      <c r="B1465" s="1" t="s">
        <v>6936</v>
      </c>
      <c r="C1465" s="1">
        <v>68</v>
      </c>
      <c r="D1465" s="1" t="s">
        <v>6937</v>
      </c>
      <c r="E1465" s="1" t="s">
        <v>40</v>
      </c>
      <c r="F1465" s="1" t="s">
        <v>485</v>
      </c>
      <c r="G1465" s="2">
        <v>45485</v>
      </c>
      <c r="H1465" s="1">
        <v>2</v>
      </c>
      <c r="I1465" s="1" t="s">
        <v>27</v>
      </c>
      <c r="J1465" s="1" t="s">
        <v>2800</v>
      </c>
      <c r="K1465" s="1" t="s">
        <v>6938</v>
      </c>
      <c r="L1465" s="1">
        <v>9</v>
      </c>
      <c r="M1465" s="1">
        <v>27</v>
      </c>
      <c r="N1465" s="1" t="s">
        <v>54</v>
      </c>
      <c r="O1465" s="1" t="s">
        <v>211</v>
      </c>
      <c r="P1465" s="1" t="s">
        <v>68</v>
      </c>
      <c r="Q1465" s="1" t="s">
        <v>32</v>
      </c>
      <c r="R1465" s="1">
        <v>773.01</v>
      </c>
      <c r="S1465" s="1" t="s">
        <v>46</v>
      </c>
      <c r="T1465" s="1" t="s">
        <v>232</v>
      </c>
      <c r="U1465" s="1" t="s">
        <v>35</v>
      </c>
      <c r="V1465" s="1" t="s">
        <v>36</v>
      </c>
    </row>
    <row r="1466" spans="1:22" x14ac:dyDescent="0.3">
      <c r="A1466" s="1" t="s">
        <v>6939</v>
      </c>
      <c r="B1466" s="1" t="s">
        <v>6940</v>
      </c>
      <c r="C1466" s="1">
        <v>46</v>
      </c>
      <c r="D1466" s="1" t="s">
        <v>6941</v>
      </c>
      <c r="E1466" s="1" t="s">
        <v>51</v>
      </c>
      <c r="F1466" s="1" t="s">
        <v>3595</v>
      </c>
      <c r="G1466" s="2">
        <v>45630</v>
      </c>
      <c r="H1466" s="1">
        <v>0</v>
      </c>
      <c r="I1466" s="1" t="s">
        <v>64</v>
      </c>
      <c r="J1466" s="2">
        <v>44963</v>
      </c>
      <c r="K1466" s="1" t="s">
        <v>6942</v>
      </c>
      <c r="L1466" s="1">
        <v>5</v>
      </c>
      <c r="M1466" s="1">
        <v>21</v>
      </c>
      <c r="N1466" s="1" t="s">
        <v>56</v>
      </c>
      <c r="O1466" s="1" t="s">
        <v>211</v>
      </c>
      <c r="P1466" s="1" t="s">
        <v>68</v>
      </c>
      <c r="Q1466" s="1" t="s">
        <v>69</v>
      </c>
      <c r="R1466" s="1">
        <v>1358.15</v>
      </c>
      <c r="S1466" s="1" t="s">
        <v>46</v>
      </c>
      <c r="T1466" s="1" t="s">
        <v>34</v>
      </c>
      <c r="U1466" s="1" t="s">
        <v>35</v>
      </c>
      <c r="V1466" s="1" t="s">
        <v>71</v>
      </c>
    </row>
    <row r="1467" spans="1:22" x14ac:dyDescent="0.3">
      <c r="A1467" s="1" t="s">
        <v>6943</v>
      </c>
      <c r="B1467" s="1" t="s">
        <v>6944</v>
      </c>
      <c r="C1467" s="1">
        <v>43</v>
      </c>
      <c r="D1467" s="1" t="s">
        <v>6945</v>
      </c>
      <c r="E1467" s="1" t="s">
        <v>51</v>
      </c>
      <c r="F1467" s="1" t="s">
        <v>4693</v>
      </c>
      <c r="G1467" s="1" t="s">
        <v>872</v>
      </c>
      <c r="H1467" s="1">
        <v>5</v>
      </c>
      <c r="I1467" s="1" t="s">
        <v>27</v>
      </c>
      <c r="J1467" s="1" t="s">
        <v>2885</v>
      </c>
      <c r="K1467" s="1" t="s">
        <v>6946</v>
      </c>
      <c r="L1467" s="1">
        <v>5</v>
      </c>
      <c r="M1467" s="1">
        <v>30</v>
      </c>
      <c r="N1467" s="1" t="s">
        <v>30</v>
      </c>
      <c r="O1467" s="1" t="s">
        <v>109</v>
      </c>
      <c r="P1467" s="1" t="s">
        <v>68</v>
      </c>
      <c r="Q1467" s="1" t="s">
        <v>69</v>
      </c>
      <c r="R1467" s="1">
        <v>40.700000000000003</v>
      </c>
      <c r="S1467" s="1" t="s">
        <v>46</v>
      </c>
      <c r="T1467" s="1" t="s">
        <v>34</v>
      </c>
      <c r="U1467" s="1" t="s">
        <v>101</v>
      </c>
      <c r="V1467" s="1" t="s">
        <v>188</v>
      </c>
    </row>
    <row r="1468" spans="1:22" x14ac:dyDescent="0.3">
      <c r="A1468" s="1" t="s">
        <v>6947</v>
      </c>
      <c r="B1468" s="1" t="s">
        <v>6948</v>
      </c>
      <c r="C1468" s="1">
        <v>33</v>
      </c>
      <c r="D1468" s="1" t="s">
        <v>6949</v>
      </c>
      <c r="E1468" s="1" t="s">
        <v>61</v>
      </c>
      <c r="F1468" s="2">
        <v>44177</v>
      </c>
      <c r="G1468" s="2">
        <v>44237</v>
      </c>
      <c r="H1468" s="1">
        <v>1</v>
      </c>
      <c r="I1468" s="1" t="s">
        <v>27</v>
      </c>
      <c r="J1468" s="2">
        <v>44294</v>
      </c>
      <c r="K1468" s="1" t="s">
        <v>6950</v>
      </c>
      <c r="L1468" s="1">
        <v>2</v>
      </c>
      <c r="M1468" s="1">
        <v>9</v>
      </c>
      <c r="N1468" s="1" t="s">
        <v>30</v>
      </c>
      <c r="O1468" s="1" t="s">
        <v>55</v>
      </c>
      <c r="P1468" s="1" t="s">
        <v>56</v>
      </c>
      <c r="Q1468" s="1" t="s">
        <v>32</v>
      </c>
      <c r="R1468" s="1">
        <v>1189.72</v>
      </c>
      <c r="S1468" s="1" t="s">
        <v>46</v>
      </c>
      <c r="T1468" s="1" t="s">
        <v>57</v>
      </c>
      <c r="U1468" s="1" t="s">
        <v>35</v>
      </c>
      <c r="V1468" s="1" t="s">
        <v>36</v>
      </c>
    </row>
    <row r="1469" spans="1:22" x14ac:dyDescent="0.3">
      <c r="A1469" s="1" t="s">
        <v>6951</v>
      </c>
      <c r="B1469" s="1" t="s">
        <v>6952</v>
      </c>
      <c r="C1469" s="1">
        <v>36</v>
      </c>
      <c r="D1469" s="1" t="s">
        <v>6953</v>
      </c>
      <c r="E1469" s="1" t="s">
        <v>25</v>
      </c>
      <c r="F1469" s="1" t="s">
        <v>3470</v>
      </c>
      <c r="G1469" s="1" t="s">
        <v>1884</v>
      </c>
      <c r="H1469" s="1">
        <v>2</v>
      </c>
      <c r="I1469" s="1" t="s">
        <v>64</v>
      </c>
      <c r="J1469" s="1" t="s">
        <v>5087</v>
      </c>
      <c r="K1469" s="1" t="s">
        <v>6954</v>
      </c>
      <c r="L1469" s="1">
        <v>4</v>
      </c>
      <c r="M1469" s="1">
        <v>36</v>
      </c>
      <c r="N1469" s="1" t="s">
        <v>68</v>
      </c>
      <c r="O1469" s="1" t="s">
        <v>418</v>
      </c>
      <c r="P1469" s="1" t="s">
        <v>56</v>
      </c>
      <c r="Q1469" s="1" t="s">
        <v>69</v>
      </c>
      <c r="R1469" s="1">
        <v>682.6</v>
      </c>
      <c r="S1469" s="1" t="s">
        <v>46</v>
      </c>
      <c r="T1469" s="1" t="s">
        <v>34</v>
      </c>
      <c r="U1469" s="1" t="s">
        <v>35</v>
      </c>
      <c r="V1469" s="1" t="s">
        <v>71</v>
      </c>
    </row>
    <row r="1470" spans="1:22" x14ac:dyDescent="0.3">
      <c r="A1470" s="1" t="s">
        <v>6955</v>
      </c>
      <c r="B1470" s="1" t="s">
        <v>6956</v>
      </c>
      <c r="C1470" s="1">
        <v>23</v>
      </c>
      <c r="D1470" s="1" t="s">
        <v>6957</v>
      </c>
      <c r="E1470" s="1" t="s">
        <v>51</v>
      </c>
      <c r="F1470" s="1" t="s">
        <v>6958</v>
      </c>
      <c r="G1470" s="1" t="s">
        <v>6959</v>
      </c>
      <c r="H1470" s="1">
        <v>2</v>
      </c>
      <c r="I1470" s="1" t="s">
        <v>27</v>
      </c>
      <c r="J1470" s="1" t="s">
        <v>1755</v>
      </c>
      <c r="K1470" s="1" t="s">
        <v>6960</v>
      </c>
      <c r="L1470" s="1">
        <v>5</v>
      </c>
      <c r="M1470" s="1">
        <v>8</v>
      </c>
      <c r="N1470" s="1" t="s">
        <v>30</v>
      </c>
      <c r="O1470" s="1" t="s">
        <v>116</v>
      </c>
      <c r="P1470" s="1" t="s">
        <v>54</v>
      </c>
      <c r="Q1470" s="1" t="s">
        <v>32</v>
      </c>
      <c r="R1470" s="1">
        <v>1790.85</v>
      </c>
      <c r="S1470" s="1" t="s">
        <v>46</v>
      </c>
      <c r="T1470" s="1" t="s">
        <v>100</v>
      </c>
      <c r="U1470" s="1" t="s">
        <v>35</v>
      </c>
      <c r="V1470" s="1" t="s">
        <v>36</v>
      </c>
    </row>
    <row r="1471" spans="1:22" x14ac:dyDescent="0.3">
      <c r="A1471" s="1" t="s">
        <v>6961</v>
      </c>
      <c r="B1471" s="1" t="s">
        <v>6962</v>
      </c>
      <c r="C1471" s="1">
        <v>36</v>
      </c>
      <c r="D1471" s="1" t="s">
        <v>6963</v>
      </c>
      <c r="E1471" s="1" t="s">
        <v>95</v>
      </c>
      <c r="F1471" s="1" t="s">
        <v>6964</v>
      </c>
      <c r="G1471" s="1" t="s">
        <v>614</v>
      </c>
      <c r="H1471" s="1">
        <v>4</v>
      </c>
      <c r="I1471" s="1" t="s">
        <v>27</v>
      </c>
      <c r="J1471" s="2">
        <v>45505</v>
      </c>
      <c r="K1471" s="1" t="s">
        <v>6965</v>
      </c>
      <c r="L1471" s="1">
        <v>1</v>
      </c>
      <c r="M1471" s="1">
        <v>4</v>
      </c>
      <c r="N1471" s="1" t="s">
        <v>54</v>
      </c>
      <c r="O1471" s="1" t="s">
        <v>821</v>
      </c>
      <c r="P1471" s="1" t="s">
        <v>68</v>
      </c>
      <c r="Q1471" s="1" t="s">
        <v>32</v>
      </c>
      <c r="R1471" s="1">
        <v>623.62</v>
      </c>
      <c r="S1471" s="1" t="s">
        <v>46</v>
      </c>
      <c r="T1471" s="1" t="s">
        <v>34</v>
      </c>
      <c r="U1471" s="1" t="s">
        <v>101</v>
      </c>
      <c r="V1471" s="1" t="s">
        <v>188</v>
      </c>
    </row>
    <row r="1472" spans="1:22" x14ac:dyDescent="0.3">
      <c r="A1472" s="1" t="s">
        <v>6966</v>
      </c>
      <c r="B1472" s="1" t="s">
        <v>6967</v>
      </c>
      <c r="C1472" s="1">
        <v>52</v>
      </c>
      <c r="D1472" s="1" t="s">
        <v>6968</v>
      </c>
      <c r="E1472" s="1" t="s">
        <v>88</v>
      </c>
      <c r="F1472" s="2">
        <v>45111</v>
      </c>
      <c r="G1472" s="1" t="s">
        <v>4063</v>
      </c>
      <c r="H1472" s="1">
        <v>0</v>
      </c>
      <c r="I1472" s="1" t="s">
        <v>27</v>
      </c>
      <c r="J1472" s="1" t="s">
        <v>371</v>
      </c>
      <c r="K1472" s="1" t="s">
        <v>6969</v>
      </c>
      <c r="L1472" s="1">
        <v>1</v>
      </c>
      <c r="M1472" s="1">
        <v>34</v>
      </c>
      <c r="N1472" s="1" t="s">
        <v>45</v>
      </c>
      <c r="O1472" s="1" t="s">
        <v>238</v>
      </c>
      <c r="P1472" s="1" t="s">
        <v>45</v>
      </c>
      <c r="Q1472" s="1" t="s">
        <v>69</v>
      </c>
      <c r="R1472" s="1">
        <v>666.92</v>
      </c>
      <c r="S1472" s="1" t="s">
        <v>33</v>
      </c>
      <c r="T1472" s="1" t="s">
        <v>47</v>
      </c>
      <c r="U1472" s="1" t="s">
        <v>35</v>
      </c>
      <c r="V1472" s="1" t="s">
        <v>36</v>
      </c>
    </row>
    <row r="1473" spans="1:22" x14ac:dyDescent="0.3">
      <c r="A1473" s="1" t="s">
        <v>6970</v>
      </c>
      <c r="B1473" s="1" t="s">
        <v>6971</v>
      </c>
      <c r="C1473" s="1">
        <v>54</v>
      </c>
      <c r="D1473" s="1" t="s">
        <v>6972</v>
      </c>
      <c r="E1473" s="1" t="s">
        <v>61</v>
      </c>
      <c r="F1473" s="1" t="s">
        <v>6529</v>
      </c>
      <c r="G1473" s="2">
        <v>45755</v>
      </c>
      <c r="H1473" s="1">
        <v>2</v>
      </c>
      <c r="I1473" s="1" t="s">
        <v>27</v>
      </c>
      <c r="J1473" s="2">
        <v>45843</v>
      </c>
      <c r="K1473" s="1" t="s">
        <v>6973</v>
      </c>
      <c r="L1473" s="1">
        <v>1</v>
      </c>
      <c r="M1473" s="1">
        <v>17</v>
      </c>
      <c r="N1473" s="1" t="s">
        <v>68</v>
      </c>
      <c r="O1473" s="1" t="s">
        <v>597</v>
      </c>
      <c r="P1473" s="1" t="s">
        <v>45</v>
      </c>
      <c r="Q1473" s="1" t="s">
        <v>32</v>
      </c>
      <c r="R1473" s="1">
        <v>240.82</v>
      </c>
      <c r="S1473" s="1" t="s">
        <v>46</v>
      </c>
      <c r="T1473" s="1" t="s">
        <v>47</v>
      </c>
      <c r="U1473" s="1" t="s">
        <v>35</v>
      </c>
      <c r="V1473" s="1" t="s">
        <v>36</v>
      </c>
    </row>
    <row r="1474" spans="1:22" x14ac:dyDescent="0.3">
      <c r="A1474" s="1" t="s">
        <v>6974</v>
      </c>
      <c r="B1474" s="1" t="s">
        <v>6975</v>
      </c>
      <c r="C1474" s="1">
        <v>21</v>
      </c>
      <c r="D1474" s="1" t="s">
        <v>6976</v>
      </c>
      <c r="E1474" s="1" t="s">
        <v>61</v>
      </c>
      <c r="F1474" s="1" t="s">
        <v>2167</v>
      </c>
      <c r="G1474" s="1" t="s">
        <v>6338</v>
      </c>
      <c r="H1474" s="1">
        <v>5</v>
      </c>
      <c r="I1474" s="1" t="s">
        <v>52</v>
      </c>
      <c r="J1474" s="1" t="s">
        <v>267</v>
      </c>
      <c r="K1474" s="1" t="s">
        <v>6977</v>
      </c>
      <c r="L1474" s="1">
        <v>7</v>
      </c>
      <c r="M1474" s="1">
        <v>31</v>
      </c>
      <c r="N1474" s="1" t="s">
        <v>56</v>
      </c>
      <c r="O1474" s="1" t="s">
        <v>157</v>
      </c>
      <c r="P1474" s="1" t="s">
        <v>68</v>
      </c>
      <c r="Q1474" s="1" t="s">
        <v>69</v>
      </c>
      <c r="R1474" s="1">
        <v>508.06</v>
      </c>
      <c r="S1474" s="1" t="s">
        <v>46</v>
      </c>
      <c r="T1474" s="1" t="s">
        <v>100</v>
      </c>
      <c r="U1474" s="1" t="s">
        <v>35</v>
      </c>
      <c r="V1474" s="1" t="s">
        <v>36</v>
      </c>
    </row>
    <row r="1475" spans="1:22" x14ac:dyDescent="0.3">
      <c r="A1475" s="1" t="s">
        <v>6978</v>
      </c>
      <c r="B1475" s="1" t="s">
        <v>6979</v>
      </c>
      <c r="C1475" s="1">
        <v>67</v>
      </c>
      <c r="D1475" s="1" t="s">
        <v>6980</v>
      </c>
      <c r="E1475" s="1" t="s">
        <v>40</v>
      </c>
      <c r="F1475" s="2">
        <v>44481</v>
      </c>
      <c r="G1475" s="1" t="s">
        <v>3553</v>
      </c>
      <c r="H1475" s="1">
        <v>1</v>
      </c>
      <c r="I1475" s="1" t="s">
        <v>52</v>
      </c>
      <c r="J1475" s="1" t="s">
        <v>4981</v>
      </c>
      <c r="K1475" s="1" t="s">
        <v>6981</v>
      </c>
      <c r="L1475" s="1">
        <v>5</v>
      </c>
      <c r="M1475" s="1">
        <v>23</v>
      </c>
      <c r="N1475" s="1" t="s">
        <v>45</v>
      </c>
      <c r="O1475" s="1" t="s">
        <v>109</v>
      </c>
      <c r="P1475" s="1" t="s">
        <v>68</v>
      </c>
      <c r="Q1475" s="1" t="s">
        <v>322</v>
      </c>
      <c r="R1475" s="1">
        <v>430.55</v>
      </c>
      <c r="S1475" s="1" t="s">
        <v>46</v>
      </c>
      <c r="T1475" s="1" t="s">
        <v>232</v>
      </c>
      <c r="U1475" s="1" t="s">
        <v>35</v>
      </c>
      <c r="V1475" s="1" t="s">
        <v>36</v>
      </c>
    </row>
    <row r="1476" spans="1:22" x14ac:dyDescent="0.3">
      <c r="A1476" s="1" t="s">
        <v>6982</v>
      </c>
      <c r="B1476" s="1" t="s">
        <v>6983</v>
      </c>
      <c r="C1476" s="1">
        <v>64</v>
      </c>
      <c r="D1476" s="1" t="s">
        <v>6984</v>
      </c>
      <c r="E1476" s="1" t="s">
        <v>88</v>
      </c>
      <c r="F1476" s="1" t="s">
        <v>1386</v>
      </c>
      <c r="G1476" s="2">
        <v>44752</v>
      </c>
      <c r="H1476" s="1">
        <v>2</v>
      </c>
      <c r="I1476" s="1" t="s">
        <v>27</v>
      </c>
      <c r="J1476" s="2">
        <v>45484</v>
      </c>
      <c r="K1476" s="1" t="s">
        <v>6985</v>
      </c>
      <c r="L1476" s="1">
        <v>4</v>
      </c>
      <c r="M1476" s="1">
        <v>9</v>
      </c>
      <c r="N1476" s="1" t="s">
        <v>56</v>
      </c>
      <c r="O1476" s="1" t="s">
        <v>142</v>
      </c>
      <c r="P1476" s="1" t="s">
        <v>68</v>
      </c>
      <c r="Q1476" s="1" t="s">
        <v>69</v>
      </c>
      <c r="R1476" s="1">
        <v>113.88</v>
      </c>
      <c r="S1476" s="1" t="s">
        <v>46</v>
      </c>
      <c r="T1476" s="1" t="s">
        <v>47</v>
      </c>
      <c r="U1476" s="1" t="s">
        <v>101</v>
      </c>
      <c r="V1476" s="1" t="s">
        <v>36</v>
      </c>
    </row>
    <row r="1477" spans="1:22" x14ac:dyDescent="0.3">
      <c r="A1477" s="1" t="s">
        <v>6986</v>
      </c>
      <c r="B1477" s="1" t="s">
        <v>6987</v>
      </c>
      <c r="C1477" s="1">
        <v>50</v>
      </c>
      <c r="D1477" s="1" t="s">
        <v>6988</v>
      </c>
      <c r="E1477" s="1" t="s">
        <v>95</v>
      </c>
      <c r="F1477" s="1" t="s">
        <v>6989</v>
      </c>
      <c r="G1477" s="1" t="s">
        <v>2347</v>
      </c>
      <c r="H1477" s="1">
        <v>2</v>
      </c>
      <c r="I1477" s="1" t="s">
        <v>27</v>
      </c>
      <c r="J1477" s="2">
        <v>45447</v>
      </c>
      <c r="K1477" s="1" t="s">
        <v>6990</v>
      </c>
      <c r="L1477" s="1">
        <v>2</v>
      </c>
      <c r="M1477" s="1">
        <v>24</v>
      </c>
      <c r="N1477" s="1" t="s">
        <v>30</v>
      </c>
      <c r="O1477" s="1" t="s">
        <v>31</v>
      </c>
      <c r="P1477" s="1" t="s">
        <v>30</v>
      </c>
      <c r="Q1477" s="1" t="s">
        <v>32</v>
      </c>
      <c r="R1477" s="1">
        <v>1003.04</v>
      </c>
      <c r="S1477" s="1" t="s">
        <v>33</v>
      </c>
      <c r="T1477" s="1" t="s">
        <v>47</v>
      </c>
      <c r="U1477" s="1" t="s">
        <v>35</v>
      </c>
      <c r="V1477" s="1" t="s">
        <v>36</v>
      </c>
    </row>
    <row r="1478" spans="1:22" x14ac:dyDescent="0.3">
      <c r="A1478" s="1" t="s">
        <v>6991</v>
      </c>
      <c r="B1478" s="1" t="s">
        <v>6992</v>
      </c>
      <c r="C1478" s="1">
        <v>42</v>
      </c>
      <c r="D1478" s="1" t="s">
        <v>6993</v>
      </c>
      <c r="E1478" s="1" t="s">
        <v>25</v>
      </c>
      <c r="F1478" s="2">
        <v>44146</v>
      </c>
      <c r="G1478" s="2">
        <v>45478</v>
      </c>
      <c r="H1478" s="1">
        <v>2</v>
      </c>
      <c r="I1478" s="1" t="s">
        <v>27</v>
      </c>
      <c r="J1478" s="1" t="s">
        <v>2758</v>
      </c>
      <c r="K1478" s="1" t="s">
        <v>6994</v>
      </c>
      <c r="L1478" s="1">
        <v>2</v>
      </c>
      <c r="M1478" s="1">
        <v>8</v>
      </c>
      <c r="N1478" s="1" t="s">
        <v>56</v>
      </c>
      <c r="O1478" s="1" t="s">
        <v>245</v>
      </c>
      <c r="P1478" s="1" t="s">
        <v>54</v>
      </c>
      <c r="Q1478" s="1" t="s">
        <v>69</v>
      </c>
      <c r="R1478" s="1">
        <v>1832.92</v>
      </c>
      <c r="S1478" s="1" t="s">
        <v>46</v>
      </c>
      <c r="T1478" s="1" t="s">
        <v>34</v>
      </c>
      <c r="U1478" s="1" t="s">
        <v>35</v>
      </c>
      <c r="V1478" s="1" t="s">
        <v>36</v>
      </c>
    </row>
    <row r="1479" spans="1:22" x14ac:dyDescent="0.3">
      <c r="A1479" s="1" t="s">
        <v>6995</v>
      </c>
      <c r="B1479" s="1" t="s">
        <v>6996</v>
      </c>
      <c r="C1479" s="1">
        <v>36</v>
      </c>
      <c r="D1479" s="1" t="s">
        <v>6997</v>
      </c>
      <c r="E1479" s="1" t="s">
        <v>95</v>
      </c>
      <c r="F1479" s="1" t="s">
        <v>1994</v>
      </c>
      <c r="G1479" s="2">
        <v>45267</v>
      </c>
      <c r="H1479" s="1">
        <v>1</v>
      </c>
      <c r="I1479" s="1" t="s">
        <v>64</v>
      </c>
      <c r="J1479" s="1" t="s">
        <v>1425</v>
      </c>
      <c r="K1479" s="1" t="s">
        <v>6998</v>
      </c>
      <c r="L1479" s="1">
        <v>5</v>
      </c>
      <c r="M1479" s="1">
        <v>43</v>
      </c>
      <c r="N1479" s="1" t="s">
        <v>45</v>
      </c>
      <c r="O1479" s="1" t="s">
        <v>837</v>
      </c>
      <c r="P1479" s="1" t="s">
        <v>56</v>
      </c>
      <c r="Q1479" s="1" t="s">
        <v>69</v>
      </c>
      <c r="R1479" s="1">
        <v>1696.55</v>
      </c>
      <c r="S1479" s="1" t="s">
        <v>46</v>
      </c>
      <c r="T1479" s="1" t="s">
        <v>34</v>
      </c>
      <c r="U1479" s="1" t="s">
        <v>35</v>
      </c>
      <c r="V1479" s="1" t="s">
        <v>71</v>
      </c>
    </row>
    <row r="1480" spans="1:22" x14ac:dyDescent="0.3">
      <c r="A1480" s="1" t="s">
        <v>6999</v>
      </c>
      <c r="B1480" s="1" t="s">
        <v>7000</v>
      </c>
      <c r="C1480" s="1">
        <v>52</v>
      </c>
      <c r="D1480" s="1" t="s">
        <v>7001</v>
      </c>
      <c r="E1480" s="1" t="s">
        <v>88</v>
      </c>
      <c r="F1480" s="1" t="s">
        <v>4113</v>
      </c>
      <c r="G1480" s="2">
        <v>45479</v>
      </c>
      <c r="H1480" s="1">
        <v>2</v>
      </c>
      <c r="I1480" s="1" t="s">
        <v>27</v>
      </c>
      <c r="J1480" s="2">
        <v>45689</v>
      </c>
      <c r="K1480" s="1" t="s">
        <v>7002</v>
      </c>
      <c r="L1480" s="1">
        <v>1</v>
      </c>
      <c r="M1480" s="1">
        <v>25</v>
      </c>
      <c r="N1480" s="1" t="s">
        <v>56</v>
      </c>
      <c r="O1480" s="1" t="s">
        <v>855</v>
      </c>
      <c r="P1480" s="1" t="s">
        <v>45</v>
      </c>
      <c r="Q1480" s="1" t="s">
        <v>69</v>
      </c>
      <c r="R1480" s="1">
        <v>589.66</v>
      </c>
      <c r="S1480" s="1" t="s">
        <v>46</v>
      </c>
      <c r="T1480" s="1" t="s">
        <v>47</v>
      </c>
      <c r="U1480" s="1" t="s">
        <v>35</v>
      </c>
      <c r="V1480" s="1" t="s">
        <v>36</v>
      </c>
    </row>
    <row r="1481" spans="1:22" x14ac:dyDescent="0.3">
      <c r="A1481" s="1" t="s">
        <v>7003</v>
      </c>
      <c r="B1481" s="1" t="s">
        <v>7004</v>
      </c>
      <c r="C1481" s="1">
        <v>46</v>
      </c>
      <c r="D1481" s="1" t="s">
        <v>7005</v>
      </c>
      <c r="E1481" s="1" t="s">
        <v>40</v>
      </c>
      <c r="F1481" s="1" t="s">
        <v>2614</v>
      </c>
      <c r="G1481" s="1" t="s">
        <v>1333</v>
      </c>
      <c r="H1481" s="1">
        <v>0</v>
      </c>
      <c r="I1481" s="1" t="s">
        <v>27</v>
      </c>
      <c r="J1481" s="1" t="s">
        <v>772</v>
      </c>
      <c r="K1481" s="1" t="s">
        <v>2001</v>
      </c>
      <c r="L1481" s="1">
        <v>7</v>
      </c>
      <c r="M1481" s="1">
        <v>47</v>
      </c>
      <c r="N1481" s="1" t="s">
        <v>30</v>
      </c>
      <c r="O1481" s="1" t="s">
        <v>610</v>
      </c>
      <c r="P1481" s="1" t="s">
        <v>68</v>
      </c>
      <c r="Q1481" s="1" t="s">
        <v>32</v>
      </c>
      <c r="R1481" s="1">
        <v>1503.11</v>
      </c>
      <c r="S1481" s="1" t="s">
        <v>46</v>
      </c>
      <c r="T1481" s="1" t="s">
        <v>34</v>
      </c>
      <c r="U1481" s="1" t="s">
        <v>35</v>
      </c>
      <c r="V1481" s="1" t="s">
        <v>36</v>
      </c>
    </row>
    <row r="1482" spans="1:22" x14ac:dyDescent="0.3">
      <c r="A1482" s="1" t="s">
        <v>7006</v>
      </c>
      <c r="B1482" s="1" t="s">
        <v>7007</v>
      </c>
      <c r="C1482" s="1">
        <v>64</v>
      </c>
      <c r="D1482" s="1" t="s">
        <v>7008</v>
      </c>
      <c r="E1482" s="1" t="s">
        <v>61</v>
      </c>
      <c r="F1482" s="1" t="s">
        <v>751</v>
      </c>
      <c r="G1482" s="1" t="s">
        <v>1174</v>
      </c>
      <c r="H1482" s="1">
        <v>3</v>
      </c>
      <c r="I1482" s="1" t="s">
        <v>52</v>
      </c>
      <c r="J1482" s="1" t="s">
        <v>220</v>
      </c>
      <c r="K1482" s="1" t="s">
        <v>7009</v>
      </c>
      <c r="L1482" s="1">
        <v>1</v>
      </c>
      <c r="M1482" s="1">
        <v>46</v>
      </c>
      <c r="N1482" s="1" t="s">
        <v>68</v>
      </c>
      <c r="O1482" s="1" t="s">
        <v>149</v>
      </c>
      <c r="P1482" s="1" t="s">
        <v>30</v>
      </c>
      <c r="Q1482" s="1" t="s">
        <v>32</v>
      </c>
      <c r="R1482" s="1">
        <v>913.56</v>
      </c>
      <c r="S1482" s="1" t="s">
        <v>46</v>
      </c>
      <c r="T1482" s="1" t="s">
        <v>47</v>
      </c>
      <c r="U1482" s="1" t="s">
        <v>35</v>
      </c>
      <c r="V1482" s="1" t="s">
        <v>36</v>
      </c>
    </row>
    <row r="1483" spans="1:22" x14ac:dyDescent="0.3">
      <c r="A1483" s="1" t="s">
        <v>7010</v>
      </c>
      <c r="B1483" s="1" t="s">
        <v>7011</v>
      </c>
      <c r="C1483" s="1">
        <v>41</v>
      </c>
      <c r="D1483" s="1" t="s">
        <v>7012</v>
      </c>
      <c r="E1483" s="1" t="s">
        <v>61</v>
      </c>
      <c r="F1483" s="2">
        <v>44387</v>
      </c>
      <c r="G1483" s="1" t="s">
        <v>96</v>
      </c>
      <c r="H1483" s="1">
        <v>0</v>
      </c>
      <c r="I1483" s="1" t="s">
        <v>27</v>
      </c>
      <c r="J1483" s="1" t="s">
        <v>6292</v>
      </c>
      <c r="K1483" s="1" t="s">
        <v>7013</v>
      </c>
      <c r="L1483" s="1">
        <v>2</v>
      </c>
      <c r="M1483" s="1">
        <v>44</v>
      </c>
      <c r="N1483" s="1" t="s">
        <v>30</v>
      </c>
      <c r="O1483" s="1" t="s">
        <v>536</v>
      </c>
      <c r="P1483" s="1" t="s">
        <v>68</v>
      </c>
      <c r="Q1483" s="1" t="s">
        <v>69</v>
      </c>
      <c r="R1483" s="1">
        <v>1031.3</v>
      </c>
      <c r="S1483" s="1" t="s">
        <v>46</v>
      </c>
      <c r="T1483" s="1" t="s">
        <v>34</v>
      </c>
      <c r="U1483" s="1" t="s">
        <v>35</v>
      </c>
      <c r="V1483" s="1" t="s">
        <v>36</v>
      </c>
    </row>
    <row r="1484" spans="1:22" x14ac:dyDescent="0.3">
      <c r="A1484" s="1" t="s">
        <v>7014</v>
      </c>
      <c r="B1484" s="1" t="s">
        <v>7015</v>
      </c>
      <c r="C1484" s="1">
        <v>46</v>
      </c>
      <c r="D1484" s="1" t="s">
        <v>7016</v>
      </c>
      <c r="E1484" s="1" t="s">
        <v>51</v>
      </c>
      <c r="F1484" s="2">
        <v>45175</v>
      </c>
      <c r="G1484" s="1" t="s">
        <v>7017</v>
      </c>
      <c r="H1484" s="1">
        <v>3</v>
      </c>
      <c r="I1484" s="1" t="s">
        <v>64</v>
      </c>
      <c r="J1484" s="1" t="s">
        <v>924</v>
      </c>
      <c r="K1484" s="1" t="s">
        <v>7018</v>
      </c>
      <c r="L1484" s="1">
        <v>3</v>
      </c>
      <c r="M1484" s="1">
        <v>8</v>
      </c>
      <c r="N1484" s="1" t="s">
        <v>56</v>
      </c>
      <c r="O1484" s="1" t="s">
        <v>31</v>
      </c>
      <c r="P1484" s="1" t="s">
        <v>30</v>
      </c>
      <c r="Q1484" s="1" t="s">
        <v>32</v>
      </c>
      <c r="R1484" s="1">
        <v>203.31</v>
      </c>
      <c r="S1484" s="1" t="s">
        <v>46</v>
      </c>
      <c r="T1484" s="1" t="s">
        <v>34</v>
      </c>
      <c r="U1484" s="1" t="s">
        <v>101</v>
      </c>
      <c r="V1484" s="1" t="s">
        <v>71</v>
      </c>
    </row>
    <row r="1485" spans="1:22" x14ac:dyDescent="0.3">
      <c r="A1485" s="1" t="s">
        <v>7019</v>
      </c>
      <c r="B1485" s="1" t="s">
        <v>7020</v>
      </c>
      <c r="C1485" s="1">
        <v>37</v>
      </c>
      <c r="D1485" s="1" t="s">
        <v>7021</v>
      </c>
      <c r="E1485" s="1" t="s">
        <v>95</v>
      </c>
      <c r="F1485" s="1" t="s">
        <v>814</v>
      </c>
      <c r="G1485" s="1" t="s">
        <v>89</v>
      </c>
      <c r="H1485" s="1">
        <v>3</v>
      </c>
      <c r="I1485" s="1" t="s">
        <v>52</v>
      </c>
      <c r="J1485" s="2">
        <v>45111</v>
      </c>
      <c r="K1485" s="1" t="s">
        <v>7022</v>
      </c>
      <c r="L1485" s="1">
        <v>4</v>
      </c>
      <c r="M1485" s="1">
        <v>11</v>
      </c>
      <c r="N1485" s="1" t="s">
        <v>30</v>
      </c>
      <c r="O1485" s="1" t="s">
        <v>211</v>
      </c>
      <c r="P1485" s="1" t="s">
        <v>68</v>
      </c>
      <c r="Q1485" s="1" t="s">
        <v>32</v>
      </c>
      <c r="R1485" s="1">
        <v>1942.44</v>
      </c>
      <c r="S1485" s="1" t="s">
        <v>46</v>
      </c>
      <c r="T1485" s="1" t="s">
        <v>34</v>
      </c>
      <c r="U1485" s="1" t="s">
        <v>35</v>
      </c>
      <c r="V1485" s="1" t="s">
        <v>36</v>
      </c>
    </row>
    <row r="1486" spans="1:22" x14ac:dyDescent="0.3">
      <c r="A1486" s="1" t="s">
        <v>7023</v>
      </c>
      <c r="B1486" s="1" t="s">
        <v>7024</v>
      </c>
      <c r="C1486" s="1">
        <v>33</v>
      </c>
      <c r="D1486" s="1" t="s">
        <v>7025</v>
      </c>
      <c r="E1486" s="1" t="s">
        <v>95</v>
      </c>
      <c r="F1486" s="2">
        <v>45079</v>
      </c>
      <c r="G1486" s="1" t="s">
        <v>7026</v>
      </c>
      <c r="H1486" s="1">
        <v>0</v>
      </c>
      <c r="I1486" s="1" t="s">
        <v>52</v>
      </c>
      <c r="J1486" s="1" t="s">
        <v>2781</v>
      </c>
      <c r="K1486" s="1" t="s">
        <v>7027</v>
      </c>
      <c r="L1486" s="1">
        <v>2</v>
      </c>
      <c r="M1486" s="1">
        <v>19</v>
      </c>
      <c r="N1486" s="1" t="s">
        <v>56</v>
      </c>
      <c r="O1486" s="1" t="s">
        <v>142</v>
      </c>
      <c r="P1486" s="1" t="s">
        <v>68</v>
      </c>
      <c r="Q1486" s="1" t="s">
        <v>32</v>
      </c>
      <c r="R1486" s="1">
        <v>352.9</v>
      </c>
      <c r="S1486" s="1" t="s">
        <v>46</v>
      </c>
      <c r="T1486" s="1" t="s">
        <v>57</v>
      </c>
      <c r="U1486" s="1" t="s">
        <v>35</v>
      </c>
      <c r="V1486" s="1" t="s">
        <v>36</v>
      </c>
    </row>
    <row r="1487" spans="1:22" x14ac:dyDescent="0.3">
      <c r="A1487" s="1" t="s">
        <v>7028</v>
      </c>
      <c r="B1487" s="1" t="s">
        <v>7029</v>
      </c>
      <c r="C1487" s="1">
        <v>56</v>
      </c>
      <c r="D1487" s="1" t="s">
        <v>7030</v>
      </c>
      <c r="E1487" s="1" t="s">
        <v>88</v>
      </c>
      <c r="F1487" s="2">
        <v>44267</v>
      </c>
      <c r="G1487" s="2">
        <v>45023</v>
      </c>
      <c r="H1487" s="1">
        <v>0</v>
      </c>
      <c r="I1487" s="1" t="s">
        <v>27</v>
      </c>
      <c r="J1487" s="1" t="s">
        <v>3233</v>
      </c>
      <c r="K1487" s="1" t="s">
        <v>7031</v>
      </c>
      <c r="L1487" s="1">
        <v>6</v>
      </c>
      <c r="M1487" s="1">
        <v>39</v>
      </c>
      <c r="N1487" s="1" t="s">
        <v>56</v>
      </c>
      <c r="O1487" s="1" t="s">
        <v>293</v>
      </c>
      <c r="P1487" s="1" t="s">
        <v>45</v>
      </c>
      <c r="Q1487" s="1" t="s">
        <v>69</v>
      </c>
      <c r="R1487" s="1">
        <v>49.62</v>
      </c>
      <c r="S1487" s="1" t="s">
        <v>46</v>
      </c>
      <c r="T1487" s="1" t="s">
        <v>47</v>
      </c>
      <c r="U1487" s="1" t="s">
        <v>101</v>
      </c>
      <c r="V1487" s="1" t="s">
        <v>36</v>
      </c>
    </row>
    <row r="1488" spans="1:22" x14ac:dyDescent="0.3">
      <c r="A1488" s="1" t="s">
        <v>7032</v>
      </c>
      <c r="B1488" s="1" t="s">
        <v>7033</v>
      </c>
      <c r="C1488" s="1">
        <v>59</v>
      </c>
      <c r="D1488" s="1" t="s">
        <v>7034</v>
      </c>
      <c r="E1488" s="1" t="s">
        <v>25</v>
      </c>
      <c r="F1488" s="2">
        <v>45047</v>
      </c>
      <c r="G1488" s="2">
        <v>45932</v>
      </c>
      <c r="H1488" s="1">
        <v>4</v>
      </c>
      <c r="I1488" s="1" t="s">
        <v>27</v>
      </c>
      <c r="J1488" s="1" t="s">
        <v>2231</v>
      </c>
      <c r="K1488" s="1" t="s">
        <v>7035</v>
      </c>
      <c r="L1488" s="1">
        <v>4</v>
      </c>
      <c r="M1488" s="1">
        <v>49</v>
      </c>
      <c r="N1488" s="1" t="s">
        <v>56</v>
      </c>
      <c r="O1488" s="1" t="s">
        <v>67</v>
      </c>
      <c r="P1488" s="1" t="s">
        <v>68</v>
      </c>
      <c r="Q1488" s="1" t="s">
        <v>32</v>
      </c>
      <c r="R1488" s="1">
        <v>1630.96</v>
      </c>
      <c r="S1488" s="1" t="s">
        <v>46</v>
      </c>
      <c r="T1488" s="1" t="s">
        <v>47</v>
      </c>
      <c r="U1488" s="1" t="s">
        <v>35</v>
      </c>
      <c r="V1488" s="1" t="s">
        <v>188</v>
      </c>
    </row>
    <row r="1489" spans="1:22" x14ac:dyDescent="0.3">
      <c r="A1489" s="1" t="s">
        <v>7036</v>
      </c>
      <c r="B1489" s="1" t="s">
        <v>7037</v>
      </c>
      <c r="C1489" s="1">
        <v>56</v>
      </c>
      <c r="D1489" s="1" t="s">
        <v>7038</v>
      </c>
      <c r="E1489" s="1" t="s">
        <v>25</v>
      </c>
      <c r="F1489" s="2">
        <v>44052</v>
      </c>
      <c r="G1489" s="1" t="s">
        <v>2649</v>
      </c>
      <c r="H1489" s="1">
        <v>3</v>
      </c>
      <c r="I1489" s="1" t="s">
        <v>27</v>
      </c>
      <c r="J1489" s="1" t="s">
        <v>2173</v>
      </c>
      <c r="K1489" s="1" t="s">
        <v>7039</v>
      </c>
      <c r="L1489" s="1">
        <v>5</v>
      </c>
      <c r="M1489" s="1">
        <v>24</v>
      </c>
      <c r="N1489" s="1" t="s">
        <v>54</v>
      </c>
      <c r="O1489" s="1" t="s">
        <v>536</v>
      </c>
      <c r="P1489" s="1" t="s">
        <v>68</v>
      </c>
      <c r="Q1489" s="1" t="s">
        <v>69</v>
      </c>
      <c r="R1489" s="1">
        <v>1743.25</v>
      </c>
      <c r="S1489" s="1" t="s">
        <v>46</v>
      </c>
      <c r="T1489" s="1" t="s">
        <v>47</v>
      </c>
      <c r="U1489" s="1" t="s">
        <v>35</v>
      </c>
      <c r="V1489" s="1" t="s">
        <v>36</v>
      </c>
    </row>
    <row r="1490" spans="1:22" x14ac:dyDescent="0.3">
      <c r="A1490" s="1" t="s">
        <v>7040</v>
      </c>
      <c r="B1490" s="1" t="s">
        <v>7041</v>
      </c>
      <c r="C1490" s="1">
        <v>63</v>
      </c>
      <c r="D1490" s="1" t="s">
        <v>7042</v>
      </c>
      <c r="E1490" s="1" t="s">
        <v>61</v>
      </c>
      <c r="F1490" s="1" t="s">
        <v>3143</v>
      </c>
      <c r="G1490" s="1" t="s">
        <v>1513</v>
      </c>
      <c r="H1490" s="1">
        <v>5</v>
      </c>
      <c r="I1490" s="1" t="s">
        <v>52</v>
      </c>
      <c r="J1490" s="2">
        <v>45904</v>
      </c>
      <c r="K1490" s="1" t="s">
        <v>7043</v>
      </c>
      <c r="L1490" s="1">
        <v>7</v>
      </c>
      <c r="M1490" s="1">
        <v>11</v>
      </c>
      <c r="N1490" s="1" t="s">
        <v>56</v>
      </c>
      <c r="O1490" s="1" t="s">
        <v>536</v>
      </c>
      <c r="P1490" s="1" t="s">
        <v>68</v>
      </c>
      <c r="Q1490" s="1" t="s">
        <v>32</v>
      </c>
      <c r="R1490" s="1">
        <v>866.25</v>
      </c>
      <c r="S1490" s="1" t="s">
        <v>46</v>
      </c>
      <c r="T1490" s="1" t="s">
        <v>47</v>
      </c>
      <c r="U1490" s="1" t="s">
        <v>35</v>
      </c>
      <c r="V1490" s="1" t="s">
        <v>36</v>
      </c>
    </row>
    <row r="1491" spans="1:22" x14ac:dyDescent="0.3">
      <c r="A1491" s="1" t="s">
        <v>7044</v>
      </c>
      <c r="B1491" s="1" t="s">
        <v>7045</v>
      </c>
      <c r="C1491" s="1">
        <v>29</v>
      </c>
      <c r="D1491" s="1" t="s">
        <v>7046</v>
      </c>
      <c r="E1491" s="1" t="s">
        <v>40</v>
      </c>
      <c r="F1491" s="2">
        <v>44388</v>
      </c>
      <c r="G1491" s="2">
        <v>44596</v>
      </c>
      <c r="H1491" s="1">
        <v>5</v>
      </c>
      <c r="I1491" s="1" t="s">
        <v>27</v>
      </c>
      <c r="J1491" s="1" t="s">
        <v>1617</v>
      </c>
      <c r="K1491" s="1" t="s">
        <v>7047</v>
      </c>
      <c r="L1491" s="1">
        <v>4</v>
      </c>
      <c r="M1491" s="1">
        <v>45</v>
      </c>
      <c r="N1491" s="1" t="s">
        <v>45</v>
      </c>
      <c r="O1491" s="1" t="s">
        <v>149</v>
      </c>
      <c r="P1491" s="1" t="s">
        <v>30</v>
      </c>
      <c r="Q1491" s="1" t="s">
        <v>32</v>
      </c>
      <c r="R1491" s="1">
        <v>751.36</v>
      </c>
      <c r="S1491" s="1" t="s">
        <v>46</v>
      </c>
      <c r="T1491" s="1" t="s">
        <v>57</v>
      </c>
      <c r="U1491" s="1" t="s">
        <v>35</v>
      </c>
      <c r="V1491" s="1" t="s">
        <v>188</v>
      </c>
    </row>
    <row r="1492" spans="1:22" x14ac:dyDescent="0.3">
      <c r="A1492" s="1" t="s">
        <v>7048</v>
      </c>
      <c r="B1492" s="1" t="s">
        <v>7049</v>
      </c>
      <c r="C1492" s="1">
        <v>47</v>
      </c>
      <c r="D1492" s="1" t="s">
        <v>7050</v>
      </c>
      <c r="E1492" s="1" t="s">
        <v>40</v>
      </c>
      <c r="F1492" s="2">
        <v>44412</v>
      </c>
      <c r="G1492" s="1" t="s">
        <v>4033</v>
      </c>
      <c r="H1492" s="1">
        <v>2</v>
      </c>
      <c r="I1492" s="1" t="s">
        <v>52</v>
      </c>
      <c r="J1492" s="1" t="s">
        <v>319</v>
      </c>
      <c r="K1492" s="1" t="s">
        <v>7051</v>
      </c>
      <c r="L1492" s="1">
        <v>4</v>
      </c>
      <c r="M1492" s="1">
        <v>34</v>
      </c>
      <c r="N1492" s="1" t="s">
        <v>56</v>
      </c>
      <c r="O1492" s="1" t="s">
        <v>99</v>
      </c>
      <c r="P1492" s="1" t="s">
        <v>56</v>
      </c>
      <c r="Q1492" s="1" t="s">
        <v>69</v>
      </c>
      <c r="R1492" s="1">
        <v>816.44</v>
      </c>
      <c r="S1492" s="1" t="s">
        <v>33</v>
      </c>
      <c r="T1492" s="1" t="s">
        <v>34</v>
      </c>
      <c r="U1492" s="1" t="s">
        <v>35</v>
      </c>
      <c r="V1492" s="1" t="s">
        <v>36</v>
      </c>
    </row>
    <row r="1493" spans="1:22" x14ac:dyDescent="0.3">
      <c r="A1493" s="1" t="s">
        <v>7052</v>
      </c>
      <c r="B1493" s="1" t="s">
        <v>7053</v>
      </c>
      <c r="C1493" s="1">
        <v>55</v>
      </c>
      <c r="D1493" s="1" t="s">
        <v>7054</v>
      </c>
      <c r="E1493" s="1" t="s">
        <v>40</v>
      </c>
      <c r="F1493" s="1" t="s">
        <v>3398</v>
      </c>
      <c r="G1493" s="1" t="s">
        <v>1112</v>
      </c>
      <c r="H1493" s="1">
        <v>2</v>
      </c>
      <c r="I1493" s="1" t="s">
        <v>52</v>
      </c>
      <c r="J1493" s="2">
        <v>44840</v>
      </c>
      <c r="K1493" s="1" t="s">
        <v>7055</v>
      </c>
      <c r="L1493" s="1">
        <v>8</v>
      </c>
      <c r="M1493" s="1">
        <v>40</v>
      </c>
      <c r="N1493" s="1" t="s">
        <v>45</v>
      </c>
      <c r="O1493" s="1" t="s">
        <v>293</v>
      </c>
      <c r="P1493" s="1" t="s">
        <v>45</v>
      </c>
      <c r="Q1493" s="1" t="s">
        <v>69</v>
      </c>
      <c r="R1493" s="1">
        <v>1040.32</v>
      </c>
      <c r="S1493" s="1" t="s">
        <v>33</v>
      </c>
      <c r="T1493" s="1" t="s">
        <v>47</v>
      </c>
      <c r="U1493" s="1" t="s">
        <v>35</v>
      </c>
      <c r="V1493" s="1" t="s">
        <v>36</v>
      </c>
    </row>
    <row r="1494" spans="1:22" x14ac:dyDescent="0.3">
      <c r="A1494" s="1" t="s">
        <v>7056</v>
      </c>
      <c r="B1494" s="1" t="s">
        <v>7057</v>
      </c>
      <c r="C1494" s="1">
        <v>68</v>
      </c>
      <c r="D1494" s="1" t="s">
        <v>7058</v>
      </c>
      <c r="E1494" s="1" t="s">
        <v>61</v>
      </c>
      <c r="F1494" s="1" t="s">
        <v>745</v>
      </c>
      <c r="G1494" s="2">
        <v>45050</v>
      </c>
      <c r="H1494" s="1">
        <v>3</v>
      </c>
      <c r="I1494" s="1" t="s">
        <v>27</v>
      </c>
      <c r="J1494" s="1" t="s">
        <v>4888</v>
      </c>
      <c r="K1494" s="1" t="s">
        <v>7059</v>
      </c>
      <c r="L1494" s="1">
        <v>4</v>
      </c>
      <c r="M1494" s="1">
        <v>40</v>
      </c>
      <c r="N1494" s="1" t="s">
        <v>54</v>
      </c>
      <c r="O1494" s="1" t="s">
        <v>157</v>
      </c>
      <c r="P1494" s="1" t="s">
        <v>68</v>
      </c>
      <c r="Q1494" s="1" t="s">
        <v>69</v>
      </c>
      <c r="R1494" s="1">
        <v>1313.4</v>
      </c>
      <c r="S1494" s="1" t="s">
        <v>46</v>
      </c>
      <c r="T1494" s="1" t="s">
        <v>232</v>
      </c>
      <c r="U1494" s="1" t="s">
        <v>35</v>
      </c>
      <c r="V1494" s="1" t="s">
        <v>36</v>
      </c>
    </row>
    <row r="1495" spans="1:22" x14ac:dyDescent="0.3">
      <c r="A1495" s="1" t="s">
        <v>7060</v>
      </c>
      <c r="B1495" s="1" t="s">
        <v>7061</v>
      </c>
      <c r="C1495" s="1">
        <v>39</v>
      </c>
      <c r="D1495" s="1" t="s">
        <v>7062</v>
      </c>
      <c r="E1495" s="1" t="s">
        <v>25</v>
      </c>
      <c r="F1495" s="2">
        <v>45019</v>
      </c>
      <c r="G1495" s="2">
        <v>45574</v>
      </c>
      <c r="H1495" s="1">
        <v>4</v>
      </c>
      <c r="I1495" s="1" t="s">
        <v>64</v>
      </c>
      <c r="J1495" s="2">
        <v>45783</v>
      </c>
      <c r="K1495" s="1" t="s">
        <v>7063</v>
      </c>
      <c r="L1495" s="1">
        <v>6</v>
      </c>
      <c r="M1495" s="1">
        <v>46</v>
      </c>
      <c r="N1495" s="1" t="s">
        <v>54</v>
      </c>
      <c r="O1495" s="1" t="s">
        <v>624</v>
      </c>
      <c r="P1495" s="1" t="s">
        <v>30</v>
      </c>
      <c r="Q1495" s="1" t="s">
        <v>69</v>
      </c>
      <c r="R1495" s="1">
        <v>1086.06</v>
      </c>
      <c r="S1495" s="1" t="s">
        <v>46</v>
      </c>
      <c r="T1495" s="1" t="s">
        <v>34</v>
      </c>
      <c r="U1495" s="1" t="s">
        <v>35</v>
      </c>
      <c r="V1495" s="1" t="s">
        <v>71</v>
      </c>
    </row>
    <row r="1496" spans="1:22" x14ac:dyDescent="0.3">
      <c r="A1496" s="1" t="s">
        <v>7064</v>
      </c>
      <c r="B1496" s="1" t="s">
        <v>7065</v>
      </c>
      <c r="C1496" s="1">
        <v>43</v>
      </c>
      <c r="D1496" s="1" t="s">
        <v>7066</v>
      </c>
      <c r="E1496" s="1" t="s">
        <v>95</v>
      </c>
      <c r="F1496" s="1" t="s">
        <v>7067</v>
      </c>
      <c r="G1496" s="1" t="s">
        <v>690</v>
      </c>
      <c r="H1496" s="1">
        <v>2</v>
      </c>
      <c r="I1496" s="1" t="s">
        <v>27</v>
      </c>
      <c r="J1496" s="1" t="s">
        <v>802</v>
      </c>
      <c r="K1496" s="1" t="s">
        <v>7068</v>
      </c>
      <c r="L1496" s="1">
        <v>8</v>
      </c>
      <c r="M1496" s="1">
        <v>2</v>
      </c>
      <c r="N1496" s="1" t="s">
        <v>30</v>
      </c>
      <c r="O1496" s="1" t="s">
        <v>223</v>
      </c>
      <c r="P1496" s="1" t="s">
        <v>56</v>
      </c>
      <c r="Q1496" s="1" t="s">
        <v>69</v>
      </c>
      <c r="R1496" s="1">
        <v>161.28</v>
      </c>
      <c r="S1496" s="1" t="s">
        <v>46</v>
      </c>
      <c r="T1496" s="1" t="s">
        <v>34</v>
      </c>
      <c r="U1496" s="1" t="s">
        <v>70</v>
      </c>
      <c r="V1496" s="1" t="s">
        <v>36</v>
      </c>
    </row>
    <row r="1497" spans="1:22" x14ac:dyDescent="0.3">
      <c r="A1497" s="1" t="s">
        <v>7069</v>
      </c>
      <c r="B1497" s="1" t="s">
        <v>7070</v>
      </c>
      <c r="C1497" s="1">
        <v>18</v>
      </c>
      <c r="D1497" s="1" t="s">
        <v>7071</v>
      </c>
      <c r="E1497" s="1" t="s">
        <v>95</v>
      </c>
      <c r="F1497" s="1" t="s">
        <v>1955</v>
      </c>
      <c r="G1497" s="1" t="s">
        <v>96</v>
      </c>
      <c r="H1497" s="1">
        <v>4</v>
      </c>
      <c r="I1497" s="1" t="s">
        <v>52</v>
      </c>
      <c r="J1497" s="1" t="s">
        <v>802</v>
      </c>
      <c r="K1497" s="1" t="s">
        <v>7072</v>
      </c>
      <c r="L1497" s="1">
        <v>7</v>
      </c>
      <c r="M1497" s="1">
        <v>46</v>
      </c>
      <c r="N1497" s="1" t="s">
        <v>68</v>
      </c>
      <c r="O1497" s="1" t="s">
        <v>116</v>
      </c>
      <c r="P1497" s="1" t="s">
        <v>54</v>
      </c>
      <c r="Q1497" s="1" t="s">
        <v>69</v>
      </c>
      <c r="R1497" s="1">
        <v>1388.73</v>
      </c>
      <c r="S1497" s="1" t="s">
        <v>46</v>
      </c>
      <c r="T1497" s="1" t="s">
        <v>100</v>
      </c>
      <c r="U1497" s="1" t="s">
        <v>35</v>
      </c>
      <c r="V1497" s="1" t="s">
        <v>36</v>
      </c>
    </row>
    <row r="1498" spans="1:22" x14ac:dyDescent="0.3">
      <c r="A1498" s="1" t="s">
        <v>7073</v>
      </c>
      <c r="B1498" s="1" t="s">
        <v>7074</v>
      </c>
      <c r="C1498" s="1">
        <v>39</v>
      </c>
      <c r="D1498" s="1" t="s">
        <v>7075</v>
      </c>
      <c r="E1498" s="1" t="s">
        <v>88</v>
      </c>
      <c r="F1498" s="1" t="s">
        <v>4712</v>
      </c>
      <c r="G1498" s="2">
        <v>44960</v>
      </c>
      <c r="H1498" s="1">
        <v>0</v>
      </c>
      <c r="I1498" s="1" t="s">
        <v>52</v>
      </c>
      <c r="J1498" s="2">
        <v>45751</v>
      </c>
      <c r="K1498" s="1" t="s">
        <v>7076</v>
      </c>
      <c r="L1498" s="1">
        <v>5</v>
      </c>
      <c r="M1498" s="1">
        <v>6</v>
      </c>
      <c r="N1498" s="1" t="s">
        <v>45</v>
      </c>
      <c r="O1498" s="1" t="s">
        <v>31</v>
      </c>
      <c r="P1498" s="1" t="s">
        <v>30</v>
      </c>
      <c r="Q1498" s="1" t="s">
        <v>69</v>
      </c>
      <c r="R1498" s="1">
        <v>969.5</v>
      </c>
      <c r="S1498" s="1" t="s">
        <v>46</v>
      </c>
      <c r="T1498" s="1" t="s">
        <v>34</v>
      </c>
      <c r="U1498" s="1" t="s">
        <v>35</v>
      </c>
      <c r="V1498" s="1" t="s">
        <v>36</v>
      </c>
    </row>
    <row r="1499" spans="1:22" x14ac:dyDescent="0.3">
      <c r="A1499" s="1" t="s">
        <v>7077</v>
      </c>
      <c r="B1499" s="1" t="s">
        <v>7078</v>
      </c>
      <c r="C1499" s="1">
        <v>52</v>
      </c>
      <c r="D1499" s="1" t="s">
        <v>7079</v>
      </c>
      <c r="E1499" s="1" t="s">
        <v>61</v>
      </c>
      <c r="F1499" s="2">
        <v>44233</v>
      </c>
      <c r="G1499" s="1" t="s">
        <v>872</v>
      </c>
      <c r="H1499" s="1">
        <v>3</v>
      </c>
      <c r="I1499" s="1" t="s">
        <v>52</v>
      </c>
      <c r="J1499" s="1" t="s">
        <v>3278</v>
      </c>
      <c r="K1499" s="1" t="s">
        <v>7080</v>
      </c>
      <c r="L1499" s="1">
        <v>2</v>
      </c>
      <c r="M1499" s="1">
        <v>18</v>
      </c>
      <c r="N1499" s="1" t="s">
        <v>56</v>
      </c>
      <c r="O1499" s="1" t="s">
        <v>837</v>
      </c>
      <c r="P1499" s="1" t="s">
        <v>56</v>
      </c>
      <c r="Q1499" s="1" t="s">
        <v>32</v>
      </c>
      <c r="R1499" s="1">
        <v>827.6</v>
      </c>
      <c r="S1499" s="1" t="s">
        <v>33</v>
      </c>
      <c r="T1499" s="1" t="s">
        <v>47</v>
      </c>
      <c r="U1499" s="1" t="s">
        <v>35</v>
      </c>
      <c r="V1499" s="1" t="s">
        <v>36</v>
      </c>
    </row>
    <row r="1500" spans="1:22" x14ac:dyDescent="0.3">
      <c r="A1500" s="1" t="s">
        <v>7081</v>
      </c>
      <c r="B1500" s="1" t="s">
        <v>7082</v>
      </c>
      <c r="C1500" s="1">
        <v>42</v>
      </c>
      <c r="D1500" s="1" t="s">
        <v>7083</v>
      </c>
      <c r="E1500" s="1" t="s">
        <v>88</v>
      </c>
      <c r="F1500" s="1" t="s">
        <v>4698</v>
      </c>
      <c r="G1500" s="1" t="s">
        <v>1268</v>
      </c>
      <c r="H1500" s="1">
        <v>0</v>
      </c>
      <c r="I1500" s="1" t="s">
        <v>27</v>
      </c>
      <c r="J1500" s="2">
        <v>45568</v>
      </c>
      <c r="K1500" s="1" t="s">
        <v>7084</v>
      </c>
      <c r="L1500" s="1">
        <v>2</v>
      </c>
      <c r="M1500" s="1">
        <v>12</v>
      </c>
      <c r="N1500" s="1" t="s">
        <v>30</v>
      </c>
      <c r="O1500" s="1" t="s">
        <v>194</v>
      </c>
      <c r="P1500" s="1" t="s">
        <v>56</v>
      </c>
      <c r="Q1500" s="1" t="s">
        <v>32</v>
      </c>
      <c r="R1500" s="1">
        <v>683.28</v>
      </c>
      <c r="S1500" s="1" t="s">
        <v>46</v>
      </c>
      <c r="T1500" s="1" t="s">
        <v>34</v>
      </c>
      <c r="U1500" s="1" t="s">
        <v>35</v>
      </c>
      <c r="V1500" s="1" t="s">
        <v>36</v>
      </c>
    </row>
    <row r="1501" spans="1:22" x14ac:dyDescent="0.3">
      <c r="A1501" s="1" t="s">
        <v>7085</v>
      </c>
      <c r="B1501" s="1" t="s">
        <v>7086</v>
      </c>
      <c r="C1501" s="1">
        <v>38</v>
      </c>
      <c r="D1501" s="1" t="s">
        <v>7087</v>
      </c>
      <c r="E1501" s="1" t="s">
        <v>61</v>
      </c>
      <c r="F1501" s="1" t="s">
        <v>1420</v>
      </c>
      <c r="G1501" s="2">
        <v>44963</v>
      </c>
      <c r="H1501" s="1">
        <v>4</v>
      </c>
      <c r="I1501" s="1" t="s">
        <v>27</v>
      </c>
      <c r="J1501" s="1" t="s">
        <v>1726</v>
      </c>
      <c r="K1501" s="1" t="s">
        <v>7088</v>
      </c>
      <c r="L1501" s="1">
        <v>3</v>
      </c>
      <c r="M1501" s="1">
        <v>26</v>
      </c>
      <c r="N1501" s="1" t="s">
        <v>45</v>
      </c>
      <c r="O1501" s="1" t="s">
        <v>536</v>
      </c>
      <c r="P1501" s="1" t="s">
        <v>68</v>
      </c>
      <c r="Q1501" s="1" t="s">
        <v>69</v>
      </c>
      <c r="R1501" s="1">
        <v>1165.8</v>
      </c>
      <c r="S1501" s="1" t="s">
        <v>46</v>
      </c>
      <c r="T1501" s="1" t="s">
        <v>34</v>
      </c>
      <c r="U1501" s="1" t="s">
        <v>35</v>
      </c>
      <c r="V1501" s="1" t="s">
        <v>188</v>
      </c>
    </row>
    <row r="1502" spans="1:22" x14ac:dyDescent="0.3">
      <c r="A1502" s="1" t="s">
        <v>7089</v>
      </c>
      <c r="B1502" s="1" t="s">
        <v>7090</v>
      </c>
      <c r="C1502" s="1">
        <v>35</v>
      </c>
      <c r="D1502" s="1" t="s">
        <v>7091</v>
      </c>
      <c r="E1502" s="1" t="s">
        <v>61</v>
      </c>
      <c r="F1502" s="2">
        <v>44323</v>
      </c>
      <c r="G1502" s="2">
        <v>45110</v>
      </c>
      <c r="H1502" s="1">
        <v>2</v>
      </c>
      <c r="I1502" s="1" t="s">
        <v>27</v>
      </c>
      <c r="J1502" s="1" t="s">
        <v>313</v>
      </c>
      <c r="K1502" s="1" t="s">
        <v>7092</v>
      </c>
      <c r="L1502" s="1">
        <v>5</v>
      </c>
      <c r="M1502" s="1">
        <v>42</v>
      </c>
      <c r="N1502" s="1" t="s">
        <v>45</v>
      </c>
      <c r="O1502" s="1" t="s">
        <v>245</v>
      </c>
      <c r="P1502" s="1" t="s">
        <v>54</v>
      </c>
      <c r="Q1502" s="1" t="s">
        <v>69</v>
      </c>
      <c r="R1502" s="1">
        <v>939.35</v>
      </c>
      <c r="S1502" s="1" t="s">
        <v>46</v>
      </c>
      <c r="T1502" s="1" t="s">
        <v>34</v>
      </c>
      <c r="U1502" s="1" t="s">
        <v>35</v>
      </c>
      <c r="V1502" s="1" t="s">
        <v>36</v>
      </c>
    </row>
    <row r="1503" spans="1:22" x14ac:dyDescent="0.3">
      <c r="A1503" s="1" t="s">
        <v>7093</v>
      </c>
      <c r="B1503" s="1" t="s">
        <v>7094</v>
      </c>
      <c r="C1503" s="1">
        <v>66</v>
      </c>
      <c r="D1503" s="1" t="s">
        <v>7095</v>
      </c>
      <c r="E1503" s="1" t="s">
        <v>61</v>
      </c>
      <c r="F1503" s="2">
        <v>44534</v>
      </c>
      <c r="G1503" s="1" t="s">
        <v>2294</v>
      </c>
      <c r="H1503" s="1">
        <v>2</v>
      </c>
      <c r="I1503" s="1" t="s">
        <v>52</v>
      </c>
      <c r="J1503" s="1" t="s">
        <v>2087</v>
      </c>
      <c r="K1503" s="1" t="s">
        <v>7096</v>
      </c>
      <c r="L1503" s="1">
        <v>3</v>
      </c>
      <c r="M1503" s="1">
        <v>3</v>
      </c>
      <c r="N1503" s="1" t="s">
        <v>45</v>
      </c>
      <c r="O1503" s="1" t="s">
        <v>855</v>
      </c>
      <c r="P1503" s="1" t="s">
        <v>45</v>
      </c>
      <c r="Q1503" s="1" t="s">
        <v>69</v>
      </c>
      <c r="R1503" s="1">
        <v>1856.97</v>
      </c>
      <c r="S1503" s="1" t="s">
        <v>33</v>
      </c>
      <c r="T1503" s="1" t="s">
        <v>232</v>
      </c>
      <c r="U1503" s="1" t="s">
        <v>35</v>
      </c>
      <c r="V1503" s="1" t="s">
        <v>36</v>
      </c>
    </row>
    <row r="1504" spans="1:22" x14ac:dyDescent="0.3">
      <c r="A1504" s="1" t="s">
        <v>7097</v>
      </c>
      <c r="B1504" s="1" t="s">
        <v>7098</v>
      </c>
      <c r="C1504" s="1">
        <v>28</v>
      </c>
      <c r="D1504" s="1" t="s">
        <v>7099</v>
      </c>
      <c r="E1504" s="1" t="s">
        <v>88</v>
      </c>
      <c r="F1504" s="1" t="s">
        <v>1714</v>
      </c>
      <c r="G1504" s="2">
        <v>44898</v>
      </c>
      <c r="H1504" s="1">
        <v>4</v>
      </c>
      <c r="I1504" s="1" t="s">
        <v>27</v>
      </c>
      <c r="J1504" s="2">
        <v>45662</v>
      </c>
      <c r="K1504" s="1" t="s">
        <v>7100</v>
      </c>
      <c r="L1504" s="1">
        <v>1</v>
      </c>
      <c r="M1504" s="1">
        <v>29</v>
      </c>
      <c r="N1504" s="1" t="s">
        <v>45</v>
      </c>
      <c r="O1504" s="1" t="s">
        <v>157</v>
      </c>
      <c r="P1504" s="1" t="s">
        <v>68</v>
      </c>
      <c r="Q1504" s="1" t="s">
        <v>32</v>
      </c>
      <c r="R1504" s="1">
        <v>1155.2</v>
      </c>
      <c r="S1504" s="1" t="s">
        <v>46</v>
      </c>
      <c r="T1504" s="1" t="s">
        <v>57</v>
      </c>
      <c r="U1504" s="1" t="s">
        <v>35</v>
      </c>
      <c r="V1504" s="1" t="s">
        <v>188</v>
      </c>
    </row>
    <row r="1505" spans="1:22" x14ac:dyDescent="0.3">
      <c r="A1505" s="1" t="s">
        <v>7101</v>
      </c>
      <c r="B1505" s="1" t="s">
        <v>7102</v>
      </c>
      <c r="C1505" s="1">
        <v>40</v>
      </c>
      <c r="D1505" s="1" t="s">
        <v>7103</v>
      </c>
      <c r="E1505" s="1" t="s">
        <v>88</v>
      </c>
      <c r="F1505" s="1" t="s">
        <v>2543</v>
      </c>
      <c r="G1505" s="1" t="s">
        <v>155</v>
      </c>
      <c r="H1505" s="1">
        <v>4</v>
      </c>
      <c r="I1505" s="1" t="s">
        <v>27</v>
      </c>
      <c r="J1505" s="1" t="s">
        <v>3958</v>
      </c>
      <c r="K1505" s="1" t="s">
        <v>7104</v>
      </c>
      <c r="L1505" s="1">
        <v>9</v>
      </c>
      <c r="M1505" s="1">
        <v>48</v>
      </c>
      <c r="N1505" s="1" t="s">
        <v>56</v>
      </c>
      <c r="O1505" s="1" t="s">
        <v>354</v>
      </c>
      <c r="P1505" s="1" t="s">
        <v>45</v>
      </c>
      <c r="Q1505" s="1" t="s">
        <v>69</v>
      </c>
      <c r="R1505" s="1">
        <v>743.67</v>
      </c>
      <c r="S1505" s="1" t="s">
        <v>46</v>
      </c>
      <c r="T1505" s="1" t="s">
        <v>34</v>
      </c>
      <c r="U1505" s="1" t="s">
        <v>35</v>
      </c>
      <c r="V1505" s="1" t="s">
        <v>188</v>
      </c>
    </row>
    <row r="1506" spans="1:22" x14ac:dyDescent="0.3">
      <c r="A1506" s="1" t="s">
        <v>7105</v>
      </c>
      <c r="B1506" s="1" t="s">
        <v>7106</v>
      </c>
      <c r="C1506" s="1">
        <v>49</v>
      </c>
      <c r="D1506" s="1" t="s">
        <v>7107</v>
      </c>
      <c r="E1506" s="1" t="s">
        <v>40</v>
      </c>
      <c r="F1506" s="2">
        <v>45053</v>
      </c>
      <c r="G1506" s="2">
        <v>45475</v>
      </c>
      <c r="H1506" s="1">
        <v>5</v>
      </c>
      <c r="I1506" s="1" t="s">
        <v>64</v>
      </c>
      <c r="J1506" s="2">
        <v>45057</v>
      </c>
      <c r="K1506" s="1" t="s">
        <v>481</v>
      </c>
      <c r="L1506" s="1">
        <v>4</v>
      </c>
      <c r="M1506" s="1">
        <v>37</v>
      </c>
      <c r="N1506" s="1" t="s">
        <v>30</v>
      </c>
      <c r="O1506" s="1" t="s">
        <v>238</v>
      </c>
      <c r="P1506" s="1" t="s">
        <v>45</v>
      </c>
      <c r="Q1506" s="1" t="s">
        <v>69</v>
      </c>
      <c r="R1506" s="1">
        <v>1048.4000000000001</v>
      </c>
      <c r="S1506" s="1" t="s">
        <v>46</v>
      </c>
      <c r="T1506" s="1" t="s">
        <v>34</v>
      </c>
      <c r="U1506" s="1" t="s">
        <v>35</v>
      </c>
      <c r="V1506" s="1" t="s">
        <v>71</v>
      </c>
    </row>
    <row r="1507" spans="1:22" x14ac:dyDescent="0.3">
      <c r="A1507" s="1" t="s">
        <v>7108</v>
      </c>
      <c r="B1507" s="1" t="s">
        <v>7109</v>
      </c>
      <c r="C1507" s="1">
        <v>55</v>
      </c>
      <c r="D1507" s="1" t="s">
        <v>7110</v>
      </c>
      <c r="E1507" s="1" t="s">
        <v>51</v>
      </c>
      <c r="F1507" s="1" t="s">
        <v>3831</v>
      </c>
      <c r="G1507" s="2">
        <v>44602</v>
      </c>
      <c r="H1507" s="1">
        <v>3</v>
      </c>
      <c r="I1507" s="1" t="s">
        <v>27</v>
      </c>
      <c r="J1507" s="2">
        <v>45750</v>
      </c>
      <c r="K1507" s="1" t="s">
        <v>7111</v>
      </c>
      <c r="L1507" s="1">
        <v>2</v>
      </c>
      <c r="M1507" s="1">
        <v>37</v>
      </c>
      <c r="N1507" s="1" t="s">
        <v>30</v>
      </c>
      <c r="O1507" s="1" t="s">
        <v>91</v>
      </c>
      <c r="P1507" s="1" t="s">
        <v>54</v>
      </c>
      <c r="Q1507" s="1" t="s">
        <v>69</v>
      </c>
      <c r="R1507" s="1">
        <v>1477.32</v>
      </c>
      <c r="S1507" s="1" t="s">
        <v>46</v>
      </c>
      <c r="T1507" s="1" t="s">
        <v>47</v>
      </c>
      <c r="U1507" s="1" t="s">
        <v>35</v>
      </c>
      <c r="V1507" s="1" t="s">
        <v>36</v>
      </c>
    </row>
    <row r="1508" spans="1:22" x14ac:dyDescent="0.3">
      <c r="A1508" s="1" t="s">
        <v>7112</v>
      </c>
      <c r="B1508" s="1" t="s">
        <v>7113</v>
      </c>
      <c r="C1508" s="1">
        <v>25</v>
      </c>
      <c r="D1508" s="1" t="s">
        <v>7114</v>
      </c>
      <c r="E1508" s="1" t="s">
        <v>40</v>
      </c>
      <c r="F1508" s="1" t="s">
        <v>1111</v>
      </c>
      <c r="G1508" s="2">
        <v>45415</v>
      </c>
      <c r="H1508" s="1">
        <v>1</v>
      </c>
      <c r="I1508" s="1" t="s">
        <v>27</v>
      </c>
      <c r="J1508" s="1" t="s">
        <v>1519</v>
      </c>
      <c r="K1508" s="1" t="s">
        <v>7115</v>
      </c>
      <c r="L1508" s="1">
        <v>8</v>
      </c>
      <c r="M1508" s="1">
        <v>48</v>
      </c>
      <c r="N1508" s="1" t="s">
        <v>68</v>
      </c>
      <c r="O1508" s="1" t="s">
        <v>238</v>
      </c>
      <c r="P1508" s="1" t="s">
        <v>45</v>
      </c>
      <c r="Q1508" s="1" t="s">
        <v>32</v>
      </c>
      <c r="R1508" s="1">
        <v>23.28</v>
      </c>
      <c r="S1508" s="1" t="s">
        <v>46</v>
      </c>
      <c r="T1508" s="1" t="s">
        <v>57</v>
      </c>
      <c r="U1508" s="1" t="s">
        <v>101</v>
      </c>
      <c r="V1508" s="1" t="s">
        <v>36</v>
      </c>
    </row>
    <row r="1509" spans="1:22" x14ac:dyDescent="0.3">
      <c r="A1509" s="1" t="s">
        <v>7116</v>
      </c>
      <c r="B1509" s="1" t="s">
        <v>7117</v>
      </c>
      <c r="C1509" s="1">
        <v>26</v>
      </c>
      <c r="D1509" s="1" t="s">
        <v>7118</v>
      </c>
      <c r="E1509" s="1" t="s">
        <v>25</v>
      </c>
      <c r="F1509" s="2">
        <v>45078</v>
      </c>
      <c r="G1509" s="1" t="s">
        <v>3899</v>
      </c>
      <c r="H1509" s="1">
        <v>3</v>
      </c>
      <c r="I1509" s="1" t="s">
        <v>27</v>
      </c>
      <c r="J1509" s="1" t="s">
        <v>595</v>
      </c>
      <c r="K1509" s="1" t="s">
        <v>7119</v>
      </c>
      <c r="L1509" s="1">
        <v>4</v>
      </c>
      <c r="M1509" s="1">
        <v>26</v>
      </c>
      <c r="N1509" s="1" t="s">
        <v>68</v>
      </c>
      <c r="O1509" s="1" t="s">
        <v>251</v>
      </c>
      <c r="P1509" s="1" t="s">
        <v>30</v>
      </c>
      <c r="Q1509" s="1" t="s">
        <v>69</v>
      </c>
      <c r="R1509" s="1">
        <v>1944.32</v>
      </c>
      <c r="S1509" s="1" t="s">
        <v>46</v>
      </c>
      <c r="T1509" s="1" t="s">
        <v>57</v>
      </c>
      <c r="U1509" s="1" t="s">
        <v>35</v>
      </c>
      <c r="V1509" s="1" t="s">
        <v>36</v>
      </c>
    </row>
    <row r="1510" spans="1:22" x14ac:dyDescent="0.3">
      <c r="A1510" s="1" t="s">
        <v>7120</v>
      </c>
      <c r="B1510" s="1" t="s">
        <v>7121</v>
      </c>
      <c r="C1510" s="1">
        <v>64</v>
      </c>
      <c r="D1510" s="1" t="s">
        <v>7122</v>
      </c>
      <c r="E1510" s="1" t="s">
        <v>51</v>
      </c>
      <c r="F1510" s="2">
        <v>44775</v>
      </c>
      <c r="G1510" s="1" t="s">
        <v>274</v>
      </c>
      <c r="H1510" s="1">
        <v>0</v>
      </c>
      <c r="I1510" s="1" t="s">
        <v>52</v>
      </c>
      <c r="J1510" s="1" t="s">
        <v>320</v>
      </c>
      <c r="K1510" s="1" t="s">
        <v>7123</v>
      </c>
      <c r="L1510" s="1">
        <v>6</v>
      </c>
      <c r="M1510" s="1">
        <v>3</v>
      </c>
      <c r="N1510" s="1" t="s">
        <v>68</v>
      </c>
      <c r="O1510" s="1" t="s">
        <v>604</v>
      </c>
      <c r="P1510" s="1" t="s">
        <v>45</v>
      </c>
      <c r="Q1510" s="1" t="s">
        <v>69</v>
      </c>
      <c r="R1510" s="1">
        <v>375.6</v>
      </c>
      <c r="S1510" s="1" t="s">
        <v>46</v>
      </c>
      <c r="T1510" s="1" t="s">
        <v>47</v>
      </c>
      <c r="U1510" s="1" t="s">
        <v>101</v>
      </c>
      <c r="V1510" s="1" t="s">
        <v>36</v>
      </c>
    </row>
    <row r="1511" spans="1:22" x14ac:dyDescent="0.3">
      <c r="A1511" s="1" t="s">
        <v>7124</v>
      </c>
      <c r="B1511" s="1" t="s">
        <v>7125</v>
      </c>
      <c r="C1511" s="1">
        <v>34</v>
      </c>
      <c r="D1511" s="1" t="s">
        <v>7126</v>
      </c>
      <c r="E1511" s="1" t="s">
        <v>61</v>
      </c>
      <c r="F1511" s="1" t="s">
        <v>4698</v>
      </c>
      <c r="G1511" s="1" t="s">
        <v>771</v>
      </c>
      <c r="H1511" s="1">
        <v>3</v>
      </c>
      <c r="I1511" s="1" t="s">
        <v>64</v>
      </c>
      <c r="J1511" s="2">
        <v>44684</v>
      </c>
      <c r="K1511" s="1" t="s">
        <v>7127</v>
      </c>
      <c r="L1511" s="1">
        <v>1</v>
      </c>
      <c r="M1511" s="1">
        <v>11</v>
      </c>
      <c r="N1511" s="1" t="s">
        <v>30</v>
      </c>
      <c r="O1511" s="1" t="s">
        <v>91</v>
      </c>
      <c r="P1511" s="1" t="s">
        <v>54</v>
      </c>
      <c r="Q1511" s="1" t="s">
        <v>69</v>
      </c>
      <c r="R1511" s="1">
        <v>522.52</v>
      </c>
      <c r="S1511" s="1" t="s">
        <v>46</v>
      </c>
      <c r="T1511" s="1" t="s">
        <v>57</v>
      </c>
      <c r="U1511" s="1" t="s">
        <v>35</v>
      </c>
      <c r="V1511" s="1" t="s">
        <v>71</v>
      </c>
    </row>
    <row r="1512" spans="1:22" x14ac:dyDescent="0.3">
      <c r="A1512" s="1" t="s">
        <v>7128</v>
      </c>
      <c r="B1512" s="1" t="s">
        <v>7129</v>
      </c>
      <c r="C1512" s="1">
        <v>46</v>
      </c>
      <c r="D1512" s="1" t="s">
        <v>7130</v>
      </c>
      <c r="E1512" s="1" t="s">
        <v>95</v>
      </c>
      <c r="F1512" s="1" t="s">
        <v>2152</v>
      </c>
      <c r="G1512" s="2">
        <v>45085</v>
      </c>
      <c r="H1512" s="1">
        <v>5</v>
      </c>
      <c r="I1512" s="1" t="s">
        <v>27</v>
      </c>
      <c r="J1512" s="2">
        <v>44815</v>
      </c>
      <c r="K1512" s="1" t="s">
        <v>7131</v>
      </c>
      <c r="L1512" s="1">
        <v>5</v>
      </c>
      <c r="M1512" s="1">
        <v>38</v>
      </c>
      <c r="N1512" s="1" t="s">
        <v>56</v>
      </c>
      <c r="O1512" s="1" t="s">
        <v>251</v>
      </c>
      <c r="P1512" s="1" t="s">
        <v>30</v>
      </c>
      <c r="Q1512" s="1" t="s">
        <v>69</v>
      </c>
      <c r="R1512" s="1">
        <v>153.35</v>
      </c>
      <c r="S1512" s="1" t="s">
        <v>46</v>
      </c>
      <c r="T1512" s="1" t="s">
        <v>34</v>
      </c>
      <c r="U1512" s="1" t="s">
        <v>35</v>
      </c>
      <c r="V1512" s="1" t="s">
        <v>188</v>
      </c>
    </row>
    <row r="1513" spans="1:22" x14ac:dyDescent="0.3">
      <c r="A1513" s="1" t="s">
        <v>7132</v>
      </c>
      <c r="B1513" s="1" t="s">
        <v>7133</v>
      </c>
      <c r="C1513" s="1">
        <v>32</v>
      </c>
      <c r="D1513" s="1" t="s">
        <v>7134</v>
      </c>
      <c r="E1513" s="1" t="s">
        <v>25</v>
      </c>
      <c r="F1513" s="2">
        <v>44538</v>
      </c>
      <c r="G1513" s="1" t="s">
        <v>1263</v>
      </c>
      <c r="H1513" s="1">
        <v>5</v>
      </c>
      <c r="I1513" s="1" t="s">
        <v>52</v>
      </c>
      <c r="J1513" s="1" t="s">
        <v>924</v>
      </c>
      <c r="K1513" s="1" t="s">
        <v>7135</v>
      </c>
      <c r="L1513" s="1">
        <v>8</v>
      </c>
      <c r="M1513" s="1">
        <v>15</v>
      </c>
      <c r="N1513" s="1" t="s">
        <v>45</v>
      </c>
      <c r="O1513" s="1" t="s">
        <v>99</v>
      </c>
      <c r="P1513" s="1" t="s">
        <v>56</v>
      </c>
      <c r="Q1513" s="1" t="s">
        <v>32</v>
      </c>
      <c r="R1513" s="1">
        <v>1799.68</v>
      </c>
      <c r="S1513" s="1" t="s">
        <v>46</v>
      </c>
      <c r="T1513" s="1" t="s">
        <v>57</v>
      </c>
      <c r="U1513" s="1" t="s">
        <v>35</v>
      </c>
      <c r="V1513" s="1" t="s">
        <v>36</v>
      </c>
    </row>
    <row r="1514" spans="1:22" x14ac:dyDescent="0.3">
      <c r="A1514" s="1" t="s">
        <v>7136</v>
      </c>
      <c r="B1514" s="1" t="s">
        <v>7137</v>
      </c>
      <c r="C1514" s="1">
        <v>20</v>
      </c>
      <c r="D1514" s="1" t="s">
        <v>7138</v>
      </c>
      <c r="E1514" s="1" t="s">
        <v>95</v>
      </c>
      <c r="F1514" s="2">
        <v>44840</v>
      </c>
      <c r="G1514" s="1" t="s">
        <v>1063</v>
      </c>
      <c r="H1514" s="1">
        <v>2</v>
      </c>
      <c r="I1514" s="1" t="s">
        <v>52</v>
      </c>
      <c r="J1514" s="1" t="s">
        <v>5697</v>
      </c>
      <c r="K1514" s="1" t="s">
        <v>7139</v>
      </c>
      <c r="L1514" s="1">
        <v>9</v>
      </c>
      <c r="M1514" s="1">
        <v>34</v>
      </c>
      <c r="N1514" s="1" t="s">
        <v>56</v>
      </c>
      <c r="O1514" s="1" t="s">
        <v>149</v>
      </c>
      <c r="P1514" s="1" t="s">
        <v>30</v>
      </c>
      <c r="Q1514" s="1" t="s">
        <v>69</v>
      </c>
      <c r="R1514" s="1">
        <v>25.65</v>
      </c>
      <c r="S1514" s="1" t="s">
        <v>46</v>
      </c>
      <c r="T1514" s="1" t="s">
        <v>100</v>
      </c>
      <c r="U1514" s="1" t="s">
        <v>101</v>
      </c>
      <c r="V1514" s="1" t="s">
        <v>36</v>
      </c>
    </row>
    <row r="1515" spans="1:22" x14ac:dyDescent="0.3">
      <c r="A1515" s="1" t="s">
        <v>7140</v>
      </c>
      <c r="B1515" s="1" t="s">
        <v>7141</v>
      </c>
      <c r="C1515" s="1">
        <v>29</v>
      </c>
      <c r="D1515" s="1" t="s">
        <v>7142</v>
      </c>
      <c r="E1515" s="1" t="s">
        <v>95</v>
      </c>
      <c r="F1515" s="2">
        <v>44531</v>
      </c>
      <c r="G1515" s="2">
        <v>45027</v>
      </c>
      <c r="H1515" s="1">
        <v>4</v>
      </c>
      <c r="I1515" s="1" t="s">
        <v>27</v>
      </c>
      <c r="J1515" s="2">
        <v>45171</v>
      </c>
      <c r="K1515" s="1" t="s">
        <v>7143</v>
      </c>
      <c r="L1515" s="1">
        <v>2</v>
      </c>
      <c r="M1515" s="1">
        <v>14</v>
      </c>
      <c r="N1515" s="1" t="s">
        <v>54</v>
      </c>
      <c r="O1515" s="1" t="s">
        <v>128</v>
      </c>
      <c r="P1515" s="1" t="s">
        <v>54</v>
      </c>
      <c r="Q1515" s="1" t="s">
        <v>32</v>
      </c>
      <c r="R1515" s="1">
        <v>1142.92</v>
      </c>
      <c r="S1515" s="1" t="s">
        <v>33</v>
      </c>
      <c r="T1515" s="1" t="s">
        <v>57</v>
      </c>
      <c r="U1515" s="1" t="s">
        <v>35</v>
      </c>
      <c r="V1515" s="1" t="s">
        <v>188</v>
      </c>
    </row>
    <row r="1516" spans="1:22" x14ac:dyDescent="0.3">
      <c r="A1516" s="1" t="s">
        <v>7144</v>
      </c>
      <c r="B1516" s="1" t="s">
        <v>7145</v>
      </c>
      <c r="C1516" s="1">
        <v>35</v>
      </c>
      <c r="D1516" s="1" t="s">
        <v>7146</v>
      </c>
      <c r="E1516" s="1" t="s">
        <v>61</v>
      </c>
      <c r="F1516" s="1" t="s">
        <v>7147</v>
      </c>
      <c r="G1516" s="1" t="s">
        <v>106</v>
      </c>
      <c r="H1516" s="1">
        <v>3</v>
      </c>
      <c r="I1516" s="1" t="s">
        <v>27</v>
      </c>
      <c r="J1516" s="1" t="s">
        <v>466</v>
      </c>
      <c r="K1516" s="1" t="s">
        <v>7148</v>
      </c>
      <c r="L1516" s="1">
        <v>2</v>
      </c>
      <c r="M1516" s="1">
        <v>35</v>
      </c>
      <c r="N1516" s="1" t="s">
        <v>30</v>
      </c>
      <c r="O1516" s="1" t="s">
        <v>91</v>
      </c>
      <c r="P1516" s="1" t="s">
        <v>54</v>
      </c>
      <c r="Q1516" s="1" t="s">
        <v>32</v>
      </c>
      <c r="R1516" s="1">
        <v>1117.32</v>
      </c>
      <c r="S1516" s="1" t="s">
        <v>46</v>
      </c>
      <c r="T1516" s="1" t="s">
        <v>34</v>
      </c>
      <c r="U1516" s="1" t="s">
        <v>35</v>
      </c>
      <c r="V1516" s="1" t="s">
        <v>36</v>
      </c>
    </row>
    <row r="1517" spans="1:22" x14ac:dyDescent="0.3">
      <c r="A1517" s="1" t="s">
        <v>7149</v>
      </c>
      <c r="B1517" s="1" t="s">
        <v>7150</v>
      </c>
      <c r="C1517" s="1">
        <v>20</v>
      </c>
      <c r="D1517" s="1" t="s">
        <v>7151</v>
      </c>
      <c r="E1517" s="1" t="s">
        <v>51</v>
      </c>
      <c r="F1517" s="1" t="s">
        <v>2598</v>
      </c>
      <c r="G1517" s="2">
        <v>45904</v>
      </c>
      <c r="H1517" s="1">
        <v>1</v>
      </c>
      <c r="I1517" s="1" t="s">
        <v>52</v>
      </c>
      <c r="J1517" s="2">
        <v>44997</v>
      </c>
      <c r="K1517" s="1" t="s">
        <v>7152</v>
      </c>
      <c r="L1517" s="1">
        <v>5</v>
      </c>
      <c r="M1517" s="1">
        <v>7</v>
      </c>
      <c r="N1517" s="1" t="s">
        <v>54</v>
      </c>
      <c r="O1517" s="1" t="s">
        <v>293</v>
      </c>
      <c r="P1517" s="1" t="s">
        <v>45</v>
      </c>
      <c r="Q1517" s="1" t="s">
        <v>69</v>
      </c>
      <c r="R1517" s="1">
        <v>174.6</v>
      </c>
      <c r="S1517" s="1" t="s">
        <v>46</v>
      </c>
      <c r="T1517" s="1" t="s">
        <v>100</v>
      </c>
      <c r="U1517" s="1" t="s">
        <v>101</v>
      </c>
      <c r="V1517" s="1" t="s">
        <v>36</v>
      </c>
    </row>
    <row r="1518" spans="1:22" x14ac:dyDescent="0.3">
      <c r="A1518" s="1" t="s">
        <v>7153</v>
      </c>
      <c r="B1518" s="1" t="s">
        <v>7154</v>
      </c>
      <c r="C1518" s="1">
        <v>30</v>
      </c>
      <c r="D1518" s="1" t="s">
        <v>7155</v>
      </c>
      <c r="E1518" s="1" t="s">
        <v>51</v>
      </c>
      <c r="F1518" s="2">
        <v>44418</v>
      </c>
      <c r="G1518" s="1" t="s">
        <v>4447</v>
      </c>
      <c r="H1518" s="1">
        <v>1</v>
      </c>
      <c r="I1518" s="1" t="s">
        <v>27</v>
      </c>
      <c r="J1518" s="2">
        <v>44780</v>
      </c>
      <c r="K1518" s="1" t="s">
        <v>7156</v>
      </c>
      <c r="L1518" s="1">
        <v>6</v>
      </c>
      <c r="M1518" s="1">
        <v>18</v>
      </c>
      <c r="N1518" s="1" t="s">
        <v>45</v>
      </c>
      <c r="O1518" s="1" t="s">
        <v>135</v>
      </c>
      <c r="P1518" s="1" t="s">
        <v>45</v>
      </c>
      <c r="Q1518" s="1" t="s">
        <v>69</v>
      </c>
      <c r="R1518" s="1">
        <v>1899.42</v>
      </c>
      <c r="S1518" s="1" t="s">
        <v>33</v>
      </c>
      <c r="T1518" s="1" t="s">
        <v>57</v>
      </c>
      <c r="U1518" s="1" t="s">
        <v>35</v>
      </c>
      <c r="V1518" s="1" t="s">
        <v>36</v>
      </c>
    </row>
    <row r="1519" spans="1:22" x14ac:dyDescent="0.3">
      <c r="A1519" s="1" t="s">
        <v>7157</v>
      </c>
      <c r="B1519" s="1" t="s">
        <v>7158</v>
      </c>
      <c r="C1519" s="1">
        <v>28</v>
      </c>
      <c r="D1519" s="1" t="s">
        <v>7159</v>
      </c>
      <c r="E1519" s="1" t="s">
        <v>40</v>
      </c>
      <c r="F1519" s="1" t="s">
        <v>3699</v>
      </c>
      <c r="G1519" s="1" t="s">
        <v>4909</v>
      </c>
      <c r="H1519" s="1">
        <v>2</v>
      </c>
      <c r="I1519" s="1" t="s">
        <v>27</v>
      </c>
      <c r="J1519" s="1" t="s">
        <v>802</v>
      </c>
      <c r="K1519" s="1" t="s">
        <v>7160</v>
      </c>
      <c r="L1519" s="1">
        <v>5</v>
      </c>
      <c r="M1519" s="1">
        <v>37</v>
      </c>
      <c r="N1519" s="1" t="s">
        <v>56</v>
      </c>
      <c r="O1519" s="1" t="s">
        <v>354</v>
      </c>
      <c r="P1519" s="1" t="s">
        <v>45</v>
      </c>
      <c r="Q1519" s="1" t="s">
        <v>32</v>
      </c>
      <c r="R1519" s="1">
        <v>1218.3</v>
      </c>
      <c r="S1519" s="1" t="s">
        <v>46</v>
      </c>
      <c r="T1519" s="1" t="s">
        <v>57</v>
      </c>
      <c r="U1519" s="1" t="s">
        <v>35</v>
      </c>
      <c r="V1519" s="1" t="s">
        <v>36</v>
      </c>
    </row>
    <row r="1520" spans="1:22" x14ac:dyDescent="0.3">
      <c r="A1520" s="1" t="s">
        <v>7161</v>
      </c>
      <c r="B1520" s="1" t="s">
        <v>7162</v>
      </c>
      <c r="C1520" s="1">
        <v>55</v>
      </c>
      <c r="D1520" s="1" t="s">
        <v>7163</v>
      </c>
      <c r="E1520" s="1" t="s">
        <v>25</v>
      </c>
      <c r="F1520" s="2">
        <v>44449</v>
      </c>
      <c r="G1520" s="1" t="s">
        <v>974</v>
      </c>
      <c r="H1520" s="1">
        <v>5</v>
      </c>
      <c r="I1520" s="1" t="s">
        <v>27</v>
      </c>
      <c r="J1520" s="2">
        <v>45934</v>
      </c>
      <c r="K1520" s="1" t="s">
        <v>7164</v>
      </c>
      <c r="L1520" s="1">
        <v>9</v>
      </c>
      <c r="M1520" s="1">
        <v>9</v>
      </c>
      <c r="N1520" s="1" t="s">
        <v>56</v>
      </c>
      <c r="O1520" s="1" t="s">
        <v>175</v>
      </c>
      <c r="P1520" s="1" t="s">
        <v>56</v>
      </c>
      <c r="Q1520" s="1" t="s">
        <v>32</v>
      </c>
      <c r="R1520" s="1">
        <v>1429.56</v>
      </c>
      <c r="S1520" s="1" t="s">
        <v>33</v>
      </c>
      <c r="T1520" s="1" t="s">
        <v>47</v>
      </c>
      <c r="U1520" s="1" t="s">
        <v>35</v>
      </c>
      <c r="V1520" s="1" t="s">
        <v>188</v>
      </c>
    </row>
    <row r="1521" spans="1:22" x14ac:dyDescent="0.3">
      <c r="A1521" s="1" t="s">
        <v>7165</v>
      </c>
      <c r="B1521" s="1" t="s">
        <v>7166</v>
      </c>
      <c r="C1521" s="1">
        <v>64</v>
      </c>
      <c r="D1521" s="1" t="s">
        <v>7167</v>
      </c>
      <c r="E1521" s="1" t="s">
        <v>88</v>
      </c>
      <c r="F1521" s="2">
        <v>44145</v>
      </c>
      <c r="G1521" s="2">
        <v>45720</v>
      </c>
      <c r="H1521" s="1">
        <v>0</v>
      </c>
      <c r="I1521" s="1" t="s">
        <v>52</v>
      </c>
      <c r="J1521" s="1" t="s">
        <v>228</v>
      </c>
      <c r="K1521" s="1" t="s">
        <v>7168</v>
      </c>
      <c r="L1521" s="1">
        <v>7</v>
      </c>
      <c r="M1521" s="1">
        <v>27</v>
      </c>
      <c r="N1521" s="1" t="s">
        <v>68</v>
      </c>
      <c r="O1521" s="1" t="s">
        <v>269</v>
      </c>
      <c r="P1521" s="1" t="s">
        <v>56</v>
      </c>
      <c r="Q1521" s="1" t="s">
        <v>69</v>
      </c>
      <c r="R1521" s="1">
        <v>215.18</v>
      </c>
      <c r="S1521" s="1" t="s">
        <v>46</v>
      </c>
      <c r="T1521" s="1" t="s">
        <v>47</v>
      </c>
      <c r="U1521" s="1" t="s">
        <v>35</v>
      </c>
      <c r="V1521" s="1" t="s">
        <v>36</v>
      </c>
    </row>
    <row r="1522" spans="1:22" x14ac:dyDescent="0.3">
      <c r="A1522" s="1" t="s">
        <v>7169</v>
      </c>
      <c r="B1522" s="1" t="s">
        <v>7170</v>
      </c>
      <c r="C1522" s="1">
        <v>57</v>
      </c>
      <c r="D1522" s="1" t="s">
        <v>7171</v>
      </c>
      <c r="E1522" s="1" t="s">
        <v>95</v>
      </c>
      <c r="F1522" s="1" t="s">
        <v>1430</v>
      </c>
      <c r="G1522" s="1" t="s">
        <v>2113</v>
      </c>
      <c r="H1522" s="1">
        <v>3</v>
      </c>
      <c r="I1522" s="1" t="s">
        <v>52</v>
      </c>
      <c r="J1522" s="1" t="s">
        <v>6959</v>
      </c>
      <c r="K1522" s="1" t="s">
        <v>7172</v>
      </c>
      <c r="L1522" s="1">
        <v>2</v>
      </c>
      <c r="M1522" s="1">
        <v>37</v>
      </c>
      <c r="N1522" s="1" t="s">
        <v>56</v>
      </c>
      <c r="O1522" s="1" t="s">
        <v>366</v>
      </c>
      <c r="P1522" s="1" t="s">
        <v>54</v>
      </c>
      <c r="Q1522" s="1" t="s">
        <v>32</v>
      </c>
      <c r="R1522" s="1">
        <v>1587.6</v>
      </c>
      <c r="S1522" s="1" t="s">
        <v>46</v>
      </c>
      <c r="T1522" s="1" t="s">
        <v>47</v>
      </c>
      <c r="U1522" s="1" t="s">
        <v>35</v>
      </c>
      <c r="V1522" s="1" t="s">
        <v>36</v>
      </c>
    </row>
    <row r="1523" spans="1:22" x14ac:dyDescent="0.3">
      <c r="A1523" s="1" t="s">
        <v>7173</v>
      </c>
      <c r="B1523" s="1" t="s">
        <v>7174</v>
      </c>
      <c r="C1523" s="1">
        <v>20</v>
      </c>
      <c r="D1523" s="1" t="s">
        <v>7175</v>
      </c>
      <c r="E1523" s="1" t="s">
        <v>88</v>
      </c>
      <c r="F1523" s="1" t="s">
        <v>847</v>
      </c>
      <c r="G1523" s="1" t="s">
        <v>4608</v>
      </c>
      <c r="H1523" s="1">
        <v>1</v>
      </c>
      <c r="I1523" s="1" t="s">
        <v>27</v>
      </c>
      <c r="J1523" s="1" t="s">
        <v>4015</v>
      </c>
      <c r="K1523" s="1" t="s">
        <v>7176</v>
      </c>
      <c r="L1523" s="1">
        <v>6</v>
      </c>
      <c r="M1523" s="1">
        <v>8</v>
      </c>
      <c r="N1523" s="1" t="s">
        <v>30</v>
      </c>
      <c r="O1523" s="1" t="s">
        <v>67</v>
      </c>
      <c r="P1523" s="1" t="s">
        <v>68</v>
      </c>
      <c r="Q1523" s="1" t="s">
        <v>69</v>
      </c>
      <c r="R1523" s="1">
        <v>1757.94</v>
      </c>
      <c r="S1523" s="1" t="s">
        <v>46</v>
      </c>
      <c r="T1523" s="1" t="s">
        <v>100</v>
      </c>
      <c r="U1523" s="1" t="s">
        <v>35</v>
      </c>
      <c r="V1523" s="1" t="s">
        <v>36</v>
      </c>
    </row>
    <row r="1524" spans="1:22" x14ac:dyDescent="0.3">
      <c r="A1524" s="1" t="s">
        <v>7177</v>
      </c>
      <c r="B1524" s="1" t="s">
        <v>7178</v>
      </c>
      <c r="C1524" s="1">
        <v>62</v>
      </c>
      <c r="D1524" s="1" t="s">
        <v>7179</v>
      </c>
      <c r="E1524" s="1" t="s">
        <v>61</v>
      </c>
      <c r="F1524" s="1" t="s">
        <v>1582</v>
      </c>
      <c r="G1524" s="1" t="s">
        <v>745</v>
      </c>
      <c r="H1524" s="1">
        <v>4</v>
      </c>
      <c r="I1524" s="1" t="s">
        <v>52</v>
      </c>
      <c r="J1524" s="1" t="s">
        <v>2971</v>
      </c>
      <c r="K1524" s="1" t="s">
        <v>1590</v>
      </c>
      <c r="L1524" s="1">
        <v>2</v>
      </c>
      <c r="M1524" s="1">
        <v>5</v>
      </c>
      <c r="N1524" s="1" t="s">
        <v>68</v>
      </c>
      <c r="O1524" s="1" t="s">
        <v>610</v>
      </c>
      <c r="P1524" s="1" t="s">
        <v>68</v>
      </c>
      <c r="Q1524" s="1" t="s">
        <v>32</v>
      </c>
      <c r="R1524" s="1">
        <v>682.08</v>
      </c>
      <c r="S1524" s="1" t="s">
        <v>33</v>
      </c>
      <c r="T1524" s="1" t="s">
        <v>47</v>
      </c>
      <c r="U1524" s="1" t="s">
        <v>35</v>
      </c>
      <c r="V1524" s="1" t="s">
        <v>36</v>
      </c>
    </row>
    <row r="1525" spans="1:22" x14ac:dyDescent="0.3">
      <c r="A1525" s="1" t="s">
        <v>7180</v>
      </c>
      <c r="B1525" s="1" t="s">
        <v>7181</v>
      </c>
      <c r="C1525" s="1">
        <v>58</v>
      </c>
      <c r="D1525" s="1" t="s">
        <v>7182</v>
      </c>
      <c r="E1525" s="1" t="s">
        <v>88</v>
      </c>
      <c r="F1525" s="1" t="s">
        <v>7183</v>
      </c>
      <c r="G1525" s="1" t="s">
        <v>5078</v>
      </c>
      <c r="H1525" s="1">
        <v>0</v>
      </c>
      <c r="I1525" s="1" t="s">
        <v>64</v>
      </c>
      <c r="J1525" s="2">
        <v>45049</v>
      </c>
      <c r="K1525" s="1" t="s">
        <v>7184</v>
      </c>
      <c r="L1525" s="1">
        <v>7</v>
      </c>
      <c r="M1525" s="1">
        <v>5</v>
      </c>
      <c r="N1525" s="1" t="s">
        <v>56</v>
      </c>
      <c r="O1525" s="1" t="s">
        <v>373</v>
      </c>
      <c r="P1525" s="1" t="s">
        <v>54</v>
      </c>
      <c r="Q1525" s="1" t="s">
        <v>69</v>
      </c>
      <c r="R1525" s="1">
        <v>1440.25</v>
      </c>
      <c r="S1525" s="1" t="s">
        <v>46</v>
      </c>
      <c r="T1525" s="1" t="s">
        <v>47</v>
      </c>
      <c r="U1525" s="1" t="s">
        <v>35</v>
      </c>
      <c r="V1525" s="1" t="s">
        <v>71</v>
      </c>
    </row>
    <row r="1526" spans="1:22" x14ac:dyDescent="0.3">
      <c r="A1526" s="1" t="s">
        <v>7185</v>
      </c>
      <c r="B1526" s="1" t="s">
        <v>7186</v>
      </c>
      <c r="C1526" s="1">
        <v>19</v>
      </c>
      <c r="D1526" s="1" t="s">
        <v>7187</v>
      </c>
      <c r="E1526" s="1" t="s">
        <v>95</v>
      </c>
      <c r="F1526" s="1" t="s">
        <v>3002</v>
      </c>
      <c r="G1526" s="1" t="s">
        <v>346</v>
      </c>
      <c r="H1526" s="1">
        <v>5</v>
      </c>
      <c r="I1526" s="1" t="s">
        <v>27</v>
      </c>
      <c r="J1526" s="1" t="s">
        <v>5342</v>
      </c>
      <c r="K1526" s="1" t="s">
        <v>7188</v>
      </c>
      <c r="L1526" s="1">
        <v>7</v>
      </c>
      <c r="M1526" s="1">
        <v>45</v>
      </c>
      <c r="N1526" s="1" t="s">
        <v>56</v>
      </c>
      <c r="O1526" s="1" t="s">
        <v>373</v>
      </c>
      <c r="P1526" s="1" t="s">
        <v>54</v>
      </c>
      <c r="Q1526" s="1" t="s">
        <v>32</v>
      </c>
      <c r="R1526" s="1">
        <v>884.94</v>
      </c>
      <c r="S1526" s="1" t="s">
        <v>46</v>
      </c>
      <c r="T1526" s="1" t="s">
        <v>100</v>
      </c>
      <c r="U1526" s="1" t="s">
        <v>35</v>
      </c>
      <c r="V1526" s="1" t="s">
        <v>188</v>
      </c>
    </row>
    <row r="1527" spans="1:22" x14ac:dyDescent="0.3">
      <c r="A1527" s="1" t="s">
        <v>7189</v>
      </c>
      <c r="B1527" s="1" t="s">
        <v>7190</v>
      </c>
      <c r="C1527" s="1">
        <v>18</v>
      </c>
      <c r="D1527" s="1" t="s">
        <v>7191</v>
      </c>
      <c r="E1527" s="1" t="s">
        <v>25</v>
      </c>
      <c r="F1527" s="2">
        <v>44991</v>
      </c>
      <c r="G1527" s="1" t="s">
        <v>1732</v>
      </c>
      <c r="H1527" s="1">
        <v>5</v>
      </c>
      <c r="I1527" s="1" t="s">
        <v>27</v>
      </c>
      <c r="J1527" s="1" t="s">
        <v>1977</v>
      </c>
      <c r="K1527" s="1" t="s">
        <v>7192</v>
      </c>
      <c r="L1527" s="1">
        <v>6</v>
      </c>
      <c r="M1527" s="1">
        <v>40</v>
      </c>
      <c r="N1527" s="1" t="s">
        <v>30</v>
      </c>
      <c r="O1527" s="1" t="s">
        <v>109</v>
      </c>
      <c r="P1527" s="1" t="s">
        <v>68</v>
      </c>
      <c r="Q1527" s="1" t="s">
        <v>32</v>
      </c>
      <c r="R1527" s="1">
        <v>1230.3599999999999</v>
      </c>
      <c r="S1527" s="1" t="s">
        <v>46</v>
      </c>
      <c r="T1527" s="1" t="s">
        <v>100</v>
      </c>
      <c r="U1527" s="1" t="s">
        <v>35</v>
      </c>
      <c r="V1527" s="1" t="s">
        <v>188</v>
      </c>
    </row>
    <row r="1528" spans="1:22" x14ac:dyDescent="0.3">
      <c r="A1528" s="1" t="s">
        <v>7193</v>
      </c>
      <c r="B1528" s="1" t="s">
        <v>7194</v>
      </c>
      <c r="C1528" s="1">
        <v>18</v>
      </c>
      <c r="D1528" s="1" t="s">
        <v>7195</v>
      </c>
      <c r="E1528" s="1" t="s">
        <v>25</v>
      </c>
      <c r="F1528" s="2">
        <v>43931</v>
      </c>
      <c r="G1528" s="2">
        <v>45782</v>
      </c>
      <c r="H1528" s="1">
        <v>4</v>
      </c>
      <c r="I1528" s="1" t="s">
        <v>27</v>
      </c>
      <c r="J1528" s="2">
        <v>45778</v>
      </c>
      <c r="K1528" s="1" t="s">
        <v>7196</v>
      </c>
      <c r="L1528" s="1">
        <v>2</v>
      </c>
      <c r="M1528" s="1">
        <v>14</v>
      </c>
      <c r="N1528" s="1" t="s">
        <v>45</v>
      </c>
      <c r="O1528" s="1" t="s">
        <v>855</v>
      </c>
      <c r="P1528" s="1" t="s">
        <v>45</v>
      </c>
      <c r="Q1528" s="1" t="s">
        <v>69</v>
      </c>
      <c r="R1528" s="1">
        <v>174.36</v>
      </c>
      <c r="S1528" s="1" t="s">
        <v>33</v>
      </c>
      <c r="T1528" s="1" t="s">
        <v>100</v>
      </c>
      <c r="U1528" s="1" t="s">
        <v>101</v>
      </c>
      <c r="V1528" s="1" t="s">
        <v>188</v>
      </c>
    </row>
    <row r="1529" spans="1:22" x14ac:dyDescent="0.3">
      <c r="A1529" s="1" t="s">
        <v>7197</v>
      </c>
      <c r="B1529" s="1" t="s">
        <v>7198</v>
      </c>
      <c r="C1529" s="1">
        <v>37</v>
      </c>
      <c r="D1529" s="1" t="s">
        <v>7199</v>
      </c>
      <c r="E1529" s="1" t="s">
        <v>40</v>
      </c>
      <c r="F1529" s="2">
        <v>44630</v>
      </c>
      <c r="G1529" s="1" t="s">
        <v>209</v>
      </c>
      <c r="H1529" s="1">
        <v>5</v>
      </c>
      <c r="I1529" s="1" t="s">
        <v>27</v>
      </c>
      <c r="J1529" s="1" t="s">
        <v>3483</v>
      </c>
      <c r="K1529" s="1" t="s">
        <v>7200</v>
      </c>
      <c r="L1529" s="1">
        <v>7</v>
      </c>
      <c r="M1529" s="1">
        <v>40</v>
      </c>
      <c r="N1529" s="1" t="s">
        <v>45</v>
      </c>
      <c r="O1529" s="1" t="s">
        <v>366</v>
      </c>
      <c r="P1529" s="1" t="s">
        <v>54</v>
      </c>
      <c r="Q1529" s="1" t="s">
        <v>69</v>
      </c>
      <c r="R1529" s="1">
        <v>281.61</v>
      </c>
      <c r="S1529" s="1" t="s">
        <v>46</v>
      </c>
      <c r="T1529" s="1" t="s">
        <v>34</v>
      </c>
      <c r="U1529" s="1" t="s">
        <v>35</v>
      </c>
      <c r="V1529" s="1" t="s">
        <v>188</v>
      </c>
    </row>
    <row r="1530" spans="1:22" x14ac:dyDescent="0.3">
      <c r="A1530" s="1" t="s">
        <v>7201</v>
      </c>
      <c r="B1530" s="1" t="s">
        <v>7202</v>
      </c>
      <c r="C1530" s="1">
        <v>21</v>
      </c>
      <c r="D1530" s="1" t="s">
        <v>7203</v>
      </c>
      <c r="E1530" s="1" t="s">
        <v>40</v>
      </c>
      <c r="F1530" s="1" t="s">
        <v>1514</v>
      </c>
      <c r="G1530" s="2">
        <v>44938</v>
      </c>
      <c r="H1530" s="1">
        <v>4</v>
      </c>
      <c r="I1530" s="1" t="s">
        <v>52</v>
      </c>
      <c r="J1530" s="2">
        <v>45296</v>
      </c>
      <c r="K1530" s="1" t="s">
        <v>7204</v>
      </c>
      <c r="L1530" s="1">
        <v>5</v>
      </c>
      <c r="M1530" s="1">
        <v>12</v>
      </c>
      <c r="N1530" s="1" t="s">
        <v>56</v>
      </c>
      <c r="O1530" s="1" t="s">
        <v>175</v>
      </c>
      <c r="P1530" s="1" t="s">
        <v>56</v>
      </c>
      <c r="Q1530" s="1" t="s">
        <v>69</v>
      </c>
      <c r="R1530" s="1">
        <v>1879</v>
      </c>
      <c r="S1530" s="1" t="s">
        <v>33</v>
      </c>
      <c r="T1530" s="1" t="s">
        <v>100</v>
      </c>
      <c r="U1530" s="1" t="s">
        <v>35</v>
      </c>
      <c r="V1530" s="1" t="s">
        <v>36</v>
      </c>
    </row>
    <row r="1531" spans="1:22" x14ac:dyDescent="0.3">
      <c r="A1531" s="1" t="s">
        <v>7205</v>
      </c>
      <c r="B1531" s="1" t="s">
        <v>7206</v>
      </c>
      <c r="C1531" s="1">
        <v>20</v>
      </c>
      <c r="D1531" s="1" t="s">
        <v>7207</v>
      </c>
      <c r="E1531" s="1" t="s">
        <v>40</v>
      </c>
      <c r="F1531" s="1" t="s">
        <v>3558</v>
      </c>
      <c r="G1531" s="2">
        <v>45568</v>
      </c>
      <c r="H1531" s="1">
        <v>2</v>
      </c>
      <c r="I1531" s="1" t="s">
        <v>52</v>
      </c>
      <c r="J1531" s="2">
        <v>44987</v>
      </c>
      <c r="K1531" s="1" t="s">
        <v>7208</v>
      </c>
      <c r="L1531" s="1">
        <v>5</v>
      </c>
      <c r="M1531" s="1">
        <v>42</v>
      </c>
      <c r="N1531" s="1" t="s">
        <v>56</v>
      </c>
      <c r="O1531" s="1" t="s">
        <v>109</v>
      </c>
      <c r="P1531" s="1" t="s">
        <v>68</v>
      </c>
      <c r="Q1531" s="1" t="s">
        <v>69</v>
      </c>
      <c r="R1531" s="1">
        <v>1387.5</v>
      </c>
      <c r="S1531" s="1" t="s">
        <v>46</v>
      </c>
      <c r="T1531" s="1" t="s">
        <v>100</v>
      </c>
      <c r="U1531" s="1" t="s">
        <v>35</v>
      </c>
      <c r="V1531" s="1" t="s">
        <v>36</v>
      </c>
    </row>
    <row r="1532" spans="1:22" x14ac:dyDescent="0.3">
      <c r="A1532" s="1" t="s">
        <v>7209</v>
      </c>
      <c r="B1532" s="1" t="s">
        <v>7210</v>
      </c>
      <c r="C1532" s="1">
        <v>65</v>
      </c>
      <c r="D1532" s="1" t="s">
        <v>7211</v>
      </c>
      <c r="E1532" s="1" t="s">
        <v>61</v>
      </c>
      <c r="F1532" s="1" t="s">
        <v>690</v>
      </c>
      <c r="G1532" s="1" t="s">
        <v>339</v>
      </c>
      <c r="H1532" s="1">
        <v>5</v>
      </c>
      <c r="I1532" s="1" t="s">
        <v>27</v>
      </c>
      <c r="J1532" s="2">
        <v>44876</v>
      </c>
      <c r="K1532" s="1" t="s">
        <v>7212</v>
      </c>
      <c r="L1532" s="1">
        <v>8</v>
      </c>
      <c r="M1532" s="1">
        <v>39</v>
      </c>
      <c r="N1532" s="1" t="s">
        <v>30</v>
      </c>
      <c r="O1532" s="1" t="s">
        <v>238</v>
      </c>
      <c r="P1532" s="1" t="s">
        <v>45</v>
      </c>
      <c r="Q1532" s="1" t="s">
        <v>322</v>
      </c>
      <c r="R1532" s="1">
        <v>979.84</v>
      </c>
      <c r="S1532" s="1" t="s">
        <v>46</v>
      </c>
      <c r="T1532" s="1" t="s">
        <v>232</v>
      </c>
      <c r="U1532" s="1" t="s">
        <v>35</v>
      </c>
      <c r="V1532" s="1" t="s">
        <v>188</v>
      </c>
    </row>
    <row r="1533" spans="1:22" x14ac:dyDescent="0.3">
      <c r="A1533" s="1" t="s">
        <v>7213</v>
      </c>
      <c r="B1533" s="1" t="s">
        <v>7214</v>
      </c>
      <c r="C1533" s="1">
        <v>47</v>
      </c>
      <c r="D1533" s="1" t="s">
        <v>7215</v>
      </c>
      <c r="E1533" s="1" t="s">
        <v>25</v>
      </c>
      <c r="F1533" s="2">
        <v>44511</v>
      </c>
      <c r="G1533" s="1" t="s">
        <v>5351</v>
      </c>
      <c r="H1533" s="1">
        <v>3</v>
      </c>
      <c r="I1533" s="1" t="s">
        <v>27</v>
      </c>
      <c r="J1533" s="1" t="s">
        <v>578</v>
      </c>
      <c r="K1533" s="1" t="s">
        <v>7216</v>
      </c>
      <c r="L1533" s="1">
        <v>4</v>
      </c>
      <c r="M1533" s="1">
        <v>4</v>
      </c>
      <c r="N1533" s="1" t="s">
        <v>68</v>
      </c>
      <c r="O1533" s="1" t="s">
        <v>418</v>
      </c>
      <c r="P1533" s="1" t="s">
        <v>56</v>
      </c>
      <c r="Q1533" s="1" t="s">
        <v>69</v>
      </c>
      <c r="R1533" s="1">
        <v>459.68</v>
      </c>
      <c r="S1533" s="1" t="s">
        <v>46</v>
      </c>
      <c r="T1533" s="1" t="s">
        <v>34</v>
      </c>
      <c r="U1533" s="1" t="s">
        <v>101</v>
      </c>
      <c r="V1533" s="1" t="s">
        <v>36</v>
      </c>
    </row>
    <row r="1534" spans="1:22" x14ac:dyDescent="0.3">
      <c r="A1534" s="1" t="s">
        <v>7217</v>
      </c>
      <c r="B1534" s="1" t="s">
        <v>7218</v>
      </c>
      <c r="C1534" s="1">
        <v>53</v>
      </c>
      <c r="D1534" s="1" t="s">
        <v>7219</v>
      </c>
      <c r="E1534" s="1" t="s">
        <v>40</v>
      </c>
      <c r="F1534" s="1" t="s">
        <v>192</v>
      </c>
      <c r="G1534" s="2">
        <v>45572</v>
      </c>
      <c r="H1534" s="1">
        <v>5</v>
      </c>
      <c r="I1534" s="1" t="s">
        <v>27</v>
      </c>
      <c r="J1534" s="1" t="s">
        <v>4743</v>
      </c>
      <c r="K1534" s="1" t="s">
        <v>7220</v>
      </c>
      <c r="L1534" s="1">
        <v>1</v>
      </c>
      <c r="M1534" s="1">
        <v>4</v>
      </c>
      <c r="N1534" s="1" t="s">
        <v>30</v>
      </c>
      <c r="O1534" s="1" t="s">
        <v>135</v>
      </c>
      <c r="P1534" s="1" t="s">
        <v>45</v>
      </c>
      <c r="Q1534" s="1" t="s">
        <v>69</v>
      </c>
      <c r="R1534" s="1">
        <v>292.52999999999997</v>
      </c>
      <c r="S1534" s="1" t="s">
        <v>46</v>
      </c>
      <c r="T1534" s="1" t="s">
        <v>47</v>
      </c>
      <c r="U1534" s="1" t="s">
        <v>101</v>
      </c>
      <c r="V1534" s="1" t="s">
        <v>188</v>
      </c>
    </row>
    <row r="1535" spans="1:22" x14ac:dyDescent="0.3">
      <c r="A1535" s="1" t="s">
        <v>7221</v>
      </c>
      <c r="B1535" s="1" t="s">
        <v>7222</v>
      </c>
      <c r="C1535" s="1">
        <v>66</v>
      </c>
      <c r="D1535" s="1" t="s">
        <v>7223</v>
      </c>
      <c r="E1535" s="1" t="s">
        <v>51</v>
      </c>
      <c r="F1535" s="2">
        <v>45019</v>
      </c>
      <c r="G1535" s="2">
        <v>45693</v>
      </c>
      <c r="H1535" s="1">
        <v>1</v>
      </c>
      <c r="I1535" s="1" t="s">
        <v>27</v>
      </c>
      <c r="J1535" s="2">
        <v>45512</v>
      </c>
      <c r="K1535" s="1" t="s">
        <v>7224</v>
      </c>
      <c r="L1535" s="1">
        <v>3</v>
      </c>
      <c r="M1535" s="1">
        <v>11</v>
      </c>
      <c r="N1535" s="1" t="s">
        <v>68</v>
      </c>
      <c r="O1535" s="1" t="s">
        <v>77</v>
      </c>
      <c r="P1535" s="1" t="s">
        <v>54</v>
      </c>
      <c r="Q1535" s="1" t="s">
        <v>69</v>
      </c>
      <c r="R1535" s="1">
        <v>717.69</v>
      </c>
      <c r="S1535" s="1" t="s">
        <v>46</v>
      </c>
      <c r="T1535" s="1" t="s">
        <v>232</v>
      </c>
      <c r="U1535" s="1" t="s">
        <v>35</v>
      </c>
      <c r="V1535" s="1" t="s">
        <v>36</v>
      </c>
    </row>
    <row r="1536" spans="1:22" x14ac:dyDescent="0.3">
      <c r="A1536" s="1" t="s">
        <v>7225</v>
      </c>
      <c r="B1536" s="1" t="s">
        <v>7226</v>
      </c>
      <c r="C1536" s="1">
        <v>35</v>
      </c>
      <c r="D1536" s="1" t="s">
        <v>7227</v>
      </c>
      <c r="E1536" s="1" t="s">
        <v>95</v>
      </c>
      <c r="F1536" s="2">
        <v>44288</v>
      </c>
      <c r="G1536" s="1" t="s">
        <v>5436</v>
      </c>
      <c r="H1536" s="1">
        <v>3</v>
      </c>
      <c r="I1536" s="1" t="s">
        <v>52</v>
      </c>
      <c r="J1536" s="2">
        <v>44868</v>
      </c>
      <c r="K1536" s="1" t="s">
        <v>7228</v>
      </c>
      <c r="L1536" s="1">
        <v>3</v>
      </c>
      <c r="M1536" s="1">
        <v>10</v>
      </c>
      <c r="N1536" s="1" t="s">
        <v>54</v>
      </c>
      <c r="O1536" s="1" t="s">
        <v>536</v>
      </c>
      <c r="P1536" s="1" t="s">
        <v>68</v>
      </c>
      <c r="Q1536" s="1" t="s">
        <v>69</v>
      </c>
      <c r="R1536" s="1">
        <v>361.98</v>
      </c>
      <c r="S1536" s="1" t="s">
        <v>46</v>
      </c>
      <c r="T1536" s="1" t="s">
        <v>34</v>
      </c>
      <c r="U1536" s="1" t="s">
        <v>35</v>
      </c>
      <c r="V1536" s="1" t="s">
        <v>36</v>
      </c>
    </row>
    <row r="1537" spans="1:22" x14ac:dyDescent="0.3">
      <c r="A1537" s="1" t="s">
        <v>7229</v>
      </c>
      <c r="B1537" s="1" t="s">
        <v>7230</v>
      </c>
      <c r="C1537" s="1">
        <v>41</v>
      </c>
      <c r="D1537" s="1" t="s">
        <v>7231</v>
      </c>
      <c r="E1537" s="1" t="s">
        <v>51</v>
      </c>
      <c r="F1537" s="1" t="s">
        <v>1669</v>
      </c>
      <c r="G1537" s="1" t="s">
        <v>1112</v>
      </c>
      <c r="H1537" s="1">
        <v>2</v>
      </c>
      <c r="I1537" s="1" t="s">
        <v>52</v>
      </c>
      <c r="J1537" s="1" t="s">
        <v>1112</v>
      </c>
      <c r="K1537" s="1" t="s">
        <v>7232</v>
      </c>
      <c r="L1537" s="1">
        <v>9</v>
      </c>
      <c r="M1537" s="1">
        <v>30</v>
      </c>
      <c r="N1537" s="1" t="s">
        <v>30</v>
      </c>
      <c r="O1537" s="1" t="s">
        <v>624</v>
      </c>
      <c r="P1537" s="1" t="s">
        <v>30</v>
      </c>
      <c r="Q1537" s="1" t="s">
        <v>32</v>
      </c>
      <c r="R1537" s="1">
        <v>1161</v>
      </c>
      <c r="S1537" s="1" t="s">
        <v>33</v>
      </c>
      <c r="T1537" s="1" t="s">
        <v>34</v>
      </c>
      <c r="U1537" s="1" t="s">
        <v>35</v>
      </c>
      <c r="V1537" s="1" t="s">
        <v>36</v>
      </c>
    </row>
    <row r="1538" spans="1:22" x14ac:dyDescent="0.3">
      <c r="A1538" s="1" t="s">
        <v>7233</v>
      </c>
      <c r="B1538" s="1" t="s">
        <v>7234</v>
      </c>
      <c r="C1538" s="1">
        <v>41</v>
      </c>
      <c r="D1538" s="1" t="s">
        <v>7235</v>
      </c>
      <c r="E1538" s="1" t="s">
        <v>88</v>
      </c>
      <c r="F1538" s="1" t="s">
        <v>1674</v>
      </c>
      <c r="G1538" s="2">
        <v>45331</v>
      </c>
      <c r="H1538" s="1">
        <v>2</v>
      </c>
      <c r="I1538" s="1" t="s">
        <v>27</v>
      </c>
      <c r="J1538" s="2">
        <v>45845</v>
      </c>
      <c r="K1538" s="1" t="s">
        <v>7236</v>
      </c>
      <c r="L1538" s="1">
        <v>9</v>
      </c>
      <c r="M1538" s="1">
        <v>41</v>
      </c>
      <c r="N1538" s="1" t="s">
        <v>30</v>
      </c>
      <c r="O1538" s="1" t="s">
        <v>231</v>
      </c>
      <c r="P1538" s="1" t="s">
        <v>30</v>
      </c>
      <c r="Q1538" s="1" t="s">
        <v>69</v>
      </c>
      <c r="R1538" s="1">
        <v>1659.69</v>
      </c>
      <c r="S1538" s="1" t="s">
        <v>33</v>
      </c>
      <c r="T1538" s="1" t="s">
        <v>34</v>
      </c>
      <c r="U1538" s="1" t="s">
        <v>35</v>
      </c>
      <c r="V1538" s="1" t="s">
        <v>36</v>
      </c>
    </row>
    <row r="1539" spans="1:22" x14ac:dyDescent="0.3">
      <c r="A1539" s="1" t="s">
        <v>7237</v>
      </c>
      <c r="B1539" s="1" t="s">
        <v>7238</v>
      </c>
      <c r="C1539" s="1">
        <v>43</v>
      </c>
      <c r="D1539" s="1" t="s">
        <v>7239</v>
      </c>
      <c r="E1539" s="1" t="s">
        <v>25</v>
      </c>
      <c r="F1539" s="1" t="s">
        <v>1053</v>
      </c>
      <c r="G1539" s="1" t="s">
        <v>1715</v>
      </c>
      <c r="H1539" s="1">
        <v>2</v>
      </c>
      <c r="I1539" s="1" t="s">
        <v>27</v>
      </c>
      <c r="J1539" s="2">
        <v>45995</v>
      </c>
      <c r="K1539" s="1" t="s">
        <v>7240</v>
      </c>
      <c r="L1539" s="1">
        <v>6</v>
      </c>
      <c r="M1539" s="1">
        <v>16</v>
      </c>
      <c r="N1539" s="1" t="s">
        <v>45</v>
      </c>
      <c r="O1539" s="1" t="s">
        <v>837</v>
      </c>
      <c r="P1539" s="1" t="s">
        <v>56</v>
      </c>
      <c r="Q1539" s="1" t="s">
        <v>32</v>
      </c>
      <c r="R1539" s="1">
        <v>541.44000000000005</v>
      </c>
      <c r="S1539" s="1" t="s">
        <v>46</v>
      </c>
      <c r="T1539" s="1" t="s">
        <v>34</v>
      </c>
      <c r="U1539" s="1" t="s">
        <v>35</v>
      </c>
      <c r="V1539" s="1" t="s">
        <v>36</v>
      </c>
    </row>
    <row r="1540" spans="1:22" x14ac:dyDescent="0.3">
      <c r="A1540" s="1" t="s">
        <v>7241</v>
      </c>
      <c r="B1540" s="1" t="s">
        <v>7242</v>
      </c>
      <c r="C1540" s="1">
        <v>58</v>
      </c>
      <c r="D1540" s="1" t="s">
        <v>7243</v>
      </c>
      <c r="E1540" s="1" t="s">
        <v>51</v>
      </c>
      <c r="F1540" s="1" t="s">
        <v>711</v>
      </c>
      <c r="G1540" s="2">
        <v>44989</v>
      </c>
      <c r="H1540" s="1">
        <v>2</v>
      </c>
      <c r="I1540" s="1" t="s">
        <v>52</v>
      </c>
      <c r="J1540" s="1" t="s">
        <v>3813</v>
      </c>
      <c r="K1540" s="1" t="s">
        <v>7244</v>
      </c>
      <c r="L1540" s="1">
        <v>4</v>
      </c>
      <c r="M1540" s="1">
        <v>38</v>
      </c>
      <c r="N1540" s="1" t="s">
        <v>68</v>
      </c>
      <c r="O1540" s="1" t="s">
        <v>99</v>
      </c>
      <c r="P1540" s="1" t="s">
        <v>56</v>
      </c>
      <c r="Q1540" s="1" t="s">
        <v>69</v>
      </c>
      <c r="R1540" s="1">
        <v>540.08000000000004</v>
      </c>
      <c r="S1540" s="1" t="s">
        <v>46</v>
      </c>
      <c r="T1540" s="1" t="s">
        <v>47</v>
      </c>
      <c r="U1540" s="1" t="s">
        <v>35</v>
      </c>
      <c r="V1540" s="1" t="s">
        <v>36</v>
      </c>
    </row>
    <row r="1541" spans="1:22" x14ac:dyDescent="0.3">
      <c r="A1541" s="1" t="s">
        <v>7245</v>
      </c>
      <c r="B1541" s="1" t="s">
        <v>7246</v>
      </c>
      <c r="C1541" s="1">
        <v>59</v>
      </c>
      <c r="D1541" s="1" t="s">
        <v>7247</v>
      </c>
      <c r="E1541" s="1" t="s">
        <v>25</v>
      </c>
      <c r="F1541" s="1" t="s">
        <v>7248</v>
      </c>
      <c r="G1541" s="1" t="s">
        <v>1977</v>
      </c>
      <c r="H1541" s="1">
        <v>4</v>
      </c>
      <c r="I1541" s="1" t="s">
        <v>27</v>
      </c>
      <c r="J1541" s="1" t="s">
        <v>1748</v>
      </c>
      <c r="K1541" s="1" t="s">
        <v>7249</v>
      </c>
      <c r="L1541" s="1">
        <v>6</v>
      </c>
      <c r="M1541" s="1">
        <v>32</v>
      </c>
      <c r="N1541" s="1" t="s">
        <v>30</v>
      </c>
      <c r="O1541" s="1" t="s">
        <v>91</v>
      </c>
      <c r="P1541" s="1" t="s">
        <v>54</v>
      </c>
      <c r="Q1541" s="1" t="s">
        <v>32</v>
      </c>
      <c r="R1541" s="1">
        <v>438.6</v>
      </c>
      <c r="S1541" s="1" t="s">
        <v>46</v>
      </c>
      <c r="T1541" s="1" t="s">
        <v>47</v>
      </c>
      <c r="U1541" s="1" t="s">
        <v>35</v>
      </c>
      <c r="V1541" s="1" t="s">
        <v>188</v>
      </c>
    </row>
    <row r="1542" spans="1:22" x14ac:dyDescent="0.3">
      <c r="A1542" s="1" t="s">
        <v>7250</v>
      </c>
      <c r="B1542" s="1" t="s">
        <v>7251</v>
      </c>
      <c r="C1542" s="1">
        <v>30</v>
      </c>
      <c r="D1542" s="1" t="s">
        <v>7252</v>
      </c>
      <c r="E1542" s="1" t="s">
        <v>25</v>
      </c>
      <c r="F1542" s="1" t="s">
        <v>3807</v>
      </c>
      <c r="G1542" s="1" t="s">
        <v>4416</v>
      </c>
      <c r="H1542" s="1">
        <v>3</v>
      </c>
      <c r="I1542" s="1" t="s">
        <v>64</v>
      </c>
      <c r="J1542" s="1" t="s">
        <v>1006</v>
      </c>
      <c r="K1542" s="1" t="s">
        <v>7253</v>
      </c>
      <c r="L1542" s="1">
        <v>2</v>
      </c>
      <c r="M1542" s="1">
        <v>4</v>
      </c>
      <c r="N1542" s="1" t="s">
        <v>68</v>
      </c>
      <c r="O1542" s="1" t="s">
        <v>366</v>
      </c>
      <c r="P1542" s="1" t="s">
        <v>54</v>
      </c>
      <c r="Q1542" s="1" t="s">
        <v>69</v>
      </c>
      <c r="R1542" s="1">
        <v>629.4</v>
      </c>
      <c r="S1542" s="1" t="s">
        <v>46</v>
      </c>
      <c r="T1542" s="1" t="s">
        <v>57</v>
      </c>
      <c r="U1542" s="1" t="s">
        <v>35</v>
      </c>
      <c r="V1542" s="1" t="s">
        <v>71</v>
      </c>
    </row>
    <row r="1543" spans="1:22" x14ac:dyDescent="0.3">
      <c r="A1543" s="1" t="s">
        <v>7254</v>
      </c>
      <c r="B1543" s="1" t="s">
        <v>7255</v>
      </c>
      <c r="C1543" s="1">
        <v>54</v>
      </c>
      <c r="D1543" s="1" t="s">
        <v>7256</v>
      </c>
      <c r="E1543" s="1" t="s">
        <v>25</v>
      </c>
      <c r="F1543" s="1" t="s">
        <v>1053</v>
      </c>
      <c r="G1543" s="2">
        <v>45323</v>
      </c>
      <c r="H1543" s="1">
        <v>4</v>
      </c>
      <c r="I1543" s="1" t="s">
        <v>27</v>
      </c>
      <c r="J1543" s="1" t="s">
        <v>1929</v>
      </c>
      <c r="K1543" s="1" t="s">
        <v>7257</v>
      </c>
      <c r="L1543" s="1">
        <v>3</v>
      </c>
      <c r="M1543" s="1">
        <v>17</v>
      </c>
      <c r="N1543" s="1" t="s">
        <v>68</v>
      </c>
      <c r="O1543" s="1" t="s">
        <v>610</v>
      </c>
      <c r="P1543" s="1" t="s">
        <v>68</v>
      </c>
      <c r="Q1543" s="1" t="s">
        <v>32</v>
      </c>
      <c r="R1543" s="1">
        <v>587.49</v>
      </c>
      <c r="S1543" s="1" t="s">
        <v>33</v>
      </c>
      <c r="T1543" s="1" t="s">
        <v>47</v>
      </c>
      <c r="U1543" s="1" t="s">
        <v>35</v>
      </c>
      <c r="V1543" s="1" t="s">
        <v>188</v>
      </c>
    </row>
    <row r="1544" spans="1:22" x14ac:dyDescent="0.3">
      <c r="A1544" s="1" t="s">
        <v>7258</v>
      </c>
      <c r="B1544" s="1" t="s">
        <v>7259</v>
      </c>
      <c r="C1544" s="1">
        <v>40</v>
      </c>
      <c r="D1544" s="1" t="s">
        <v>7260</v>
      </c>
      <c r="E1544" s="1" t="s">
        <v>25</v>
      </c>
      <c r="F1544" s="1" t="s">
        <v>3595</v>
      </c>
      <c r="G1544" s="1" t="s">
        <v>616</v>
      </c>
      <c r="H1544" s="1">
        <v>4</v>
      </c>
      <c r="I1544" s="1" t="s">
        <v>52</v>
      </c>
      <c r="J1544" s="2">
        <v>45839</v>
      </c>
      <c r="K1544" s="1" t="s">
        <v>7261</v>
      </c>
      <c r="L1544" s="1">
        <v>8</v>
      </c>
      <c r="M1544" s="1">
        <v>15</v>
      </c>
      <c r="N1544" s="1" t="s">
        <v>45</v>
      </c>
      <c r="O1544" s="1" t="s">
        <v>837</v>
      </c>
      <c r="P1544" s="1" t="s">
        <v>56</v>
      </c>
      <c r="Q1544" s="1" t="s">
        <v>69</v>
      </c>
      <c r="R1544" s="1">
        <v>1810.16</v>
      </c>
      <c r="S1544" s="1" t="s">
        <v>46</v>
      </c>
      <c r="T1544" s="1" t="s">
        <v>34</v>
      </c>
      <c r="U1544" s="1" t="s">
        <v>35</v>
      </c>
      <c r="V1544" s="1" t="s">
        <v>36</v>
      </c>
    </row>
    <row r="1545" spans="1:22" x14ac:dyDescent="0.3">
      <c r="A1545" s="1" t="s">
        <v>7262</v>
      </c>
      <c r="B1545" s="1" t="s">
        <v>7263</v>
      </c>
      <c r="C1545" s="1">
        <v>49</v>
      </c>
      <c r="D1545" s="1" t="s">
        <v>7264</v>
      </c>
      <c r="E1545" s="1" t="s">
        <v>88</v>
      </c>
      <c r="F1545" s="2">
        <v>43932</v>
      </c>
      <c r="G1545" s="1" t="s">
        <v>2188</v>
      </c>
      <c r="H1545" s="1">
        <v>4</v>
      </c>
      <c r="I1545" s="1" t="s">
        <v>27</v>
      </c>
      <c r="J1545" s="1" t="s">
        <v>3526</v>
      </c>
      <c r="K1545" s="1" t="s">
        <v>7265</v>
      </c>
      <c r="L1545" s="1">
        <v>3</v>
      </c>
      <c r="M1545" s="1">
        <v>5</v>
      </c>
      <c r="N1545" s="1" t="s">
        <v>56</v>
      </c>
      <c r="O1545" s="1" t="s">
        <v>175</v>
      </c>
      <c r="P1545" s="1" t="s">
        <v>56</v>
      </c>
      <c r="Q1545" s="1" t="s">
        <v>32</v>
      </c>
      <c r="R1545" s="1">
        <v>1460.1</v>
      </c>
      <c r="S1545" s="1" t="s">
        <v>33</v>
      </c>
      <c r="T1545" s="1" t="s">
        <v>34</v>
      </c>
      <c r="U1545" s="1" t="s">
        <v>35</v>
      </c>
      <c r="V1545" s="1" t="s">
        <v>188</v>
      </c>
    </row>
    <row r="1546" spans="1:22" x14ac:dyDescent="0.3">
      <c r="A1546" s="1" t="s">
        <v>7266</v>
      </c>
      <c r="B1546" s="1" t="s">
        <v>7267</v>
      </c>
      <c r="C1546" s="1">
        <v>36</v>
      </c>
      <c r="D1546" s="1" t="s">
        <v>7268</v>
      </c>
      <c r="E1546" s="1" t="s">
        <v>40</v>
      </c>
      <c r="F1546" s="2">
        <v>45265</v>
      </c>
      <c r="G1546" s="1" t="s">
        <v>746</v>
      </c>
      <c r="H1546" s="1">
        <v>1</v>
      </c>
      <c r="I1546" s="1" t="s">
        <v>52</v>
      </c>
      <c r="J1546" s="1" t="s">
        <v>2972</v>
      </c>
      <c r="K1546" s="1" t="s">
        <v>7269</v>
      </c>
      <c r="L1546" s="1">
        <v>3</v>
      </c>
      <c r="M1546" s="1">
        <v>3</v>
      </c>
      <c r="N1546" s="1" t="s">
        <v>45</v>
      </c>
      <c r="O1546" s="1" t="s">
        <v>211</v>
      </c>
      <c r="P1546" s="1" t="s">
        <v>68</v>
      </c>
      <c r="Q1546" s="1" t="s">
        <v>32</v>
      </c>
      <c r="R1546" s="1">
        <v>1764.09</v>
      </c>
      <c r="S1546" s="1" t="s">
        <v>46</v>
      </c>
      <c r="T1546" s="1" t="s">
        <v>34</v>
      </c>
      <c r="U1546" s="1" t="s">
        <v>35</v>
      </c>
      <c r="V1546" s="1" t="s">
        <v>36</v>
      </c>
    </row>
    <row r="1547" spans="1:22" x14ac:dyDescent="0.3">
      <c r="A1547" s="1" t="s">
        <v>7270</v>
      </c>
      <c r="B1547" s="1" t="s">
        <v>7271</v>
      </c>
      <c r="C1547" s="1">
        <v>34</v>
      </c>
      <c r="D1547" s="1" t="s">
        <v>7272</v>
      </c>
      <c r="E1547" s="1" t="s">
        <v>88</v>
      </c>
      <c r="F1547" s="1" t="s">
        <v>2649</v>
      </c>
      <c r="G1547" s="1" t="s">
        <v>1159</v>
      </c>
      <c r="H1547" s="1">
        <v>3</v>
      </c>
      <c r="I1547" s="1" t="s">
        <v>52</v>
      </c>
      <c r="J1547" s="1" t="s">
        <v>4028</v>
      </c>
      <c r="K1547" s="1" t="s">
        <v>7273</v>
      </c>
      <c r="L1547" s="1">
        <v>2</v>
      </c>
      <c r="M1547" s="1">
        <v>41</v>
      </c>
      <c r="N1547" s="1" t="s">
        <v>56</v>
      </c>
      <c r="O1547" s="1" t="s">
        <v>55</v>
      </c>
      <c r="P1547" s="1" t="s">
        <v>56</v>
      </c>
      <c r="Q1547" s="1" t="s">
        <v>32</v>
      </c>
      <c r="R1547" s="1">
        <v>1683.58</v>
      </c>
      <c r="S1547" s="1" t="s">
        <v>33</v>
      </c>
      <c r="T1547" s="1" t="s">
        <v>57</v>
      </c>
      <c r="U1547" s="1" t="s">
        <v>35</v>
      </c>
      <c r="V1547" s="1" t="s">
        <v>36</v>
      </c>
    </row>
    <row r="1548" spans="1:22" x14ac:dyDescent="0.3">
      <c r="A1548" s="1" t="s">
        <v>7274</v>
      </c>
      <c r="B1548" s="1" t="s">
        <v>7275</v>
      </c>
      <c r="C1548" s="1">
        <v>18</v>
      </c>
      <c r="D1548" s="1" t="s">
        <v>7276</v>
      </c>
      <c r="E1548" s="1" t="s">
        <v>61</v>
      </c>
      <c r="F1548" s="1" t="s">
        <v>7277</v>
      </c>
      <c r="G1548" s="1" t="s">
        <v>7278</v>
      </c>
      <c r="H1548" s="1">
        <v>1</v>
      </c>
      <c r="I1548" s="1" t="s">
        <v>64</v>
      </c>
      <c r="J1548" s="1" t="s">
        <v>65</v>
      </c>
      <c r="K1548" s="1" t="s">
        <v>7279</v>
      </c>
      <c r="L1548" s="1">
        <v>1</v>
      </c>
      <c r="M1548" s="1">
        <v>45</v>
      </c>
      <c r="N1548" s="1" t="s">
        <v>30</v>
      </c>
      <c r="O1548" s="1" t="s">
        <v>354</v>
      </c>
      <c r="P1548" s="1" t="s">
        <v>45</v>
      </c>
      <c r="Q1548" s="1" t="s">
        <v>32</v>
      </c>
      <c r="R1548" s="1">
        <v>151.41999999999999</v>
      </c>
      <c r="S1548" s="1" t="s">
        <v>46</v>
      </c>
      <c r="T1548" s="1" t="s">
        <v>100</v>
      </c>
      <c r="U1548" s="1" t="s">
        <v>35</v>
      </c>
      <c r="V1548" s="1" t="s">
        <v>71</v>
      </c>
    </row>
    <row r="1549" spans="1:22" x14ac:dyDescent="0.3">
      <c r="A1549" s="1" t="s">
        <v>7280</v>
      </c>
      <c r="B1549" s="1" t="s">
        <v>7281</v>
      </c>
      <c r="C1549" s="1">
        <v>65</v>
      </c>
      <c r="D1549" s="1" t="s">
        <v>7282</v>
      </c>
      <c r="E1549" s="1" t="s">
        <v>88</v>
      </c>
      <c r="F1549" s="1" t="s">
        <v>5723</v>
      </c>
      <c r="G1549" s="1" t="s">
        <v>7283</v>
      </c>
      <c r="H1549" s="1">
        <v>2</v>
      </c>
      <c r="I1549" s="1" t="s">
        <v>27</v>
      </c>
      <c r="J1549" s="1" t="s">
        <v>1836</v>
      </c>
      <c r="K1549" s="1" t="s">
        <v>7284</v>
      </c>
      <c r="L1549" s="1">
        <v>4</v>
      </c>
      <c r="M1549" s="1">
        <v>25</v>
      </c>
      <c r="N1549" s="1" t="s">
        <v>45</v>
      </c>
      <c r="O1549" s="1" t="s">
        <v>837</v>
      </c>
      <c r="P1549" s="1" t="s">
        <v>56</v>
      </c>
      <c r="Q1549" s="1" t="s">
        <v>32</v>
      </c>
      <c r="R1549" s="1">
        <v>1053.1199999999999</v>
      </c>
      <c r="S1549" s="1" t="s">
        <v>46</v>
      </c>
      <c r="T1549" s="1" t="s">
        <v>232</v>
      </c>
      <c r="U1549" s="1" t="s">
        <v>35</v>
      </c>
      <c r="V1549" s="1" t="s">
        <v>36</v>
      </c>
    </row>
    <row r="1550" spans="1:22" x14ac:dyDescent="0.3">
      <c r="A1550" s="1" t="s">
        <v>7285</v>
      </c>
      <c r="B1550" s="1" t="s">
        <v>7286</v>
      </c>
      <c r="C1550" s="1">
        <v>20</v>
      </c>
      <c r="D1550" s="1" t="s">
        <v>7287</v>
      </c>
      <c r="E1550" s="1" t="s">
        <v>25</v>
      </c>
      <c r="F1550" s="1" t="s">
        <v>5612</v>
      </c>
      <c r="G1550" s="1" t="s">
        <v>1497</v>
      </c>
      <c r="H1550" s="1">
        <v>2</v>
      </c>
      <c r="I1550" s="1" t="s">
        <v>52</v>
      </c>
      <c r="J1550" s="2">
        <v>45330</v>
      </c>
      <c r="K1550" s="1" t="s">
        <v>7288</v>
      </c>
      <c r="L1550" s="1">
        <v>8</v>
      </c>
      <c r="M1550" s="1">
        <v>20</v>
      </c>
      <c r="N1550" s="1" t="s">
        <v>45</v>
      </c>
      <c r="O1550" s="1" t="s">
        <v>109</v>
      </c>
      <c r="P1550" s="1" t="s">
        <v>68</v>
      </c>
      <c r="Q1550" s="1" t="s">
        <v>32</v>
      </c>
      <c r="R1550" s="1">
        <v>1037.3599999999999</v>
      </c>
      <c r="S1550" s="1" t="s">
        <v>46</v>
      </c>
      <c r="T1550" s="1" t="s">
        <v>100</v>
      </c>
      <c r="U1550" s="1" t="s">
        <v>35</v>
      </c>
      <c r="V1550" s="1" t="s">
        <v>36</v>
      </c>
    </row>
    <row r="1551" spans="1:22" x14ac:dyDescent="0.3">
      <c r="A1551" s="1" t="s">
        <v>7289</v>
      </c>
      <c r="B1551" s="1" t="s">
        <v>7290</v>
      </c>
      <c r="C1551" s="1">
        <v>30</v>
      </c>
      <c r="D1551" s="1" t="s">
        <v>7291</v>
      </c>
      <c r="E1551" s="1" t="s">
        <v>95</v>
      </c>
      <c r="F1551" s="1" t="s">
        <v>192</v>
      </c>
      <c r="G1551" s="2">
        <v>45454</v>
      </c>
      <c r="H1551" s="1">
        <v>2</v>
      </c>
      <c r="I1551" s="1" t="s">
        <v>27</v>
      </c>
      <c r="J1551" s="1" t="s">
        <v>4028</v>
      </c>
      <c r="K1551" s="1" t="s">
        <v>7292</v>
      </c>
      <c r="L1551" s="1">
        <v>1</v>
      </c>
      <c r="M1551" s="1">
        <v>42</v>
      </c>
      <c r="N1551" s="1" t="s">
        <v>30</v>
      </c>
      <c r="O1551" s="1" t="s">
        <v>55</v>
      </c>
      <c r="P1551" s="1" t="s">
        <v>56</v>
      </c>
      <c r="Q1551" s="1" t="s">
        <v>32</v>
      </c>
      <c r="R1551" s="1">
        <v>1735.82</v>
      </c>
      <c r="S1551" s="1" t="s">
        <v>46</v>
      </c>
      <c r="T1551" s="1" t="s">
        <v>57</v>
      </c>
      <c r="U1551" s="1" t="s">
        <v>35</v>
      </c>
      <c r="V1551" s="1" t="s">
        <v>36</v>
      </c>
    </row>
    <row r="1552" spans="1:22" x14ac:dyDescent="0.3">
      <c r="A1552" s="1" t="s">
        <v>7293</v>
      </c>
      <c r="B1552" s="1" t="s">
        <v>7294</v>
      </c>
      <c r="C1552" s="1">
        <v>68</v>
      </c>
      <c r="D1552" s="1" t="s">
        <v>7295</v>
      </c>
      <c r="E1552" s="1" t="s">
        <v>95</v>
      </c>
      <c r="F1552" s="1" t="s">
        <v>980</v>
      </c>
      <c r="G1552" s="1" t="s">
        <v>601</v>
      </c>
      <c r="H1552" s="1">
        <v>2</v>
      </c>
      <c r="I1552" s="1" t="s">
        <v>27</v>
      </c>
      <c r="J1552" s="1" t="s">
        <v>2135</v>
      </c>
      <c r="K1552" s="1" t="s">
        <v>7296</v>
      </c>
      <c r="L1552" s="1">
        <v>4</v>
      </c>
      <c r="M1552" s="1">
        <v>48</v>
      </c>
      <c r="N1552" s="1" t="s">
        <v>56</v>
      </c>
      <c r="O1552" s="1" t="s">
        <v>135</v>
      </c>
      <c r="P1552" s="1" t="s">
        <v>45</v>
      </c>
      <c r="Q1552" s="1" t="s">
        <v>32</v>
      </c>
      <c r="R1552" s="1">
        <v>357.96</v>
      </c>
      <c r="S1552" s="1" t="s">
        <v>46</v>
      </c>
      <c r="T1552" s="1" t="s">
        <v>232</v>
      </c>
      <c r="U1552" s="1" t="s">
        <v>35</v>
      </c>
      <c r="V1552" s="1" t="s">
        <v>36</v>
      </c>
    </row>
    <row r="1553" spans="1:22" x14ac:dyDescent="0.3">
      <c r="A1553" s="1" t="s">
        <v>7297</v>
      </c>
      <c r="B1553" s="1" t="s">
        <v>7298</v>
      </c>
      <c r="C1553" s="1">
        <v>40</v>
      </c>
      <c r="D1553" s="1" t="s">
        <v>7299</v>
      </c>
      <c r="E1553" s="1" t="s">
        <v>25</v>
      </c>
      <c r="F1553" s="2">
        <v>44813</v>
      </c>
      <c r="G1553" s="1" t="s">
        <v>4888</v>
      </c>
      <c r="H1553" s="1">
        <v>0</v>
      </c>
      <c r="I1553" s="1" t="s">
        <v>52</v>
      </c>
      <c r="J1553" s="1" t="s">
        <v>3714</v>
      </c>
      <c r="K1553" s="1" t="s">
        <v>7300</v>
      </c>
      <c r="L1553" s="1">
        <v>8</v>
      </c>
      <c r="M1553" s="1">
        <v>31</v>
      </c>
      <c r="N1553" s="1" t="s">
        <v>68</v>
      </c>
      <c r="O1553" s="1" t="s">
        <v>597</v>
      </c>
      <c r="P1553" s="1" t="s">
        <v>45</v>
      </c>
      <c r="Q1553" s="1" t="s">
        <v>69</v>
      </c>
      <c r="R1553" s="1">
        <v>675.6</v>
      </c>
      <c r="S1553" s="1" t="s">
        <v>46</v>
      </c>
      <c r="T1553" s="1" t="s">
        <v>34</v>
      </c>
      <c r="U1553" s="1" t="s">
        <v>35</v>
      </c>
      <c r="V1553" s="1" t="s">
        <v>36</v>
      </c>
    </row>
    <row r="1554" spans="1:22" x14ac:dyDescent="0.3">
      <c r="A1554" s="1" t="s">
        <v>7301</v>
      </c>
      <c r="B1554" s="1" t="s">
        <v>7302</v>
      </c>
      <c r="C1554" s="1">
        <v>65</v>
      </c>
      <c r="D1554" s="1" t="s">
        <v>7303</v>
      </c>
      <c r="E1554" s="1" t="s">
        <v>51</v>
      </c>
      <c r="F1554" s="2">
        <v>44199</v>
      </c>
      <c r="G1554" s="2">
        <v>44541</v>
      </c>
      <c r="H1554" s="1">
        <v>0</v>
      </c>
      <c r="I1554" s="1" t="s">
        <v>27</v>
      </c>
      <c r="J1554" s="1" t="s">
        <v>236</v>
      </c>
      <c r="K1554" s="1" t="s">
        <v>5951</v>
      </c>
      <c r="L1554" s="1">
        <v>7</v>
      </c>
      <c r="M1554" s="1">
        <v>21</v>
      </c>
      <c r="N1554" s="1" t="s">
        <v>68</v>
      </c>
      <c r="O1554" s="1" t="s">
        <v>821</v>
      </c>
      <c r="P1554" s="1" t="s">
        <v>68</v>
      </c>
      <c r="Q1554" s="1" t="s">
        <v>69</v>
      </c>
      <c r="R1554" s="1">
        <v>708.12</v>
      </c>
      <c r="S1554" s="1" t="s">
        <v>33</v>
      </c>
      <c r="T1554" s="1" t="s">
        <v>232</v>
      </c>
      <c r="U1554" s="1" t="s">
        <v>35</v>
      </c>
      <c r="V1554" s="1" t="s">
        <v>36</v>
      </c>
    </row>
    <row r="1555" spans="1:22" x14ac:dyDescent="0.3">
      <c r="A1555" s="1" t="s">
        <v>7304</v>
      </c>
      <c r="B1555" s="1" t="s">
        <v>7305</v>
      </c>
      <c r="C1555" s="1">
        <v>54</v>
      </c>
      <c r="D1555" s="1" t="s">
        <v>7306</v>
      </c>
      <c r="E1555" s="1" t="s">
        <v>88</v>
      </c>
      <c r="F1555" s="1" t="s">
        <v>1414</v>
      </c>
      <c r="G1555" s="1" t="s">
        <v>2072</v>
      </c>
      <c r="H1555" s="1">
        <v>3</v>
      </c>
      <c r="I1555" s="1" t="s">
        <v>27</v>
      </c>
      <c r="J1555" s="2">
        <v>44623</v>
      </c>
      <c r="K1555" s="1" t="s">
        <v>7307</v>
      </c>
      <c r="L1555" s="1">
        <v>4</v>
      </c>
      <c r="M1555" s="1">
        <v>22</v>
      </c>
      <c r="N1555" s="1" t="s">
        <v>68</v>
      </c>
      <c r="O1555" s="1" t="s">
        <v>142</v>
      </c>
      <c r="P1555" s="1" t="s">
        <v>68</v>
      </c>
      <c r="Q1555" s="1" t="s">
        <v>32</v>
      </c>
      <c r="R1555" s="1">
        <v>1096.92</v>
      </c>
      <c r="S1555" s="1" t="s">
        <v>33</v>
      </c>
      <c r="T1555" s="1" t="s">
        <v>47</v>
      </c>
      <c r="U1555" s="1" t="s">
        <v>35</v>
      </c>
      <c r="V1555" s="1" t="s">
        <v>36</v>
      </c>
    </row>
    <row r="1556" spans="1:22" x14ac:dyDescent="0.3">
      <c r="A1556" s="1" t="s">
        <v>7308</v>
      </c>
      <c r="B1556" s="1" t="s">
        <v>7309</v>
      </c>
      <c r="C1556" s="1">
        <v>63</v>
      </c>
      <c r="D1556" s="1" t="s">
        <v>7310</v>
      </c>
      <c r="E1556" s="1" t="s">
        <v>61</v>
      </c>
      <c r="F1556" s="1" t="s">
        <v>2250</v>
      </c>
      <c r="G1556" s="2">
        <v>45506</v>
      </c>
      <c r="H1556" s="1">
        <v>2</v>
      </c>
      <c r="I1556" s="1" t="s">
        <v>64</v>
      </c>
      <c r="J1556" s="1" t="s">
        <v>7311</v>
      </c>
      <c r="K1556" s="1" t="s">
        <v>4977</v>
      </c>
      <c r="L1556" s="1">
        <v>9</v>
      </c>
      <c r="M1556" s="1">
        <v>45</v>
      </c>
      <c r="N1556" s="1" t="s">
        <v>68</v>
      </c>
      <c r="O1556" s="1" t="s">
        <v>231</v>
      </c>
      <c r="P1556" s="1" t="s">
        <v>30</v>
      </c>
      <c r="Q1556" s="1" t="s">
        <v>69</v>
      </c>
      <c r="R1556" s="1">
        <v>560.25</v>
      </c>
      <c r="S1556" s="1" t="s">
        <v>46</v>
      </c>
      <c r="T1556" s="1" t="s">
        <v>47</v>
      </c>
      <c r="U1556" s="1" t="s">
        <v>35</v>
      </c>
      <c r="V1556" s="1" t="s">
        <v>71</v>
      </c>
    </row>
    <row r="1557" spans="1:22" x14ac:dyDescent="0.3">
      <c r="A1557" s="1" t="s">
        <v>7312</v>
      </c>
      <c r="B1557" s="1" t="s">
        <v>7313</v>
      </c>
      <c r="C1557" s="1">
        <v>45</v>
      </c>
      <c r="D1557" s="1" t="s">
        <v>7314</v>
      </c>
      <c r="E1557" s="1" t="s">
        <v>40</v>
      </c>
      <c r="F1557" s="2">
        <v>45201</v>
      </c>
      <c r="G1557" s="2">
        <v>45451</v>
      </c>
      <c r="H1557" s="1">
        <v>5</v>
      </c>
      <c r="I1557" s="1" t="s">
        <v>52</v>
      </c>
      <c r="J1557" s="1" t="s">
        <v>2299</v>
      </c>
      <c r="K1557" s="1" t="s">
        <v>7315</v>
      </c>
      <c r="L1557" s="1">
        <v>5</v>
      </c>
      <c r="M1557" s="1">
        <v>12</v>
      </c>
      <c r="N1557" s="1" t="s">
        <v>56</v>
      </c>
      <c r="O1557" s="1" t="s">
        <v>597</v>
      </c>
      <c r="P1557" s="1" t="s">
        <v>45</v>
      </c>
      <c r="Q1557" s="1" t="s">
        <v>32</v>
      </c>
      <c r="R1557" s="1">
        <v>1618.35</v>
      </c>
      <c r="S1557" s="1" t="s">
        <v>46</v>
      </c>
      <c r="T1557" s="1" t="s">
        <v>34</v>
      </c>
      <c r="U1557" s="1" t="s">
        <v>35</v>
      </c>
      <c r="V1557" s="1" t="s">
        <v>36</v>
      </c>
    </row>
    <row r="1558" spans="1:22" x14ac:dyDescent="0.3">
      <c r="A1558" s="1" t="s">
        <v>7316</v>
      </c>
      <c r="B1558" s="1" t="s">
        <v>7317</v>
      </c>
      <c r="C1558" s="1">
        <v>65</v>
      </c>
      <c r="D1558" s="1" t="s">
        <v>7318</v>
      </c>
      <c r="E1558" s="1" t="s">
        <v>25</v>
      </c>
      <c r="F1558" s="2">
        <v>44356</v>
      </c>
      <c r="G1558" s="1" t="s">
        <v>5078</v>
      </c>
      <c r="H1558" s="1">
        <v>4</v>
      </c>
      <c r="I1558" s="1" t="s">
        <v>27</v>
      </c>
      <c r="J1558" s="2">
        <v>45723</v>
      </c>
      <c r="K1558" s="1" t="s">
        <v>7319</v>
      </c>
      <c r="L1558" s="1">
        <v>1</v>
      </c>
      <c r="M1558" s="1">
        <v>44</v>
      </c>
      <c r="N1558" s="1" t="s">
        <v>56</v>
      </c>
      <c r="O1558" s="1" t="s">
        <v>44</v>
      </c>
      <c r="P1558" s="1" t="s">
        <v>45</v>
      </c>
      <c r="Q1558" s="1" t="s">
        <v>69</v>
      </c>
      <c r="R1558" s="1">
        <v>960.43</v>
      </c>
      <c r="S1558" s="1" t="s">
        <v>46</v>
      </c>
      <c r="T1558" s="1" t="s">
        <v>232</v>
      </c>
      <c r="U1558" s="1" t="s">
        <v>35</v>
      </c>
      <c r="V1558" s="1" t="s">
        <v>188</v>
      </c>
    </row>
    <row r="1559" spans="1:22" x14ac:dyDescent="0.3">
      <c r="A1559" s="1" t="s">
        <v>7320</v>
      </c>
      <c r="B1559" s="1" t="s">
        <v>7321</v>
      </c>
      <c r="C1559" s="1">
        <v>29</v>
      </c>
      <c r="D1559" s="1" t="s">
        <v>7322</v>
      </c>
      <c r="E1559" s="1" t="s">
        <v>25</v>
      </c>
      <c r="F1559" s="1" t="s">
        <v>6187</v>
      </c>
      <c r="G1559" s="1" t="s">
        <v>7323</v>
      </c>
      <c r="H1559" s="1">
        <v>3</v>
      </c>
      <c r="I1559" s="1" t="s">
        <v>27</v>
      </c>
      <c r="J1559" s="1" t="s">
        <v>1606</v>
      </c>
      <c r="K1559" s="1" t="s">
        <v>7324</v>
      </c>
      <c r="L1559" s="1">
        <v>4</v>
      </c>
      <c r="M1559" s="1">
        <v>3</v>
      </c>
      <c r="N1559" s="1" t="s">
        <v>54</v>
      </c>
      <c r="O1559" s="1" t="s">
        <v>122</v>
      </c>
      <c r="P1559" s="1" t="s">
        <v>30</v>
      </c>
      <c r="Q1559" s="1" t="s">
        <v>32</v>
      </c>
      <c r="R1559" s="1">
        <v>66.959999999999994</v>
      </c>
      <c r="S1559" s="1" t="s">
        <v>46</v>
      </c>
      <c r="T1559" s="1" t="s">
        <v>57</v>
      </c>
      <c r="U1559" s="1" t="s">
        <v>70</v>
      </c>
      <c r="V1559" s="1" t="s">
        <v>36</v>
      </c>
    </row>
    <row r="1560" spans="1:22" x14ac:dyDescent="0.3">
      <c r="A1560" s="1" t="s">
        <v>7325</v>
      </c>
      <c r="B1560" s="1" t="s">
        <v>7326</v>
      </c>
      <c r="C1560" s="1">
        <v>30</v>
      </c>
      <c r="D1560" s="1" t="s">
        <v>7327</v>
      </c>
      <c r="E1560" s="1" t="s">
        <v>40</v>
      </c>
      <c r="F1560" s="2">
        <v>44358</v>
      </c>
      <c r="G1560" s="1" t="s">
        <v>3813</v>
      </c>
      <c r="H1560" s="1">
        <v>2</v>
      </c>
      <c r="I1560" s="1" t="s">
        <v>27</v>
      </c>
      <c r="J1560" s="2">
        <v>44816</v>
      </c>
      <c r="K1560" s="1" t="s">
        <v>7328</v>
      </c>
      <c r="L1560" s="1">
        <v>6</v>
      </c>
      <c r="M1560" s="1">
        <v>10</v>
      </c>
      <c r="N1560" s="1" t="s">
        <v>54</v>
      </c>
      <c r="O1560" s="1" t="s">
        <v>109</v>
      </c>
      <c r="P1560" s="1" t="s">
        <v>68</v>
      </c>
      <c r="Q1560" s="1" t="s">
        <v>69</v>
      </c>
      <c r="R1560" s="1">
        <v>1213.44</v>
      </c>
      <c r="S1560" s="1" t="s">
        <v>46</v>
      </c>
      <c r="T1560" s="1" t="s">
        <v>57</v>
      </c>
      <c r="U1560" s="1" t="s">
        <v>35</v>
      </c>
      <c r="V1560" s="1" t="s">
        <v>36</v>
      </c>
    </row>
    <row r="1561" spans="1:22" x14ac:dyDescent="0.3">
      <c r="A1561" s="1" t="s">
        <v>7329</v>
      </c>
      <c r="B1561" s="1" t="s">
        <v>7330</v>
      </c>
      <c r="C1561" s="1">
        <v>57</v>
      </c>
      <c r="D1561" s="1" t="s">
        <v>7331</v>
      </c>
      <c r="E1561" s="1" t="s">
        <v>88</v>
      </c>
      <c r="F1561" s="1" t="s">
        <v>1273</v>
      </c>
      <c r="G1561" s="2">
        <v>45908</v>
      </c>
      <c r="H1561" s="1">
        <v>5</v>
      </c>
      <c r="I1561" s="1" t="s">
        <v>27</v>
      </c>
      <c r="J1561" s="1" t="s">
        <v>6757</v>
      </c>
      <c r="K1561" s="1" t="s">
        <v>7332</v>
      </c>
      <c r="L1561" s="1">
        <v>8</v>
      </c>
      <c r="M1561" s="1">
        <v>12</v>
      </c>
      <c r="N1561" s="1" t="s">
        <v>54</v>
      </c>
      <c r="O1561" s="1" t="s">
        <v>109</v>
      </c>
      <c r="P1561" s="1" t="s">
        <v>68</v>
      </c>
      <c r="Q1561" s="1" t="s">
        <v>32</v>
      </c>
      <c r="R1561" s="1">
        <v>1145.28</v>
      </c>
      <c r="S1561" s="1" t="s">
        <v>46</v>
      </c>
      <c r="T1561" s="1" t="s">
        <v>47</v>
      </c>
      <c r="U1561" s="1" t="s">
        <v>35</v>
      </c>
      <c r="V1561" s="1" t="s">
        <v>188</v>
      </c>
    </row>
    <row r="1562" spans="1:22" x14ac:dyDescent="0.3">
      <c r="A1562" s="1" t="s">
        <v>7333</v>
      </c>
      <c r="B1562" s="1" t="s">
        <v>7334</v>
      </c>
      <c r="C1562" s="1">
        <v>39</v>
      </c>
      <c r="D1562" s="1" t="s">
        <v>7335</v>
      </c>
      <c r="E1562" s="1" t="s">
        <v>88</v>
      </c>
      <c r="F1562" s="2">
        <v>45265</v>
      </c>
      <c r="G1562" s="1" t="s">
        <v>7336</v>
      </c>
      <c r="H1562" s="1">
        <v>2</v>
      </c>
      <c r="I1562" s="1" t="s">
        <v>27</v>
      </c>
      <c r="J1562" s="2">
        <v>45026</v>
      </c>
      <c r="K1562" s="1" t="s">
        <v>7337</v>
      </c>
      <c r="L1562" s="1">
        <v>1</v>
      </c>
      <c r="M1562" s="1">
        <v>37</v>
      </c>
      <c r="N1562" s="1" t="s">
        <v>56</v>
      </c>
      <c r="O1562" s="1" t="s">
        <v>122</v>
      </c>
      <c r="P1562" s="1" t="s">
        <v>30</v>
      </c>
      <c r="Q1562" s="1" t="s">
        <v>32</v>
      </c>
      <c r="R1562" s="1">
        <v>1785.86</v>
      </c>
      <c r="S1562" s="1" t="s">
        <v>46</v>
      </c>
      <c r="T1562" s="1" t="s">
        <v>34</v>
      </c>
      <c r="U1562" s="1" t="s">
        <v>35</v>
      </c>
      <c r="V1562" s="1" t="s">
        <v>36</v>
      </c>
    </row>
    <row r="1563" spans="1:22" x14ac:dyDescent="0.3">
      <c r="A1563" s="1" t="s">
        <v>7338</v>
      </c>
      <c r="B1563" s="1" t="s">
        <v>7339</v>
      </c>
      <c r="C1563" s="1">
        <v>65</v>
      </c>
      <c r="D1563" s="1" t="s">
        <v>7340</v>
      </c>
      <c r="E1563" s="1" t="s">
        <v>61</v>
      </c>
      <c r="F1563" s="2">
        <v>44417</v>
      </c>
      <c r="G1563" s="2">
        <v>45723</v>
      </c>
      <c r="H1563" s="1">
        <v>1</v>
      </c>
      <c r="I1563" s="1" t="s">
        <v>64</v>
      </c>
      <c r="J1563" s="1" t="s">
        <v>1867</v>
      </c>
      <c r="K1563" s="1" t="s">
        <v>7341</v>
      </c>
      <c r="L1563" s="1">
        <v>5</v>
      </c>
      <c r="M1563" s="1">
        <v>26</v>
      </c>
      <c r="N1563" s="1" t="s">
        <v>68</v>
      </c>
      <c r="O1563" s="1" t="s">
        <v>99</v>
      </c>
      <c r="P1563" s="1" t="s">
        <v>56</v>
      </c>
      <c r="Q1563" s="1" t="s">
        <v>32</v>
      </c>
      <c r="R1563" s="1">
        <v>1642.15</v>
      </c>
      <c r="S1563" s="1" t="s">
        <v>46</v>
      </c>
      <c r="T1563" s="1" t="s">
        <v>232</v>
      </c>
      <c r="U1563" s="1" t="s">
        <v>35</v>
      </c>
      <c r="V1563" s="1" t="s">
        <v>71</v>
      </c>
    </row>
    <row r="1564" spans="1:22" x14ac:dyDescent="0.3">
      <c r="A1564" s="1" t="s">
        <v>7342</v>
      </c>
      <c r="B1564" s="1" t="s">
        <v>7343</v>
      </c>
      <c r="C1564" s="1">
        <v>48</v>
      </c>
      <c r="D1564" s="1" t="s">
        <v>7344</v>
      </c>
      <c r="E1564" s="1" t="s">
        <v>61</v>
      </c>
      <c r="F1564" s="2">
        <v>44228</v>
      </c>
      <c r="G1564" s="2">
        <v>45173</v>
      </c>
      <c r="H1564" s="1">
        <v>4</v>
      </c>
      <c r="I1564" s="1" t="s">
        <v>27</v>
      </c>
      <c r="J1564" s="2">
        <v>44380</v>
      </c>
      <c r="K1564" s="1" t="s">
        <v>7345</v>
      </c>
      <c r="L1564" s="1">
        <v>3</v>
      </c>
      <c r="M1564" s="1">
        <v>7</v>
      </c>
      <c r="N1564" s="1" t="s">
        <v>56</v>
      </c>
      <c r="O1564" s="1" t="s">
        <v>837</v>
      </c>
      <c r="P1564" s="1" t="s">
        <v>56</v>
      </c>
      <c r="Q1564" s="1" t="s">
        <v>69</v>
      </c>
      <c r="R1564" s="1">
        <v>894.21</v>
      </c>
      <c r="S1564" s="1" t="s">
        <v>33</v>
      </c>
      <c r="T1564" s="1" t="s">
        <v>34</v>
      </c>
      <c r="U1564" s="1" t="s">
        <v>35</v>
      </c>
      <c r="V1564" s="1" t="s">
        <v>188</v>
      </c>
    </row>
    <row r="1565" spans="1:22" x14ac:dyDescent="0.3">
      <c r="A1565" s="1" t="s">
        <v>7346</v>
      </c>
      <c r="B1565" s="1" t="s">
        <v>7347</v>
      </c>
      <c r="C1565" s="1">
        <v>41</v>
      </c>
      <c r="D1565" s="1" t="s">
        <v>7348</v>
      </c>
      <c r="E1565" s="1" t="s">
        <v>51</v>
      </c>
      <c r="F1565" s="1" t="s">
        <v>551</v>
      </c>
      <c r="G1565" s="1" t="s">
        <v>179</v>
      </c>
      <c r="H1565" s="1">
        <v>2</v>
      </c>
      <c r="I1565" s="1" t="s">
        <v>52</v>
      </c>
      <c r="J1565" s="1" t="s">
        <v>2615</v>
      </c>
      <c r="K1565" s="1" t="s">
        <v>7349</v>
      </c>
      <c r="L1565" s="1">
        <v>1</v>
      </c>
      <c r="M1565" s="1">
        <v>28</v>
      </c>
      <c r="N1565" s="1" t="s">
        <v>30</v>
      </c>
      <c r="O1565" s="1" t="s">
        <v>223</v>
      </c>
      <c r="P1565" s="1" t="s">
        <v>56</v>
      </c>
      <c r="Q1565" s="1" t="s">
        <v>32</v>
      </c>
      <c r="R1565" s="1">
        <v>506.96</v>
      </c>
      <c r="S1565" s="1" t="s">
        <v>46</v>
      </c>
      <c r="T1565" s="1" t="s">
        <v>34</v>
      </c>
      <c r="U1565" s="1" t="s">
        <v>35</v>
      </c>
      <c r="V1565" s="1" t="s">
        <v>36</v>
      </c>
    </row>
    <row r="1566" spans="1:22" x14ac:dyDescent="0.3">
      <c r="A1566" s="1" t="s">
        <v>7350</v>
      </c>
      <c r="B1566" s="1" t="s">
        <v>7351</v>
      </c>
      <c r="C1566" s="1">
        <v>43</v>
      </c>
      <c r="D1566" s="1" t="s">
        <v>7352</v>
      </c>
      <c r="E1566" s="1" t="s">
        <v>51</v>
      </c>
      <c r="F1566" s="1" t="s">
        <v>5474</v>
      </c>
      <c r="G1566" s="1" t="s">
        <v>7353</v>
      </c>
      <c r="H1566" s="1">
        <v>1</v>
      </c>
      <c r="I1566" s="1" t="s">
        <v>27</v>
      </c>
      <c r="J1566" s="1" t="s">
        <v>1430</v>
      </c>
      <c r="K1566" s="1" t="s">
        <v>7354</v>
      </c>
      <c r="L1566" s="1">
        <v>4</v>
      </c>
      <c r="M1566" s="1">
        <v>43</v>
      </c>
      <c r="N1566" s="1" t="s">
        <v>54</v>
      </c>
      <c r="O1566" s="1" t="s">
        <v>223</v>
      </c>
      <c r="P1566" s="1" t="s">
        <v>56</v>
      </c>
      <c r="Q1566" s="1" t="s">
        <v>69</v>
      </c>
      <c r="R1566" s="1">
        <v>938.72</v>
      </c>
      <c r="S1566" s="1" t="s">
        <v>46</v>
      </c>
      <c r="T1566" s="1" t="s">
        <v>34</v>
      </c>
      <c r="U1566" s="1" t="s">
        <v>35</v>
      </c>
      <c r="V1566" s="1" t="s">
        <v>36</v>
      </c>
    </row>
    <row r="1567" spans="1:22" x14ac:dyDescent="0.3">
      <c r="A1567" s="1" t="s">
        <v>7355</v>
      </c>
      <c r="B1567" s="1" t="s">
        <v>7356</v>
      </c>
      <c r="C1567" s="1">
        <v>19</v>
      </c>
      <c r="D1567" s="1" t="s">
        <v>7357</v>
      </c>
      <c r="E1567" s="1" t="s">
        <v>25</v>
      </c>
      <c r="F1567" s="1" t="s">
        <v>2543</v>
      </c>
      <c r="G1567" s="2">
        <v>45173</v>
      </c>
      <c r="H1567" s="1">
        <v>5</v>
      </c>
      <c r="I1567" s="1" t="s">
        <v>27</v>
      </c>
      <c r="J1567" s="1" t="s">
        <v>3953</v>
      </c>
      <c r="K1567" s="1" t="s">
        <v>7358</v>
      </c>
      <c r="L1567" s="1">
        <v>3</v>
      </c>
      <c r="M1567" s="1">
        <v>33</v>
      </c>
      <c r="N1567" s="1" t="s">
        <v>45</v>
      </c>
      <c r="O1567" s="1" t="s">
        <v>251</v>
      </c>
      <c r="P1567" s="1" t="s">
        <v>30</v>
      </c>
      <c r="Q1567" s="1" t="s">
        <v>322</v>
      </c>
      <c r="R1567" s="1">
        <v>1040.9100000000001</v>
      </c>
      <c r="S1567" s="1" t="s">
        <v>46</v>
      </c>
      <c r="T1567" s="1" t="s">
        <v>100</v>
      </c>
      <c r="U1567" s="1" t="s">
        <v>35</v>
      </c>
      <c r="V1567" s="1" t="s">
        <v>188</v>
      </c>
    </row>
    <row r="1568" spans="1:22" x14ac:dyDescent="0.3">
      <c r="A1568" s="1" t="s">
        <v>7359</v>
      </c>
      <c r="B1568" s="1" t="s">
        <v>7360</v>
      </c>
      <c r="C1568" s="1">
        <v>42</v>
      </c>
      <c r="D1568" s="1" t="s">
        <v>7361</v>
      </c>
      <c r="E1568" s="1" t="s">
        <v>61</v>
      </c>
      <c r="F1568" s="2">
        <v>44781</v>
      </c>
      <c r="G1568" s="1" t="s">
        <v>1190</v>
      </c>
      <c r="H1568" s="1">
        <v>0</v>
      </c>
      <c r="I1568" s="1" t="s">
        <v>52</v>
      </c>
      <c r="J1568" s="1" t="s">
        <v>4112</v>
      </c>
      <c r="K1568" s="1" t="s">
        <v>7362</v>
      </c>
      <c r="L1568" s="1">
        <v>5</v>
      </c>
      <c r="M1568" s="1">
        <v>5</v>
      </c>
      <c r="N1568" s="1" t="s">
        <v>54</v>
      </c>
      <c r="O1568" s="1" t="s">
        <v>77</v>
      </c>
      <c r="P1568" s="1" t="s">
        <v>54</v>
      </c>
      <c r="Q1568" s="1" t="s">
        <v>69</v>
      </c>
      <c r="R1568" s="1">
        <v>1739.2</v>
      </c>
      <c r="S1568" s="1" t="s">
        <v>33</v>
      </c>
      <c r="T1568" s="1" t="s">
        <v>34</v>
      </c>
      <c r="U1568" s="1" t="s">
        <v>35</v>
      </c>
      <c r="V1568" s="1" t="s">
        <v>36</v>
      </c>
    </row>
    <row r="1569" spans="1:22" x14ac:dyDescent="0.3">
      <c r="A1569" s="1" t="s">
        <v>7363</v>
      </c>
      <c r="B1569" s="1" t="s">
        <v>7364</v>
      </c>
      <c r="C1569" s="1">
        <v>35</v>
      </c>
      <c r="D1569" s="1" t="s">
        <v>7365</v>
      </c>
      <c r="E1569" s="1" t="s">
        <v>61</v>
      </c>
      <c r="F1569" s="1" t="s">
        <v>6543</v>
      </c>
      <c r="G1569" s="2">
        <v>44386</v>
      </c>
      <c r="H1569" s="1">
        <v>1</v>
      </c>
      <c r="I1569" s="1" t="s">
        <v>52</v>
      </c>
      <c r="J1569" s="1" t="s">
        <v>6724</v>
      </c>
      <c r="K1569" s="1" t="s">
        <v>7366</v>
      </c>
      <c r="L1569" s="1">
        <v>8</v>
      </c>
      <c r="M1569" s="1">
        <v>38</v>
      </c>
      <c r="N1569" s="1" t="s">
        <v>45</v>
      </c>
      <c r="O1569" s="1" t="s">
        <v>597</v>
      </c>
      <c r="P1569" s="1" t="s">
        <v>45</v>
      </c>
      <c r="Q1569" s="1" t="s">
        <v>69</v>
      </c>
      <c r="R1569" s="1">
        <v>973.12</v>
      </c>
      <c r="S1569" s="1" t="s">
        <v>33</v>
      </c>
      <c r="T1569" s="1" t="s">
        <v>34</v>
      </c>
      <c r="U1569" s="1" t="s">
        <v>35</v>
      </c>
      <c r="V1569" s="1" t="s">
        <v>36</v>
      </c>
    </row>
    <row r="1570" spans="1:22" x14ac:dyDescent="0.3">
      <c r="A1570" s="1" t="s">
        <v>7367</v>
      </c>
      <c r="B1570" s="1" t="s">
        <v>7368</v>
      </c>
      <c r="C1570" s="1">
        <v>38</v>
      </c>
      <c r="D1570" s="1" t="s">
        <v>7369</v>
      </c>
      <c r="E1570" s="1" t="s">
        <v>61</v>
      </c>
      <c r="F1570" s="2">
        <v>44350</v>
      </c>
      <c r="G1570" s="1" t="s">
        <v>1391</v>
      </c>
      <c r="H1570" s="1">
        <v>5</v>
      </c>
      <c r="I1570" s="1" t="s">
        <v>27</v>
      </c>
      <c r="J1570" s="1" t="s">
        <v>2848</v>
      </c>
      <c r="K1570" s="1" t="s">
        <v>7370</v>
      </c>
      <c r="L1570" s="1">
        <v>6</v>
      </c>
      <c r="M1570" s="1">
        <v>5</v>
      </c>
      <c r="N1570" s="1" t="s">
        <v>30</v>
      </c>
      <c r="O1570" s="1" t="s">
        <v>418</v>
      </c>
      <c r="P1570" s="1" t="s">
        <v>56</v>
      </c>
      <c r="Q1570" s="1" t="s">
        <v>32</v>
      </c>
      <c r="R1570" s="1">
        <v>1943.76</v>
      </c>
      <c r="S1570" s="1" t="s">
        <v>46</v>
      </c>
      <c r="T1570" s="1" t="s">
        <v>34</v>
      </c>
      <c r="U1570" s="1" t="s">
        <v>35</v>
      </c>
      <c r="V1570" s="1" t="s">
        <v>188</v>
      </c>
    </row>
    <row r="1571" spans="1:22" x14ac:dyDescent="0.3">
      <c r="A1571" s="1" t="s">
        <v>7371</v>
      </c>
      <c r="B1571" s="1" t="s">
        <v>7372</v>
      </c>
      <c r="C1571" s="1">
        <v>28</v>
      </c>
      <c r="D1571" s="1" t="s">
        <v>7373</v>
      </c>
      <c r="E1571" s="1" t="s">
        <v>61</v>
      </c>
      <c r="F1571" s="1" t="s">
        <v>739</v>
      </c>
      <c r="G1571" s="2">
        <v>44875</v>
      </c>
      <c r="H1571" s="1">
        <v>5</v>
      </c>
      <c r="I1571" s="1" t="s">
        <v>27</v>
      </c>
      <c r="J1571" s="1" t="s">
        <v>825</v>
      </c>
      <c r="K1571" s="1" t="s">
        <v>7374</v>
      </c>
      <c r="L1571" s="1">
        <v>9</v>
      </c>
      <c r="M1571" s="1">
        <v>17</v>
      </c>
      <c r="N1571" s="1" t="s">
        <v>45</v>
      </c>
      <c r="O1571" s="1" t="s">
        <v>149</v>
      </c>
      <c r="P1571" s="1" t="s">
        <v>30</v>
      </c>
      <c r="Q1571" s="1" t="s">
        <v>32</v>
      </c>
      <c r="R1571" s="1">
        <v>1539.27</v>
      </c>
      <c r="S1571" s="1" t="s">
        <v>46</v>
      </c>
      <c r="T1571" s="1" t="s">
        <v>57</v>
      </c>
      <c r="U1571" s="1" t="s">
        <v>35</v>
      </c>
      <c r="V1571" s="1" t="s">
        <v>188</v>
      </c>
    </row>
    <row r="1572" spans="1:22" x14ac:dyDescent="0.3">
      <c r="A1572" s="1" t="s">
        <v>7375</v>
      </c>
      <c r="B1572" s="1" t="s">
        <v>7376</v>
      </c>
      <c r="C1572" s="1">
        <v>65</v>
      </c>
      <c r="D1572" s="1" t="s">
        <v>7377</v>
      </c>
      <c r="E1572" s="1" t="s">
        <v>61</v>
      </c>
      <c r="F1572" s="1" t="s">
        <v>236</v>
      </c>
      <c r="G1572" s="2">
        <v>45629</v>
      </c>
      <c r="H1572" s="1">
        <v>2</v>
      </c>
      <c r="I1572" s="1" t="s">
        <v>64</v>
      </c>
      <c r="J1572" s="1" t="s">
        <v>847</v>
      </c>
      <c r="K1572" s="1" t="s">
        <v>3596</v>
      </c>
      <c r="L1572" s="1">
        <v>2</v>
      </c>
      <c r="M1572" s="1">
        <v>8</v>
      </c>
      <c r="N1572" s="1" t="s">
        <v>68</v>
      </c>
      <c r="O1572" s="1" t="s">
        <v>109</v>
      </c>
      <c r="P1572" s="1" t="s">
        <v>68</v>
      </c>
      <c r="Q1572" s="1" t="s">
        <v>69</v>
      </c>
      <c r="R1572" s="1">
        <v>93.32</v>
      </c>
      <c r="S1572" s="1" t="s">
        <v>33</v>
      </c>
      <c r="T1572" s="1" t="s">
        <v>232</v>
      </c>
      <c r="U1572" s="1" t="s">
        <v>70</v>
      </c>
      <c r="V1572" s="1" t="s">
        <v>71</v>
      </c>
    </row>
    <row r="1573" spans="1:22" x14ac:dyDescent="0.3">
      <c r="A1573" s="1" t="s">
        <v>7378</v>
      </c>
      <c r="B1573" s="1" t="s">
        <v>7379</v>
      </c>
      <c r="C1573" s="1">
        <v>49</v>
      </c>
      <c r="D1573" s="1" t="s">
        <v>7380</v>
      </c>
      <c r="E1573" s="1" t="s">
        <v>88</v>
      </c>
      <c r="F1573" s="1" t="s">
        <v>6543</v>
      </c>
      <c r="G1573" s="2">
        <v>45204</v>
      </c>
      <c r="H1573" s="1">
        <v>2</v>
      </c>
      <c r="I1573" s="1" t="s">
        <v>64</v>
      </c>
      <c r="J1573" s="1" t="s">
        <v>7381</v>
      </c>
      <c r="K1573" s="1" t="s">
        <v>7382</v>
      </c>
      <c r="L1573" s="1">
        <v>8</v>
      </c>
      <c r="M1573" s="1">
        <v>38</v>
      </c>
      <c r="N1573" s="1" t="s">
        <v>68</v>
      </c>
      <c r="O1573" s="1" t="s">
        <v>77</v>
      </c>
      <c r="P1573" s="1" t="s">
        <v>54</v>
      </c>
      <c r="Q1573" s="1" t="s">
        <v>32</v>
      </c>
      <c r="R1573" s="1">
        <v>696.56</v>
      </c>
      <c r="S1573" s="1" t="s">
        <v>46</v>
      </c>
      <c r="T1573" s="1" t="s">
        <v>34</v>
      </c>
      <c r="U1573" s="1" t="s">
        <v>35</v>
      </c>
      <c r="V1573" s="1" t="s">
        <v>71</v>
      </c>
    </row>
    <row r="1574" spans="1:22" x14ac:dyDescent="0.3">
      <c r="A1574" s="1" t="s">
        <v>7383</v>
      </c>
      <c r="B1574" s="1" t="s">
        <v>7384</v>
      </c>
      <c r="C1574" s="1">
        <v>45</v>
      </c>
      <c r="D1574" s="1" t="s">
        <v>7385</v>
      </c>
      <c r="E1574" s="1" t="s">
        <v>88</v>
      </c>
      <c r="F1574" s="1" t="s">
        <v>207</v>
      </c>
      <c r="G1574" s="2">
        <v>44722</v>
      </c>
      <c r="H1574" s="1">
        <v>1</v>
      </c>
      <c r="I1574" s="1" t="s">
        <v>27</v>
      </c>
      <c r="J1574" s="2">
        <v>45811</v>
      </c>
      <c r="K1574" s="1" t="s">
        <v>7386</v>
      </c>
      <c r="L1574" s="1">
        <v>7</v>
      </c>
      <c r="M1574" s="1">
        <v>5</v>
      </c>
      <c r="N1574" s="1" t="s">
        <v>30</v>
      </c>
      <c r="O1574" s="1" t="s">
        <v>199</v>
      </c>
      <c r="P1574" s="1" t="s">
        <v>54</v>
      </c>
      <c r="Q1574" s="1" t="s">
        <v>32</v>
      </c>
      <c r="R1574" s="1">
        <v>1185.73</v>
      </c>
      <c r="S1574" s="1" t="s">
        <v>46</v>
      </c>
      <c r="T1574" s="1" t="s">
        <v>34</v>
      </c>
      <c r="U1574" s="1" t="s">
        <v>35</v>
      </c>
      <c r="V1574" s="1" t="s">
        <v>36</v>
      </c>
    </row>
    <row r="1575" spans="1:22" x14ac:dyDescent="0.3">
      <c r="A1575" s="1" t="s">
        <v>7387</v>
      </c>
      <c r="B1575" s="1" t="s">
        <v>7388</v>
      </c>
      <c r="C1575" s="1">
        <v>42</v>
      </c>
      <c r="D1575" s="1" t="s">
        <v>7389</v>
      </c>
      <c r="E1575" s="1" t="s">
        <v>51</v>
      </c>
      <c r="F1575" s="1" t="s">
        <v>3372</v>
      </c>
      <c r="G1575" s="2">
        <v>44927</v>
      </c>
      <c r="H1575" s="1">
        <v>0</v>
      </c>
      <c r="I1575" s="1" t="s">
        <v>64</v>
      </c>
      <c r="J1575" s="1" t="s">
        <v>2522</v>
      </c>
      <c r="K1575" s="1" t="s">
        <v>7390</v>
      </c>
      <c r="L1575" s="1">
        <v>7</v>
      </c>
      <c r="M1575" s="1">
        <v>29</v>
      </c>
      <c r="N1575" s="1" t="s">
        <v>54</v>
      </c>
      <c r="O1575" s="1" t="s">
        <v>31</v>
      </c>
      <c r="P1575" s="1" t="s">
        <v>30</v>
      </c>
      <c r="Q1575" s="1" t="s">
        <v>32</v>
      </c>
      <c r="R1575" s="1">
        <v>1442.28</v>
      </c>
      <c r="S1575" s="1" t="s">
        <v>46</v>
      </c>
      <c r="T1575" s="1" t="s">
        <v>34</v>
      </c>
      <c r="U1575" s="1" t="s">
        <v>35</v>
      </c>
      <c r="V1575" s="1" t="s">
        <v>71</v>
      </c>
    </row>
    <row r="1576" spans="1:22" x14ac:dyDescent="0.3">
      <c r="A1576" s="1" t="s">
        <v>7391</v>
      </c>
      <c r="B1576" s="1" t="s">
        <v>7392</v>
      </c>
      <c r="C1576" s="1">
        <v>64</v>
      </c>
      <c r="D1576" s="1" t="s">
        <v>7393</v>
      </c>
      <c r="E1576" s="1" t="s">
        <v>51</v>
      </c>
      <c r="F1576" s="1" t="s">
        <v>3595</v>
      </c>
      <c r="G1576" s="2">
        <v>45262</v>
      </c>
      <c r="H1576" s="1">
        <v>1</v>
      </c>
      <c r="I1576" s="1" t="s">
        <v>27</v>
      </c>
      <c r="J1576" s="2">
        <v>44688</v>
      </c>
      <c r="K1576" s="1" t="s">
        <v>7394</v>
      </c>
      <c r="L1576" s="1">
        <v>9</v>
      </c>
      <c r="M1576" s="1">
        <v>26</v>
      </c>
      <c r="N1576" s="1" t="s">
        <v>56</v>
      </c>
      <c r="O1576" s="1" t="s">
        <v>175</v>
      </c>
      <c r="P1576" s="1" t="s">
        <v>56</v>
      </c>
      <c r="Q1576" s="1" t="s">
        <v>69</v>
      </c>
      <c r="R1576" s="1">
        <v>1187.82</v>
      </c>
      <c r="S1576" s="1" t="s">
        <v>33</v>
      </c>
      <c r="T1576" s="1" t="s">
        <v>47</v>
      </c>
      <c r="U1576" s="1" t="s">
        <v>35</v>
      </c>
      <c r="V1576" s="1" t="s">
        <v>36</v>
      </c>
    </row>
    <row r="1577" spans="1:22" x14ac:dyDescent="0.3">
      <c r="A1577" s="1" t="s">
        <v>7395</v>
      </c>
      <c r="B1577" s="1" t="s">
        <v>7396</v>
      </c>
      <c r="C1577" s="1">
        <v>41</v>
      </c>
      <c r="D1577" s="1" t="s">
        <v>7397</v>
      </c>
      <c r="E1577" s="1" t="s">
        <v>25</v>
      </c>
      <c r="F1577" s="1" t="s">
        <v>556</v>
      </c>
      <c r="G1577" s="1" t="s">
        <v>1827</v>
      </c>
      <c r="H1577" s="1">
        <v>3</v>
      </c>
      <c r="I1577" s="1" t="s">
        <v>27</v>
      </c>
      <c r="J1577" s="2">
        <v>45418</v>
      </c>
      <c r="K1577" s="1" t="s">
        <v>7398</v>
      </c>
      <c r="L1577" s="1">
        <v>2</v>
      </c>
      <c r="M1577" s="1">
        <v>12</v>
      </c>
      <c r="N1577" s="1" t="s">
        <v>68</v>
      </c>
      <c r="O1577" s="1" t="s">
        <v>91</v>
      </c>
      <c r="P1577" s="1" t="s">
        <v>54</v>
      </c>
      <c r="Q1577" s="1" t="s">
        <v>69</v>
      </c>
      <c r="R1577" s="1">
        <v>44.5</v>
      </c>
      <c r="S1577" s="1" t="s">
        <v>46</v>
      </c>
      <c r="T1577" s="1" t="s">
        <v>34</v>
      </c>
      <c r="U1577" s="1" t="s">
        <v>70</v>
      </c>
      <c r="V1577" s="1" t="s">
        <v>36</v>
      </c>
    </row>
    <row r="1578" spans="1:22" x14ac:dyDescent="0.3">
      <c r="A1578" s="1" t="s">
        <v>7399</v>
      </c>
      <c r="B1578" s="1" t="s">
        <v>7400</v>
      </c>
      <c r="C1578" s="1">
        <v>49</v>
      </c>
      <c r="D1578" s="1" t="s">
        <v>7401</v>
      </c>
      <c r="E1578" s="1" t="s">
        <v>25</v>
      </c>
      <c r="F1578" s="2">
        <v>44084</v>
      </c>
      <c r="G1578" s="1" t="s">
        <v>670</v>
      </c>
      <c r="H1578" s="1">
        <v>3</v>
      </c>
      <c r="I1578" s="1" t="s">
        <v>52</v>
      </c>
      <c r="J1578" s="1" t="s">
        <v>2313</v>
      </c>
      <c r="K1578" s="1" t="s">
        <v>7402</v>
      </c>
      <c r="L1578" s="1">
        <v>6</v>
      </c>
      <c r="M1578" s="1">
        <v>18</v>
      </c>
      <c r="N1578" s="1" t="s">
        <v>45</v>
      </c>
      <c r="O1578" s="1" t="s">
        <v>418</v>
      </c>
      <c r="P1578" s="1" t="s">
        <v>56</v>
      </c>
      <c r="Q1578" s="1" t="s">
        <v>32</v>
      </c>
      <c r="R1578" s="1">
        <v>749.88</v>
      </c>
      <c r="S1578" s="1" t="s">
        <v>46</v>
      </c>
      <c r="T1578" s="1" t="s">
        <v>34</v>
      </c>
      <c r="U1578" s="1" t="s">
        <v>35</v>
      </c>
      <c r="V1578" s="1" t="s">
        <v>36</v>
      </c>
    </row>
    <row r="1579" spans="1:22" x14ac:dyDescent="0.3">
      <c r="A1579" s="1" t="s">
        <v>7403</v>
      </c>
      <c r="B1579" s="1" t="s">
        <v>7404</v>
      </c>
      <c r="C1579" s="1">
        <v>61</v>
      </c>
      <c r="D1579" s="1" t="s">
        <v>7405</v>
      </c>
      <c r="E1579" s="1" t="s">
        <v>25</v>
      </c>
      <c r="F1579" s="1" t="s">
        <v>3493</v>
      </c>
      <c r="G1579" s="2">
        <v>45383</v>
      </c>
      <c r="H1579" s="1">
        <v>2</v>
      </c>
      <c r="I1579" s="1" t="s">
        <v>27</v>
      </c>
      <c r="J1579" s="1" t="s">
        <v>4456</v>
      </c>
      <c r="K1579" s="1" t="s">
        <v>7406</v>
      </c>
      <c r="L1579" s="1">
        <v>5</v>
      </c>
      <c r="M1579" s="1">
        <v>16</v>
      </c>
      <c r="N1579" s="1" t="s">
        <v>56</v>
      </c>
      <c r="O1579" s="1" t="s">
        <v>135</v>
      </c>
      <c r="P1579" s="1" t="s">
        <v>45</v>
      </c>
      <c r="Q1579" s="1" t="s">
        <v>69</v>
      </c>
      <c r="R1579" s="1">
        <v>1327.55</v>
      </c>
      <c r="S1579" s="1" t="s">
        <v>46</v>
      </c>
      <c r="T1579" s="1" t="s">
        <v>47</v>
      </c>
      <c r="U1579" s="1" t="s">
        <v>35</v>
      </c>
      <c r="V1579" s="1" t="s">
        <v>36</v>
      </c>
    </row>
    <row r="1580" spans="1:22" x14ac:dyDescent="0.3">
      <c r="A1580" s="1" t="s">
        <v>7407</v>
      </c>
      <c r="B1580" s="1" t="s">
        <v>7408</v>
      </c>
      <c r="C1580" s="1">
        <v>54</v>
      </c>
      <c r="D1580" s="1" t="s">
        <v>7409</v>
      </c>
      <c r="E1580" s="1" t="s">
        <v>88</v>
      </c>
      <c r="F1580" s="2">
        <v>44113</v>
      </c>
      <c r="G1580" s="1" t="s">
        <v>639</v>
      </c>
      <c r="H1580" s="1">
        <v>1</v>
      </c>
      <c r="I1580" s="1" t="s">
        <v>64</v>
      </c>
      <c r="J1580" s="2">
        <v>45571</v>
      </c>
      <c r="K1580" s="1" t="s">
        <v>7410</v>
      </c>
      <c r="L1580" s="1">
        <v>9</v>
      </c>
      <c r="M1580" s="1">
        <v>19</v>
      </c>
      <c r="N1580" s="1" t="s">
        <v>68</v>
      </c>
      <c r="O1580" s="1" t="s">
        <v>99</v>
      </c>
      <c r="P1580" s="1" t="s">
        <v>56</v>
      </c>
      <c r="Q1580" s="1" t="s">
        <v>69</v>
      </c>
      <c r="R1580" s="1">
        <v>1975.86</v>
      </c>
      <c r="S1580" s="1" t="s">
        <v>46</v>
      </c>
      <c r="T1580" s="1" t="s">
        <v>47</v>
      </c>
      <c r="U1580" s="1" t="s">
        <v>35</v>
      </c>
      <c r="V1580" s="1" t="s">
        <v>71</v>
      </c>
    </row>
    <row r="1581" spans="1:22" x14ac:dyDescent="0.3">
      <c r="A1581" s="1" t="s">
        <v>7411</v>
      </c>
      <c r="B1581" s="1" t="s">
        <v>7412</v>
      </c>
      <c r="C1581" s="1">
        <v>61</v>
      </c>
      <c r="D1581" s="1" t="s">
        <v>7413</v>
      </c>
      <c r="E1581" s="1" t="s">
        <v>51</v>
      </c>
      <c r="F1581" s="1" t="s">
        <v>1333</v>
      </c>
      <c r="G1581" s="2">
        <v>45024</v>
      </c>
      <c r="H1581" s="1">
        <v>4</v>
      </c>
      <c r="I1581" s="1" t="s">
        <v>27</v>
      </c>
      <c r="J1581" s="1" t="s">
        <v>3832</v>
      </c>
      <c r="K1581" s="1" t="s">
        <v>7414</v>
      </c>
      <c r="L1581" s="1">
        <v>5</v>
      </c>
      <c r="M1581" s="1">
        <v>41</v>
      </c>
      <c r="N1581" s="1" t="s">
        <v>54</v>
      </c>
      <c r="O1581" s="1" t="s">
        <v>245</v>
      </c>
      <c r="P1581" s="1" t="s">
        <v>54</v>
      </c>
      <c r="Q1581" s="1" t="s">
        <v>69</v>
      </c>
      <c r="R1581" s="1">
        <v>1275.75</v>
      </c>
      <c r="S1581" s="1" t="s">
        <v>33</v>
      </c>
      <c r="T1581" s="1" t="s">
        <v>47</v>
      </c>
      <c r="U1581" s="1" t="s">
        <v>35</v>
      </c>
      <c r="V1581" s="1" t="s">
        <v>188</v>
      </c>
    </row>
    <row r="1582" spans="1:22" x14ac:dyDescent="0.3">
      <c r="A1582" s="1" t="s">
        <v>7415</v>
      </c>
      <c r="B1582" s="1" t="s">
        <v>7416</v>
      </c>
      <c r="C1582" s="1">
        <v>27</v>
      </c>
      <c r="D1582" s="1" t="s">
        <v>7417</v>
      </c>
      <c r="E1582" s="1" t="s">
        <v>51</v>
      </c>
      <c r="F1582" s="2">
        <v>44114</v>
      </c>
      <c r="G1582" s="1" t="s">
        <v>4878</v>
      </c>
      <c r="H1582" s="1">
        <v>0</v>
      </c>
      <c r="I1582" s="1" t="s">
        <v>27</v>
      </c>
      <c r="J1582" s="2">
        <v>44198</v>
      </c>
      <c r="K1582" s="1" t="s">
        <v>7418</v>
      </c>
      <c r="L1582" s="1">
        <v>7</v>
      </c>
      <c r="M1582" s="1">
        <v>3</v>
      </c>
      <c r="N1582" s="1" t="s">
        <v>56</v>
      </c>
      <c r="O1582" s="1" t="s">
        <v>109</v>
      </c>
      <c r="P1582" s="1" t="s">
        <v>68</v>
      </c>
      <c r="Q1582" s="1" t="s">
        <v>32</v>
      </c>
      <c r="R1582" s="1">
        <v>1854.93</v>
      </c>
      <c r="S1582" s="1" t="s">
        <v>46</v>
      </c>
      <c r="T1582" s="1" t="s">
        <v>57</v>
      </c>
      <c r="U1582" s="1" t="s">
        <v>35</v>
      </c>
      <c r="V1582" s="1" t="s">
        <v>36</v>
      </c>
    </row>
    <row r="1583" spans="1:22" x14ac:dyDescent="0.3">
      <c r="A1583" s="1" t="s">
        <v>7419</v>
      </c>
      <c r="B1583" s="1" t="s">
        <v>7420</v>
      </c>
      <c r="C1583" s="1">
        <v>57</v>
      </c>
      <c r="D1583" s="1" t="s">
        <v>7421</v>
      </c>
      <c r="E1583" s="1" t="s">
        <v>88</v>
      </c>
      <c r="F1583" s="2">
        <v>44230</v>
      </c>
      <c r="G1583" s="2">
        <v>44686</v>
      </c>
      <c r="H1583" s="1">
        <v>0</v>
      </c>
      <c r="I1583" s="1" t="s">
        <v>52</v>
      </c>
      <c r="J1583" s="1" t="s">
        <v>7422</v>
      </c>
      <c r="K1583" s="1" t="s">
        <v>7423</v>
      </c>
      <c r="L1583" s="1">
        <v>6</v>
      </c>
      <c r="M1583" s="1">
        <v>38</v>
      </c>
      <c r="N1583" s="1" t="s">
        <v>45</v>
      </c>
      <c r="O1583" s="1" t="s">
        <v>837</v>
      </c>
      <c r="P1583" s="1" t="s">
        <v>56</v>
      </c>
      <c r="Q1583" s="1" t="s">
        <v>32</v>
      </c>
      <c r="R1583" s="1">
        <v>1521.96</v>
      </c>
      <c r="S1583" s="1" t="s">
        <v>46</v>
      </c>
      <c r="T1583" s="1" t="s">
        <v>47</v>
      </c>
      <c r="U1583" s="1" t="s">
        <v>35</v>
      </c>
      <c r="V1583" s="1" t="s">
        <v>36</v>
      </c>
    </row>
    <row r="1584" spans="1:22" x14ac:dyDescent="0.3">
      <c r="A1584" s="1" t="s">
        <v>7424</v>
      </c>
      <c r="B1584" s="1" t="s">
        <v>7425</v>
      </c>
      <c r="C1584" s="1">
        <v>59</v>
      </c>
      <c r="D1584" s="1" t="s">
        <v>7426</v>
      </c>
      <c r="E1584" s="1" t="s">
        <v>95</v>
      </c>
      <c r="F1584" s="2">
        <v>44113</v>
      </c>
      <c r="G1584" s="1" t="s">
        <v>2088</v>
      </c>
      <c r="H1584" s="1">
        <v>0</v>
      </c>
      <c r="I1584" s="1" t="s">
        <v>27</v>
      </c>
      <c r="J1584" s="1" t="s">
        <v>5787</v>
      </c>
      <c r="K1584" s="1" t="s">
        <v>7427</v>
      </c>
      <c r="L1584" s="1">
        <v>3</v>
      </c>
      <c r="M1584" s="1">
        <v>14</v>
      </c>
      <c r="N1584" s="1" t="s">
        <v>54</v>
      </c>
      <c r="O1584" s="1" t="s">
        <v>269</v>
      </c>
      <c r="P1584" s="1" t="s">
        <v>56</v>
      </c>
      <c r="Q1584" s="1" t="s">
        <v>32</v>
      </c>
      <c r="R1584" s="1">
        <v>645.12</v>
      </c>
      <c r="S1584" s="1" t="s">
        <v>46</v>
      </c>
      <c r="T1584" s="1" t="s">
        <v>47</v>
      </c>
      <c r="U1584" s="1" t="s">
        <v>35</v>
      </c>
      <c r="V1584" s="1" t="s">
        <v>36</v>
      </c>
    </row>
    <row r="1585" spans="1:22" x14ac:dyDescent="0.3">
      <c r="A1585" s="1" t="s">
        <v>7428</v>
      </c>
      <c r="B1585" s="1" t="s">
        <v>7429</v>
      </c>
      <c r="C1585" s="1">
        <v>61</v>
      </c>
      <c r="D1585" s="1" t="s">
        <v>7430</v>
      </c>
      <c r="E1585" s="1" t="s">
        <v>25</v>
      </c>
      <c r="F1585" s="1" t="s">
        <v>2680</v>
      </c>
      <c r="G1585" s="2">
        <v>45603</v>
      </c>
      <c r="H1585" s="1">
        <v>5</v>
      </c>
      <c r="I1585" s="1" t="s">
        <v>52</v>
      </c>
      <c r="J1585" s="1" t="s">
        <v>2781</v>
      </c>
      <c r="K1585" s="1" t="s">
        <v>7431</v>
      </c>
      <c r="L1585" s="1">
        <v>1</v>
      </c>
      <c r="M1585" s="1">
        <v>11</v>
      </c>
      <c r="N1585" s="1" t="s">
        <v>30</v>
      </c>
      <c r="O1585" s="1" t="s">
        <v>245</v>
      </c>
      <c r="P1585" s="1" t="s">
        <v>54</v>
      </c>
      <c r="Q1585" s="1" t="s">
        <v>69</v>
      </c>
      <c r="R1585" s="1">
        <v>1226.3699999999999</v>
      </c>
      <c r="S1585" s="1" t="s">
        <v>46</v>
      </c>
      <c r="T1585" s="1" t="s">
        <v>47</v>
      </c>
      <c r="U1585" s="1" t="s">
        <v>35</v>
      </c>
      <c r="V1585" s="1" t="s">
        <v>36</v>
      </c>
    </row>
    <row r="1586" spans="1:22" x14ac:dyDescent="0.3">
      <c r="A1586" s="1" t="s">
        <v>7432</v>
      </c>
      <c r="B1586" s="1" t="s">
        <v>7433</v>
      </c>
      <c r="C1586" s="1">
        <v>55</v>
      </c>
      <c r="D1586" s="1" t="s">
        <v>7434</v>
      </c>
      <c r="E1586" s="1" t="s">
        <v>51</v>
      </c>
      <c r="F1586" s="1" t="s">
        <v>3407</v>
      </c>
      <c r="G1586" s="1" t="s">
        <v>5045</v>
      </c>
      <c r="H1586" s="1">
        <v>1</v>
      </c>
      <c r="I1586" s="1" t="s">
        <v>27</v>
      </c>
      <c r="J1586" s="1" t="s">
        <v>3506</v>
      </c>
      <c r="K1586" s="1" t="s">
        <v>7435</v>
      </c>
      <c r="L1586" s="1">
        <v>5</v>
      </c>
      <c r="M1586" s="1">
        <v>40</v>
      </c>
      <c r="N1586" s="1" t="s">
        <v>56</v>
      </c>
      <c r="O1586" s="1" t="s">
        <v>175</v>
      </c>
      <c r="P1586" s="1" t="s">
        <v>56</v>
      </c>
      <c r="Q1586" s="1" t="s">
        <v>32</v>
      </c>
      <c r="R1586" s="1">
        <v>159.05000000000001</v>
      </c>
      <c r="S1586" s="1" t="s">
        <v>33</v>
      </c>
      <c r="T1586" s="1" t="s">
        <v>47</v>
      </c>
      <c r="U1586" s="1" t="s">
        <v>35</v>
      </c>
      <c r="V1586" s="1" t="s">
        <v>36</v>
      </c>
    </row>
    <row r="1587" spans="1:22" x14ac:dyDescent="0.3">
      <c r="A1587" s="1" t="s">
        <v>7436</v>
      </c>
      <c r="B1587" s="1" t="s">
        <v>7437</v>
      </c>
      <c r="C1587" s="1">
        <v>24</v>
      </c>
      <c r="D1587" s="1" t="s">
        <v>7438</v>
      </c>
      <c r="E1587" s="1" t="s">
        <v>88</v>
      </c>
      <c r="F1587" s="1" t="s">
        <v>5427</v>
      </c>
      <c r="G1587" s="2">
        <v>45362</v>
      </c>
      <c r="H1587" s="1">
        <v>4</v>
      </c>
      <c r="I1587" s="1" t="s">
        <v>27</v>
      </c>
      <c r="J1587" s="1" t="s">
        <v>1513</v>
      </c>
      <c r="K1587" s="1" t="s">
        <v>7439</v>
      </c>
      <c r="L1587" s="1">
        <v>1</v>
      </c>
      <c r="M1587" s="1">
        <v>44</v>
      </c>
      <c r="N1587" s="1" t="s">
        <v>56</v>
      </c>
      <c r="O1587" s="1" t="s">
        <v>837</v>
      </c>
      <c r="P1587" s="1" t="s">
        <v>56</v>
      </c>
      <c r="Q1587" s="1" t="s">
        <v>69</v>
      </c>
      <c r="R1587" s="1">
        <v>966.86</v>
      </c>
      <c r="S1587" s="1" t="s">
        <v>33</v>
      </c>
      <c r="T1587" s="1" t="s">
        <v>100</v>
      </c>
      <c r="U1587" s="1" t="s">
        <v>35</v>
      </c>
      <c r="V1587" s="1" t="s">
        <v>188</v>
      </c>
    </row>
    <row r="1588" spans="1:22" x14ac:dyDescent="0.3">
      <c r="A1588" s="1" t="s">
        <v>7440</v>
      </c>
      <c r="B1588" s="1" t="s">
        <v>7441</v>
      </c>
      <c r="C1588" s="1">
        <v>58</v>
      </c>
      <c r="D1588" s="1" t="s">
        <v>7442</v>
      </c>
      <c r="E1588" s="1" t="s">
        <v>40</v>
      </c>
      <c r="F1588" s="2">
        <v>44323</v>
      </c>
      <c r="G1588" s="2">
        <v>45662</v>
      </c>
      <c r="H1588" s="1">
        <v>5</v>
      </c>
      <c r="I1588" s="1" t="s">
        <v>27</v>
      </c>
      <c r="J1588" s="1" t="s">
        <v>1725</v>
      </c>
      <c r="K1588" s="1" t="s">
        <v>7443</v>
      </c>
      <c r="L1588" s="1">
        <v>6</v>
      </c>
      <c r="M1588" s="1">
        <v>31</v>
      </c>
      <c r="N1588" s="1" t="s">
        <v>30</v>
      </c>
      <c r="O1588" s="1" t="s">
        <v>199</v>
      </c>
      <c r="P1588" s="1" t="s">
        <v>54</v>
      </c>
      <c r="Q1588" s="1" t="s">
        <v>69</v>
      </c>
      <c r="R1588" s="1">
        <v>1177.44</v>
      </c>
      <c r="S1588" s="1" t="s">
        <v>46</v>
      </c>
      <c r="T1588" s="1" t="s">
        <v>47</v>
      </c>
      <c r="U1588" s="1" t="s">
        <v>35</v>
      </c>
      <c r="V1588" s="1" t="s">
        <v>188</v>
      </c>
    </row>
    <row r="1589" spans="1:22" x14ac:dyDescent="0.3">
      <c r="A1589" s="1" t="s">
        <v>7444</v>
      </c>
      <c r="B1589" s="1" t="s">
        <v>7445</v>
      </c>
      <c r="C1589" s="1">
        <v>24</v>
      </c>
      <c r="D1589" s="1" t="s">
        <v>7446</v>
      </c>
      <c r="E1589" s="1" t="s">
        <v>88</v>
      </c>
      <c r="F1589" s="2">
        <v>44963</v>
      </c>
      <c r="G1589" s="1" t="s">
        <v>2374</v>
      </c>
      <c r="H1589" s="1">
        <v>0</v>
      </c>
      <c r="I1589" s="1" t="s">
        <v>27</v>
      </c>
      <c r="J1589" s="1" t="s">
        <v>508</v>
      </c>
      <c r="K1589" s="1" t="s">
        <v>7447</v>
      </c>
      <c r="L1589" s="1">
        <v>7</v>
      </c>
      <c r="M1589" s="1">
        <v>23</v>
      </c>
      <c r="N1589" s="1" t="s">
        <v>54</v>
      </c>
      <c r="O1589" s="1" t="s">
        <v>175</v>
      </c>
      <c r="P1589" s="1" t="s">
        <v>56</v>
      </c>
      <c r="Q1589" s="1" t="s">
        <v>32</v>
      </c>
      <c r="R1589" s="1">
        <v>1955.24</v>
      </c>
      <c r="S1589" s="1" t="s">
        <v>46</v>
      </c>
      <c r="T1589" s="1" t="s">
        <v>100</v>
      </c>
      <c r="U1589" s="1" t="s">
        <v>35</v>
      </c>
      <c r="V1589" s="1" t="s">
        <v>36</v>
      </c>
    </row>
    <row r="1590" spans="1:22" x14ac:dyDescent="0.3">
      <c r="A1590" s="1" t="s">
        <v>7448</v>
      </c>
      <c r="B1590" s="1" t="s">
        <v>7449</v>
      </c>
      <c r="C1590" s="1">
        <v>65</v>
      </c>
      <c r="D1590" s="1" t="s">
        <v>7450</v>
      </c>
      <c r="E1590" s="1" t="s">
        <v>51</v>
      </c>
      <c r="F1590" s="2">
        <v>44663</v>
      </c>
      <c r="G1590" s="2">
        <v>45512</v>
      </c>
      <c r="H1590" s="1">
        <v>5</v>
      </c>
      <c r="I1590" s="1" t="s">
        <v>64</v>
      </c>
      <c r="J1590" s="2">
        <v>45542</v>
      </c>
      <c r="K1590" s="1" t="s">
        <v>7451</v>
      </c>
      <c r="L1590" s="1">
        <v>8</v>
      </c>
      <c r="M1590" s="1">
        <v>17</v>
      </c>
      <c r="N1590" s="1" t="s">
        <v>56</v>
      </c>
      <c r="O1590" s="1" t="s">
        <v>293</v>
      </c>
      <c r="P1590" s="1" t="s">
        <v>45</v>
      </c>
      <c r="Q1590" s="1" t="s">
        <v>69</v>
      </c>
      <c r="R1590" s="1">
        <v>1005.84</v>
      </c>
      <c r="S1590" s="1" t="s">
        <v>46</v>
      </c>
      <c r="T1590" s="1" t="s">
        <v>232</v>
      </c>
      <c r="U1590" s="1" t="s">
        <v>35</v>
      </c>
      <c r="V1590" s="1" t="s">
        <v>71</v>
      </c>
    </row>
    <row r="1591" spans="1:22" x14ac:dyDescent="0.3">
      <c r="A1591" s="1" t="s">
        <v>7452</v>
      </c>
      <c r="B1591" s="1" t="s">
        <v>7453</v>
      </c>
      <c r="C1591" s="1">
        <v>41</v>
      </c>
      <c r="D1591" s="1" t="s">
        <v>7454</v>
      </c>
      <c r="E1591" s="1" t="s">
        <v>51</v>
      </c>
      <c r="F1591" s="1" t="s">
        <v>6511</v>
      </c>
      <c r="G1591" s="2">
        <v>45476</v>
      </c>
      <c r="H1591" s="1">
        <v>4</v>
      </c>
      <c r="I1591" s="1" t="s">
        <v>27</v>
      </c>
      <c r="J1591" s="2">
        <v>45331</v>
      </c>
      <c r="K1591" s="1" t="s">
        <v>7455</v>
      </c>
      <c r="L1591" s="1">
        <v>3</v>
      </c>
      <c r="M1591" s="1">
        <v>12</v>
      </c>
      <c r="N1591" s="1" t="s">
        <v>45</v>
      </c>
      <c r="O1591" s="1" t="s">
        <v>77</v>
      </c>
      <c r="P1591" s="1" t="s">
        <v>54</v>
      </c>
      <c r="Q1591" s="1" t="s">
        <v>69</v>
      </c>
      <c r="R1591" s="1">
        <v>1442.7</v>
      </c>
      <c r="S1591" s="1" t="s">
        <v>46</v>
      </c>
      <c r="T1591" s="1" t="s">
        <v>34</v>
      </c>
      <c r="U1591" s="1" t="s">
        <v>35</v>
      </c>
      <c r="V1591" s="1" t="s">
        <v>188</v>
      </c>
    </row>
    <row r="1592" spans="1:22" x14ac:dyDescent="0.3">
      <c r="A1592" s="1" t="s">
        <v>7456</v>
      </c>
      <c r="B1592" s="1" t="s">
        <v>7457</v>
      </c>
      <c r="C1592" s="1">
        <v>59</v>
      </c>
      <c r="D1592" s="1" t="s">
        <v>7458</v>
      </c>
      <c r="E1592" s="1" t="s">
        <v>25</v>
      </c>
      <c r="F1592" s="1" t="s">
        <v>5426</v>
      </c>
      <c r="G1592" s="1" t="s">
        <v>1960</v>
      </c>
      <c r="H1592" s="1">
        <v>5</v>
      </c>
      <c r="I1592" s="1" t="s">
        <v>27</v>
      </c>
      <c r="J1592" s="2">
        <v>44816</v>
      </c>
      <c r="K1592" s="1" t="s">
        <v>7459</v>
      </c>
      <c r="L1592" s="1">
        <v>5</v>
      </c>
      <c r="M1592" s="1">
        <v>25</v>
      </c>
      <c r="N1592" s="1" t="s">
        <v>56</v>
      </c>
      <c r="O1592" s="1" t="s">
        <v>269</v>
      </c>
      <c r="P1592" s="1" t="s">
        <v>56</v>
      </c>
      <c r="Q1592" s="1" t="s">
        <v>69</v>
      </c>
      <c r="R1592" s="1">
        <v>1798.75</v>
      </c>
      <c r="S1592" s="1" t="s">
        <v>33</v>
      </c>
      <c r="T1592" s="1" t="s">
        <v>47</v>
      </c>
      <c r="U1592" s="1" t="s">
        <v>35</v>
      </c>
      <c r="V1592" s="1" t="s">
        <v>188</v>
      </c>
    </row>
    <row r="1593" spans="1:22" x14ac:dyDescent="0.3">
      <c r="A1593" s="1" t="s">
        <v>7460</v>
      </c>
      <c r="B1593" s="1" t="s">
        <v>7461</v>
      </c>
      <c r="C1593" s="1">
        <v>63</v>
      </c>
      <c r="D1593" s="1" t="s">
        <v>7462</v>
      </c>
      <c r="E1593" s="1" t="s">
        <v>88</v>
      </c>
      <c r="F1593" s="2">
        <v>45144</v>
      </c>
      <c r="G1593" s="1" t="s">
        <v>97</v>
      </c>
      <c r="H1593" s="1">
        <v>2</v>
      </c>
      <c r="I1593" s="1" t="s">
        <v>27</v>
      </c>
      <c r="J1593" s="1" t="s">
        <v>2241</v>
      </c>
      <c r="K1593" s="1" t="s">
        <v>7463</v>
      </c>
      <c r="L1593" s="1">
        <v>7</v>
      </c>
      <c r="M1593" s="1">
        <v>32</v>
      </c>
      <c r="N1593" s="1" t="s">
        <v>45</v>
      </c>
      <c r="O1593" s="1" t="s">
        <v>175</v>
      </c>
      <c r="P1593" s="1" t="s">
        <v>56</v>
      </c>
      <c r="Q1593" s="1" t="s">
        <v>322</v>
      </c>
      <c r="R1593" s="1">
        <v>1115.8699999999999</v>
      </c>
      <c r="S1593" s="1" t="s">
        <v>46</v>
      </c>
      <c r="T1593" s="1" t="s">
        <v>47</v>
      </c>
      <c r="U1593" s="1" t="s">
        <v>35</v>
      </c>
      <c r="V1593" s="1" t="s">
        <v>36</v>
      </c>
    </row>
    <row r="1594" spans="1:22" x14ac:dyDescent="0.3">
      <c r="A1594" s="1" t="s">
        <v>7464</v>
      </c>
      <c r="B1594" s="1" t="s">
        <v>7465</v>
      </c>
      <c r="C1594" s="1">
        <v>26</v>
      </c>
      <c r="D1594" s="1" t="s">
        <v>7466</v>
      </c>
      <c r="E1594" s="1" t="s">
        <v>61</v>
      </c>
      <c r="F1594" s="1" t="s">
        <v>3802</v>
      </c>
      <c r="G1594" s="1" t="s">
        <v>185</v>
      </c>
      <c r="H1594" s="1">
        <v>0</v>
      </c>
      <c r="I1594" s="1" t="s">
        <v>52</v>
      </c>
      <c r="J1594" s="1" t="s">
        <v>2455</v>
      </c>
      <c r="K1594" s="1" t="s">
        <v>7467</v>
      </c>
      <c r="L1594" s="1">
        <v>2</v>
      </c>
      <c r="M1594" s="1">
        <v>8</v>
      </c>
      <c r="N1594" s="1" t="s">
        <v>68</v>
      </c>
      <c r="O1594" s="1" t="s">
        <v>597</v>
      </c>
      <c r="P1594" s="1" t="s">
        <v>45</v>
      </c>
      <c r="Q1594" s="1" t="s">
        <v>322</v>
      </c>
      <c r="R1594" s="1">
        <v>1246.02</v>
      </c>
      <c r="S1594" s="1" t="s">
        <v>46</v>
      </c>
      <c r="T1594" s="1" t="s">
        <v>57</v>
      </c>
      <c r="U1594" s="1" t="s">
        <v>35</v>
      </c>
      <c r="V1594" s="1" t="s">
        <v>36</v>
      </c>
    </row>
    <row r="1595" spans="1:22" x14ac:dyDescent="0.3">
      <c r="A1595" s="1" t="s">
        <v>7468</v>
      </c>
      <c r="B1595" s="1" t="s">
        <v>7469</v>
      </c>
      <c r="C1595" s="1">
        <v>34</v>
      </c>
      <c r="D1595" s="1" t="s">
        <v>7470</v>
      </c>
      <c r="E1595" s="1" t="s">
        <v>95</v>
      </c>
      <c r="F1595" s="2">
        <v>44652</v>
      </c>
      <c r="G1595" s="2">
        <v>44806</v>
      </c>
      <c r="H1595" s="1">
        <v>1</v>
      </c>
      <c r="I1595" s="1" t="s">
        <v>64</v>
      </c>
      <c r="J1595" s="1" t="s">
        <v>4402</v>
      </c>
      <c r="K1595" s="1" t="s">
        <v>7471</v>
      </c>
      <c r="L1595" s="1">
        <v>4</v>
      </c>
      <c r="M1595" s="1">
        <v>43</v>
      </c>
      <c r="N1595" s="1" t="s">
        <v>56</v>
      </c>
      <c r="O1595" s="1" t="s">
        <v>269</v>
      </c>
      <c r="P1595" s="1" t="s">
        <v>56</v>
      </c>
      <c r="Q1595" s="1" t="s">
        <v>32</v>
      </c>
      <c r="R1595" s="1">
        <v>687.08</v>
      </c>
      <c r="S1595" s="1" t="s">
        <v>33</v>
      </c>
      <c r="T1595" s="1" t="s">
        <v>57</v>
      </c>
      <c r="U1595" s="1" t="s">
        <v>35</v>
      </c>
      <c r="V1595" s="1" t="s">
        <v>71</v>
      </c>
    </row>
    <row r="1596" spans="1:22" x14ac:dyDescent="0.3">
      <c r="A1596" s="1" t="s">
        <v>7472</v>
      </c>
      <c r="B1596" s="1" t="s">
        <v>7473</v>
      </c>
      <c r="C1596" s="1">
        <v>53</v>
      </c>
      <c r="D1596" s="1" t="s">
        <v>7474</v>
      </c>
      <c r="E1596" s="1" t="s">
        <v>88</v>
      </c>
      <c r="F1596" s="1" t="s">
        <v>267</v>
      </c>
      <c r="G1596" s="2">
        <v>45570</v>
      </c>
      <c r="H1596" s="1">
        <v>5</v>
      </c>
      <c r="I1596" s="1" t="s">
        <v>27</v>
      </c>
      <c r="J1596" s="1" t="s">
        <v>480</v>
      </c>
      <c r="K1596" s="1" t="s">
        <v>7475</v>
      </c>
      <c r="L1596" s="1">
        <v>3</v>
      </c>
      <c r="M1596" s="1">
        <v>25</v>
      </c>
      <c r="N1596" s="1" t="s">
        <v>30</v>
      </c>
      <c r="O1596" s="1" t="s">
        <v>194</v>
      </c>
      <c r="P1596" s="1" t="s">
        <v>56</v>
      </c>
      <c r="Q1596" s="1" t="s">
        <v>32</v>
      </c>
      <c r="R1596" s="1">
        <v>420.09</v>
      </c>
      <c r="S1596" s="1" t="s">
        <v>46</v>
      </c>
      <c r="T1596" s="1" t="s">
        <v>47</v>
      </c>
      <c r="U1596" s="1" t="s">
        <v>35</v>
      </c>
      <c r="V1596" s="1" t="s">
        <v>188</v>
      </c>
    </row>
    <row r="1597" spans="1:22" x14ac:dyDescent="0.3">
      <c r="A1597" s="1" t="s">
        <v>7476</v>
      </c>
      <c r="B1597" s="1" t="s">
        <v>7477</v>
      </c>
      <c r="C1597" s="1">
        <v>42</v>
      </c>
      <c r="D1597" s="1" t="s">
        <v>7478</v>
      </c>
      <c r="E1597" s="1" t="s">
        <v>88</v>
      </c>
      <c r="F1597" s="1" t="s">
        <v>2167</v>
      </c>
      <c r="G1597" s="1" t="s">
        <v>1324</v>
      </c>
      <c r="H1597" s="1">
        <v>4</v>
      </c>
      <c r="I1597" s="1" t="s">
        <v>27</v>
      </c>
      <c r="J1597" s="1" t="s">
        <v>1052</v>
      </c>
      <c r="K1597" s="1" t="s">
        <v>7479</v>
      </c>
      <c r="L1597" s="1">
        <v>5</v>
      </c>
      <c r="M1597" s="1">
        <v>35</v>
      </c>
      <c r="N1597" s="1" t="s">
        <v>30</v>
      </c>
      <c r="O1597" s="1" t="s">
        <v>175</v>
      </c>
      <c r="P1597" s="1" t="s">
        <v>56</v>
      </c>
      <c r="Q1597" s="1" t="s">
        <v>69</v>
      </c>
      <c r="R1597" s="1">
        <v>1113.75</v>
      </c>
      <c r="S1597" s="1" t="s">
        <v>46</v>
      </c>
      <c r="T1597" s="1" t="s">
        <v>34</v>
      </c>
      <c r="U1597" s="1" t="s">
        <v>35</v>
      </c>
      <c r="V1597" s="1" t="s">
        <v>188</v>
      </c>
    </row>
    <row r="1598" spans="1:22" x14ac:dyDescent="0.3">
      <c r="A1598" s="1" t="s">
        <v>7480</v>
      </c>
      <c r="B1598" s="1" t="s">
        <v>7481</v>
      </c>
      <c r="C1598" s="1">
        <v>58</v>
      </c>
      <c r="D1598" s="1" t="s">
        <v>7482</v>
      </c>
      <c r="E1598" s="1" t="s">
        <v>25</v>
      </c>
      <c r="F1598" s="1" t="s">
        <v>979</v>
      </c>
      <c r="G1598" s="1" t="s">
        <v>4949</v>
      </c>
      <c r="H1598" s="1">
        <v>2</v>
      </c>
      <c r="I1598" s="1" t="s">
        <v>64</v>
      </c>
      <c r="J1598" s="1" t="s">
        <v>2225</v>
      </c>
      <c r="K1598" s="1" t="s">
        <v>7483</v>
      </c>
      <c r="L1598" s="1">
        <v>2</v>
      </c>
      <c r="M1598" s="1">
        <v>12</v>
      </c>
      <c r="N1598" s="1" t="s">
        <v>45</v>
      </c>
      <c r="O1598" s="1" t="s">
        <v>366</v>
      </c>
      <c r="P1598" s="1" t="s">
        <v>54</v>
      </c>
      <c r="Q1598" s="1" t="s">
        <v>69</v>
      </c>
      <c r="R1598" s="1">
        <v>1735.78</v>
      </c>
      <c r="S1598" s="1" t="s">
        <v>46</v>
      </c>
      <c r="T1598" s="1" t="s">
        <v>47</v>
      </c>
      <c r="U1598" s="1" t="s">
        <v>35</v>
      </c>
      <c r="V1598" s="1" t="s">
        <v>71</v>
      </c>
    </row>
    <row r="1599" spans="1:22" x14ac:dyDescent="0.3">
      <c r="A1599" s="1" t="s">
        <v>7484</v>
      </c>
      <c r="B1599" s="1" t="s">
        <v>7485</v>
      </c>
      <c r="C1599" s="1">
        <v>61</v>
      </c>
      <c r="D1599" s="1" t="s">
        <v>7486</v>
      </c>
      <c r="E1599" s="1" t="s">
        <v>95</v>
      </c>
      <c r="F1599" s="1" t="s">
        <v>4998</v>
      </c>
      <c r="G1599" s="2">
        <v>45211</v>
      </c>
      <c r="H1599" s="1">
        <v>5</v>
      </c>
      <c r="I1599" s="1" t="s">
        <v>64</v>
      </c>
      <c r="J1599" s="1" t="s">
        <v>2152</v>
      </c>
      <c r="K1599" s="1" t="s">
        <v>7487</v>
      </c>
      <c r="L1599" s="1">
        <v>2</v>
      </c>
      <c r="M1599" s="1">
        <v>10</v>
      </c>
      <c r="N1599" s="1" t="s">
        <v>68</v>
      </c>
      <c r="O1599" s="1" t="s">
        <v>837</v>
      </c>
      <c r="P1599" s="1" t="s">
        <v>56</v>
      </c>
      <c r="Q1599" s="1" t="s">
        <v>32</v>
      </c>
      <c r="R1599" s="1">
        <v>852.88</v>
      </c>
      <c r="S1599" s="1" t="s">
        <v>46</v>
      </c>
      <c r="T1599" s="1" t="s">
        <v>47</v>
      </c>
      <c r="U1599" s="1" t="s">
        <v>35</v>
      </c>
      <c r="V1599" s="1" t="s">
        <v>71</v>
      </c>
    </row>
    <row r="1600" spans="1:22" x14ac:dyDescent="0.3">
      <c r="A1600" s="1" t="s">
        <v>7488</v>
      </c>
      <c r="B1600" s="1" t="s">
        <v>7489</v>
      </c>
      <c r="C1600" s="1">
        <v>47</v>
      </c>
      <c r="D1600" s="1" t="s">
        <v>7490</v>
      </c>
      <c r="E1600" s="1" t="s">
        <v>40</v>
      </c>
      <c r="F1600" s="1" t="s">
        <v>994</v>
      </c>
      <c r="G1600" s="1" t="s">
        <v>994</v>
      </c>
      <c r="H1600" s="1">
        <v>2</v>
      </c>
      <c r="I1600" s="1" t="s">
        <v>27</v>
      </c>
      <c r="J1600" s="1" t="s">
        <v>1238</v>
      </c>
      <c r="K1600" s="1" t="s">
        <v>7491</v>
      </c>
      <c r="L1600" s="1">
        <v>5</v>
      </c>
      <c r="M1600" s="1">
        <v>22</v>
      </c>
      <c r="N1600" s="1" t="s">
        <v>30</v>
      </c>
      <c r="O1600" s="1" t="s">
        <v>44</v>
      </c>
      <c r="P1600" s="1" t="s">
        <v>45</v>
      </c>
      <c r="Q1600" s="1" t="s">
        <v>32</v>
      </c>
      <c r="R1600" s="1">
        <v>1370.1</v>
      </c>
      <c r="S1600" s="1" t="s">
        <v>46</v>
      </c>
      <c r="T1600" s="1" t="s">
        <v>34</v>
      </c>
      <c r="U1600" s="1" t="s">
        <v>35</v>
      </c>
      <c r="V1600" s="1" t="s">
        <v>36</v>
      </c>
    </row>
    <row r="1601" spans="1:22" x14ac:dyDescent="0.3">
      <c r="A1601" s="1" t="s">
        <v>7492</v>
      </c>
      <c r="B1601" s="1" t="s">
        <v>7493</v>
      </c>
      <c r="C1601" s="1">
        <v>33</v>
      </c>
      <c r="D1601" s="1" t="s">
        <v>7494</v>
      </c>
      <c r="E1601" s="1" t="s">
        <v>88</v>
      </c>
      <c r="F1601" s="1" t="s">
        <v>4101</v>
      </c>
      <c r="G1601" s="1" t="s">
        <v>670</v>
      </c>
      <c r="H1601" s="1">
        <v>4</v>
      </c>
      <c r="I1601" s="1" t="s">
        <v>27</v>
      </c>
      <c r="J1601" s="1" t="s">
        <v>480</v>
      </c>
      <c r="K1601" s="1" t="s">
        <v>7495</v>
      </c>
      <c r="L1601" s="1">
        <v>6</v>
      </c>
      <c r="M1601" s="1">
        <v>12</v>
      </c>
      <c r="N1601" s="1" t="s">
        <v>56</v>
      </c>
      <c r="O1601" s="1" t="s">
        <v>142</v>
      </c>
      <c r="P1601" s="1" t="s">
        <v>68</v>
      </c>
      <c r="Q1601" s="1" t="s">
        <v>69</v>
      </c>
      <c r="R1601" s="1">
        <v>1335.6</v>
      </c>
      <c r="S1601" s="1" t="s">
        <v>46</v>
      </c>
      <c r="T1601" s="1" t="s">
        <v>57</v>
      </c>
      <c r="U1601" s="1" t="s">
        <v>35</v>
      </c>
      <c r="V1601" s="1" t="s">
        <v>188</v>
      </c>
    </row>
    <row r="1602" spans="1:22" x14ac:dyDescent="0.3">
      <c r="A1602" s="1" t="s">
        <v>7496</v>
      </c>
      <c r="B1602" s="1" t="s">
        <v>7497</v>
      </c>
      <c r="C1602" s="1">
        <v>44</v>
      </c>
      <c r="D1602" s="1" t="s">
        <v>7498</v>
      </c>
      <c r="E1602" s="1" t="s">
        <v>51</v>
      </c>
      <c r="F1602" s="1" t="s">
        <v>808</v>
      </c>
      <c r="G1602" s="1" t="s">
        <v>2768</v>
      </c>
      <c r="H1602" s="1">
        <v>2</v>
      </c>
      <c r="I1602" s="1" t="s">
        <v>27</v>
      </c>
      <c r="J1602" s="2">
        <v>44958</v>
      </c>
      <c r="K1602" s="1" t="s">
        <v>7499</v>
      </c>
      <c r="L1602" s="1">
        <v>9</v>
      </c>
      <c r="M1602" s="1">
        <v>30</v>
      </c>
      <c r="N1602" s="1" t="s">
        <v>54</v>
      </c>
      <c r="O1602" s="1" t="s">
        <v>91</v>
      </c>
      <c r="P1602" s="1" t="s">
        <v>54</v>
      </c>
      <c r="Q1602" s="1" t="s">
        <v>32</v>
      </c>
      <c r="R1602" s="1">
        <v>1594.62</v>
      </c>
      <c r="S1602" s="1" t="s">
        <v>33</v>
      </c>
      <c r="T1602" s="1" t="s">
        <v>34</v>
      </c>
      <c r="U1602" s="1" t="s">
        <v>35</v>
      </c>
      <c r="V1602" s="1" t="s">
        <v>36</v>
      </c>
    </row>
    <row r="1603" spans="1:22" x14ac:dyDescent="0.3">
      <c r="A1603" s="1" t="s">
        <v>7500</v>
      </c>
      <c r="B1603" s="1" t="s">
        <v>7501</v>
      </c>
      <c r="C1603" s="1">
        <v>58</v>
      </c>
      <c r="D1603" s="1" t="s">
        <v>7502</v>
      </c>
      <c r="E1603" s="1" t="s">
        <v>95</v>
      </c>
      <c r="F1603" s="1" t="s">
        <v>7503</v>
      </c>
      <c r="G1603" s="1" t="s">
        <v>1514</v>
      </c>
      <c r="H1603" s="1">
        <v>3</v>
      </c>
      <c r="I1603" s="1" t="s">
        <v>52</v>
      </c>
      <c r="J1603" s="1" t="s">
        <v>2499</v>
      </c>
      <c r="K1603" s="1" t="s">
        <v>7504</v>
      </c>
      <c r="L1603" s="1">
        <v>2</v>
      </c>
      <c r="M1603" s="1">
        <v>47</v>
      </c>
      <c r="N1603" s="1" t="s">
        <v>56</v>
      </c>
      <c r="O1603" s="1" t="s">
        <v>116</v>
      </c>
      <c r="P1603" s="1" t="s">
        <v>54</v>
      </c>
      <c r="Q1603" s="1" t="s">
        <v>32</v>
      </c>
      <c r="R1603" s="1">
        <v>1013.76</v>
      </c>
      <c r="S1603" s="1" t="s">
        <v>46</v>
      </c>
      <c r="T1603" s="1" t="s">
        <v>47</v>
      </c>
      <c r="U1603" s="1" t="s">
        <v>35</v>
      </c>
      <c r="V1603" s="1" t="s">
        <v>36</v>
      </c>
    </row>
    <row r="1604" spans="1:22" x14ac:dyDescent="0.3">
      <c r="A1604" s="1" t="s">
        <v>7505</v>
      </c>
      <c r="B1604" s="1" t="s">
        <v>7506</v>
      </c>
      <c r="C1604" s="1">
        <v>59</v>
      </c>
      <c r="D1604" s="1" t="s">
        <v>7507</v>
      </c>
      <c r="E1604" s="1" t="s">
        <v>61</v>
      </c>
      <c r="F1604" s="2">
        <v>43872</v>
      </c>
      <c r="G1604" s="2">
        <v>44292</v>
      </c>
      <c r="H1604" s="1">
        <v>2</v>
      </c>
      <c r="I1604" s="1" t="s">
        <v>52</v>
      </c>
      <c r="J1604" s="2">
        <v>43932</v>
      </c>
      <c r="K1604" s="1" t="s">
        <v>7508</v>
      </c>
      <c r="L1604" s="1">
        <v>8</v>
      </c>
      <c r="M1604" s="1">
        <v>1</v>
      </c>
      <c r="N1604" s="1" t="s">
        <v>56</v>
      </c>
      <c r="O1604" s="1" t="s">
        <v>245</v>
      </c>
      <c r="P1604" s="1" t="s">
        <v>54</v>
      </c>
      <c r="Q1604" s="1" t="s">
        <v>32</v>
      </c>
      <c r="R1604" s="1">
        <v>1137.28</v>
      </c>
      <c r="S1604" s="1" t="s">
        <v>46</v>
      </c>
      <c r="T1604" s="1" t="s">
        <v>47</v>
      </c>
      <c r="U1604" s="1" t="s">
        <v>101</v>
      </c>
      <c r="V1604" s="1" t="s">
        <v>36</v>
      </c>
    </row>
    <row r="1605" spans="1:22" x14ac:dyDescent="0.3">
      <c r="A1605" s="1" t="s">
        <v>7509</v>
      </c>
      <c r="B1605" s="1" t="s">
        <v>7510</v>
      </c>
      <c r="C1605" s="1">
        <v>50</v>
      </c>
      <c r="D1605" s="1" t="s">
        <v>7511</v>
      </c>
      <c r="E1605" s="1" t="s">
        <v>61</v>
      </c>
      <c r="F1605" s="2">
        <v>45114</v>
      </c>
      <c r="G1605" s="1" t="s">
        <v>89</v>
      </c>
      <c r="H1605" s="1">
        <v>4</v>
      </c>
      <c r="I1605" s="1" t="s">
        <v>27</v>
      </c>
      <c r="J1605" s="1" t="s">
        <v>404</v>
      </c>
      <c r="K1605" s="1" t="s">
        <v>7512</v>
      </c>
      <c r="L1605" s="1">
        <v>6</v>
      </c>
      <c r="M1605" s="1">
        <v>29</v>
      </c>
      <c r="N1605" s="1" t="s">
        <v>56</v>
      </c>
      <c r="O1605" s="1" t="s">
        <v>135</v>
      </c>
      <c r="P1605" s="1" t="s">
        <v>45</v>
      </c>
      <c r="Q1605" s="1" t="s">
        <v>32</v>
      </c>
      <c r="R1605" s="1">
        <v>1121.4000000000001</v>
      </c>
      <c r="S1605" s="1" t="s">
        <v>46</v>
      </c>
      <c r="T1605" s="1" t="s">
        <v>47</v>
      </c>
      <c r="U1605" s="1" t="s">
        <v>35</v>
      </c>
      <c r="V1605" s="1" t="s">
        <v>188</v>
      </c>
    </row>
    <row r="1606" spans="1:22" x14ac:dyDescent="0.3">
      <c r="A1606" s="1" t="s">
        <v>7513</v>
      </c>
      <c r="B1606" s="1" t="s">
        <v>7514</v>
      </c>
      <c r="C1606" s="1">
        <v>20</v>
      </c>
      <c r="D1606" s="1" t="s">
        <v>7515</v>
      </c>
      <c r="E1606" s="1" t="s">
        <v>88</v>
      </c>
      <c r="F1606" s="1" t="s">
        <v>584</v>
      </c>
      <c r="G1606" s="1" t="s">
        <v>2790</v>
      </c>
      <c r="H1606" s="1">
        <v>4</v>
      </c>
      <c r="I1606" s="1" t="s">
        <v>27</v>
      </c>
      <c r="J1606" s="1" t="s">
        <v>215</v>
      </c>
      <c r="K1606" s="1" t="s">
        <v>7516</v>
      </c>
      <c r="L1606" s="1">
        <v>8</v>
      </c>
      <c r="M1606" s="1">
        <v>24</v>
      </c>
      <c r="N1606" s="1" t="s">
        <v>56</v>
      </c>
      <c r="O1606" s="1" t="s">
        <v>231</v>
      </c>
      <c r="P1606" s="1" t="s">
        <v>30</v>
      </c>
      <c r="Q1606" s="1" t="s">
        <v>32</v>
      </c>
      <c r="R1606" s="1">
        <v>368.24</v>
      </c>
      <c r="S1606" s="1" t="s">
        <v>46</v>
      </c>
      <c r="T1606" s="1" t="s">
        <v>100</v>
      </c>
      <c r="U1606" s="1" t="s">
        <v>35</v>
      </c>
      <c r="V1606" s="1" t="s">
        <v>188</v>
      </c>
    </row>
    <row r="1607" spans="1:22" x14ac:dyDescent="0.3">
      <c r="A1607" s="1" t="s">
        <v>7517</v>
      </c>
      <c r="B1607" s="1" t="s">
        <v>7518</v>
      </c>
      <c r="C1607" s="1">
        <v>60</v>
      </c>
      <c r="D1607" s="1" t="s">
        <v>7519</v>
      </c>
      <c r="E1607" s="1" t="s">
        <v>88</v>
      </c>
      <c r="F1607" s="1" t="s">
        <v>1583</v>
      </c>
      <c r="G1607" s="1" t="s">
        <v>7520</v>
      </c>
      <c r="H1607" s="1">
        <v>5</v>
      </c>
      <c r="I1607" s="1" t="s">
        <v>27</v>
      </c>
      <c r="J1607" s="2">
        <v>45298</v>
      </c>
      <c r="K1607" s="1" t="s">
        <v>7521</v>
      </c>
      <c r="L1607" s="1">
        <v>7</v>
      </c>
      <c r="M1607" s="1">
        <v>14</v>
      </c>
      <c r="N1607" s="1" t="s">
        <v>45</v>
      </c>
      <c r="O1607" s="1" t="s">
        <v>55</v>
      </c>
      <c r="P1607" s="1" t="s">
        <v>56</v>
      </c>
      <c r="Q1607" s="1" t="s">
        <v>69</v>
      </c>
      <c r="R1607" s="1">
        <v>839.86</v>
      </c>
      <c r="S1607" s="1" t="s">
        <v>46</v>
      </c>
      <c r="T1607" s="1" t="s">
        <v>47</v>
      </c>
      <c r="U1607" s="1" t="s">
        <v>35</v>
      </c>
      <c r="V1607" s="1" t="s">
        <v>188</v>
      </c>
    </row>
    <row r="1608" spans="1:22" x14ac:dyDescent="0.3">
      <c r="A1608" s="1" t="s">
        <v>7522</v>
      </c>
      <c r="B1608" s="1" t="s">
        <v>7523</v>
      </c>
      <c r="C1608" s="1">
        <v>43</v>
      </c>
      <c r="D1608" s="1" t="s">
        <v>7524</v>
      </c>
      <c r="E1608" s="1" t="s">
        <v>95</v>
      </c>
      <c r="F1608" s="1" t="s">
        <v>3501</v>
      </c>
      <c r="G1608" s="2">
        <v>45086</v>
      </c>
      <c r="H1608" s="1">
        <v>0</v>
      </c>
      <c r="I1608" s="1" t="s">
        <v>27</v>
      </c>
      <c r="J1608" s="2">
        <v>44593</v>
      </c>
      <c r="K1608" s="1" t="s">
        <v>7525</v>
      </c>
      <c r="L1608" s="1">
        <v>1</v>
      </c>
      <c r="M1608" s="1">
        <v>38</v>
      </c>
      <c r="N1608" s="1" t="s">
        <v>54</v>
      </c>
      <c r="O1608" s="1" t="s">
        <v>373</v>
      </c>
      <c r="P1608" s="1" t="s">
        <v>54</v>
      </c>
      <c r="Q1608" s="1" t="s">
        <v>32</v>
      </c>
      <c r="R1608" s="1">
        <v>428.32</v>
      </c>
      <c r="S1608" s="1" t="s">
        <v>33</v>
      </c>
      <c r="T1608" s="1" t="s">
        <v>34</v>
      </c>
      <c r="U1608" s="1" t="s">
        <v>35</v>
      </c>
      <c r="V1608" s="1" t="s">
        <v>36</v>
      </c>
    </row>
    <row r="1609" spans="1:22" x14ac:dyDescent="0.3">
      <c r="A1609" s="1" t="s">
        <v>7526</v>
      </c>
      <c r="B1609" s="1" t="s">
        <v>7527</v>
      </c>
      <c r="C1609" s="1">
        <v>62</v>
      </c>
      <c r="D1609" s="1" t="s">
        <v>7528</v>
      </c>
      <c r="E1609" s="1" t="s">
        <v>61</v>
      </c>
      <c r="F1609" s="2">
        <v>44932</v>
      </c>
      <c r="G1609" s="2">
        <v>45241</v>
      </c>
      <c r="H1609" s="1">
        <v>4</v>
      </c>
      <c r="I1609" s="1" t="s">
        <v>27</v>
      </c>
      <c r="J1609" s="1" t="s">
        <v>284</v>
      </c>
      <c r="K1609" s="1" t="s">
        <v>7529</v>
      </c>
      <c r="L1609" s="1">
        <v>4</v>
      </c>
      <c r="M1609" s="1">
        <v>30</v>
      </c>
      <c r="N1609" s="1" t="s">
        <v>56</v>
      </c>
      <c r="O1609" s="1" t="s">
        <v>116</v>
      </c>
      <c r="P1609" s="1" t="s">
        <v>54</v>
      </c>
      <c r="Q1609" s="1" t="s">
        <v>69</v>
      </c>
      <c r="R1609" s="1">
        <v>1739.04</v>
      </c>
      <c r="S1609" s="1" t="s">
        <v>46</v>
      </c>
      <c r="T1609" s="1" t="s">
        <v>47</v>
      </c>
      <c r="U1609" s="1" t="s">
        <v>35</v>
      </c>
      <c r="V1609" s="1" t="s">
        <v>188</v>
      </c>
    </row>
    <row r="1610" spans="1:22" x14ac:dyDescent="0.3">
      <c r="A1610" s="1" t="s">
        <v>7530</v>
      </c>
      <c r="B1610" s="1" t="s">
        <v>7531</v>
      </c>
      <c r="C1610" s="1">
        <v>64</v>
      </c>
      <c r="D1610" s="1" t="s">
        <v>7532</v>
      </c>
      <c r="E1610" s="1" t="s">
        <v>95</v>
      </c>
      <c r="F1610" s="1" t="s">
        <v>2795</v>
      </c>
      <c r="G1610" s="2">
        <v>44960</v>
      </c>
      <c r="H1610" s="1">
        <v>1</v>
      </c>
      <c r="I1610" s="1" t="s">
        <v>27</v>
      </c>
      <c r="J1610" s="2">
        <v>45638</v>
      </c>
      <c r="K1610" s="1" t="s">
        <v>7533</v>
      </c>
      <c r="L1610" s="1">
        <v>1</v>
      </c>
      <c r="M1610" s="1">
        <v>16</v>
      </c>
      <c r="N1610" s="1" t="s">
        <v>54</v>
      </c>
      <c r="O1610" s="1" t="s">
        <v>77</v>
      </c>
      <c r="P1610" s="1" t="s">
        <v>54</v>
      </c>
      <c r="Q1610" s="1" t="s">
        <v>32</v>
      </c>
      <c r="R1610" s="1">
        <v>823.43</v>
      </c>
      <c r="S1610" s="1" t="s">
        <v>33</v>
      </c>
      <c r="T1610" s="1" t="s">
        <v>47</v>
      </c>
      <c r="U1610" s="1" t="s">
        <v>35</v>
      </c>
      <c r="V1610" s="1" t="s">
        <v>36</v>
      </c>
    </row>
    <row r="1611" spans="1:22" x14ac:dyDescent="0.3">
      <c r="A1611" s="1" t="s">
        <v>7534</v>
      </c>
      <c r="B1611" s="1" t="s">
        <v>7535</v>
      </c>
      <c r="C1611" s="1">
        <v>35</v>
      </c>
      <c r="D1611" s="1" t="s">
        <v>7536</v>
      </c>
      <c r="E1611" s="1" t="s">
        <v>40</v>
      </c>
      <c r="F1611" s="1" t="s">
        <v>4169</v>
      </c>
      <c r="G1611" s="1" t="s">
        <v>1836</v>
      </c>
      <c r="H1611" s="1">
        <v>4</v>
      </c>
      <c r="I1611" s="1" t="s">
        <v>27</v>
      </c>
      <c r="J1611" s="1" t="s">
        <v>2763</v>
      </c>
      <c r="K1611" s="1" t="s">
        <v>7537</v>
      </c>
      <c r="L1611" s="1">
        <v>4</v>
      </c>
      <c r="M1611" s="1">
        <v>11</v>
      </c>
      <c r="N1611" s="1" t="s">
        <v>54</v>
      </c>
      <c r="O1611" s="1" t="s">
        <v>44</v>
      </c>
      <c r="P1611" s="1" t="s">
        <v>45</v>
      </c>
      <c r="Q1611" s="1" t="s">
        <v>32</v>
      </c>
      <c r="R1611" s="1">
        <v>1831.44</v>
      </c>
      <c r="S1611" s="1" t="s">
        <v>46</v>
      </c>
      <c r="T1611" s="1" t="s">
        <v>34</v>
      </c>
      <c r="U1611" s="1" t="s">
        <v>35</v>
      </c>
      <c r="V1611" s="1" t="s">
        <v>188</v>
      </c>
    </row>
    <row r="1612" spans="1:22" x14ac:dyDescent="0.3">
      <c r="A1612" s="1" t="s">
        <v>7538</v>
      </c>
      <c r="B1612" s="1" t="s">
        <v>7539</v>
      </c>
      <c r="C1612" s="1">
        <v>18</v>
      </c>
      <c r="D1612" s="1" t="s">
        <v>7540</v>
      </c>
      <c r="E1612" s="1" t="s">
        <v>40</v>
      </c>
      <c r="F1612" s="2">
        <v>44907</v>
      </c>
      <c r="G1612" s="1" t="s">
        <v>1143</v>
      </c>
      <c r="H1612" s="1">
        <v>0</v>
      </c>
      <c r="I1612" s="1" t="s">
        <v>64</v>
      </c>
      <c r="J1612" s="1" t="s">
        <v>2697</v>
      </c>
      <c r="K1612" s="1" t="s">
        <v>7541</v>
      </c>
      <c r="L1612" s="1">
        <v>7</v>
      </c>
      <c r="M1612" s="1">
        <v>2</v>
      </c>
      <c r="N1612" s="1" t="s">
        <v>56</v>
      </c>
      <c r="O1612" s="1" t="s">
        <v>604</v>
      </c>
      <c r="P1612" s="1" t="s">
        <v>45</v>
      </c>
      <c r="Q1612" s="1" t="s">
        <v>32</v>
      </c>
      <c r="R1612" s="1">
        <v>708.82</v>
      </c>
      <c r="S1612" s="1" t="s">
        <v>46</v>
      </c>
      <c r="T1612" s="1" t="s">
        <v>100</v>
      </c>
      <c r="U1612" s="1" t="s">
        <v>101</v>
      </c>
      <c r="V1612" s="1" t="s">
        <v>71</v>
      </c>
    </row>
    <row r="1613" spans="1:22" x14ac:dyDescent="0.3">
      <c r="A1613" s="1" t="s">
        <v>7542</v>
      </c>
      <c r="B1613" s="1" t="s">
        <v>7543</v>
      </c>
      <c r="C1613" s="1">
        <v>55</v>
      </c>
      <c r="D1613" s="1" t="s">
        <v>7544</v>
      </c>
      <c r="E1613" s="1" t="s">
        <v>51</v>
      </c>
      <c r="F1613" s="1" t="s">
        <v>249</v>
      </c>
      <c r="G1613" s="1" t="s">
        <v>5832</v>
      </c>
      <c r="H1613" s="1">
        <v>4</v>
      </c>
      <c r="I1613" s="1" t="s">
        <v>64</v>
      </c>
      <c r="J1613" s="1" t="s">
        <v>7545</v>
      </c>
      <c r="K1613" s="1" t="s">
        <v>7546</v>
      </c>
      <c r="L1613" s="1">
        <v>6</v>
      </c>
      <c r="M1613" s="1">
        <v>20</v>
      </c>
      <c r="N1613" s="1" t="s">
        <v>68</v>
      </c>
      <c r="O1613" s="1" t="s">
        <v>128</v>
      </c>
      <c r="P1613" s="1" t="s">
        <v>54</v>
      </c>
      <c r="Q1613" s="1" t="s">
        <v>69</v>
      </c>
      <c r="R1613" s="1">
        <v>577.32000000000005</v>
      </c>
      <c r="S1613" s="1" t="s">
        <v>46</v>
      </c>
      <c r="T1613" s="1" t="s">
        <v>47</v>
      </c>
      <c r="U1613" s="1" t="s">
        <v>35</v>
      </c>
      <c r="V1613" s="1" t="s">
        <v>71</v>
      </c>
    </row>
    <row r="1614" spans="1:22" x14ac:dyDescent="0.3">
      <c r="A1614" s="1" t="s">
        <v>7547</v>
      </c>
      <c r="B1614" s="1" t="s">
        <v>7548</v>
      </c>
      <c r="C1614" s="1">
        <v>54</v>
      </c>
      <c r="D1614" s="1" t="s">
        <v>7549</v>
      </c>
      <c r="E1614" s="1" t="s">
        <v>88</v>
      </c>
      <c r="F1614" s="1" t="s">
        <v>3685</v>
      </c>
      <c r="G1614" s="2">
        <v>45391</v>
      </c>
      <c r="H1614" s="1">
        <v>1</v>
      </c>
      <c r="I1614" s="1" t="s">
        <v>52</v>
      </c>
      <c r="J1614" s="2">
        <v>45022</v>
      </c>
      <c r="K1614" s="1" t="s">
        <v>7550</v>
      </c>
      <c r="L1614" s="1">
        <v>5</v>
      </c>
      <c r="M1614" s="1">
        <v>16</v>
      </c>
      <c r="N1614" s="1" t="s">
        <v>56</v>
      </c>
      <c r="O1614" s="1" t="s">
        <v>31</v>
      </c>
      <c r="P1614" s="1" t="s">
        <v>30</v>
      </c>
      <c r="Q1614" s="1" t="s">
        <v>32</v>
      </c>
      <c r="R1614" s="1">
        <v>1159</v>
      </c>
      <c r="S1614" s="1" t="s">
        <v>46</v>
      </c>
      <c r="T1614" s="1" t="s">
        <v>47</v>
      </c>
      <c r="U1614" s="1" t="s">
        <v>35</v>
      </c>
      <c r="V1614" s="1" t="s">
        <v>36</v>
      </c>
    </row>
    <row r="1615" spans="1:22" x14ac:dyDescent="0.3">
      <c r="A1615" s="1" t="s">
        <v>7551</v>
      </c>
      <c r="B1615" s="1" t="s">
        <v>7552</v>
      </c>
      <c r="C1615" s="1">
        <v>46</v>
      </c>
      <c r="D1615" s="1" t="s">
        <v>7553</v>
      </c>
      <c r="E1615" s="1" t="s">
        <v>25</v>
      </c>
      <c r="F1615" s="1" t="s">
        <v>1622</v>
      </c>
      <c r="G1615" s="1" t="s">
        <v>1268</v>
      </c>
      <c r="H1615" s="1">
        <v>0</v>
      </c>
      <c r="I1615" s="1" t="s">
        <v>27</v>
      </c>
      <c r="J1615" s="1" t="s">
        <v>3674</v>
      </c>
      <c r="K1615" s="1" t="s">
        <v>7554</v>
      </c>
      <c r="L1615" s="1">
        <v>5</v>
      </c>
      <c r="M1615" s="1">
        <v>24</v>
      </c>
      <c r="N1615" s="1" t="s">
        <v>56</v>
      </c>
      <c r="O1615" s="1" t="s">
        <v>245</v>
      </c>
      <c r="P1615" s="1" t="s">
        <v>54</v>
      </c>
      <c r="Q1615" s="1" t="s">
        <v>32</v>
      </c>
      <c r="R1615" s="1">
        <v>1610.25</v>
      </c>
      <c r="S1615" s="1" t="s">
        <v>46</v>
      </c>
      <c r="T1615" s="1" t="s">
        <v>34</v>
      </c>
      <c r="U1615" s="1" t="s">
        <v>35</v>
      </c>
      <c r="V1615" s="1" t="s">
        <v>36</v>
      </c>
    </row>
    <row r="1616" spans="1:22" x14ac:dyDescent="0.3">
      <c r="A1616" s="1" t="s">
        <v>7555</v>
      </c>
      <c r="B1616" s="1" t="s">
        <v>7556</v>
      </c>
      <c r="C1616" s="1">
        <v>60</v>
      </c>
      <c r="D1616" s="1" t="s">
        <v>7557</v>
      </c>
      <c r="E1616" s="1" t="s">
        <v>25</v>
      </c>
      <c r="F1616" s="1" t="s">
        <v>6710</v>
      </c>
      <c r="G1616" s="1" t="s">
        <v>3412</v>
      </c>
      <c r="H1616" s="1">
        <v>1</v>
      </c>
      <c r="I1616" s="1" t="s">
        <v>52</v>
      </c>
      <c r="J1616" s="1" t="s">
        <v>790</v>
      </c>
      <c r="K1616" s="1" t="s">
        <v>7558</v>
      </c>
      <c r="L1616" s="1">
        <v>6</v>
      </c>
      <c r="M1616" s="1">
        <v>43</v>
      </c>
      <c r="N1616" s="1" t="s">
        <v>30</v>
      </c>
      <c r="O1616" s="1" t="s">
        <v>175</v>
      </c>
      <c r="P1616" s="1" t="s">
        <v>56</v>
      </c>
      <c r="Q1616" s="1" t="s">
        <v>69</v>
      </c>
      <c r="R1616" s="1">
        <v>415.62</v>
      </c>
      <c r="S1616" s="1" t="s">
        <v>46</v>
      </c>
      <c r="T1616" s="1" t="s">
        <v>47</v>
      </c>
      <c r="U1616" s="1" t="s">
        <v>35</v>
      </c>
      <c r="V1616" s="1" t="s">
        <v>36</v>
      </c>
    </row>
    <row r="1617" spans="1:22" x14ac:dyDescent="0.3">
      <c r="A1617" s="1" t="s">
        <v>7559</v>
      </c>
      <c r="B1617" s="1" t="s">
        <v>7560</v>
      </c>
      <c r="C1617" s="1">
        <v>65</v>
      </c>
      <c r="D1617" s="1" t="s">
        <v>7561</v>
      </c>
      <c r="E1617" s="1" t="s">
        <v>88</v>
      </c>
      <c r="F1617" s="1" t="s">
        <v>1988</v>
      </c>
      <c r="G1617" s="1" t="s">
        <v>7562</v>
      </c>
      <c r="H1617" s="1">
        <v>4</v>
      </c>
      <c r="I1617" s="1" t="s">
        <v>27</v>
      </c>
      <c r="J1617" s="2">
        <v>44481</v>
      </c>
      <c r="K1617" s="1" t="s">
        <v>7563</v>
      </c>
      <c r="L1617" s="1">
        <v>1</v>
      </c>
      <c r="M1617" s="1">
        <v>17</v>
      </c>
      <c r="N1617" s="1" t="s">
        <v>56</v>
      </c>
      <c r="O1617" s="1" t="s">
        <v>55</v>
      </c>
      <c r="P1617" s="1" t="s">
        <v>56</v>
      </c>
      <c r="Q1617" s="1" t="s">
        <v>69</v>
      </c>
      <c r="R1617" s="1">
        <v>1699.62</v>
      </c>
      <c r="S1617" s="1" t="s">
        <v>33</v>
      </c>
      <c r="T1617" s="1" t="s">
        <v>232</v>
      </c>
      <c r="U1617" s="1" t="s">
        <v>35</v>
      </c>
      <c r="V1617" s="1" t="s">
        <v>188</v>
      </c>
    </row>
    <row r="1618" spans="1:22" x14ac:dyDescent="0.3">
      <c r="A1618" s="1" t="s">
        <v>7564</v>
      </c>
      <c r="B1618" s="1" t="s">
        <v>7565</v>
      </c>
      <c r="C1618" s="1">
        <v>32</v>
      </c>
      <c r="D1618" s="1" t="s">
        <v>7566</v>
      </c>
      <c r="E1618" s="1" t="s">
        <v>61</v>
      </c>
      <c r="F1618" s="1" t="s">
        <v>4817</v>
      </c>
      <c r="G1618" s="2">
        <v>45363</v>
      </c>
      <c r="H1618" s="1">
        <v>0</v>
      </c>
      <c r="I1618" s="1" t="s">
        <v>27</v>
      </c>
      <c r="J1618" s="1" t="s">
        <v>2973</v>
      </c>
      <c r="K1618" s="1" t="s">
        <v>7567</v>
      </c>
      <c r="L1618" s="1">
        <v>7</v>
      </c>
      <c r="M1618" s="1">
        <v>44</v>
      </c>
      <c r="N1618" s="1" t="s">
        <v>68</v>
      </c>
      <c r="O1618" s="1" t="s">
        <v>169</v>
      </c>
      <c r="P1618" s="1" t="s">
        <v>30</v>
      </c>
      <c r="Q1618" s="1" t="s">
        <v>69</v>
      </c>
      <c r="R1618" s="1">
        <v>1820.84</v>
      </c>
      <c r="S1618" s="1" t="s">
        <v>46</v>
      </c>
      <c r="T1618" s="1" t="s">
        <v>57</v>
      </c>
      <c r="U1618" s="1" t="s">
        <v>35</v>
      </c>
      <c r="V1618" s="1" t="s">
        <v>36</v>
      </c>
    </row>
    <row r="1619" spans="1:22" x14ac:dyDescent="0.3">
      <c r="A1619" s="1" t="s">
        <v>7568</v>
      </c>
      <c r="B1619" s="1" t="s">
        <v>7569</v>
      </c>
      <c r="C1619" s="1">
        <v>50</v>
      </c>
      <c r="D1619" s="1" t="s">
        <v>7570</v>
      </c>
      <c r="E1619" s="1" t="s">
        <v>25</v>
      </c>
      <c r="F1619" s="2">
        <v>44572</v>
      </c>
      <c r="G1619" s="1" t="s">
        <v>4062</v>
      </c>
      <c r="H1619" s="1">
        <v>0</v>
      </c>
      <c r="I1619" s="1" t="s">
        <v>27</v>
      </c>
      <c r="J1619" s="2">
        <v>44935</v>
      </c>
      <c r="K1619" s="1" t="s">
        <v>6753</v>
      </c>
      <c r="L1619" s="1">
        <v>8</v>
      </c>
      <c r="M1619" s="1">
        <v>43</v>
      </c>
      <c r="N1619" s="1" t="s">
        <v>68</v>
      </c>
      <c r="O1619" s="1" t="s">
        <v>169</v>
      </c>
      <c r="P1619" s="1" t="s">
        <v>30</v>
      </c>
      <c r="Q1619" s="1" t="s">
        <v>32</v>
      </c>
      <c r="R1619" s="1">
        <v>1295.44</v>
      </c>
      <c r="S1619" s="1" t="s">
        <v>46</v>
      </c>
      <c r="T1619" s="1" t="s">
        <v>47</v>
      </c>
      <c r="U1619" s="1" t="s">
        <v>35</v>
      </c>
      <c r="V1619" s="1" t="s">
        <v>36</v>
      </c>
    </row>
    <row r="1620" spans="1:22" x14ac:dyDescent="0.3">
      <c r="A1620" s="1" t="s">
        <v>7571</v>
      </c>
      <c r="B1620" s="1" t="s">
        <v>7572</v>
      </c>
      <c r="C1620" s="1">
        <v>45</v>
      </c>
      <c r="D1620" s="1" t="s">
        <v>7573</v>
      </c>
      <c r="E1620" s="1" t="s">
        <v>95</v>
      </c>
      <c r="F1620" s="2">
        <v>44691</v>
      </c>
      <c r="G1620" s="2">
        <v>45359</v>
      </c>
      <c r="H1620" s="1">
        <v>1</v>
      </c>
      <c r="I1620" s="1" t="s">
        <v>27</v>
      </c>
      <c r="J1620" s="1" t="s">
        <v>1318</v>
      </c>
      <c r="K1620" s="1" t="s">
        <v>7574</v>
      </c>
      <c r="L1620" s="1">
        <v>7</v>
      </c>
      <c r="M1620" s="1">
        <v>3</v>
      </c>
      <c r="N1620" s="1" t="s">
        <v>54</v>
      </c>
      <c r="O1620" s="1" t="s">
        <v>354</v>
      </c>
      <c r="P1620" s="1" t="s">
        <v>45</v>
      </c>
      <c r="Q1620" s="1" t="s">
        <v>32</v>
      </c>
      <c r="R1620" s="1">
        <v>1343.93</v>
      </c>
      <c r="S1620" s="1" t="s">
        <v>46</v>
      </c>
      <c r="T1620" s="1" t="s">
        <v>34</v>
      </c>
      <c r="U1620" s="1" t="s">
        <v>35</v>
      </c>
      <c r="V1620" s="1" t="s">
        <v>36</v>
      </c>
    </row>
    <row r="1621" spans="1:22" x14ac:dyDescent="0.3">
      <c r="A1621" s="1" t="s">
        <v>7575</v>
      </c>
      <c r="B1621" s="1" t="s">
        <v>7576</v>
      </c>
      <c r="C1621" s="1">
        <v>22</v>
      </c>
      <c r="D1621" s="1" t="s">
        <v>7577</v>
      </c>
      <c r="E1621" s="1" t="s">
        <v>88</v>
      </c>
      <c r="F1621" s="1" t="s">
        <v>3107</v>
      </c>
      <c r="G1621" s="1" t="s">
        <v>2446</v>
      </c>
      <c r="H1621" s="1">
        <v>2</v>
      </c>
      <c r="I1621" s="1" t="s">
        <v>52</v>
      </c>
      <c r="J1621" s="1" t="s">
        <v>6086</v>
      </c>
      <c r="K1621" s="1" t="s">
        <v>7578</v>
      </c>
      <c r="L1621" s="1">
        <v>9</v>
      </c>
      <c r="M1621" s="1">
        <v>37</v>
      </c>
      <c r="N1621" s="1" t="s">
        <v>45</v>
      </c>
      <c r="O1621" s="1" t="s">
        <v>269</v>
      </c>
      <c r="P1621" s="1" t="s">
        <v>56</v>
      </c>
      <c r="Q1621" s="1" t="s">
        <v>69</v>
      </c>
      <c r="R1621" s="1">
        <v>824.4</v>
      </c>
      <c r="S1621" s="1" t="s">
        <v>46</v>
      </c>
      <c r="T1621" s="1" t="s">
        <v>100</v>
      </c>
      <c r="U1621" s="1" t="s">
        <v>35</v>
      </c>
      <c r="V1621" s="1" t="s">
        <v>36</v>
      </c>
    </row>
    <row r="1622" spans="1:22" x14ac:dyDescent="0.3">
      <c r="A1622" s="1" t="s">
        <v>7579</v>
      </c>
      <c r="B1622" s="1" t="s">
        <v>7580</v>
      </c>
      <c r="C1622" s="1">
        <v>65</v>
      </c>
      <c r="D1622" s="1" t="s">
        <v>7581</v>
      </c>
      <c r="E1622" s="1" t="s">
        <v>61</v>
      </c>
      <c r="F1622" s="2">
        <v>44291</v>
      </c>
      <c r="G1622" s="2">
        <v>44690</v>
      </c>
      <c r="H1622" s="1">
        <v>0</v>
      </c>
      <c r="I1622" s="1" t="s">
        <v>27</v>
      </c>
      <c r="J1622" s="2">
        <v>44777</v>
      </c>
      <c r="K1622" s="1" t="s">
        <v>7582</v>
      </c>
      <c r="L1622" s="1">
        <v>8</v>
      </c>
      <c r="M1622" s="1">
        <v>12</v>
      </c>
      <c r="N1622" s="1" t="s">
        <v>45</v>
      </c>
      <c r="O1622" s="1" t="s">
        <v>597</v>
      </c>
      <c r="P1622" s="1" t="s">
        <v>45</v>
      </c>
      <c r="Q1622" s="1" t="s">
        <v>69</v>
      </c>
      <c r="R1622" s="1">
        <v>878.72</v>
      </c>
      <c r="S1622" s="1" t="s">
        <v>33</v>
      </c>
      <c r="T1622" s="1" t="s">
        <v>232</v>
      </c>
      <c r="U1622" s="1" t="s">
        <v>35</v>
      </c>
      <c r="V1622" s="1" t="s">
        <v>36</v>
      </c>
    </row>
    <row r="1623" spans="1:22" x14ac:dyDescent="0.3">
      <c r="A1623" s="1" t="s">
        <v>7583</v>
      </c>
      <c r="B1623" s="1" t="s">
        <v>7584</v>
      </c>
      <c r="C1623" s="1">
        <v>57</v>
      </c>
      <c r="D1623" s="1" t="s">
        <v>7585</v>
      </c>
      <c r="E1623" s="1" t="s">
        <v>40</v>
      </c>
      <c r="F1623" s="1" t="s">
        <v>1970</v>
      </c>
      <c r="G1623" s="2">
        <v>45809</v>
      </c>
      <c r="H1623" s="1">
        <v>2</v>
      </c>
      <c r="I1623" s="1" t="s">
        <v>64</v>
      </c>
      <c r="J1623" s="1" t="s">
        <v>1312</v>
      </c>
      <c r="K1623" s="1" t="s">
        <v>7586</v>
      </c>
      <c r="L1623" s="1">
        <v>2</v>
      </c>
      <c r="M1623" s="1">
        <v>34</v>
      </c>
      <c r="N1623" s="1" t="s">
        <v>56</v>
      </c>
      <c r="O1623" s="1" t="s">
        <v>245</v>
      </c>
      <c r="P1623" s="1" t="s">
        <v>54</v>
      </c>
      <c r="Q1623" s="1" t="s">
        <v>69</v>
      </c>
      <c r="R1623" s="1">
        <v>1004.78</v>
      </c>
      <c r="S1623" s="1" t="s">
        <v>46</v>
      </c>
      <c r="T1623" s="1" t="s">
        <v>47</v>
      </c>
      <c r="U1623" s="1" t="s">
        <v>35</v>
      </c>
      <c r="V1623" s="1" t="s">
        <v>71</v>
      </c>
    </row>
    <row r="1624" spans="1:22" x14ac:dyDescent="0.3">
      <c r="A1624" s="1" t="s">
        <v>7587</v>
      </c>
      <c r="B1624" s="1" t="s">
        <v>7588</v>
      </c>
      <c r="C1624" s="1">
        <v>66</v>
      </c>
      <c r="D1624" s="1" t="s">
        <v>7589</v>
      </c>
      <c r="E1624" s="1" t="s">
        <v>51</v>
      </c>
      <c r="F1624" s="2">
        <v>44481</v>
      </c>
      <c r="G1624" s="1" t="s">
        <v>2673</v>
      </c>
      <c r="H1624" s="1">
        <v>3</v>
      </c>
      <c r="I1624" s="1" t="s">
        <v>27</v>
      </c>
      <c r="J1624" s="1" t="s">
        <v>2353</v>
      </c>
      <c r="K1624" s="1" t="s">
        <v>7590</v>
      </c>
      <c r="L1624" s="1">
        <v>9</v>
      </c>
      <c r="M1624" s="1">
        <v>21</v>
      </c>
      <c r="N1624" s="1" t="s">
        <v>68</v>
      </c>
      <c r="O1624" s="1" t="s">
        <v>223</v>
      </c>
      <c r="P1624" s="1" t="s">
        <v>56</v>
      </c>
      <c r="Q1624" s="1" t="s">
        <v>69</v>
      </c>
      <c r="R1624" s="1">
        <v>1814.85</v>
      </c>
      <c r="S1624" s="1" t="s">
        <v>46</v>
      </c>
      <c r="T1624" s="1" t="s">
        <v>232</v>
      </c>
      <c r="U1624" s="1" t="s">
        <v>35</v>
      </c>
      <c r="V1624" s="1" t="s">
        <v>36</v>
      </c>
    </row>
    <row r="1625" spans="1:22" x14ac:dyDescent="0.3">
      <c r="A1625" s="1" t="s">
        <v>7591</v>
      </c>
      <c r="B1625" s="1" t="s">
        <v>7592</v>
      </c>
      <c r="C1625" s="1">
        <v>24</v>
      </c>
      <c r="D1625" s="1" t="s">
        <v>7593</v>
      </c>
      <c r="E1625" s="1" t="s">
        <v>61</v>
      </c>
      <c r="F1625" s="2">
        <v>44720</v>
      </c>
      <c r="G1625" s="1" t="s">
        <v>2800</v>
      </c>
      <c r="H1625" s="1">
        <v>4</v>
      </c>
      <c r="I1625" s="1" t="s">
        <v>27</v>
      </c>
      <c r="J1625" s="1" t="s">
        <v>1989</v>
      </c>
      <c r="K1625" s="1" t="s">
        <v>7594</v>
      </c>
      <c r="L1625" s="1">
        <v>4</v>
      </c>
      <c r="M1625" s="1">
        <v>32</v>
      </c>
      <c r="N1625" s="1" t="s">
        <v>45</v>
      </c>
      <c r="O1625" s="1" t="s">
        <v>837</v>
      </c>
      <c r="P1625" s="1" t="s">
        <v>56</v>
      </c>
      <c r="Q1625" s="1" t="s">
        <v>32</v>
      </c>
      <c r="R1625" s="1">
        <v>1675.08</v>
      </c>
      <c r="S1625" s="1" t="s">
        <v>46</v>
      </c>
      <c r="T1625" s="1" t="s">
        <v>100</v>
      </c>
      <c r="U1625" s="1" t="s">
        <v>35</v>
      </c>
      <c r="V1625" s="1" t="s">
        <v>188</v>
      </c>
    </row>
    <row r="1626" spans="1:22" x14ac:dyDescent="0.3">
      <c r="A1626" s="1" t="s">
        <v>7595</v>
      </c>
      <c r="B1626" s="1" t="s">
        <v>7596</v>
      </c>
      <c r="C1626" s="1">
        <v>46</v>
      </c>
      <c r="D1626" s="1" t="s">
        <v>7597</v>
      </c>
      <c r="E1626" s="1" t="s">
        <v>88</v>
      </c>
      <c r="F1626" s="2">
        <v>44291</v>
      </c>
      <c r="G1626" s="1" t="s">
        <v>2569</v>
      </c>
      <c r="H1626" s="1">
        <v>4</v>
      </c>
      <c r="I1626" s="1" t="s">
        <v>52</v>
      </c>
      <c r="J1626" s="2">
        <v>45051</v>
      </c>
      <c r="K1626" s="1" t="s">
        <v>7598</v>
      </c>
      <c r="L1626" s="1">
        <v>2</v>
      </c>
      <c r="M1626" s="1">
        <v>42</v>
      </c>
      <c r="N1626" s="1" t="s">
        <v>68</v>
      </c>
      <c r="O1626" s="1" t="s">
        <v>269</v>
      </c>
      <c r="P1626" s="1" t="s">
        <v>56</v>
      </c>
      <c r="Q1626" s="1" t="s">
        <v>32</v>
      </c>
      <c r="R1626" s="1">
        <v>1284.68</v>
      </c>
      <c r="S1626" s="1" t="s">
        <v>46</v>
      </c>
      <c r="T1626" s="1" t="s">
        <v>34</v>
      </c>
      <c r="U1626" s="1" t="s">
        <v>35</v>
      </c>
      <c r="V1626" s="1" t="s">
        <v>36</v>
      </c>
    </row>
    <row r="1627" spans="1:22" x14ac:dyDescent="0.3">
      <c r="A1627" s="1" t="s">
        <v>7599</v>
      </c>
      <c r="B1627" s="1" t="s">
        <v>7600</v>
      </c>
      <c r="C1627" s="1">
        <v>50</v>
      </c>
      <c r="D1627" s="1" t="s">
        <v>7601</v>
      </c>
      <c r="E1627" s="1" t="s">
        <v>88</v>
      </c>
      <c r="F1627" s="1" t="s">
        <v>1663</v>
      </c>
      <c r="G1627" s="2">
        <v>45839</v>
      </c>
      <c r="H1627" s="1">
        <v>4</v>
      </c>
      <c r="I1627" s="1" t="s">
        <v>64</v>
      </c>
      <c r="J1627" s="2">
        <v>44992</v>
      </c>
      <c r="K1627" s="1" t="s">
        <v>7602</v>
      </c>
      <c r="L1627" s="1">
        <v>2</v>
      </c>
      <c r="M1627" s="1">
        <v>47</v>
      </c>
      <c r="N1627" s="1" t="s">
        <v>68</v>
      </c>
      <c r="O1627" s="1" t="s">
        <v>373</v>
      </c>
      <c r="P1627" s="1" t="s">
        <v>54</v>
      </c>
      <c r="Q1627" s="1" t="s">
        <v>69</v>
      </c>
      <c r="R1627" s="1">
        <v>1871.12</v>
      </c>
      <c r="S1627" s="1" t="s">
        <v>46</v>
      </c>
      <c r="T1627" s="1" t="s">
        <v>47</v>
      </c>
      <c r="U1627" s="1" t="s">
        <v>35</v>
      </c>
      <c r="V1627" s="1" t="s">
        <v>71</v>
      </c>
    </row>
    <row r="1628" spans="1:22" x14ac:dyDescent="0.3">
      <c r="A1628" s="1" t="s">
        <v>7603</v>
      </c>
      <c r="B1628" s="1" t="s">
        <v>7604</v>
      </c>
      <c r="C1628" s="1">
        <v>46</v>
      </c>
      <c r="D1628" s="1" t="s">
        <v>7605</v>
      </c>
      <c r="E1628" s="1" t="s">
        <v>51</v>
      </c>
      <c r="F1628" s="1" t="s">
        <v>3846</v>
      </c>
      <c r="G1628" s="2">
        <v>44601</v>
      </c>
      <c r="H1628" s="1">
        <v>2</v>
      </c>
      <c r="I1628" s="1" t="s">
        <v>52</v>
      </c>
      <c r="J1628" s="2">
        <v>45328</v>
      </c>
      <c r="K1628" s="1" t="s">
        <v>7606</v>
      </c>
      <c r="L1628" s="1">
        <v>4</v>
      </c>
      <c r="M1628" s="1">
        <v>27</v>
      </c>
      <c r="N1628" s="1" t="s">
        <v>45</v>
      </c>
      <c r="O1628" s="1" t="s">
        <v>251</v>
      </c>
      <c r="P1628" s="1" t="s">
        <v>30</v>
      </c>
      <c r="Q1628" s="1" t="s">
        <v>69</v>
      </c>
      <c r="R1628" s="1">
        <v>1356.6</v>
      </c>
      <c r="S1628" s="1" t="s">
        <v>46</v>
      </c>
      <c r="T1628" s="1" t="s">
        <v>34</v>
      </c>
      <c r="U1628" s="1" t="s">
        <v>35</v>
      </c>
      <c r="V1628" s="1" t="s">
        <v>36</v>
      </c>
    </row>
    <row r="1629" spans="1:22" x14ac:dyDescent="0.3">
      <c r="A1629" s="1" t="s">
        <v>7607</v>
      </c>
      <c r="B1629" s="1" t="s">
        <v>7608</v>
      </c>
      <c r="C1629" s="1">
        <v>23</v>
      </c>
      <c r="D1629" s="1" t="s">
        <v>7609</v>
      </c>
      <c r="E1629" s="1" t="s">
        <v>95</v>
      </c>
      <c r="F1629" s="2">
        <v>43932</v>
      </c>
      <c r="G1629" s="2">
        <v>45113</v>
      </c>
      <c r="H1629" s="1">
        <v>4</v>
      </c>
      <c r="I1629" s="1" t="s">
        <v>27</v>
      </c>
      <c r="J1629" s="2">
        <v>45597</v>
      </c>
      <c r="K1629" s="1" t="s">
        <v>7610</v>
      </c>
      <c r="L1629" s="1">
        <v>4</v>
      </c>
      <c r="M1629" s="1">
        <v>26</v>
      </c>
      <c r="N1629" s="1" t="s">
        <v>54</v>
      </c>
      <c r="O1629" s="1" t="s">
        <v>77</v>
      </c>
      <c r="P1629" s="1" t="s">
        <v>54</v>
      </c>
      <c r="Q1629" s="1" t="s">
        <v>69</v>
      </c>
      <c r="R1629" s="1">
        <v>1503.68</v>
      </c>
      <c r="S1629" s="1" t="s">
        <v>33</v>
      </c>
      <c r="T1629" s="1" t="s">
        <v>100</v>
      </c>
      <c r="U1629" s="1" t="s">
        <v>35</v>
      </c>
      <c r="V1629" s="1" t="s">
        <v>188</v>
      </c>
    </row>
    <row r="1630" spans="1:22" x14ac:dyDescent="0.3">
      <c r="A1630" s="1" t="s">
        <v>7611</v>
      </c>
      <c r="B1630" s="1" t="s">
        <v>7612</v>
      </c>
      <c r="C1630" s="1">
        <v>64</v>
      </c>
      <c r="D1630" s="1" t="s">
        <v>7613</v>
      </c>
      <c r="E1630" s="1" t="s">
        <v>25</v>
      </c>
      <c r="F1630" s="2">
        <v>44596</v>
      </c>
      <c r="G1630" s="2">
        <v>44569</v>
      </c>
      <c r="H1630" s="1">
        <v>1</v>
      </c>
      <c r="I1630" s="1" t="s">
        <v>27</v>
      </c>
      <c r="J1630" s="1" t="s">
        <v>1036</v>
      </c>
      <c r="K1630" s="1" t="s">
        <v>7614</v>
      </c>
      <c r="L1630" s="1">
        <v>1</v>
      </c>
      <c r="M1630" s="1">
        <v>30</v>
      </c>
      <c r="N1630" s="1" t="s">
        <v>30</v>
      </c>
      <c r="O1630" s="1" t="s">
        <v>536</v>
      </c>
      <c r="P1630" s="1" t="s">
        <v>68</v>
      </c>
      <c r="Q1630" s="1" t="s">
        <v>32</v>
      </c>
      <c r="R1630" s="1">
        <v>1105.58</v>
      </c>
      <c r="S1630" s="1" t="s">
        <v>46</v>
      </c>
      <c r="T1630" s="1" t="s">
        <v>47</v>
      </c>
      <c r="U1630" s="1" t="s">
        <v>35</v>
      </c>
      <c r="V1630" s="1" t="s">
        <v>36</v>
      </c>
    </row>
    <row r="1631" spans="1:22" x14ac:dyDescent="0.3">
      <c r="A1631" s="1" t="s">
        <v>7615</v>
      </c>
      <c r="B1631" s="1" t="s">
        <v>7616</v>
      </c>
      <c r="C1631" s="1">
        <v>32</v>
      </c>
      <c r="D1631" s="1" t="s">
        <v>7617</v>
      </c>
      <c r="E1631" s="1" t="s">
        <v>88</v>
      </c>
      <c r="F1631" s="1" t="s">
        <v>275</v>
      </c>
      <c r="G1631" s="2">
        <v>45571</v>
      </c>
      <c r="H1631" s="1">
        <v>5</v>
      </c>
      <c r="I1631" s="1" t="s">
        <v>27</v>
      </c>
      <c r="J1631" s="1" t="s">
        <v>2441</v>
      </c>
      <c r="K1631" s="1" t="s">
        <v>7618</v>
      </c>
      <c r="L1631" s="1">
        <v>9</v>
      </c>
      <c r="M1631" s="1">
        <v>45</v>
      </c>
      <c r="N1631" s="1" t="s">
        <v>54</v>
      </c>
      <c r="O1631" s="1" t="s">
        <v>223</v>
      </c>
      <c r="P1631" s="1" t="s">
        <v>56</v>
      </c>
      <c r="Q1631" s="1" t="s">
        <v>32</v>
      </c>
      <c r="R1631" s="1">
        <v>855.63</v>
      </c>
      <c r="S1631" s="1" t="s">
        <v>46</v>
      </c>
      <c r="T1631" s="1" t="s">
        <v>57</v>
      </c>
      <c r="U1631" s="1" t="s">
        <v>35</v>
      </c>
      <c r="V1631" s="1" t="s">
        <v>188</v>
      </c>
    </row>
    <row r="1632" spans="1:22" x14ac:dyDescent="0.3">
      <c r="A1632" s="1" t="s">
        <v>7619</v>
      </c>
      <c r="B1632" s="1" t="s">
        <v>7620</v>
      </c>
      <c r="C1632" s="1">
        <v>36</v>
      </c>
      <c r="D1632" s="1" t="s">
        <v>7621</v>
      </c>
      <c r="E1632" s="1" t="s">
        <v>40</v>
      </c>
      <c r="F1632" s="1" t="s">
        <v>2951</v>
      </c>
      <c r="G1632" s="1" t="s">
        <v>106</v>
      </c>
      <c r="H1632" s="1">
        <v>3</v>
      </c>
      <c r="I1632" s="1" t="s">
        <v>52</v>
      </c>
      <c r="J1632" s="2">
        <v>45908</v>
      </c>
      <c r="K1632" s="1" t="s">
        <v>7622</v>
      </c>
      <c r="L1632" s="1">
        <v>8</v>
      </c>
      <c r="M1632" s="1">
        <v>43</v>
      </c>
      <c r="N1632" s="1" t="s">
        <v>68</v>
      </c>
      <c r="O1632" s="1" t="s">
        <v>169</v>
      </c>
      <c r="P1632" s="1" t="s">
        <v>30</v>
      </c>
      <c r="Q1632" s="1" t="s">
        <v>69</v>
      </c>
      <c r="R1632" s="1">
        <v>1330.8</v>
      </c>
      <c r="S1632" s="1" t="s">
        <v>46</v>
      </c>
      <c r="T1632" s="1" t="s">
        <v>34</v>
      </c>
      <c r="U1632" s="1" t="s">
        <v>35</v>
      </c>
      <c r="V1632" s="1" t="s">
        <v>36</v>
      </c>
    </row>
    <row r="1633" spans="1:22" x14ac:dyDescent="0.3">
      <c r="A1633" s="1" t="s">
        <v>7623</v>
      </c>
      <c r="B1633" s="1" t="s">
        <v>7624</v>
      </c>
      <c r="C1633" s="1">
        <v>26</v>
      </c>
      <c r="D1633" s="1" t="s">
        <v>7625</v>
      </c>
      <c r="E1633" s="1" t="s">
        <v>51</v>
      </c>
      <c r="F1633" s="2">
        <v>45051</v>
      </c>
      <c r="G1633" s="2">
        <v>45332</v>
      </c>
      <c r="H1633" s="1">
        <v>2</v>
      </c>
      <c r="I1633" s="1" t="s">
        <v>27</v>
      </c>
      <c r="J1633" s="2">
        <v>45384</v>
      </c>
      <c r="K1633" s="1" t="s">
        <v>7626</v>
      </c>
      <c r="L1633" s="1">
        <v>4</v>
      </c>
      <c r="M1633" s="1">
        <v>21</v>
      </c>
      <c r="N1633" s="1" t="s">
        <v>45</v>
      </c>
      <c r="O1633" s="1" t="s">
        <v>31</v>
      </c>
      <c r="P1633" s="1" t="s">
        <v>30</v>
      </c>
      <c r="Q1633" s="1" t="s">
        <v>69</v>
      </c>
      <c r="R1633" s="1">
        <v>1905.16</v>
      </c>
      <c r="S1633" s="1" t="s">
        <v>46</v>
      </c>
      <c r="T1633" s="1" t="s">
        <v>57</v>
      </c>
      <c r="U1633" s="1" t="s">
        <v>35</v>
      </c>
      <c r="V1633" s="1" t="s">
        <v>36</v>
      </c>
    </row>
    <row r="1634" spans="1:22" x14ac:dyDescent="0.3">
      <c r="A1634" s="1" t="s">
        <v>7627</v>
      </c>
      <c r="B1634" s="1" t="s">
        <v>7628</v>
      </c>
      <c r="C1634" s="1">
        <v>67</v>
      </c>
      <c r="D1634" s="1" t="s">
        <v>7629</v>
      </c>
      <c r="E1634" s="1" t="s">
        <v>95</v>
      </c>
      <c r="F1634" s="1" t="s">
        <v>7630</v>
      </c>
      <c r="G1634" s="1" t="s">
        <v>3200</v>
      </c>
      <c r="H1634" s="1">
        <v>3</v>
      </c>
      <c r="I1634" s="1" t="s">
        <v>64</v>
      </c>
      <c r="J1634" s="2">
        <v>44629</v>
      </c>
      <c r="K1634" s="1" t="s">
        <v>7631</v>
      </c>
      <c r="L1634" s="1">
        <v>3</v>
      </c>
      <c r="M1634" s="1">
        <v>40</v>
      </c>
      <c r="N1634" s="1" t="s">
        <v>30</v>
      </c>
      <c r="O1634" s="1" t="s">
        <v>31</v>
      </c>
      <c r="P1634" s="1" t="s">
        <v>30</v>
      </c>
      <c r="Q1634" s="1" t="s">
        <v>69</v>
      </c>
      <c r="R1634" s="1">
        <v>1496.88</v>
      </c>
      <c r="S1634" s="1" t="s">
        <v>33</v>
      </c>
      <c r="T1634" s="1" t="s">
        <v>232</v>
      </c>
      <c r="U1634" s="1" t="s">
        <v>35</v>
      </c>
      <c r="V1634" s="1" t="s">
        <v>71</v>
      </c>
    </row>
    <row r="1635" spans="1:22" x14ac:dyDescent="0.3">
      <c r="A1635" s="1" t="s">
        <v>7632</v>
      </c>
      <c r="B1635" s="1" t="s">
        <v>7633</v>
      </c>
      <c r="C1635" s="1">
        <v>61</v>
      </c>
      <c r="D1635" s="1" t="s">
        <v>7634</v>
      </c>
      <c r="E1635" s="1" t="s">
        <v>25</v>
      </c>
      <c r="F1635" s="1" t="s">
        <v>208</v>
      </c>
      <c r="G1635" s="1" t="s">
        <v>4186</v>
      </c>
      <c r="H1635" s="1">
        <v>0</v>
      </c>
      <c r="I1635" s="1" t="s">
        <v>64</v>
      </c>
      <c r="J1635" s="1" t="s">
        <v>3430</v>
      </c>
      <c r="K1635" s="1" t="s">
        <v>7635</v>
      </c>
      <c r="L1635" s="1">
        <v>4</v>
      </c>
      <c r="M1635" s="1">
        <v>29</v>
      </c>
      <c r="N1635" s="1" t="s">
        <v>54</v>
      </c>
      <c r="O1635" s="1" t="s">
        <v>610</v>
      </c>
      <c r="P1635" s="1" t="s">
        <v>68</v>
      </c>
      <c r="Q1635" s="1" t="s">
        <v>69</v>
      </c>
      <c r="R1635" s="1">
        <v>850.8</v>
      </c>
      <c r="S1635" s="1" t="s">
        <v>46</v>
      </c>
      <c r="T1635" s="1" t="s">
        <v>47</v>
      </c>
      <c r="U1635" s="1" t="s">
        <v>35</v>
      </c>
      <c r="V1635" s="1" t="s">
        <v>71</v>
      </c>
    </row>
    <row r="1636" spans="1:22" x14ac:dyDescent="0.3">
      <c r="A1636" s="1" t="s">
        <v>7636</v>
      </c>
      <c r="B1636" s="1" t="s">
        <v>7637</v>
      </c>
      <c r="C1636" s="1">
        <v>22</v>
      </c>
      <c r="D1636" s="1" t="s">
        <v>7638</v>
      </c>
      <c r="E1636" s="1" t="s">
        <v>25</v>
      </c>
      <c r="F1636" s="1" t="s">
        <v>3398</v>
      </c>
      <c r="G1636" s="1" t="s">
        <v>2455</v>
      </c>
      <c r="H1636" s="1">
        <v>1</v>
      </c>
      <c r="I1636" s="1" t="s">
        <v>27</v>
      </c>
      <c r="J1636" s="1" t="s">
        <v>394</v>
      </c>
      <c r="K1636" s="1" t="s">
        <v>7639</v>
      </c>
      <c r="L1636" s="1">
        <v>1</v>
      </c>
      <c r="M1636" s="1">
        <v>48</v>
      </c>
      <c r="N1636" s="1" t="s">
        <v>56</v>
      </c>
      <c r="O1636" s="1" t="s">
        <v>211</v>
      </c>
      <c r="P1636" s="1" t="s">
        <v>68</v>
      </c>
      <c r="Q1636" s="1" t="s">
        <v>32</v>
      </c>
      <c r="R1636" s="1">
        <v>1839.2</v>
      </c>
      <c r="S1636" s="1" t="s">
        <v>46</v>
      </c>
      <c r="T1636" s="1" t="s">
        <v>100</v>
      </c>
      <c r="U1636" s="1" t="s">
        <v>35</v>
      </c>
      <c r="V1636" s="1" t="s">
        <v>36</v>
      </c>
    </row>
    <row r="1637" spans="1:22" x14ac:dyDescent="0.3">
      <c r="A1637" s="1" t="s">
        <v>7640</v>
      </c>
      <c r="B1637" s="1" t="s">
        <v>7641</v>
      </c>
      <c r="C1637" s="1">
        <v>62</v>
      </c>
      <c r="D1637" s="1" t="s">
        <v>7642</v>
      </c>
      <c r="E1637" s="1" t="s">
        <v>95</v>
      </c>
      <c r="F1637" s="2">
        <v>44684</v>
      </c>
      <c r="G1637" s="2">
        <v>45907</v>
      </c>
      <c r="H1637" s="1">
        <v>1</v>
      </c>
      <c r="I1637" s="1" t="s">
        <v>27</v>
      </c>
      <c r="J1637" s="2">
        <v>45575</v>
      </c>
      <c r="K1637" s="1" t="s">
        <v>4982</v>
      </c>
      <c r="L1637" s="1">
        <v>4</v>
      </c>
      <c r="M1637" s="1">
        <v>23</v>
      </c>
      <c r="N1637" s="1" t="s">
        <v>54</v>
      </c>
      <c r="O1637" s="1" t="s">
        <v>425</v>
      </c>
      <c r="P1637" s="1" t="s">
        <v>30</v>
      </c>
      <c r="Q1637" s="1" t="s">
        <v>69</v>
      </c>
      <c r="R1637" s="1">
        <v>1271.68</v>
      </c>
      <c r="S1637" s="1" t="s">
        <v>46</v>
      </c>
      <c r="T1637" s="1" t="s">
        <v>47</v>
      </c>
      <c r="U1637" s="1" t="s">
        <v>35</v>
      </c>
      <c r="V1637" s="1" t="s">
        <v>36</v>
      </c>
    </row>
    <row r="1638" spans="1:22" x14ac:dyDescent="0.3">
      <c r="A1638" s="1" t="s">
        <v>7643</v>
      </c>
      <c r="B1638" s="1" t="s">
        <v>7644</v>
      </c>
      <c r="C1638" s="1">
        <v>45</v>
      </c>
      <c r="D1638" s="1" t="s">
        <v>7645</v>
      </c>
      <c r="E1638" s="1" t="s">
        <v>51</v>
      </c>
      <c r="F1638" s="1" t="s">
        <v>7646</v>
      </c>
      <c r="G1638" s="1" t="s">
        <v>1243</v>
      </c>
      <c r="H1638" s="1">
        <v>1</v>
      </c>
      <c r="I1638" s="1" t="s">
        <v>64</v>
      </c>
      <c r="J1638" s="1" t="s">
        <v>1117</v>
      </c>
      <c r="K1638" s="1" t="s">
        <v>7647</v>
      </c>
      <c r="L1638" s="1">
        <v>9</v>
      </c>
      <c r="M1638" s="1">
        <v>49</v>
      </c>
      <c r="N1638" s="1" t="s">
        <v>54</v>
      </c>
      <c r="O1638" s="1" t="s">
        <v>77</v>
      </c>
      <c r="P1638" s="1" t="s">
        <v>54</v>
      </c>
      <c r="Q1638" s="1" t="s">
        <v>32</v>
      </c>
      <c r="R1638" s="1">
        <v>1132.56</v>
      </c>
      <c r="S1638" s="1" t="s">
        <v>33</v>
      </c>
      <c r="T1638" s="1" t="s">
        <v>34</v>
      </c>
      <c r="U1638" s="1" t="s">
        <v>35</v>
      </c>
      <c r="V1638" s="1" t="s">
        <v>71</v>
      </c>
    </row>
    <row r="1639" spans="1:22" x14ac:dyDescent="0.3">
      <c r="A1639" s="1" t="s">
        <v>7648</v>
      </c>
      <c r="B1639" s="1" t="s">
        <v>7649</v>
      </c>
      <c r="C1639" s="1">
        <v>59</v>
      </c>
      <c r="D1639" s="1" t="s">
        <v>7650</v>
      </c>
      <c r="E1639" s="1" t="s">
        <v>61</v>
      </c>
      <c r="F1639" s="1" t="s">
        <v>797</v>
      </c>
      <c r="G1639" s="1" t="s">
        <v>1811</v>
      </c>
      <c r="H1639" s="1">
        <v>3</v>
      </c>
      <c r="I1639" s="1" t="s">
        <v>27</v>
      </c>
      <c r="J1639" s="2">
        <v>45876</v>
      </c>
      <c r="K1639" s="1" t="s">
        <v>7651</v>
      </c>
      <c r="L1639" s="1">
        <v>8</v>
      </c>
      <c r="M1639" s="1">
        <v>30</v>
      </c>
      <c r="N1639" s="1" t="s">
        <v>45</v>
      </c>
      <c r="O1639" s="1" t="s">
        <v>604</v>
      </c>
      <c r="P1639" s="1" t="s">
        <v>45</v>
      </c>
      <c r="Q1639" s="1" t="s">
        <v>69</v>
      </c>
      <c r="R1639" s="1">
        <v>428.96</v>
      </c>
      <c r="S1639" s="1" t="s">
        <v>33</v>
      </c>
      <c r="T1639" s="1" t="s">
        <v>47</v>
      </c>
      <c r="U1639" s="1" t="s">
        <v>35</v>
      </c>
      <c r="V1639" s="1" t="s">
        <v>36</v>
      </c>
    </row>
    <row r="1640" spans="1:22" x14ac:dyDescent="0.3">
      <c r="A1640" s="1" t="s">
        <v>7652</v>
      </c>
      <c r="B1640" s="1" t="s">
        <v>7653</v>
      </c>
      <c r="C1640" s="1">
        <v>42</v>
      </c>
      <c r="D1640" s="1" t="s">
        <v>7654</v>
      </c>
      <c r="E1640" s="1" t="s">
        <v>88</v>
      </c>
      <c r="F1640" s="1" t="s">
        <v>1085</v>
      </c>
      <c r="G1640" s="1" t="s">
        <v>724</v>
      </c>
      <c r="H1640" s="1">
        <v>5</v>
      </c>
      <c r="I1640" s="1" t="s">
        <v>27</v>
      </c>
      <c r="J1640" s="2">
        <v>44626</v>
      </c>
      <c r="K1640" s="1" t="s">
        <v>7655</v>
      </c>
      <c r="L1640" s="1">
        <v>7</v>
      </c>
      <c r="M1640" s="1">
        <v>4</v>
      </c>
      <c r="N1640" s="1" t="s">
        <v>30</v>
      </c>
      <c r="O1640" s="1" t="s">
        <v>366</v>
      </c>
      <c r="P1640" s="1" t="s">
        <v>54</v>
      </c>
      <c r="Q1640" s="1" t="s">
        <v>69</v>
      </c>
      <c r="R1640" s="1">
        <v>1565.13</v>
      </c>
      <c r="S1640" s="1" t="s">
        <v>46</v>
      </c>
      <c r="T1640" s="1" t="s">
        <v>34</v>
      </c>
      <c r="U1640" s="1" t="s">
        <v>35</v>
      </c>
      <c r="V1640" s="1" t="s">
        <v>188</v>
      </c>
    </row>
    <row r="1641" spans="1:22" x14ac:dyDescent="0.3">
      <c r="A1641" s="1" t="s">
        <v>7656</v>
      </c>
      <c r="B1641" s="1" t="s">
        <v>7657</v>
      </c>
      <c r="C1641" s="1">
        <v>26</v>
      </c>
      <c r="D1641" s="1" t="s">
        <v>7658</v>
      </c>
      <c r="E1641" s="1" t="s">
        <v>40</v>
      </c>
      <c r="F1641" s="1" t="s">
        <v>2313</v>
      </c>
      <c r="G1641" s="2">
        <v>44845</v>
      </c>
      <c r="H1641" s="1">
        <v>0</v>
      </c>
      <c r="I1641" s="1" t="s">
        <v>64</v>
      </c>
      <c r="J1641" s="1" t="s">
        <v>830</v>
      </c>
      <c r="K1641" s="1" t="s">
        <v>7659</v>
      </c>
      <c r="L1641" s="1">
        <v>3</v>
      </c>
      <c r="M1641" s="1">
        <v>29</v>
      </c>
      <c r="N1641" s="1" t="s">
        <v>45</v>
      </c>
      <c r="O1641" s="1" t="s">
        <v>238</v>
      </c>
      <c r="P1641" s="1" t="s">
        <v>45</v>
      </c>
      <c r="Q1641" s="1" t="s">
        <v>32</v>
      </c>
      <c r="R1641" s="1">
        <v>147.57</v>
      </c>
      <c r="S1641" s="1" t="s">
        <v>33</v>
      </c>
      <c r="T1641" s="1" t="s">
        <v>57</v>
      </c>
      <c r="U1641" s="1" t="s">
        <v>35</v>
      </c>
      <c r="V1641" s="1" t="s">
        <v>71</v>
      </c>
    </row>
    <row r="1642" spans="1:22" x14ac:dyDescent="0.3">
      <c r="A1642" s="1" t="s">
        <v>7660</v>
      </c>
      <c r="B1642" s="1" t="s">
        <v>7661</v>
      </c>
      <c r="C1642" s="1">
        <v>37</v>
      </c>
      <c r="D1642" s="1" t="s">
        <v>7662</v>
      </c>
      <c r="E1642" s="1" t="s">
        <v>61</v>
      </c>
      <c r="F1642" s="2">
        <v>45175</v>
      </c>
      <c r="G1642" s="1" t="s">
        <v>2763</v>
      </c>
      <c r="H1642" s="1">
        <v>2</v>
      </c>
      <c r="I1642" s="1" t="s">
        <v>27</v>
      </c>
      <c r="J1642" s="2">
        <v>44995</v>
      </c>
      <c r="K1642" s="1" t="s">
        <v>7663</v>
      </c>
      <c r="L1642" s="1">
        <v>7</v>
      </c>
      <c r="M1642" s="1">
        <v>15</v>
      </c>
      <c r="N1642" s="1" t="s">
        <v>30</v>
      </c>
      <c r="O1642" s="1" t="s">
        <v>821</v>
      </c>
      <c r="P1642" s="1" t="s">
        <v>68</v>
      </c>
      <c r="Q1642" s="1" t="s">
        <v>32</v>
      </c>
      <c r="R1642" s="1">
        <v>1477</v>
      </c>
      <c r="S1642" s="1" t="s">
        <v>46</v>
      </c>
      <c r="T1642" s="1" t="s">
        <v>34</v>
      </c>
      <c r="U1642" s="1" t="s">
        <v>35</v>
      </c>
      <c r="V1642" s="1" t="s">
        <v>36</v>
      </c>
    </row>
    <row r="1643" spans="1:22" x14ac:dyDescent="0.3">
      <c r="A1643" s="1" t="s">
        <v>7664</v>
      </c>
      <c r="B1643" s="1" t="s">
        <v>7665</v>
      </c>
      <c r="C1643" s="1">
        <v>36</v>
      </c>
      <c r="D1643" s="1" t="s">
        <v>7666</v>
      </c>
      <c r="E1643" s="1" t="s">
        <v>88</v>
      </c>
      <c r="F1643" s="1" t="s">
        <v>2019</v>
      </c>
      <c r="G1643" s="1" t="s">
        <v>3372</v>
      </c>
      <c r="H1643" s="1">
        <v>0</v>
      </c>
      <c r="I1643" s="1" t="s">
        <v>27</v>
      </c>
      <c r="J1643" s="2">
        <v>45352</v>
      </c>
      <c r="K1643" s="1" t="s">
        <v>7667</v>
      </c>
      <c r="L1643" s="1">
        <v>2</v>
      </c>
      <c r="M1643" s="1">
        <v>46</v>
      </c>
      <c r="N1643" s="1" t="s">
        <v>68</v>
      </c>
      <c r="O1643" s="1" t="s">
        <v>128</v>
      </c>
      <c r="P1643" s="1" t="s">
        <v>54</v>
      </c>
      <c r="Q1643" s="1" t="s">
        <v>69</v>
      </c>
      <c r="R1643" s="1">
        <v>1811.62</v>
      </c>
      <c r="S1643" s="1" t="s">
        <v>46</v>
      </c>
      <c r="T1643" s="1" t="s">
        <v>34</v>
      </c>
      <c r="U1643" s="1" t="s">
        <v>35</v>
      </c>
      <c r="V1643" s="1" t="s">
        <v>36</v>
      </c>
    </row>
    <row r="1644" spans="1:22" x14ac:dyDescent="0.3">
      <c r="A1644" s="1" t="s">
        <v>7668</v>
      </c>
      <c r="B1644" s="1" t="s">
        <v>7669</v>
      </c>
      <c r="C1644" s="1">
        <v>60</v>
      </c>
      <c r="D1644" s="1" t="s">
        <v>7670</v>
      </c>
      <c r="E1644" s="1" t="s">
        <v>88</v>
      </c>
      <c r="F1644" s="2">
        <v>45082</v>
      </c>
      <c r="G1644" s="2">
        <v>45083</v>
      </c>
      <c r="H1644" s="1">
        <v>5</v>
      </c>
      <c r="I1644" s="1" t="s">
        <v>27</v>
      </c>
      <c r="J1644" s="2">
        <v>45692</v>
      </c>
      <c r="K1644" s="1" t="s">
        <v>7671</v>
      </c>
      <c r="L1644" s="1">
        <v>8</v>
      </c>
      <c r="M1644" s="1">
        <v>2</v>
      </c>
      <c r="N1644" s="1" t="s">
        <v>56</v>
      </c>
      <c r="O1644" s="1" t="s">
        <v>837</v>
      </c>
      <c r="P1644" s="1" t="s">
        <v>56</v>
      </c>
      <c r="Q1644" s="1" t="s">
        <v>32</v>
      </c>
      <c r="R1644" s="1">
        <v>781.76</v>
      </c>
      <c r="S1644" s="1" t="s">
        <v>33</v>
      </c>
      <c r="T1644" s="1" t="s">
        <v>47</v>
      </c>
      <c r="U1644" s="1" t="s">
        <v>101</v>
      </c>
      <c r="V1644" s="1" t="s">
        <v>188</v>
      </c>
    </row>
    <row r="1645" spans="1:22" x14ac:dyDescent="0.3">
      <c r="A1645" s="1" t="s">
        <v>7672</v>
      </c>
      <c r="B1645" s="1" t="s">
        <v>7673</v>
      </c>
      <c r="C1645" s="1">
        <v>34</v>
      </c>
      <c r="D1645" s="1" t="s">
        <v>7674</v>
      </c>
      <c r="E1645" s="1" t="s">
        <v>61</v>
      </c>
      <c r="F1645" s="2">
        <v>44449</v>
      </c>
      <c r="G1645" s="1" t="s">
        <v>6086</v>
      </c>
      <c r="H1645" s="1">
        <v>1</v>
      </c>
      <c r="I1645" s="1" t="s">
        <v>52</v>
      </c>
      <c r="J1645" s="2">
        <v>45936</v>
      </c>
      <c r="K1645" s="1" t="s">
        <v>7675</v>
      </c>
      <c r="L1645" s="1">
        <v>3</v>
      </c>
      <c r="M1645" s="1">
        <v>39</v>
      </c>
      <c r="N1645" s="1" t="s">
        <v>45</v>
      </c>
      <c r="O1645" s="1" t="s">
        <v>199</v>
      </c>
      <c r="P1645" s="1" t="s">
        <v>54</v>
      </c>
      <c r="Q1645" s="1" t="s">
        <v>69</v>
      </c>
      <c r="R1645" s="1">
        <v>1232.22</v>
      </c>
      <c r="S1645" s="1" t="s">
        <v>46</v>
      </c>
      <c r="T1645" s="1" t="s">
        <v>57</v>
      </c>
      <c r="U1645" s="1" t="s">
        <v>35</v>
      </c>
      <c r="V1645" s="1" t="s">
        <v>36</v>
      </c>
    </row>
    <row r="1646" spans="1:22" x14ac:dyDescent="0.3">
      <c r="A1646" s="1" t="s">
        <v>7676</v>
      </c>
      <c r="B1646" s="1" t="s">
        <v>7677</v>
      </c>
      <c r="C1646" s="1">
        <v>43</v>
      </c>
      <c r="D1646" s="1" t="s">
        <v>7678</v>
      </c>
      <c r="E1646" s="1" t="s">
        <v>25</v>
      </c>
      <c r="F1646" s="1" t="s">
        <v>502</v>
      </c>
      <c r="G1646" s="1" t="s">
        <v>6700</v>
      </c>
      <c r="H1646" s="1">
        <v>0</v>
      </c>
      <c r="I1646" s="1" t="s">
        <v>27</v>
      </c>
      <c r="J1646" s="1" t="s">
        <v>4817</v>
      </c>
      <c r="K1646" s="1" t="s">
        <v>7679</v>
      </c>
      <c r="L1646" s="1">
        <v>6</v>
      </c>
      <c r="M1646" s="1">
        <v>9</v>
      </c>
      <c r="N1646" s="1" t="s">
        <v>30</v>
      </c>
      <c r="O1646" s="1" t="s">
        <v>55</v>
      </c>
      <c r="P1646" s="1" t="s">
        <v>56</v>
      </c>
      <c r="Q1646" s="1" t="s">
        <v>32</v>
      </c>
      <c r="R1646" s="1">
        <v>549.72</v>
      </c>
      <c r="S1646" s="1" t="s">
        <v>46</v>
      </c>
      <c r="T1646" s="1" t="s">
        <v>34</v>
      </c>
      <c r="U1646" s="1" t="s">
        <v>35</v>
      </c>
      <c r="V1646" s="1" t="s">
        <v>36</v>
      </c>
    </row>
    <row r="1647" spans="1:22" x14ac:dyDescent="0.3">
      <c r="A1647" s="1" t="s">
        <v>7680</v>
      </c>
      <c r="B1647" s="1" t="s">
        <v>7681</v>
      </c>
      <c r="C1647" s="1">
        <v>55</v>
      </c>
      <c r="D1647" s="1" t="s">
        <v>7682</v>
      </c>
      <c r="E1647" s="1" t="s">
        <v>61</v>
      </c>
      <c r="F1647" s="2">
        <v>44659</v>
      </c>
      <c r="G1647" s="2">
        <v>45602</v>
      </c>
      <c r="H1647" s="1">
        <v>2</v>
      </c>
      <c r="I1647" s="1" t="s">
        <v>52</v>
      </c>
      <c r="J1647" s="1" t="s">
        <v>81</v>
      </c>
      <c r="K1647" s="1" t="s">
        <v>7683</v>
      </c>
      <c r="L1647" s="1">
        <v>5</v>
      </c>
      <c r="M1647" s="1">
        <v>46</v>
      </c>
      <c r="N1647" s="1" t="s">
        <v>45</v>
      </c>
      <c r="O1647" s="1" t="s">
        <v>245</v>
      </c>
      <c r="P1647" s="1" t="s">
        <v>54</v>
      </c>
      <c r="Q1647" s="1" t="s">
        <v>32</v>
      </c>
      <c r="R1647" s="1">
        <v>869.2</v>
      </c>
      <c r="S1647" s="1" t="s">
        <v>46</v>
      </c>
      <c r="T1647" s="1" t="s">
        <v>47</v>
      </c>
      <c r="U1647" s="1" t="s">
        <v>35</v>
      </c>
      <c r="V1647" s="1" t="s">
        <v>36</v>
      </c>
    </row>
    <row r="1648" spans="1:22" x14ac:dyDescent="0.3">
      <c r="A1648" s="1" t="s">
        <v>7684</v>
      </c>
      <c r="B1648" s="1" t="s">
        <v>7685</v>
      </c>
      <c r="C1648" s="1">
        <v>33</v>
      </c>
      <c r="D1648" s="1" t="s">
        <v>7686</v>
      </c>
      <c r="E1648" s="1" t="s">
        <v>95</v>
      </c>
      <c r="F1648" s="1" t="s">
        <v>3174</v>
      </c>
      <c r="G1648" s="2">
        <v>45843</v>
      </c>
      <c r="H1648" s="1">
        <v>5</v>
      </c>
      <c r="I1648" s="1" t="s">
        <v>27</v>
      </c>
      <c r="J1648" s="1" t="s">
        <v>1215</v>
      </c>
      <c r="K1648" s="1" t="s">
        <v>7687</v>
      </c>
      <c r="L1648" s="1">
        <v>6</v>
      </c>
      <c r="M1648" s="1">
        <v>35</v>
      </c>
      <c r="N1648" s="1" t="s">
        <v>54</v>
      </c>
      <c r="O1648" s="1" t="s">
        <v>624</v>
      </c>
      <c r="P1648" s="1" t="s">
        <v>30</v>
      </c>
      <c r="Q1648" s="1" t="s">
        <v>32</v>
      </c>
      <c r="R1648" s="1">
        <v>1534.86</v>
      </c>
      <c r="S1648" s="1" t="s">
        <v>46</v>
      </c>
      <c r="T1648" s="1" t="s">
        <v>57</v>
      </c>
      <c r="U1648" s="1" t="s">
        <v>35</v>
      </c>
      <c r="V1648" s="1" t="s">
        <v>188</v>
      </c>
    </row>
    <row r="1649" spans="1:22" x14ac:dyDescent="0.3">
      <c r="A1649" s="1" t="s">
        <v>7688</v>
      </c>
      <c r="B1649" s="1" t="s">
        <v>7689</v>
      </c>
      <c r="C1649" s="1">
        <v>40</v>
      </c>
      <c r="D1649" s="1" t="s">
        <v>7690</v>
      </c>
      <c r="E1649" s="1" t="s">
        <v>51</v>
      </c>
      <c r="F1649" s="2">
        <v>44902</v>
      </c>
      <c r="G1649" s="1" t="s">
        <v>1884</v>
      </c>
      <c r="H1649" s="1">
        <v>2</v>
      </c>
      <c r="I1649" s="1" t="s">
        <v>52</v>
      </c>
      <c r="J1649" s="1" t="s">
        <v>4033</v>
      </c>
      <c r="K1649" s="1" t="s">
        <v>7691</v>
      </c>
      <c r="L1649" s="1">
        <v>2</v>
      </c>
      <c r="M1649" s="1">
        <v>6</v>
      </c>
      <c r="N1649" s="1" t="s">
        <v>56</v>
      </c>
      <c r="O1649" s="1" t="s">
        <v>109</v>
      </c>
      <c r="P1649" s="1" t="s">
        <v>68</v>
      </c>
      <c r="Q1649" s="1" t="s">
        <v>69</v>
      </c>
      <c r="R1649" s="1">
        <v>717.26</v>
      </c>
      <c r="S1649" s="1" t="s">
        <v>46</v>
      </c>
      <c r="T1649" s="1" t="s">
        <v>34</v>
      </c>
      <c r="U1649" s="1" t="s">
        <v>35</v>
      </c>
      <c r="V1649" s="1" t="s">
        <v>36</v>
      </c>
    </row>
    <row r="1650" spans="1:22" x14ac:dyDescent="0.3">
      <c r="A1650" s="1" t="s">
        <v>7692</v>
      </c>
      <c r="B1650" s="1" t="s">
        <v>7693</v>
      </c>
      <c r="C1650" s="1">
        <v>47</v>
      </c>
      <c r="D1650" s="1" t="s">
        <v>7694</v>
      </c>
      <c r="E1650" s="1" t="s">
        <v>88</v>
      </c>
      <c r="F1650" s="2">
        <v>44906</v>
      </c>
      <c r="G1650" s="2">
        <v>45242</v>
      </c>
      <c r="H1650" s="1">
        <v>2</v>
      </c>
      <c r="I1650" s="1" t="s">
        <v>64</v>
      </c>
      <c r="J1650" s="1" t="s">
        <v>4817</v>
      </c>
      <c r="K1650" s="1" t="s">
        <v>7695</v>
      </c>
      <c r="L1650" s="1">
        <v>4</v>
      </c>
      <c r="M1650" s="1">
        <v>35</v>
      </c>
      <c r="N1650" s="1" t="s">
        <v>56</v>
      </c>
      <c r="O1650" s="1" t="s">
        <v>624</v>
      </c>
      <c r="P1650" s="1" t="s">
        <v>30</v>
      </c>
      <c r="Q1650" s="1" t="s">
        <v>32</v>
      </c>
      <c r="R1650" s="1">
        <v>49.12</v>
      </c>
      <c r="S1650" s="1" t="s">
        <v>46</v>
      </c>
      <c r="T1650" s="1" t="s">
        <v>34</v>
      </c>
      <c r="U1650" s="1" t="s">
        <v>101</v>
      </c>
      <c r="V1650" s="1" t="s">
        <v>71</v>
      </c>
    </row>
    <row r="1651" spans="1:22" x14ac:dyDescent="0.3">
      <c r="A1651" s="1" t="s">
        <v>7696</v>
      </c>
      <c r="B1651" s="1" t="s">
        <v>7697</v>
      </c>
      <c r="C1651" s="1">
        <v>54</v>
      </c>
      <c r="D1651" s="1" t="s">
        <v>7698</v>
      </c>
      <c r="E1651" s="1" t="s">
        <v>61</v>
      </c>
      <c r="F1651" s="1" t="s">
        <v>2469</v>
      </c>
      <c r="G1651" s="1" t="s">
        <v>466</v>
      </c>
      <c r="H1651" s="1">
        <v>4</v>
      </c>
      <c r="I1651" s="1" t="s">
        <v>27</v>
      </c>
      <c r="J1651" s="2">
        <v>45871</v>
      </c>
      <c r="K1651" s="1" t="s">
        <v>7699</v>
      </c>
      <c r="L1651" s="1">
        <v>8</v>
      </c>
      <c r="M1651" s="1">
        <v>29</v>
      </c>
      <c r="N1651" s="1" t="s">
        <v>56</v>
      </c>
      <c r="O1651" s="1" t="s">
        <v>837</v>
      </c>
      <c r="P1651" s="1" t="s">
        <v>56</v>
      </c>
      <c r="Q1651" s="1" t="s">
        <v>69</v>
      </c>
      <c r="R1651" s="1">
        <v>896.32</v>
      </c>
      <c r="S1651" s="1" t="s">
        <v>33</v>
      </c>
      <c r="T1651" s="1" t="s">
        <v>47</v>
      </c>
      <c r="U1651" s="1" t="s">
        <v>35</v>
      </c>
      <c r="V1651" s="1" t="s">
        <v>188</v>
      </c>
    </row>
    <row r="1652" spans="1:22" x14ac:dyDescent="0.3">
      <c r="A1652" s="1" t="s">
        <v>7700</v>
      </c>
      <c r="B1652" s="1" t="s">
        <v>7701</v>
      </c>
      <c r="C1652" s="1">
        <v>36</v>
      </c>
      <c r="D1652" s="1" t="s">
        <v>7702</v>
      </c>
      <c r="E1652" s="1" t="s">
        <v>95</v>
      </c>
      <c r="F1652" s="2">
        <v>44930</v>
      </c>
      <c r="G1652" s="2">
        <v>45636</v>
      </c>
      <c r="H1652" s="1">
        <v>0</v>
      </c>
      <c r="I1652" s="1" t="s">
        <v>64</v>
      </c>
      <c r="J1652" s="2">
        <v>45573</v>
      </c>
      <c r="K1652" s="1" t="s">
        <v>7703</v>
      </c>
      <c r="L1652" s="1">
        <v>1</v>
      </c>
      <c r="M1652" s="1">
        <v>33</v>
      </c>
      <c r="N1652" s="1" t="s">
        <v>54</v>
      </c>
      <c r="O1652" s="1" t="s">
        <v>116</v>
      </c>
      <c r="P1652" s="1" t="s">
        <v>54</v>
      </c>
      <c r="Q1652" s="1" t="s">
        <v>32</v>
      </c>
      <c r="R1652" s="1">
        <v>1885.06</v>
      </c>
      <c r="S1652" s="1" t="s">
        <v>33</v>
      </c>
      <c r="T1652" s="1" t="s">
        <v>34</v>
      </c>
      <c r="U1652" s="1" t="s">
        <v>35</v>
      </c>
      <c r="V1652" s="1" t="s">
        <v>71</v>
      </c>
    </row>
    <row r="1653" spans="1:22" x14ac:dyDescent="0.3">
      <c r="A1653" s="1" t="s">
        <v>7704</v>
      </c>
      <c r="B1653" s="1" t="s">
        <v>7705</v>
      </c>
      <c r="C1653" s="1">
        <v>26</v>
      </c>
      <c r="D1653" s="1" t="s">
        <v>7706</v>
      </c>
      <c r="E1653" s="1" t="s">
        <v>51</v>
      </c>
      <c r="F1653" s="1" t="s">
        <v>7183</v>
      </c>
      <c r="G1653" s="1" t="s">
        <v>2167</v>
      </c>
      <c r="H1653" s="1">
        <v>3</v>
      </c>
      <c r="I1653" s="1" t="s">
        <v>64</v>
      </c>
      <c r="J1653" s="1" t="s">
        <v>3495</v>
      </c>
      <c r="K1653" s="1" t="s">
        <v>7707</v>
      </c>
      <c r="L1653" s="1">
        <v>2</v>
      </c>
      <c r="M1653" s="1">
        <v>30</v>
      </c>
      <c r="N1653" s="1" t="s">
        <v>54</v>
      </c>
      <c r="O1653" s="1" t="s">
        <v>238</v>
      </c>
      <c r="P1653" s="1" t="s">
        <v>45</v>
      </c>
      <c r="Q1653" s="1" t="s">
        <v>69</v>
      </c>
      <c r="R1653" s="1">
        <v>1428.8</v>
      </c>
      <c r="S1653" s="1" t="s">
        <v>46</v>
      </c>
      <c r="T1653" s="1" t="s">
        <v>57</v>
      </c>
      <c r="U1653" s="1" t="s">
        <v>35</v>
      </c>
      <c r="V1653" s="1" t="s">
        <v>71</v>
      </c>
    </row>
    <row r="1654" spans="1:22" x14ac:dyDescent="0.3">
      <c r="A1654" s="1" t="s">
        <v>7708</v>
      </c>
      <c r="B1654" s="1" t="s">
        <v>7709</v>
      </c>
      <c r="C1654" s="1">
        <v>21</v>
      </c>
      <c r="D1654" s="1" t="s">
        <v>7710</v>
      </c>
      <c r="E1654" s="1" t="s">
        <v>61</v>
      </c>
      <c r="F1654" s="1" t="s">
        <v>1982</v>
      </c>
      <c r="G1654" s="2">
        <v>44570</v>
      </c>
      <c r="H1654" s="1">
        <v>2</v>
      </c>
      <c r="I1654" s="1" t="s">
        <v>27</v>
      </c>
      <c r="J1654" s="1" t="s">
        <v>6221</v>
      </c>
      <c r="K1654" s="1" t="s">
        <v>7711</v>
      </c>
      <c r="L1654" s="1">
        <v>6</v>
      </c>
      <c r="M1654" s="1">
        <v>10</v>
      </c>
      <c r="N1654" s="1" t="s">
        <v>54</v>
      </c>
      <c r="O1654" s="1" t="s">
        <v>175</v>
      </c>
      <c r="P1654" s="1" t="s">
        <v>56</v>
      </c>
      <c r="Q1654" s="1" t="s">
        <v>32</v>
      </c>
      <c r="R1654" s="1">
        <v>1666.14</v>
      </c>
      <c r="S1654" s="1" t="s">
        <v>46</v>
      </c>
      <c r="T1654" s="1" t="s">
        <v>100</v>
      </c>
      <c r="U1654" s="1" t="s">
        <v>35</v>
      </c>
      <c r="V1654" s="1" t="s">
        <v>36</v>
      </c>
    </row>
    <row r="1655" spans="1:22" x14ac:dyDescent="0.3">
      <c r="A1655" s="1" t="s">
        <v>7712</v>
      </c>
      <c r="B1655" s="1" t="s">
        <v>7713</v>
      </c>
      <c r="C1655" s="1">
        <v>62</v>
      </c>
      <c r="D1655" s="1" t="s">
        <v>7714</v>
      </c>
      <c r="E1655" s="1" t="s">
        <v>51</v>
      </c>
      <c r="F1655" s="2">
        <v>43992</v>
      </c>
      <c r="G1655" s="2">
        <v>45174</v>
      </c>
      <c r="H1655" s="1">
        <v>5</v>
      </c>
      <c r="I1655" s="1" t="s">
        <v>52</v>
      </c>
      <c r="J1655" s="1" t="s">
        <v>2219</v>
      </c>
      <c r="K1655" s="1" t="s">
        <v>7715</v>
      </c>
      <c r="L1655" s="1">
        <v>8</v>
      </c>
      <c r="M1655" s="1">
        <v>33</v>
      </c>
      <c r="N1655" s="1" t="s">
        <v>54</v>
      </c>
      <c r="O1655" s="1" t="s">
        <v>245</v>
      </c>
      <c r="P1655" s="1" t="s">
        <v>54</v>
      </c>
      <c r="Q1655" s="1" t="s">
        <v>69</v>
      </c>
      <c r="R1655" s="1">
        <v>866.64</v>
      </c>
      <c r="S1655" s="1" t="s">
        <v>33</v>
      </c>
      <c r="T1655" s="1" t="s">
        <v>47</v>
      </c>
      <c r="U1655" s="1" t="s">
        <v>35</v>
      </c>
      <c r="V1655" s="1" t="s">
        <v>36</v>
      </c>
    </row>
    <row r="1656" spans="1:22" x14ac:dyDescent="0.3">
      <c r="A1656" s="1" t="s">
        <v>7716</v>
      </c>
      <c r="B1656" s="1" t="s">
        <v>7717</v>
      </c>
      <c r="C1656" s="1">
        <v>55</v>
      </c>
      <c r="D1656" s="1" t="s">
        <v>7718</v>
      </c>
      <c r="E1656" s="1" t="s">
        <v>88</v>
      </c>
      <c r="F1656" s="2">
        <v>44197</v>
      </c>
      <c r="G1656" s="2">
        <v>44387</v>
      </c>
      <c r="H1656" s="1">
        <v>5</v>
      </c>
      <c r="I1656" s="1" t="s">
        <v>64</v>
      </c>
      <c r="J1656" s="2">
        <v>44927</v>
      </c>
      <c r="K1656" s="1" t="s">
        <v>7719</v>
      </c>
      <c r="L1656" s="1">
        <v>1</v>
      </c>
      <c r="M1656" s="1">
        <v>4</v>
      </c>
      <c r="N1656" s="1" t="s">
        <v>30</v>
      </c>
      <c r="O1656" s="1" t="s">
        <v>128</v>
      </c>
      <c r="P1656" s="1" t="s">
        <v>54</v>
      </c>
      <c r="Q1656" s="1" t="s">
        <v>32</v>
      </c>
      <c r="R1656" s="1">
        <v>1831.4</v>
      </c>
      <c r="S1656" s="1" t="s">
        <v>46</v>
      </c>
      <c r="T1656" s="1" t="s">
        <v>47</v>
      </c>
      <c r="U1656" s="1" t="s">
        <v>35</v>
      </c>
      <c r="V1656" s="1" t="s">
        <v>71</v>
      </c>
    </row>
    <row r="1657" spans="1:22" x14ac:dyDescent="0.3">
      <c r="A1657" s="1" t="s">
        <v>7720</v>
      </c>
      <c r="B1657" s="1" t="s">
        <v>7721</v>
      </c>
      <c r="C1657" s="1">
        <v>42</v>
      </c>
      <c r="D1657" s="1" t="s">
        <v>7722</v>
      </c>
      <c r="E1657" s="1" t="s">
        <v>88</v>
      </c>
      <c r="F1657" s="2">
        <v>44470</v>
      </c>
      <c r="G1657" s="1" t="s">
        <v>4074</v>
      </c>
      <c r="H1657" s="1">
        <v>2</v>
      </c>
      <c r="I1657" s="1" t="s">
        <v>52</v>
      </c>
      <c r="J1657" s="2">
        <v>44208</v>
      </c>
      <c r="K1657" s="1" t="s">
        <v>7723</v>
      </c>
      <c r="L1657" s="1">
        <v>1</v>
      </c>
      <c r="M1657" s="1">
        <v>12</v>
      </c>
      <c r="N1657" s="1" t="s">
        <v>68</v>
      </c>
      <c r="O1657" s="1" t="s">
        <v>109</v>
      </c>
      <c r="P1657" s="1" t="s">
        <v>68</v>
      </c>
      <c r="Q1657" s="1" t="s">
        <v>32</v>
      </c>
      <c r="R1657" s="1">
        <v>524.46</v>
      </c>
      <c r="S1657" s="1" t="s">
        <v>33</v>
      </c>
      <c r="T1657" s="1" t="s">
        <v>34</v>
      </c>
      <c r="U1657" s="1" t="s">
        <v>35</v>
      </c>
      <c r="V1657" s="1" t="s">
        <v>36</v>
      </c>
    </row>
    <row r="1658" spans="1:22" x14ac:dyDescent="0.3">
      <c r="A1658" s="1" t="s">
        <v>7724</v>
      </c>
      <c r="B1658" s="1" t="s">
        <v>7725</v>
      </c>
      <c r="C1658" s="1">
        <v>35</v>
      </c>
      <c r="D1658" s="1" t="s">
        <v>7726</v>
      </c>
      <c r="E1658" s="1" t="s">
        <v>25</v>
      </c>
      <c r="F1658" s="1" t="s">
        <v>961</v>
      </c>
      <c r="G1658" s="2">
        <v>45782</v>
      </c>
      <c r="H1658" s="1">
        <v>5</v>
      </c>
      <c r="I1658" s="1" t="s">
        <v>27</v>
      </c>
      <c r="J1658" s="2">
        <v>45419</v>
      </c>
      <c r="K1658" s="1" t="s">
        <v>7727</v>
      </c>
      <c r="L1658" s="1">
        <v>3</v>
      </c>
      <c r="M1658" s="1">
        <v>13</v>
      </c>
      <c r="N1658" s="1" t="s">
        <v>30</v>
      </c>
      <c r="O1658" s="1" t="s">
        <v>821</v>
      </c>
      <c r="P1658" s="1" t="s">
        <v>68</v>
      </c>
      <c r="Q1658" s="1" t="s">
        <v>69</v>
      </c>
      <c r="R1658" s="1">
        <v>1054.74</v>
      </c>
      <c r="S1658" s="1" t="s">
        <v>46</v>
      </c>
      <c r="T1658" s="1" t="s">
        <v>34</v>
      </c>
      <c r="U1658" s="1" t="s">
        <v>35</v>
      </c>
      <c r="V1658" s="1" t="s">
        <v>188</v>
      </c>
    </row>
    <row r="1659" spans="1:22" x14ac:dyDescent="0.3">
      <c r="A1659" s="1" t="s">
        <v>7728</v>
      </c>
      <c r="B1659" s="1" t="s">
        <v>7729</v>
      </c>
      <c r="C1659" s="1">
        <v>69</v>
      </c>
      <c r="D1659" s="1" t="s">
        <v>7730</v>
      </c>
      <c r="E1659" s="1" t="s">
        <v>61</v>
      </c>
      <c r="F1659" s="1" t="s">
        <v>5977</v>
      </c>
      <c r="G1659" s="1" t="s">
        <v>6711</v>
      </c>
      <c r="H1659" s="1">
        <v>5</v>
      </c>
      <c r="I1659" s="1" t="s">
        <v>27</v>
      </c>
      <c r="J1659" s="1" t="s">
        <v>363</v>
      </c>
      <c r="K1659" s="1" t="s">
        <v>7731</v>
      </c>
      <c r="L1659" s="1">
        <v>9</v>
      </c>
      <c r="M1659" s="1">
        <v>34</v>
      </c>
      <c r="N1659" s="1" t="s">
        <v>54</v>
      </c>
      <c r="O1659" s="1" t="s">
        <v>55</v>
      </c>
      <c r="P1659" s="1" t="s">
        <v>56</v>
      </c>
      <c r="Q1659" s="1" t="s">
        <v>322</v>
      </c>
      <c r="R1659" s="1">
        <v>713.7</v>
      </c>
      <c r="S1659" s="1" t="s">
        <v>46</v>
      </c>
      <c r="T1659" s="1" t="s">
        <v>232</v>
      </c>
      <c r="U1659" s="1" t="s">
        <v>35</v>
      </c>
      <c r="V1659" s="1" t="s">
        <v>188</v>
      </c>
    </row>
    <row r="1660" spans="1:22" x14ac:dyDescent="0.3">
      <c r="A1660" s="1" t="s">
        <v>7732</v>
      </c>
      <c r="B1660" s="1" t="s">
        <v>7733</v>
      </c>
      <c r="C1660" s="1">
        <v>42</v>
      </c>
      <c r="D1660" s="1" t="s">
        <v>7734</v>
      </c>
      <c r="E1660" s="1" t="s">
        <v>95</v>
      </c>
      <c r="F1660" s="2">
        <v>44318</v>
      </c>
      <c r="G1660" s="1" t="s">
        <v>4848</v>
      </c>
      <c r="H1660" s="1">
        <v>0</v>
      </c>
      <c r="I1660" s="1" t="s">
        <v>27</v>
      </c>
      <c r="J1660" s="2">
        <v>45301</v>
      </c>
      <c r="K1660" s="1" t="s">
        <v>7735</v>
      </c>
      <c r="L1660" s="1">
        <v>3</v>
      </c>
      <c r="M1660" s="1">
        <v>38</v>
      </c>
      <c r="N1660" s="1" t="s">
        <v>68</v>
      </c>
      <c r="O1660" s="1" t="s">
        <v>366</v>
      </c>
      <c r="P1660" s="1" t="s">
        <v>54</v>
      </c>
      <c r="Q1660" s="1" t="s">
        <v>69</v>
      </c>
      <c r="R1660" s="1">
        <v>1285.47</v>
      </c>
      <c r="S1660" s="1" t="s">
        <v>46</v>
      </c>
      <c r="T1660" s="1" t="s">
        <v>34</v>
      </c>
      <c r="U1660" s="1" t="s">
        <v>35</v>
      </c>
      <c r="V1660" s="1" t="s">
        <v>36</v>
      </c>
    </row>
    <row r="1661" spans="1:22" x14ac:dyDescent="0.3">
      <c r="A1661" s="1" t="s">
        <v>7736</v>
      </c>
      <c r="B1661" s="1" t="s">
        <v>7737</v>
      </c>
      <c r="C1661" s="1">
        <v>34</v>
      </c>
      <c r="D1661" s="1" t="s">
        <v>7738</v>
      </c>
      <c r="E1661" s="1" t="s">
        <v>61</v>
      </c>
      <c r="F1661" s="2">
        <v>44230</v>
      </c>
      <c r="G1661" s="1" t="s">
        <v>4283</v>
      </c>
      <c r="H1661" s="1">
        <v>2</v>
      </c>
      <c r="I1661" s="1" t="s">
        <v>27</v>
      </c>
      <c r="J1661" s="1" t="s">
        <v>4186</v>
      </c>
      <c r="K1661" s="1" t="s">
        <v>7739</v>
      </c>
      <c r="L1661" s="1">
        <v>5</v>
      </c>
      <c r="M1661" s="1">
        <v>15</v>
      </c>
      <c r="N1661" s="1" t="s">
        <v>68</v>
      </c>
      <c r="O1661" s="1" t="s">
        <v>238</v>
      </c>
      <c r="P1661" s="1" t="s">
        <v>45</v>
      </c>
      <c r="Q1661" s="1" t="s">
        <v>69</v>
      </c>
      <c r="R1661" s="1">
        <v>316.10000000000002</v>
      </c>
      <c r="S1661" s="1" t="s">
        <v>46</v>
      </c>
      <c r="T1661" s="1" t="s">
        <v>57</v>
      </c>
      <c r="U1661" s="1" t="s">
        <v>35</v>
      </c>
      <c r="V1661" s="1" t="s">
        <v>36</v>
      </c>
    </row>
    <row r="1662" spans="1:22" x14ac:dyDescent="0.3">
      <c r="A1662" s="1" t="s">
        <v>7740</v>
      </c>
      <c r="B1662" s="1" t="s">
        <v>7741</v>
      </c>
      <c r="C1662" s="1">
        <v>39</v>
      </c>
      <c r="D1662" s="1" t="s">
        <v>7742</v>
      </c>
      <c r="E1662" s="1" t="s">
        <v>88</v>
      </c>
      <c r="F1662" s="1" t="s">
        <v>2000</v>
      </c>
      <c r="G1662" s="2">
        <v>44602</v>
      </c>
      <c r="H1662" s="1">
        <v>0</v>
      </c>
      <c r="I1662" s="1" t="s">
        <v>64</v>
      </c>
      <c r="J1662" s="2">
        <v>45754</v>
      </c>
      <c r="K1662" s="1" t="s">
        <v>7743</v>
      </c>
      <c r="L1662" s="1">
        <v>8</v>
      </c>
      <c r="M1662" s="1">
        <v>20</v>
      </c>
      <c r="N1662" s="1" t="s">
        <v>56</v>
      </c>
      <c r="O1662" s="1" t="s">
        <v>142</v>
      </c>
      <c r="P1662" s="1" t="s">
        <v>68</v>
      </c>
      <c r="Q1662" s="1" t="s">
        <v>69</v>
      </c>
      <c r="R1662" s="1">
        <v>1096.96</v>
      </c>
      <c r="S1662" s="1" t="s">
        <v>46</v>
      </c>
      <c r="T1662" s="1" t="s">
        <v>34</v>
      </c>
      <c r="U1662" s="1" t="s">
        <v>35</v>
      </c>
      <c r="V1662" s="1" t="s">
        <v>71</v>
      </c>
    </row>
    <row r="1663" spans="1:22" x14ac:dyDescent="0.3">
      <c r="A1663" s="1" t="s">
        <v>7744</v>
      </c>
      <c r="B1663" s="1" t="s">
        <v>7745</v>
      </c>
      <c r="C1663" s="1">
        <v>21</v>
      </c>
      <c r="D1663" s="1" t="s">
        <v>7746</v>
      </c>
      <c r="E1663" s="1" t="s">
        <v>40</v>
      </c>
      <c r="F1663" s="2">
        <v>44287</v>
      </c>
      <c r="G1663" s="2">
        <v>45119</v>
      </c>
      <c r="H1663" s="1">
        <v>1</v>
      </c>
      <c r="I1663" s="1" t="s">
        <v>27</v>
      </c>
      <c r="J1663" s="1" t="s">
        <v>556</v>
      </c>
      <c r="K1663" s="1" t="s">
        <v>7747</v>
      </c>
      <c r="L1663" s="1">
        <v>3</v>
      </c>
      <c r="M1663" s="1">
        <v>16</v>
      </c>
      <c r="N1663" s="1" t="s">
        <v>56</v>
      </c>
      <c r="O1663" s="1" t="s">
        <v>31</v>
      </c>
      <c r="P1663" s="1" t="s">
        <v>30</v>
      </c>
      <c r="Q1663" s="1" t="s">
        <v>69</v>
      </c>
      <c r="R1663" s="1">
        <v>627.27</v>
      </c>
      <c r="S1663" s="1" t="s">
        <v>46</v>
      </c>
      <c r="T1663" s="1" t="s">
        <v>100</v>
      </c>
      <c r="U1663" s="1" t="s">
        <v>35</v>
      </c>
      <c r="V1663" s="1" t="s">
        <v>36</v>
      </c>
    </row>
    <row r="1664" spans="1:22" x14ac:dyDescent="0.3">
      <c r="A1664" s="1" t="s">
        <v>7748</v>
      </c>
      <c r="B1664" s="1" t="s">
        <v>7749</v>
      </c>
      <c r="C1664" s="1">
        <v>55</v>
      </c>
      <c r="D1664" s="1" t="s">
        <v>7750</v>
      </c>
      <c r="E1664" s="1" t="s">
        <v>88</v>
      </c>
      <c r="F1664" s="2">
        <v>44719</v>
      </c>
      <c r="G1664" s="1" t="s">
        <v>1976</v>
      </c>
      <c r="H1664" s="1">
        <v>4</v>
      </c>
      <c r="I1664" s="1" t="s">
        <v>27</v>
      </c>
      <c r="J1664" s="2">
        <v>44784</v>
      </c>
      <c r="K1664" s="1" t="s">
        <v>7751</v>
      </c>
      <c r="L1664" s="1">
        <v>4</v>
      </c>
      <c r="M1664" s="1">
        <v>22</v>
      </c>
      <c r="N1664" s="1" t="s">
        <v>45</v>
      </c>
      <c r="O1664" s="1" t="s">
        <v>116</v>
      </c>
      <c r="P1664" s="1" t="s">
        <v>54</v>
      </c>
      <c r="Q1664" s="1" t="s">
        <v>32</v>
      </c>
      <c r="R1664" s="1">
        <v>1178.56</v>
      </c>
      <c r="S1664" s="1" t="s">
        <v>46</v>
      </c>
      <c r="T1664" s="1" t="s">
        <v>47</v>
      </c>
      <c r="U1664" s="1" t="s">
        <v>35</v>
      </c>
      <c r="V1664" s="1" t="s">
        <v>188</v>
      </c>
    </row>
    <row r="1665" spans="1:22" x14ac:dyDescent="0.3">
      <c r="A1665" s="1" t="s">
        <v>7752</v>
      </c>
      <c r="B1665" s="1" t="s">
        <v>7753</v>
      </c>
      <c r="C1665" s="1">
        <v>51</v>
      </c>
      <c r="D1665" s="1" t="s">
        <v>7754</v>
      </c>
      <c r="E1665" s="1" t="s">
        <v>51</v>
      </c>
      <c r="F1665" s="1" t="s">
        <v>2522</v>
      </c>
      <c r="G1665" s="2">
        <v>45631</v>
      </c>
      <c r="H1665" s="1">
        <v>5</v>
      </c>
      <c r="I1665" s="1" t="s">
        <v>27</v>
      </c>
      <c r="J1665" s="1" t="s">
        <v>1552</v>
      </c>
      <c r="K1665" s="1" t="s">
        <v>7755</v>
      </c>
      <c r="L1665" s="1">
        <v>5</v>
      </c>
      <c r="M1665" s="1">
        <v>31</v>
      </c>
      <c r="N1665" s="1" t="s">
        <v>56</v>
      </c>
      <c r="O1665" s="1" t="s">
        <v>837</v>
      </c>
      <c r="P1665" s="1" t="s">
        <v>56</v>
      </c>
      <c r="Q1665" s="1" t="s">
        <v>32</v>
      </c>
      <c r="R1665" s="1">
        <v>735.1</v>
      </c>
      <c r="S1665" s="1" t="s">
        <v>33</v>
      </c>
      <c r="T1665" s="1" t="s">
        <v>47</v>
      </c>
      <c r="U1665" s="1" t="s">
        <v>35</v>
      </c>
      <c r="V1665" s="1" t="s">
        <v>188</v>
      </c>
    </row>
    <row r="1666" spans="1:22" x14ac:dyDescent="0.3">
      <c r="A1666" s="1" t="s">
        <v>7756</v>
      </c>
      <c r="B1666" s="1" t="s">
        <v>7757</v>
      </c>
      <c r="C1666" s="1">
        <v>64</v>
      </c>
      <c r="D1666" s="1" t="s">
        <v>7758</v>
      </c>
      <c r="E1666" s="1" t="s">
        <v>51</v>
      </c>
      <c r="F1666" s="2">
        <v>44355</v>
      </c>
      <c r="G1666" s="2">
        <v>45239</v>
      </c>
      <c r="H1666" s="1">
        <v>5</v>
      </c>
      <c r="I1666" s="1" t="s">
        <v>52</v>
      </c>
      <c r="J1666" s="1" t="s">
        <v>393</v>
      </c>
      <c r="K1666" s="1" t="s">
        <v>7759</v>
      </c>
      <c r="L1666" s="1">
        <v>6</v>
      </c>
      <c r="M1666" s="1">
        <v>19</v>
      </c>
      <c r="N1666" s="1" t="s">
        <v>56</v>
      </c>
      <c r="O1666" s="1" t="s">
        <v>149</v>
      </c>
      <c r="P1666" s="1" t="s">
        <v>30</v>
      </c>
      <c r="Q1666" s="1" t="s">
        <v>69</v>
      </c>
      <c r="R1666" s="1">
        <v>1965.66</v>
      </c>
      <c r="S1666" s="1" t="s">
        <v>46</v>
      </c>
      <c r="T1666" s="1" t="s">
        <v>47</v>
      </c>
      <c r="U1666" s="1" t="s">
        <v>35</v>
      </c>
      <c r="V1666" s="1" t="s">
        <v>36</v>
      </c>
    </row>
    <row r="1667" spans="1:22" x14ac:dyDescent="0.3">
      <c r="A1667" s="1" t="s">
        <v>7760</v>
      </c>
      <c r="B1667" s="1" t="s">
        <v>7761</v>
      </c>
      <c r="C1667" s="1">
        <v>64</v>
      </c>
      <c r="D1667" s="1" t="s">
        <v>7762</v>
      </c>
      <c r="E1667" s="1" t="s">
        <v>40</v>
      </c>
      <c r="F1667" s="2">
        <v>44387</v>
      </c>
      <c r="G1667" s="2">
        <v>45420</v>
      </c>
      <c r="H1667" s="1">
        <v>3</v>
      </c>
      <c r="I1667" s="1" t="s">
        <v>64</v>
      </c>
      <c r="J1667" s="1" t="s">
        <v>4283</v>
      </c>
      <c r="K1667" s="1" t="s">
        <v>7763</v>
      </c>
      <c r="L1667" s="1">
        <v>2</v>
      </c>
      <c r="M1667" s="1">
        <v>2</v>
      </c>
      <c r="N1667" s="1" t="s">
        <v>45</v>
      </c>
      <c r="O1667" s="1" t="s">
        <v>366</v>
      </c>
      <c r="P1667" s="1" t="s">
        <v>54</v>
      </c>
      <c r="Q1667" s="1" t="s">
        <v>69</v>
      </c>
      <c r="R1667" s="1">
        <v>1647.38</v>
      </c>
      <c r="S1667" s="1" t="s">
        <v>46</v>
      </c>
      <c r="T1667" s="1" t="s">
        <v>47</v>
      </c>
      <c r="U1667" s="1" t="s">
        <v>35</v>
      </c>
      <c r="V1667" s="1" t="s">
        <v>71</v>
      </c>
    </row>
    <row r="1668" spans="1:22" x14ac:dyDescent="0.3">
      <c r="A1668" s="1" t="s">
        <v>7764</v>
      </c>
      <c r="B1668" s="1" t="s">
        <v>7765</v>
      </c>
      <c r="C1668" s="1">
        <v>66</v>
      </c>
      <c r="D1668" s="1" t="s">
        <v>7766</v>
      </c>
      <c r="E1668" s="1" t="s">
        <v>40</v>
      </c>
      <c r="F1668" s="2">
        <v>45114</v>
      </c>
      <c r="G1668" s="1" t="s">
        <v>602</v>
      </c>
      <c r="H1668" s="1">
        <v>2</v>
      </c>
      <c r="I1668" s="1" t="s">
        <v>27</v>
      </c>
      <c r="J1668" s="2">
        <v>45329</v>
      </c>
      <c r="K1668" s="1" t="s">
        <v>7767</v>
      </c>
      <c r="L1668" s="1">
        <v>7</v>
      </c>
      <c r="M1668" s="1">
        <v>8</v>
      </c>
      <c r="N1668" s="1" t="s">
        <v>56</v>
      </c>
      <c r="O1668" s="1" t="s">
        <v>837</v>
      </c>
      <c r="P1668" s="1" t="s">
        <v>56</v>
      </c>
      <c r="Q1668" s="1" t="s">
        <v>32</v>
      </c>
      <c r="R1668" s="1">
        <v>140.28</v>
      </c>
      <c r="S1668" s="1" t="s">
        <v>33</v>
      </c>
      <c r="T1668" s="1" t="s">
        <v>232</v>
      </c>
      <c r="U1668" s="1" t="s">
        <v>101</v>
      </c>
      <c r="V1668" s="1" t="s">
        <v>36</v>
      </c>
    </row>
    <row r="1669" spans="1:22" x14ac:dyDescent="0.3">
      <c r="A1669" s="1" t="s">
        <v>7768</v>
      </c>
      <c r="B1669" s="1" t="s">
        <v>7769</v>
      </c>
      <c r="C1669" s="1">
        <v>32</v>
      </c>
      <c r="D1669" s="1" t="s">
        <v>7770</v>
      </c>
      <c r="E1669" s="1" t="s">
        <v>25</v>
      </c>
      <c r="F1669" s="2">
        <v>45205</v>
      </c>
      <c r="G1669" s="2">
        <v>45875</v>
      </c>
      <c r="H1669" s="1">
        <v>4</v>
      </c>
      <c r="I1669" s="1" t="s">
        <v>52</v>
      </c>
      <c r="J1669" s="2">
        <v>45114</v>
      </c>
      <c r="K1669" s="1" t="s">
        <v>7771</v>
      </c>
      <c r="L1669" s="1">
        <v>9</v>
      </c>
      <c r="M1669" s="1">
        <v>22</v>
      </c>
      <c r="N1669" s="1" t="s">
        <v>56</v>
      </c>
      <c r="O1669" s="1" t="s">
        <v>55</v>
      </c>
      <c r="P1669" s="1" t="s">
        <v>56</v>
      </c>
      <c r="Q1669" s="1" t="s">
        <v>32</v>
      </c>
      <c r="R1669" s="1">
        <v>1577.07</v>
      </c>
      <c r="S1669" s="1" t="s">
        <v>33</v>
      </c>
      <c r="T1669" s="1" t="s">
        <v>57</v>
      </c>
      <c r="U1669" s="1" t="s">
        <v>35</v>
      </c>
      <c r="V1669" s="1" t="s">
        <v>36</v>
      </c>
    </row>
    <row r="1670" spans="1:22" x14ac:dyDescent="0.3">
      <c r="A1670" s="1" t="s">
        <v>7772</v>
      </c>
      <c r="B1670" s="1" t="s">
        <v>7773</v>
      </c>
      <c r="C1670" s="1">
        <v>55</v>
      </c>
      <c r="D1670" s="1" t="s">
        <v>7774</v>
      </c>
      <c r="E1670" s="1" t="s">
        <v>88</v>
      </c>
      <c r="F1670" s="2">
        <v>44197</v>
      </c>
      <c r="G1670" s="2">
        <v>45628</v>
      </c>
      <c r="H1670" s="1">
        <v>5</v>
      </c>
      <c r="I1670" s="1" t="s">
        <v>27</v>
      </c>
      <c r="J1670" s="1" t="s">
        <v>4693</v>
      </c>
      <c r="K1670" s="1" t="s">
        <v>7775</v>
      </c>
      <c r="L1670" s="1">
        <v>5</v>
      </c>
      <c r="M1670" s="1">
        <v>34</v>
      </c>
      <c r="N1670" s="1" t="s">
        <v>54</v>
      </c>
      <c r="O1670" s="1" t="s">
        <v>597</v>
      </c>
      <c r="P1670" s="1" t="s">
        <v>45</v>
      </c>
      <c r="Q1670" s="1" t="s">
        <v>69</v>
      </c>
      <c r="R1670" s="1">
        <v>1650.4</v>
      </c>
      <c r="S1670" s="1" t="s">
        <v>46</v>
      </c>
      <c r="T1670" s="1" t="s">
        <v>47</v>
      </c>
      <c r="U1670" s="1" t="s">
        <v>35</v>
      </c>
      <c r="V1670" s="1" t="s">
        <v>188</v>
      </c>
    </row>
    <row r="1671" spans="1:22" x14ac:dyDescent="0.3">
      <c r="A1671" s="1" t="s">
        <v>7776</v>
      </c>
      <c r="B1671" s="1" t="s">
        <v>7777</v>
      </c>
      <c r="C1671" s="1">
        <v>59</v>
      </c>
      <c r="D1671" s="1" t="s">
        <v>7778</v>
      </c>
      <c r="E1671" s="1" t="s">
        <v>40</v>
      </c>
      <c r="F1671" s="2">
        <v>45111</v>
      </c>
      <c r="G1671" s="2">
        <v>44964</v>
      </c>
      <c r="H1671" s="1">
        <v>5</v>
      </c>
      <c r="I1671" s="1" t="s">
        <v>64</v>
      </c>
      <c r="J1671" s="1" t="s">
        <v>2957</v>
      </c>
      <c r="K1671" s="1" t="s">
        <v>7779</v>
      </c>
      <c r="L1671" s="1">
        <v>2</v>
      </c>
      <c r="M1671" s="1">
        <v>36</v>
      </c>
      <c r="N1671" s="1" t="s">
        <v>45</v>
      </c>
      <c r="O1671" s="1" t="s">
        <v>116</v>
      </c>
      <c r="P1671" s="1" t="s">
        <v>54</v>
      </c>
      <c r="Q1671" s="1" t="s">
        <v>69</v>
      </c>
      <c r="R1671" s="1">
        <v>480.08</v>
      </c>
      <c r="S1671" s="1" t="s">
        <v>46</v>
      </c>
      <c r="T1671" s="1" t="s">
        <v>47</v>
      </c>
      <c r="U1671" s="1" t="s">
        <v>35</v>
      </c>
      <c r="V1671" s="1" t="s">
        <v>71</v>
      </c>
    </row>
    <row r="1672" spans="1:22" x14ac:dyDescent="0.3">
      <c r="A1672" s="1" t="s">
        <v>7780</v>
      </c>
      <c r="B1672" s="1" t="s">
        <v>7781</v>
      </c>
      <c r="C1672" s="1">
        <v>24</v>
      </c>
      <c r="D1672" s="1" t="s">
        <v>7782</v>
      </c>
      <c r="E1672" s="1" t="s">
        <v>51</v>
      </c>
      <c r="F1672" s="1" t="s">
        <v>6770</v>
      </c>
      <c r="G1672" s="2">
        <v>44663</v>
      </c>
      <c r="H1672" s="1">
        <v>0</v>
      </c>
      <c r="I1672" s="1" t="s">
        <v>27</v>
      </c>
      <c r="J1672" s="1" t="s">
        <v>1606</v>
      </c>
      <c r="K1672" s="1" t="s">
        <v>7783</v>
      </c>
      <c r="L1672" s="1">
        <v>9</v>
      </c>
      <c r="M1672" s="1">
        <v>47</v>
      </c>
      <c r="N1672" s="1" t="s">
        <v>45</v>
      </c>
      <c r="O1672" s="1" t="s">
        <v>128</v>
      </c>
      <c r="P1672" s="1" t="s">
        <v>54</v>
      </c>
      <c r="Q1672" s="1" t="s">
        <v>32</v>
      </c>
      <c r="R1672" s="1">
        <v>33.119999999999997</v>
      </c>
      <c r="S1672" s="1" t="s">
        <v>46</v>
      </c>
      <c r="T1672" s="1" t="s">
        <v>100</v>
      </c>
      <c r="U1672" s="1" t="s">
        <v>101</v>
      </c>
      <c r="V1672" s="1" t="s">
        <v>36</v>
      </c>
    </row>
    <row r="1673" spans="1:22" x14ac:dyDescent="0.3">
      <c r="A1673" s="1" t="s">
        <v>7784</v>
      </c>
      <c r="B1673" s="1" t="s">
        <v>7785</v>
      </c>
      <c r="C1673" s="1">
        <v>66</v>
      </c>
      <c r="D1673" s="1" t="s">
        <v>7786</v>
      </c>
      <c r="E1673" s="1" t="s">
        <v>25</v>
      </c>
      <c r="F1673" s="1" t="s">
        <v>4533</v>
      </c>
      <c r="G1673" s="1" t="s">
        <v>653</v>
      </c>
      <c r="H1673" s="1">
        <v>3</v>
      </c>
      <c r="I1673" s="1" t="s">
        <v>27</v>
      </c>
      <c r="J1673" s="2">
        <v>45207</v>
      </c>
      <c r="K1673" s="1" t="s">
        <v>7787</v>
      </c>
      <c r="L1673" s="1">
        <v>2</v>
      </c>
      <c r="M1673" s="1">
        <v>37</v>
      </c>
      <c r="N1673" s="1" t="s">
        <v>45</v>
      </c>
      <c r="O1673" s="1" t="s">
        <v>211</v>
      </c>
      <c r="P1673" s="1" t="s">
        <v>68</v>
      </c>
      <c r="Q1673" s="1" t="s">
        <v>32</v>
      </c>
      <c r="R1673" s="1">
        <v>647.78</v>
      </c>
      <c r="S1673" s="1" t="s">
        <v>46</v>
      </c>
      <c r="T1673" s="1" t="s">
        <v>232</v>
      </c>
      <c r="U1673" s="1" t="s">
        <v>35</v>
      </c>
      <c r="V1673" s="1" t="s">
        <v>36</v>
      </c>
    </row>
    <row r="1674" spans="1:22" x14ac:dyDescent="0.3">
      <c r="A1674" s="1" t="s">
        <v>7788</v>
      </c>
      <c r="B1674" s="1" t="s">
        <v>7789</v>
      </c>
      <c r="C1674" s="1">
        <v>48</v>
      </c>
      <c r="D1674" s="1" t="s">
        <v>7790</v>
      </c>
      <c r="E1674" s="1" t="s">
        <v>88</v>
      </c>
      <c r="F1674" s="1" t="s">
        <v>3087</v>
      </c>
      <c r="G1674" s="2">
        <v>45997</v>
      </c>
      <c r="H1674" s="1">
        <v>4</v>
      </c>
      <c r="I1674" s="1" t="s">
        <v>52</v>
      </c>
      <c r="J1674" s="1" t="s">
        <v>1095</v>
      </c>
      <c r="K1674" s="1" t="s">
        <v>7791</v>
      </c>
      <c r="L1674" s="1">
        <v>9</v>
      </c>
      <c r="M1674" s="1">
        <v>34</v>
      </c>
      <c r="N1674" s="1" t="s">
        <v>54</v>
      </c>
      <c r="O1674" s="1" t="s">
        <v>157</v>
      </c>
      <c r="P1674" s="1" t="s">
        <v>68</v>
      </c>
      <c r="Q1674" s="1" t="s">
        <v>32</v>
      </c>
      <c r="R1674" s="1">
        <v>263.33999999999997</v>
      </c>
      <c r="S1674" s="1" t="s">
        <v>46</v>
      </c>
      <c r="T1674" s="1" t="s">
        <v>34</v>
      </c>
      <c r="U1674" s="1" t="s">
        <v>35</v>
      </c>
      <c r="V1674" s="1" t="s">
        <v>36</v>
      </c>
    </row>
    <row r="1675" spans="1:22" x14ac:dyDescent="0.3">
      <c r="A1675" s="1" t="s">
        <v>7792</v>
      </c>
      <c r="B1675" s="1" t="s">
        <v>7793</v>
      </c>
      <c r="C1675" s="1">
        <v>22</v>
      </c>
      <c r="D1675" s="1" t="s">
        <v>7794</v>
      </c>
      <c r="E1675" s="1" t="s">
        <v>51</v>
      </c>
      <c r="F1675" s="2">
        <v>44719</v>
      </c>
      <c r="G1675" s="1" t="s">
        <v>2983</v>
      </c>
      <c r="H1675" s="1">
        <v>3</v>
      </c>
      <c r="I1675" s="1" t="s">
        <v>64</v>
      </c>
      <c r="J1675" s="2">
        <v>45359</v>
      </c>
      <c r="K1675" s="1" t="s">
        <v>7795</v>
      </c>
      <c r="L1675" s="1">
        <v>5</v>
      </c>
      <c r="M1675" s="1">
        <v>2</v>
      </c>
      <c r="N1675" s="1" t="s">
        <v>56</v>
      </c>
      <c r="O1675" s="1" t="s">
        <v>211</v>
      </c>
      <c r="P1675" s="1" t="s">
        <v>68</v>
      </c>
      <c r="Q1675" s="1" t="s">
        <v>32</v>
      </c>
      <c r="R1675" s="1">
        <v>595.6</v>
      </c>
      <c r="S1675" s="1" t="s">
        <v>46</v>
      </c>
      <c r="T1675" s="1" t="s">
        <v>100</v>
      </c>
      <c r="U1675" s="1" t="s">
        <v>101</v>
      </c>
      <c r="V1675" s="1" t="s">
        <v>71</v>
      </c>
    </row>
    <row r="1676" spans="1:22" x14ac:dyDescent="0.3">
      <c r="A1676" s="1" t="s">
        <v>7796</v>
      </c>
      <c r="B1676" s="1" t="s">
        <v>7797</v>
      </c>
      <c r="C1676" s="1">
        <v>66</v>
      </c>
      <c r="D1676" s="1" t="s">
        <v>7798</v>
      </c>
      <c r="E1676" s="1" t="s">
        <v>95</v>
      </c>
      <c r="F1676" s="1" t="s">
        <v>1085</v>
      </c>
      <c r="G1676" s="1" t="s">
        <v>1685</v>
      </c>
      <c r="H1676" s="1">
        <v>5</v>
      </c>
      <c r="I1676" s="1" t="s">
        <v>27</v>
      </c>
      <c r="J1676" s="1" t="s">
        <v>3559</v>
      </c>
      <c r="K1676" s="1" t="s">
        <v>7799</v>
      </c>
      <c r="L1676" s="1">
        <v>8</v>
      </c>
      <c r="M1676" s="1">
        <v>42</v>
      </c>
      <c r="N1676" s="1" t="s">
        <v>45</v>
      </c>
      <c r="O1676" s="1" t="s">
        <v>245</v>
      </c>
      <c r="P1676" s="1" t="s">
        <v>54</v>
      </c>
      <c r="Q1676" s="1" t="s">
        <v>69</v>
      </c>
      <c r="R1676" s="1">
        <v>1250.08</v>
      </c>
      <c r="S1676" s="1" t="s">
        <v>46</v>
      </c>
      <c r="T1676" s="1" t="s">
        <v>232</v>
      </c>
      <c r="U1676" s="1" t="s">
        <v>35</v>
      </c>
      <c r="V1676" s="1" t="s">
        <v>188</v>
      </c>
    </row>
    <row r="1677" spans="1:22" x14ac:dyDescent="0.3">
      <c r="A1677" s="1" t="s">
        <v>7800</v>
      </c>
      <c r="B1677" s="1" t="s">
        <v>7801</v>
      </c>
      <c r="C1677" s="1">
        <v>28</v>
      </c>
      <c r="D1677" s="1" t="s">
        <v>7802</v>
      </c>
      <c r="E1677" s="1" t="s">
        <v>95</v>
      </c>
      <c r="F1677" s="2">
        <v>44237</v>
      </c>
      <c r="G1677" s="1" t="s">
        <v>1553</v>
      </c>
      <c r="H1677" s="1">
        <v>4</v>
      </c>
      <c r="I1677" s="1" t="s">
        <v>64</v>
      </c>
      <c r="J1677" s="1" t="s">
        <v>7278</v>
      </c>
      <c r="K1677" s="1" t="s">
        <v>7803</v>
      </c>
      <c r="L1677" s="1">
        <v>6</v>
      </c>
      <c r="M1677" s="1">
        <v>3</v>
      </c>
      <c r="N1677" s="1" t="s">
        <v>54</v>
      </c>
      <c r="O1677" s="1" t="s">
        <v>373</v>
      </c>
      <c r="P1677" s="1" t="s">
        <v>54</v>
      </c>
      <c r="Q1677" s="1" t="s">
        <v>69</v>
      </c>
      <c r="R1677" s="1">
        <v>812.82</v>
      </c>
      <c r="S1677" s="1" t="s">
        <v>33</v>
      </c>
      <c r="T1677" s="1" t="s">
        <v>57</v>
      </c>
      <c r="U1677" s="1" t="s">
        <v>101</v>
      </c>
      <c r="V1677" s="1" t="s">
        <v>71</v>
      </c>
    </row>
    <row r="1678" spans="1:22" x14ac:dyDescent="0.3">
      <c r="A1678" s="1" t="s">
        <v>7804</v>
      </c>
      <c r="B1678" s="1" t="s">
        <v>7805</v>
      </c>
      <c r="C1678" s="1">
        <v>48</v>
      </c>
      <c r="D1678" s="1" t="s">
        <v>7806</v>
      </c>
      <c r="E1678" s="1" t="s">
        <v>25</v>
      </c>
      <c r="F1678" s="2">
        <v>43932</v>
      </c>
      <c r="G1678" s="1" t="s">
        <v>2219</v>
      </c>
      <c r="H1678" s="1">
        <v>3</v>
      </c>
      <c r="I1678" s="1" t="s">
        <v>27</v>
      </c>
      <c r="J1678" s="2">
        <v>44323</v>
      </c>
      <c r="K1678" s="1" t="s">
        <v>7807</v>
      </c>
      <c r="L1678" s="1">
        <v>2</v>
      </c>
      <c r="M1678" s="1">
        <v>25</v>
      </c>
      <c r="N1678" s="1" t="s">
        <v>68</v>
      </c>
      <c r="O1678" s="1" t="s">
        <v>223</v>
      </c>
      <c r="P1678" s="1" t="s">
        <v>56</v>
      </c>
      <c r="Q1678" s="1" t="s">
        <v>69</v>
      </c>
      <c r="R1678" s="1">
        <v>1629.62</v>
      </c>
      <c r="S1678" s="1" t="s">
        <v>46</v>
      </c>
      <c r="T1678" s="1" t="s">
        <v>34</v>
      </c>
      <c r="U1678" s="1" t="s">
        <v>35</v>
      </c>
      <c r="V1678" s="1" t="s">
        <v>36</v>
      </c>
    </row>
    <row r="1679" spans="1:22" x14ac:dyDescent="0.3">
      <c r="A1679" s="1" t="s">
        <v>7808</v>
      </c>
      <c r="B1679" s="1" t="s">
        <v>7809</v>
      </c>
      <c r="C1679" s="1">
        <v>35</v>
      </c>
      <c r="D1679" s="1" t="s">
        <v>7810</v>
      </c>
      <c r="E1679" s="1" t="s">
        <v>61</v>
      </c>
      <c r="F1679" s="1" t="s">
        <v>4073</v>
      </c>
      <c r="G1679" s="2">
        <v>45174</v>
      </c>
      <c r="H1679" s="1">
        <v>0</v>
      </c>
      <c r="I1679" s="1" t="s">
        <v>27</v>
      </c>
      <c r="J1679" s="1" t="s">
        <v>2643</v>
      </c>
      <c r="K1679" s="1" t="s">
        <v>7811</v>
      </c>
      <c r="L1679" s="1">
        <v>2</v>
      </c>
      <c r="M1679" s="1">
        <v>43</v>
      </c>
      <c r="N1679" s="1" t="s">
        <v>68</v>
      </c>
      <c r="O1679" s="1" t="s">
        <v>128</v>
      </c>
      <c r="P1679" s="1" t="s">
        <v>54</v>
      </c>
      <c r="Q1679" s="1" t="s">
        <v>32</v>
      </c>
      <c r="R1679" s="1">
        <v>807.72</v>
      </c>
      <c r="S1679" s="1" t="s">
        <v>46</v>
      </c>
      <c r="T1679" s="1" t="s">
        <v>34</v>
      </c>
      <c r="U1679" s="1" t="s">
        <v>35</v>
      </c>
      <c r="V1679" s="1" t="s">
        <v>36</v>
      </c>
    </row>
    <row r="1680" spans="1:22" x14ac:dyDescent="0.3">
      <c r="A1680" s="1" t="s">
        <v>7812</v>
      </c>
      <c r="B1680" s="1" t="s">
        <v>7813</v>
      </c>
      <c r="C1680" s="1">
        <v>27</v>
      </c>
      <c r="D1680" s="1" t="s">
        <v>7814</v>
      </c>
      <c r="E1680" s="1" t="s">
        <v>40</v>
      </c>
      <c r="F1680" s="2">
        <v>44506</v>
      </c>
      <c r="G1680" s="1" t="s">
        <v>659</v>
      </c>
      <c r="H1680" s="1">
        <v>0</v>
      </c>
      <c r="I1680" s="1" t="s">
        <v>27</v>
      </c>
      <c r="J1680" s="1" t="s">
        <v>290</v>
      </c>
      <c r="K1680" s="1" t="s">
        <v>7815</v>
      </c>
      <c r="L1680" s="1">
        <v>6</v>
      </c>
      <c r="M1680" s="1">
        <v>48</v>
      </c>
      <c r="N1680" s="1" t="s">
        <v>54</v>
      </c>
      <c r="O1680" s="1" t="s">
        <v>536</v>
      </c>
      <c r="P1680" s="1" t="s">
        <v>68</v>
      </c>
      <c r="Q1680" s="1" t="s">
        <v>32</v>
      </c>
      <c r="R1680" s="1">
        <v>981.3</v>
      </c>
      <c r="S1680" s="1" t="s">
        <v>46</v>
      </c>
      <c r="T1680" s="1" t="s">
        <v>57</v>
      </c>
      <c r="U1680" s="1" t="s">
        <v>35</v>
      </c>
      <c r="V1680" s="1" t="s">
        <v>36</v>
      </c>
    </row>
    <row r="1681" spans="1:22" x14ac:dyDescent="0.3">
      <c r="A1681" s="1" t="s">
        <v>7816</v>
      </c>
      <c r="B1681" s="1" t="s">
        <v>7817</v>
      </c>
      <c r="C1681" s="1">
        <v>24</v>
      </c>
      <c r="D1681" s="1" t="s">
        <v>7818</v>
      </c>
      <c r="E1681" s="1" t="s">
        <v>88</v>
      </c>
      <c r="F1681" s="1" t="s">
        <v>894</v>
      </c>
      <c r="G1681" s="1" t="s">
        <v>6511</v>
      </c>
      <c r="H1681" s="1">
        <v>2</v>
      </c>
      <c r="I1681" s="1" t="s">
        <v>64</v>
      </c>
      <c r="J1681" s="2">
        <v>45631</v>
      </c>
      <c r="K1681" s="1" t="s">
        <v>7819</v>
      </c>
      <c r="L1681" s="1">
        <v>5</v>
      </c>
      <c r="M1681" s="1">
        <v>32</v>
      </c>
      <c r="N1681" s="1" t="s">
        <v>54</v>
      </c>
      <c r="O1681" s="1" t="s">
        <v>223</v>
      </c>
      <c r="P1681" s="1" t="s">
        <v>56</v>
      </c>
      <c r="Q1681" s="1" t="s">
        <v>32</v>
      </c>
      <c r="R1681" s="1">
        <v>375.35</v>
      </c>
      <c r="S1681" s="1" t="s">
        <v>46</v>
      </c>
      <c r="T1681" s="1" t="s">
        <v>100</v>
      </c>
      <c r="U1681" s="1" t="s">
        <v>35</v>
      </c>
      <c r="V1681" s="1" t="s">
        <v>71</v>
      </c>
    </row>
    <row r="1682" spans="1:22" x14ac:dyDescent="0.3">
      <c r="A1682" s="1" t="s">
        <v>7820</v>
      </c>
      <c r="B1682" s="1" t="s">
        <v>7821</v>
      </c>
      <c r="C1682" s="1">
        <v>69</v>
      </c>
      <c r="D1682" s="1" t="s">
        <v>7822</v>
      </c>
      <c r="E1682" s="1" t="s">
        <v>51</v>
      </c>
      <c r="F1682" s="2">
        <v>44897</v>
      </c>
      <c r="G1682" s="2">
        <v>44808</v>
      </c>
      <c r="H1682" s="1">
        <v>0</v>
      </c>
      <c r="I1682" s="1" t="s">
        <v>27</v>
      </c>
      <c r="J1682" s="1" t="s">
        <v>1006</v>
      </c>
      <c r="K1682" s="1" t="s">
        <v>7823</v>
      </c>
      <c r="L1682" s="1">
        <v>8</v>
      </c>
      <c r="M1682" s="1">
        <v>1</v>
      </c>
      <c r="N1682" s="1" t="s">
        <v>56</v>
      </c>
      <c r="O1682" s="1" t="s">
        <v>128</v>
      </c>
      <c r="P1682" s="1" t="s">
        <v>54</v>
      </c>
      <c r="Q1682" s="1" t="s">
        <v>32</v>
      </c>
      <c r="R1682" s="1">
        <v>949.12</v>
      </c>
      <c r="S1682" s="1" t="s">
        <v>46</v>
      </c>
      <c r="T1682" s="1" t="s">
        <v>232</v>
      </c>
      <c r="U1682" s="1" t="s">
        <v>101</v>
      </c>
      <c r="V1682" s="1" t="s">
        <v>36</v>
      </c>
    </row>
    <row r="1683" spans="1:22" x14ac:dyDescent="0.3">
      <c r="A1683" s="1" t="s">
        <v>7824</v>
      </c>
      <c r="B1683" s="1" t="s">
        <v>7825</v>
      </c>
      <c r="C1683" s="1">
        <v>65</v>
      </c>
      <c r="D1683" s="1" t="s">
        <v>7826</v>
      </c>
      <c r="E1683" s="1" t="s">
        <v>95</v>
      </c>
      <c r="F1683" s="2">
        <v>44202</v>
      </c>
      <c r="G1683" s="1" t="s">
        <v>6840</v>
      </c>
      <c r="H1683" s="1">
        <v>4</v>
      </c>
      <c r="I1683" s="1" t="s">
        <v>27</v>
      </c>
      <c r="J1683" s="2">
        <v>44480</v>
      </c>
      <c r="K1683" s="1" t="s">
        <v>7827</v>
      </c>
      <c r="L1683" s="1">
        <v>7</v>
      </c>
      <c r="M1683" s="1">
        <v>34</v>
      </c>
      <c r="N1683" s="1" t="s">
        <v>68</v>
      </c>
      <c r="O1683" s="1" t="s">
        <v>855</v>
      </c>
      <c r="P1683" s="1" t="s">
        <v>45</v>
      </c>
      <c r="Q1683" s="1" t="s">
        <v>32</v>
      </c>
      <c r="R1683" s="1">
        <v>373.59</v>
      </c>
      <c r="S1683" s="1" t="s">
        <v>46</v>
      </c>
      <c r="T1683" s="1" t="s">
        <v>232</v>
      </c>
      <c r="U1683" s="1" t="s">
        <v>35</v>
      </c>
      <c r="V1683" s="1" t="s">
        <v>188</v>
      </c>
    </row>
    <row r="1684" spans="1:22" x14ac:dyDescent="0.3">
      <c r="A1684" s="1" t="s">
        <v>7828</v>
      </c>
      <c r="B1684" s="1" t="s">
        <v>7829</v>
      </c>
      <c r="C1684" s="1">
        <v>65</v>
      </c>
      <c r="D1684" s="1" t="s">
        <v>7830</v>
      </c>
      <c r="E1684" s="1" t="s">
        <v>95</v>
      </c>
      <c r="F1684" s="2">
        <v>44929</v>
      </c>
      <c r="G1684" s="2">
        <v>45416</v>
      </c>
      <c r="H1684" s="1">
        <v>3</v>
      </c>
      <c r="I1684" s="1" t="s">
        <v>27</v>
      </c>
      <c r="J1684" s="2">
        <v>45547</v>
      </c>
      <c r="K1684" s="1" t="s">
        <v>7831</v>
      </c>
      <c r="L1684" s="1">
        <v>6</v>
      </c>
      <c r="M1684" s="1">
        <v>38</v>
      </c>
      <c r="N1684" s="1" t="s">
        <v>56</v>
      </c>
      <c r="O1684" s="1" t="s">
        <v>149</v>
      </c>
      <c r="P1684" s="1" t="s">
        <v>30</v>
      </c>
      <c r="Q1684" s="1" t="s">
        <v>32</v>
      </c>
      <c r="R1684" s="1">
        <v>607.67999999999995</v>
      </c>
      <c r="S1684" s="1" t="s">
        <v>46</v>
      </c>
      <c r="T1684" s="1" t="s">
        <v>232</v>
      </c>
      <c r="U1684" s="1" t="s">
        <v>35</v>
      </c>
      <c r="V1684" s="1" t="s">
        <v>36</v>
      </c>
    </row>
    <row r="1685" spans="1:22" x14ac:dyDescent="0.3">
      <c r="A1685" s="1" t="s">
        <v>7832</v>
      </c>
      <c r="B1685" s="1" t="s">
        <v>7833</v>
      </c>
      <c r="C1685" s="1">
        <v>55</v>
      </c>
      <c r="D1685" s="1" t="s">
        <v>7834</v>
      </c>
      <c r="E1685" s="1" t="s">
        <v>40</v>
      </c>
      <c r="F1685" s="2">
        <v>45048</v>
      </c>
      <c r="G1685" s="1" t="s">
        <v>7835</v>
      </c>
      <c r="H1685" s="1">
        <v>4</v>
      </c>
      <c r="I1685" s="1" t="s">
        <v>27</v>
      </c>
      <c r="J1685" s="1" t="s">
        <v>4302</v>
      </c>
      <c r="K1685" s="1" t="s">
        <v>7836</v>
      </c>
      <c r="L1685" s="1">
        <v>5</v>
      </c>
      <c r="M1685" s="1">
        <v>48</v>
      </c>
      <c r="N1685" s="1" t="s">
        <v>45</v>
      </c>
      <c r="O1685" s="1" t="s">
        <v>245</v>
      </c>
      <c r="P1685" s="1" t="s">
        <v>54</v>
      </c>
      <c r="Q1685" s="1" t="s">
        <v>69</v>
      </c>
      <c r="R1685" s="1">
        <v>430.05</v>
      </c>
      <c r="S1685" s="1" t="s">
        <v>46</v>
      </c>
      <c r="T1685" s="1" t="s">
        <v>47</v>
      </c>
      <c r="U1685" s="1" t="s">
        <v>35</v>
      </c>
      <c r="V1685" s="1" t="s">
        <v>188</v>
      </c>
    </row>
    <row r="1686" spans="1:22" x14ac:dyDescent="0.3">
      <c r="A1686" s="1" t="s">
        <v>7837</v>
      </c>
      <c r="B1686" s="1" t="s">
        <v>7838</v>
      </c>
      <c r="C1686" s="1">
        <v>26</v>
      </c>
      <c r="D1686" s="1" t="s">
        <v>7839</v>
      </c>
      <c r="E1686" s="1" t="s">
        <v>61</v>
      </c>
      <c r="F1686" s="1" t="s">
        <v>2679</v>
      </c>
      <c r="G1686" s="1" t="s">
        <v>364</v>
      </c>
      <c r="H1686" s="1">
        <v>3</v>
      </c>
      <c r="I1686" s="1" t="s">
        <v>27</v>
      </c>
      <c r="J1686" s="2">
        <v>45536</v>
      </c>
      <c r="K1686" s="1" t="s">
        <v>7840</v>
      </c>
      <c r="L1686" s="1">
        <v>5</v>
      </c>
      <c r="M1686" s="1">
        <v>11</v>
      </c>
      <c r="N1686" s="1" t="s">
        <v>45</v>
      </c>
      <c r="O1686" s="1" t="s">
        <v>855</v>
      </c>
      <c r="P1686" s="1" t="s">
        <v>45</v>
      </c>
      <c r="Q1686" s="1" t="s">
        <v>69</v>
      </c>
      <c r="R1686" s="1">
        <v>1534.25</v>
      </c>
      <c r="S1686" s="1" t="s">
        <v>33</v>
      </c>
      <c r="T1686" s="1" t="s">
        <v>57</v>
      </c>
      <c r="U1686" s="1" t="s">
        <v>35</v>
      </c>
      <c r="V1686" s="1" t="s">
        <v>36</v>
      </c>
    </row>
    <row r="1687" spans="1:22" x14ac:dyDescent="0.3">
      <c r="A1687" s="1" t="s">
        <v>7841</v>
      </c>
      <c r="B1687" s="1" t="s">
        <v>7842</v>
      </c>
      <c r="C1687" s="1">
        <v>20</v>
      </c>
      <c r="D1687" s="1" t="s">
        <v>7843</v>
      </c>
      <c r="E1687" s="1" t="s">
        <v>25</v>
      </c>
      <c r="F1687" s="1" t="s">
        <v>2549</v>
      </c>
      <c r="G1687" s="1" t="s">
        <v>4909</v>
      </c>
      <c r="H1687" s="1">
        <v>1</v>
      </c>
      <c r="I1687" s="1" t="s">
        <v>27</v>
      </c>
      <c r="J1687" s="1" t="s">
        <v>2152</v>
      </c>
      <c r="K1687" s="1" t="s">
        <v>7844</v>
      </c>
      <c r="L1687" s="1">
        <v>3</v>
      </c>
      <c r="M1687" s="1">
        <v>27</v>
      </c>
      <c r="N1687" s="1" t="s">
        <v>68</v>
      </c>
      <c r="O1687" s="1" t="s">
        <v>366</v>
      </c>
      <c r="P1687" s="1" t="s">
        <v>54</v>
      </c>
      <c r="Q1687" s="1" t="s">
        <v>322</v>
      </c>
      <c r="R1687" s="1">
        <v>531.57000000000005</v>
      </c>
      <c r="S1687" s="1" t="s">
        <v>46</v>
      </c>
      <c r="T1687" s="1" t="s">
        <v>100</v>
      </c>
      <c r="U1687" s="1" t="s">
        <v>35</v>
      </c>
      <c r="V1687" s="1" t="s">
        <v>36</v>
      </c>
    </row>
    <row r="1688" spans="1:22" x14ac:dyDescent="0.3">
      <c r="A1688" s="1" t="s">
        <v>7845</v>
      </c>
      <c r="B1688" s="1" t="s">
        <v>7846</v>
      </c>
      <c r="C1688" s="1">
        <v>51</v>
      </c>
      <c r="D1688" s="1" t="s">
        <v>7847</v>
      </c>
      <c r="E1688" s="1" t="s">
        <v>51</v>
      </c>
      <c r="F1688" s="1" t="s">
        <v>2538</v>
      </c>
      <c r="G1688" s="2">
        <v>45115</v>
      </c>
      <c r="H1688" s="1">
        <v>0</v>
      </c>
      <c r="I1688" s="1" t="s">
        <v>52</v>
      </c>
      <c r="J1688" s="1" t="s">
        <v>2609</v>
      </c>
      <c r="K1688" s="1" t="s">
        <v>7848</v>
      </c>
      <c r="L1688" s="1">
        <v>1</v>
      </c>
      <c r="M1688" s="1">
        <v>32</v>
      </c>
      <c r="N1688" s="1" t="s">
        <v>45</v>
      </c>
      <c r="O1688" s="1" t="s">
        <v>99</v>
      </c>
      <c r="P1688" s="1" t="s">
        <v>56</v>
      </c>
      <c r="Q1688" s="1" t="s">
        <v>32</v>
      </c>
      <c r="R1688" s="1">
        <v>1804.28</v>
      </c>
      <c r="S1688" s="1" t="s">
        <v>46</v>
      </c>
      <c r="T1688" s="1" t="s">
        <v>47</v>
      </c>
      <c r="U1688" s="1" t="s">
        <v>35</v>
      </c>
      <c r="V1688" s="1" t="s">
        <v>36</v>
      </c>
    </row>
    <row r="1689" spans="1:22" x14ac:dyDescent="0.3">
      <c r="A1689" s="1" t="s">
        <v>7849</v>
      </c>
      <c r="B1689" s="1" t="s">
        <v>7850</v>
      </c>
      <c r="C1689" s="1">
        <v>35</v>
      </c>
      <c r="D1689" s="1" t="s">
        <v>7851</v>
      </c>
      <c r="E1689" s="1" t="s">
        <v>95</v>
      </c>
      <c r="F1689" s="1" t="s">
        <v>2933</v>
      </c>
      <c r="G1689" s="1" t="s">
        <v>319</v>
      </c>
      <c r="H1689" s="1">
        <v>0</v>
      </c>
      <c r="I1689" s="1" t="s">
        <v>64</v>
      </c>
      <c r="J1689" s="2">
        <v>45693</v>
      </c>
      <c r="K1689" s="1" t="s">
        <v>7852</v>
      </c>
      <c r="L1689" s="1">
        <v>4</v>
      </c>
      <c r="M1689" s="1">
        <v>2</v>
      </c>
      <c r="N1689" s="1" t="s">
        <v>54</v>
      </c>
      <c r="O1689" s="1" t="s">
        <v>238</v>
      </c>
      <c r="P1689" s="1" t="s">
        <v>45</v>
      </c>
      <c r="Q1689" s="1" t="s">
        <v>69</v>
      </c>
      <c r="R1689" s="1">
        <v>102.52</v>
      </c>
      <c r="S1689" s="1" t="s">
        <v>46</v>
      </c>
      <c r="T1689" s="1" t="s">
        <v>34</v>
      </c>
      <c r="U1689" s="1" t="s">
        <v>70</v>
      </c>
      <c r="V1689" s="1" t="s">
        <v>71</v>
      </c>
    </row>
    <row r="1690" spans="1:22" x14ac:dyDescent="0.3">
      <c r="A1690" s="1" t="s">
        <v>7853</v>
      </c>
      <c r="B1690" s="1" t="s">
        <v>7854</v>
      </c>
      <c r="C1690" s="1">
        <v>58</v>
      </c>
      <c r="D1690" s="1" t="s">
        <v>7855</v>
      </c>
      <c r="E1690" s="1" t="s">
        <v>40</v>
      </c>
      <c r="F1690" s="1" t="s">
        <v>6356</v>
      </c>
      <c r="G1690" s="2">
        <v>44477</v>
      </c>
      <c r="H1690" s="1">
        <v>2</v>
      </c>
      <c r="I1690" s="1" t="s">
        <v>27</v>
      </c>
      <c r="J1690" s="1" t="s">
        <v>664</v>
      </c>
      <c r="K1690" s="1" t="s">
        <v>7856</v>
      </c>
      <c r="L1690" s="1">
        <v>6</v>
      </c>
      <c r="M1690" s="1">
        <v>23</v>
      </c>
      <c r="N1690" s="1" t="s">
        <v>30</v>
      </c>
      <c r="O1690" s="1" t="s">
        <v>99</v>
      </c>
      <c r="P1690" s="1" t="s">
        <v>56</v>
      </c>
      <c r="Q1690" s="1" t="s">
        <v>69</v>
      </c>
      <c r="R1690" s="1">
        <v>109.2</v>
      </c>
      <c r="S1690" s="1" t="s">
        <v>46</v>
      </c>
      <c r="T1690" s="1" t="s">
        <v>47</v>
      </c>
      <c r="U1690" s="1" t="s">
        <v>35</v>
      </c>
      <c r="V1690" s="1" t="s">
        <v>36</v>
      </c>
    </row>
    <row r="1691" spans="1:22" x14ac:dyDescent="0.3">
      <c r="A1691" s="1" t="s">
        <v>7857</v>
      </c>
      <c r="B1691" s="1" t="s">
        <v>7858</v>
      </c>
      <c r="C1691" s="1">
        <v>50</v>
      </c>
      <c r="D1691" s="1" t="s">
        <v>7859</v>
      </c>
      <c r="E1691" s="1" t="s">
        <v>40</v>
      </c>
      <c r="F1691" s="1" t="s">
        <v>7860</v>
      </c>
      <c r="G1691" s="1" t="s">
        <v>3210</v>
      </c>
      <c r="H1691" s="1">
        <v>4</v>
      </c>
      <c r="I1691" s="1" t="s">
        <v>27</v>
      </c>
      <c r="J1691" s="2">
        <v>45081</v>
      </c>
      <c r="K1691" s="1" t="s">
        <v>7861</v>
      </c>
      <c r="L1691" s="1">
        <v>5</v>
      </c>
      <c r="M1691" s="1">
        <v>38</v>
      </c>
      <c r="N1691" s="1" t="s">
        <v>30</v>
      </c>
      <c r="O1691" s="1" t="s">
        <v>91</v>
      </c>
      <c r="P1691" s="1" t="s">
        <v>54</v>
      </c>
      <c r="Q1691" s="1" t="s">
        <v>32</v>
      </c>
      <c r="R1691" s="1">
        <v>1003.7</v>
      </c>
      <c r="S1691" s="1" t="s">
        <v>46</v>
      </c>
      <c r="T1691" s="1" t="s">
        <v>47</v>
      </c>
      <c r="U1691" s="1" t="s">
        <v>35</v>
      </c>
      <c r="V1691" s="1" t="s">
        <v>188</v>
      </c>
    </row>
    <row r="1692" spans="1:22" x14ac:dyDescent="0.3">
      <c r="A1692" s="1" t="s">
        <v>7862</v>
      </c>
      <c r="B1692" s="1" t="s">
        <v>7863</v>
      </c>
      <c r="C1692" s="1">
        <v>42</v>
      </c>
      <c r="D1692" s="1" t="s">
        <v>7864</v>
      </c>
      <c r="E1692" s="1" t="s">
        <v>25</v>
      </c>
      <c r="F1692" s="1" t="s">
        <v>4057</v>
      </c>
      <c r="G1692" s="1" t="s">
        <v>6711</v>
      </c>
      <c r="H1692" s="1">
        <v>0</v>
      </c>
      <c r="I1692" s="1" t="s">
        <v>27</v>
      </c>
      <c r="J1692" s="1" t="s">
        <v>1852</v>
      </c>
      <c r="K1692" s="1" t="s">
        <v>3527</v>
      </c>
      <c r="L1692" s="1">
        <v>6</v>
      </c>
      <c r="M1692" s="1">
        <v>46</v>
      </c>
      <c r="N1692" s="1" t="s">
        <v>68</v>
      </c>
      <c r="O1692" s="1" t="s">
        <v>354</v>
      </c>
      <c r="P1692" s="1" t="s">
        <v>45</v>
      </c>
      <c r="Q1692" s="1" t="s">
        <v>32</v>
      </c>
      <c r="R1692" s="1">
        <v>1806.42</v>
      </c>
      <c r="S1692" s="1" t="s">
        <v>46</v>
      </c>
      <c r="T1692" s="1" t="s">
        <v>34</v>
      </c>
      <c r="U1692" s="1" t="s">
        <v>35</v>
      </c>
      <c r="V1692" s="1" t="s">
        <v>36</v>
      </c>
    </row>
    <row r="1693" spans="1:22" x14ac:dyDescent="0.3">
      <c r="A1693" s="1" t="s">
        <v>7865</v>
      </c>
      <c r="B1693" s="1" t="s">
        <v>7866</v>
      </c>
      <c r="C1693" s="1">
        <v>21</v>
      </c>
      <c r="D1693" s="1" t="s">
        <v>7867</v>
      </c>
      <c r="E1693" s="1" t="s">
        <v>40</v>
      </c>
      <c r="F1693" s="2">
        <v>45021</v>
      </c>
      <c r="G1693" s="1" t="s">
        <v>740</v>
      </c>
      <c r="H1693" s="1">
        <v>0</v>
      </c>
      <c r="I1693" s="1" t="s">
        <v>27</v>
      </c>
      <c r="J1693" s="2">
        <v>45815</v>
      </c>
      <c r="K1693" s="1" t="s">
        <v>7868</v>
      </c>
      <c r="L1693" s="1">
        <v>3</v>
      </c>
      <c r="M1693" s="1">
        <v>33</v>
      </c>
      <c r="N1693" s="1" t="s">
        <v>68</v>
      </c>
      <c r="O1693" s="1" t="s">
        <v>624</v>
      </c>
      <c r="P1693" s="1" t="s">
        <v>30</v>
      </c>
      <c r="Q1693" s="1" t="s">
        <v>69</v>
      </c>
      <c r="R1693" s="1">
        <v>1150.77</v>
      </c>
      <c r="S1693" s="1" t="s">
        <v>46</v>
      </c>
      <c r="T1693" s="1" t="s">
        <v>100</v>
      </c>
      <c r="U1693" s="1" t="s">
        <v>35</v>
      </c>
      <c r="V1693" s="1" t="s">
        <v>36</v>
      </c>
    </row>
    <row r="1694" spans="1:22" x14ac:dyDescent="0.3">
      <c r="A1694" s="1" t="s">
        <v>7869</v>
      </c>
      <c r="B1694" s="1" t="s">
        <v>7870</v>
      </c>
      <c r="C1694" s="1">
        <v>46</v>
      </c>
      <c r="D1694" s="1" t="s">
        <v>7871</v>
      </c>
      <c r="E1694" s="1" t="s">
        <v>95</v>
      </c>
      <c r="F1694" s="1" t="s">
        <v>26</v>
      </c>
      <c r="G1694" s="1" t="s">
        <v>2727</v>
      </c>
      <c r="H1694" s="1">
        <v>4</v>
      </c>
      <c r="I1694" s="1" t="s">
        <v>52</v>
      </c>
      <c r="J1694" s="2">
        <v>45815</v>
      </c>
      <c r="K1694" s="1" t="s">
        <v>7872</v>
      </c>
      <c r="L1694" s="1">
        <v>5</v>
      </c>
      <c r="M1694" s="1">
        <v>31</v>
      </c>
      <c r="N1694" s="1" t="s">
        <v>54</v>
      </c>
      <c r="O1694" s="1" t="s">
        <v>142</v>
      </c>
      <c r="P1694" s="1" t="s">
        <v>68</v>
      </c>
      <c r="Q1694" s="1" t="s">
        <v>69</v>
      </c>
      <c r="R1694" s="1">
        <v>799.4</v>
      </c>
      <c r="S1694" s="1" t="s">
        <v>46</v>
      </c>
      <c r="T1694" s="1" t="s">
        <v>34</v>
      </c>
      <c r="U1694" s="1" t="s">
        <v>35</v>
      </c>
      <c r="V1694" s="1" t="s">
        <v>36</v>
      </c>
    </row>
    <row r="1695" spans="1:22" x14ac:dyDescent="0.3">
      <c r="A1695" s="1" t="s">
        <v>7873</v>
      </c>
      <c r="B1695" s="1" t="s">
        <v>7874</v>
      </c>
      <c r="C1695" s="1">
        <v>62</v>
      </c>
      <c r="D1695" s="1" t="s">
        <v>7875</v>
      </c>
      <c r="E1695" s="1" t="s">
        <v>95</v>
      </c>
      <c r="F1695" s="2">
        <v>45108</v>
      </c>
      <c r="G1695" s="1" t="s">
        <v>1737</v>
      </c>
      <c r="H1695" s="1">
        <v>3</v>
      </c>
      <c r="I1695" s="1" t="s">
        <v>27</v>
      </c>
      <c r="J1695" s="1" t="s">
        <v>3483</v>
      </c>
      <c r="K1695" s="1" t="s">
        <v>7876</v>
      </c>
      <c r="L1695" s="1">
        <v>6</v>
      </c>
      <c r="M1695" s="1">
        <v>17</v>
      </c>
      <c r="N1695" s="1" t="s">
        <v>45</v>
      </c>
      <c r="O1695" s="1" t="s">
        <v>128</v>
      </c>
      <c r="P1695" s="1" t="s">
        <v>54</v>
      </c>
      <c r="Q1695" s="1" t="s">
        <v>69</v>
      </c>
      <c r="R1695" s="1">
        <v>580.44000000000005</v>
      </c>
      <c r="S1695" s="1" t="s">
        <v>46</v>
      </c>
      <c r="T1695" s="1" t="s">
        <v>47</v>
      </c>
      <c r="U1695" s="1" t="s">
        <v>35</v>
      </c>
      <c r="V1695" s="1" t="s">
        <v>36</v>
      </c>
    </row>
    <row r="1696" spans="1:22" x14ac:dyDescent="0.3">
      <c r="A1696" s="1" t="s">
        <v>7877</v>
      </c>
      <c r="B1696" s="1" t="s">
        <v>7878</v>
      </c>
      <c r="C1696" s="1">
        <v>33</v>
      </c>
      <c r="D1696" s="1" t="s">
        <v>7879</v>
      </c>
      <c r="E1696" s="1" t="s">
        <v>51</v>
      </c>
      <c r="F1696" s="1" t="s">
        <v>6710</v>
      </c>
      <c r="G1696" s="1" t="s">
        <v>345</v>
      </c>
      <c r="H1696" s="1">
        <v>1</v>
      </c>
      <c r="I1696" s="1" t="s">
        <v>64</v>
      </c>
      <c r="J1696" s="2">
        <v>45390</v>
      </c>
      <c r="K1696" s="1" t="s">
        <v>7880</v>
      </c>
      <c r="L1696" s="1">
        <v>8</v>
      </c>
      <c r="M1696" s="1">
        <v>12</v>
      </c>
      <c r="N1696" s="1" t="s">
        <v>30</v>
      </c>
      <c r="O1696" s="1" t="s">
        <v>624</v>
      </c>
      <c r="P1696" s="1" t="s">
        <v>30</v>
      </c>
      <c r="Q1696" s="1" t="s">
        <v>322</v>
      </c>
      <c r="R1696" s="1">
        <v>1176.32</v>
      </c>
      <c r="S1696" s="1" t="s">
        <v>33</v>
      </c>
      <c r="T1696" s="1" t="s">
        <v>57</v>
      </c>
      <c r="U1696" s="1" t="s">
        <v>35</v>
      </c>
      <c r="V1696" s="1" t="s">
        <v>71</v>
      </c>
    </row>
    <row r="1697" spans="1:22" x14ac:dyDescent="0.3">
      <c r="A1697" s="1" t="s">
        <v>7881</v>
      </c>
      <c r="B1697" s="1" t="s">
        <v>7882</v>
      </c>
      <c r="C1697" s="1">
        <v>59</v>
      </c>
      <c r="D1697" s="1" t="s">
        <v>7883</v>
      </c>
      <c r="E1697" s="1" t="s">
        <v>95</v>
      </c>
      <c r="F1697" s="1" t="s">
        <v>878</v>
      </c>
      <c r="G1697" s="1" t="s">
        <v>5318</v>
      </c>
      <c r="H1697" s="1">
        <v>0</v>
      </c>
      <c r="I1697" s="1" t="s">
        <v>27</v>
      </c>
      <c r="J1697" s="2">
        <v>45508</v>
      </c>
      <c r="K1697" s="1" t="s">
        <v>7884</v>
      </c>
      <c r="L1697" s="1">
        <v>9</v>
      </c>
      <c r="M1697" s="1">
        <v>12</v>
      </c>
      <c r="N1697" s="1" t="s">
        <v>54</v>
      </c>
      <c r="O1697" s="1" t="s">
        <v>597</v>
      </c>
      <c r="P1697" s="1" t="s">
        <v>45</v>
      </c>
      <c r="Q1697" s="1" t="s">
        <v>69</v>
      </c>
      <c r="R1697" s="1">
        <v>610.55999999999995</v>
      </c>
      <c r="S1697" s="1" t="s">
        <v>46</v>
      </c>
      <c r="T1697" s="1" t="s">
        <v>47</v>
      </c>
      <c r="U1697" s="1" t="s">
        <v>35</v>
      </c>
      <c r="V1697" s="1" t="s">
        <v>36</v>
      </c>
    </row>
    <row r="1698" spans="1:22" x14ac:dyDescent="0.3">
      <c r="A1698" s="1" t="s">
        <v>7885</v>
      </c>
      <c r="B1698" s="1" t="s">
        <v>7886</v>
      </c>
      <c r="C1698" s="1">
        <v>60</v>
      </c>
      <c r="D1698" s="1" t="s">
        <v>7887</v>
      </c>
      <c r="E1698" s="1" t="s">
        <v>95</v>
      </c>
      <c r="F1698" s="1" t="s">
        <v>3685</v>
      </c>
      <c r="G1698" s="1" t="s">
        <v>590</v>
      </c>
      <c r="H1698" s="1">
        <v>3</v>
      </c>
      <c r="I1698" s="1" t="s">
        <v>27</v>
      </c>
      <c r="J1698" s="1" t="s">
        <v>1100</v>
      </c>
      <c r="K1698" s="1" t="s">
        <v>7888</v>
      </c>
      <c r="L1698" s="1">
        <v>1</v>
      </c>
      <c r="M1698" s="1">
        <v>49</v>
      </c>
      <c r="N1698" s="1" t="s">
        <v>56</v>
      </c>
      <c r="O1698" s="1" t="s">
        <v>245</v>
      </c>
      <c r="P1698" s="1" t="s">
        <v>54</v>
      </c>
      <c r="Q1698" s="1" t="s">
        <v>69</v>
      </c>
      <c r="R1698" s="1">
        <v>488.97</v>
      </c>
      <c r="S1698" s="1" t="s">
        <v>46</v>
      </c>
      <c r="T1698" s="1" t="s">
        <v>47</v>
      </c>
      <c r="U1698" s="1" t="s">
        <v>35</v>
      </c>
      <c r="V1698" s="1" t="s">
        <v>36</v>
      </c>
    </row>
    <row r="1699" spans="1:22" x14ac:dyDescent="0.3">
      <c r="A1699" s="1" t="s">
        <v>7889</v>
      </c>
      <c r="B1699" s="1" t="s">
        <v>7890</v>
      </c>
      <c r="C1699" s="1">
        <v>21</v>
      </c>
      <c r="D1699" s="1" t="s">
        <v>7891</v>
      </c>
      <c r="E1699" s="1" t="s">
        <v>51</v>
      </c>
      <c r="F1699" s="1" t="s">
        <v>3330</v>
      </c>
      <c r="G1699" s="1" t="s">
        <v>5166</v>
      </c>
      <c r="H1699" s="1">
        <v>1</v>
      </c>
      <c r="I1699" s="1" t="s">
        <v>27</v>
      </c>
      <c r="J1699" s="1" t="s">
        <v>186</v>
      </c>
      <c r="K1699" s="1" t="s">
        <v>7892</v>
      </c>
      <c r="L1699" s="1">
        <v>7</v>
      </c>
      <c r="M1699" s="1">
        <v>34</v>
      </c>
      <c r="N1699" s="1" t="s">
        <v>30</v>
      </c>
      <c r="O1699" s="1" t="s">
        <v>67</v>
      </c>
      <c r="P1699" s="1" t="s">
        <v>68</v>
      </c>
      <c r="Q1699" s="1" t="s">
        <v>69</v>
      </c>
      <c r="R1699" s="1">
        <v>1803.2</v>
      </c>
      <c r="S1699" s="1" t="s">
        <v>46</v>
      </c>
      <c r="T1699" s="1" t="s">
        <v>100</v>
      </c>
      <c r="U1699" s="1" t="s">
        <v>35</v>
      </c>
      <c r="V1699" s="1" t="s">
        <v>36</v>
      </c>
    </row>
    <row r="1700" spans="1:22" x14ac:dyDescent="0.3">
      <c r="A1700" s="1" t="s">
        <v>7893</v>
      </c>
      <c r="B1700" s="1" t="s">
        <v>7894</v>
      </c>
      <c r="C1700" s="1">
        <v>62</v>
      </c>
      <c r="D1700" s="1" t="s">
        <v>7895</v>
      </c>
      <c r="E1700" s="1" t="s">
        <v>51</v>
      </c>
      <c r="F1700" s="1" t="s">
        <v>7896</v>
      </c>
      <c r="G1700" s="2">
        <v>44872</v>
      </c>
      <c r="H1700" s="1">
        <v>4</v>
      </c>
      <c r="I1700" s="1" t="s">
        <v>64</v>
      </c>
      <c r="J1700" s="1" t="s">
        <v>42</v>
      </c>
      <c r="K1700" s="1" t="s">
        <v>7897</v>
      </c>
      <c r="L1700" s="1">
        <v>2</v>
      </c>
      <c r="M1700" s="1">
        <v>41</v>
      </c>
      <c r="N1700" s="1" t="s">
        <v>54</v>
      </c>
      <c r="O1700" s="1" t="s">
        <v>199</v>
      </c>
      <c r="P1700" s="1" t="s">
        <v>54</v>
      </c>
      <c r="Q1700" s="1" t="s">
        <v>32</v>
      </c>
      <c r="R1700" s="1">
        <v>400.98</v>
      </c>
      <c r="S1700" s="1" t="s">
        <v>33</v>
      </c>
      <c r="T1700" s="1" t="s">
        <v>47</v>
      </c>
      <c r="U1700" s="1" t="s">
        <v>35</v>
      </c>
      <c r="V1700" s="1" t="s">
        <v>71</v>
      </c>
    </row>
    <row r="1701" spans="1:22" x14ac:dyDescent="0.3">
      <c r="A1701" s="1" t="s">
        <v>7898</v>
      </c>
      <c r="B1701" s="1" t="s">
        <v>7899</v>
      </c>
      <c r="C1701" s="1">
        <v>52</v>
      </c>
      <c r="D1701" s="1" t="s">
        <v>7900</v>
      </c>
      <c r="E1701" s="1" t="s">
        <v>51</v>
      </c>
      <c r="F1701" s="1" t="s">
        <v>81</v>
      </c>
      <c r="G1701" s="1" t="s">
        <v>4222</v>
      </c>
      <c r="H1701" s="1">
        <v>3</v>
      </c>
      <c r="I1701" s="1" t="s">
        <v>27</v>
      </c>
      <c r="J1701" s="1" t="s">
        <v>3330</v>
      </c>
      <c r="K1701" s="1" t="s">
        <v>7901</v>
      </c>
      <c r="L1701" s="1">
        <v>9</v>
      </c>
      <c r="M1701" s="1">
        <v>22</v>
      </c>
      <c r="N1701" s="1" t="s">
        <v>54</v>
      </c>
      <c r="O1701" s="1" t="s">
        <v>116</v>
      </c>
      <c r="P1701" s="1" t="s">
        <v>54</v>
      </c>
      <c r="Q1701" s="1" t="s">
        <v>69</v>
      </c>
      <c r="R1701" s="1">
        <v>728.1</v>
      </c>
      <c r="S1701" s="1" t="s">
        <v>33</v>
      </c>
      <c r="T1701" s="1" t="s">
        <v>47</v>
      </c>
      <c r="U1701" s="1" t="s">
        <v>35</v>
      </c>
      <c r="V1701" s="1" t="s">
        <v>36</v>
      </c>
    </row>
    <row r="1702" spans="1:22" x14ac:dyDescent="0.3">
      <c r="A1702" s="1" t="s">
        <v>7902</v>
      </c>
      <c r="B1702" s="1" t="s">
        <v>7903</v>
      </c>
      <c r="C1702" s="1">
        <v>44</v>
      </c>
      <c r="D1702" s="1" t="s">
        <v>7904</v>
      </c>
      <c r="E1702" s="1" t="s">
        <v>88</v>
      </c>
      <c r="F1702" s="1" t="s">
        <v>1924</v>
      </c>
      <c r="G1702" s="1" t="s">
        <v>852</v>
      </c>
      <c r="H1702" s="1">
        <v>3</v>
      </c>
      <c r="I1702" s="1" t="s">
        <v>52</v>
      </c>
      <c r="J1702" s="2">
        <v>45297</v>
      </c>
      <c r="K1702" s="1" t="s">
        <v>7905</v>
      </c>
      <c r="L1702" s="1">
        <v>9</v>
      </c>
      <c r="M1702" s="1">
        <v>13</v>
      </c>
      <c r="N1702" s="1" t="s">
        <v>30</v>
      </c>
      <c r="O1702" s="1" t="s">
        <v>91</v>
      </c>
      <c r="P1702" s="1" t="s">
        <v>54</v>
      </c>
      <c r="Q1702" s="1" t="s">
        <v>69</v>
      </c>
      <c r="R1702" s="1">
        <v>1419.03</v>
      </c>
      <c r="S1702" s="1" t="s">
        <v>46</v>
      </c>
      <c r="T1702" s="1" t="s">
        <v>34</v>
      </c>
      <c r="U1702" s="1" t="s">
        <v>35</v>
      </c>
      <c r="V1702" s="1" t="s">
        <v>36</v>
      </c>
    </row>
    <row r="1703" spans="1:22" x14ac:dyDescent="0.3">
      <c r="A1703" s="1" t="s">
        <v>7906</v>
      </c>
      <c r="B1703" s="1" t="s">
        <v>7907</v>
      </c>
      <c r="C1703" s="1">
        <v>65</v>
      </c>
      <c r="D1703" s="1" t="s">
        <v>7908</v>
      </c>
      <c r="E1703" s="1" t="s">
        <v>40</v>
      </c>
      <c r="F1703" s="1" t="s">
        <v>7909</v>
      </c>
      <c r="G1703" s="1" t="s">
        <v>590</v>
      </c>
      <c r="H1703" s="1">
        <v>5</v>
      </c>
      <c r="I1703" s="1" t="s">
        <v>27</v>
      </c>
      <c r="J1703" s="1" t="s">
        <v>2455</v>
      </c>
      <c r="K1703" s="1" t="s">
        <v>7910</v>
      </c>
      <c r="L1703" s="1">
        <v>8</v>
      </c>
      <c r="M1703" s="1">
        <v>26</v>
      </c>
      <c r="N1703" s="1" t="s">
        <v>45</v>
      </c>
      <c r="O1703" s="1" t="s">
        <v>269</v>
      </c>
      <c r="P1703" s="1" t="s">
        <v>56</v>
      </c>
      <c r="Q1703" s="1" t="s">
        <v>32</v>
      </c>
      <c r="R1703" s="1">
        <v>839.84</v>
      </c>
      <c r="S1703" s="1" t="s">
        <v>46</v>
      </c>
      <c r="T1703" s="1" t="s">
        <v>232</v>
      </c>
      <c r="U1703" s="1" t="s">
        <v>35</v>
      </c>
      <c r="V1703" s="1" t="s">
        <v>188</v>
      </c>
    </row>
    <row r="1704" spans="1:22" x14ac:dyDescent="0.3">
      <c r="A1704" s="1" t="s">
        <v>7911</v>
      </c>
      <c r="B1704" s="1" t="s">
        <v>7912</v>
      </c>
      <c r="C1704" s="1">
        <v>50</v>
      </c>
      <c r="D1704" s="1" t="s">
        <v>7913</v>
      </c>
      <c r="E1704" s="1" t="s">
        <v>51</v>
      </c>
      <c r="F1704" s="1" t="s">
        <v>3200</v>
      </c>
      <c r="G1704" s="2">
        <v>45511</v>
      </c>
      <c r="H1704" s="1">
        <v>4</v>
      </c>
      <c r="I1704" s="1" t="s">
        <v>27</v>
      </c>
      <c r="J1704" s="2">
        <v>45421</v>
      </c>
      <c r="K1704" s="1" t="s">
        <v>7914</v>
      </c>
      <c r="L1704" s="1">
        <v>4</v>
      </c>
      <c r="M1704" s="1">
        <v>13</v>
      </c>
      <c r="N1704" s="1" t="s">
        <v>56</v>
      </c>
      <c r="O1704" s="1" t="s">
        <v>536</v>
      </c>
      <c r="P1704" s="1" t="s">
        <v>68</v>
      </c>
      <c r="Q1704" s="1" t="s">
        <v>32</v>
      </c>
      <c r="R1704" s="1">
        <v>251.6</v>
      </c>
      <c r="S1704" s="1" t="s">
        <v>46</v>
      </c>
      <c r="T1704" s="1" t="s">
        <v>47</v>
      </c>
      <c r="U1704" s="1" t="s">
        <v>35</v>
      </c>
      <c r="V1704" s="1" t="s">
        <v>188</v>
      </c>
    </row>
    <row r="1705" spans="1:22" x14ac:dyDescent="0.3">
      <c r="A1705" s="1" t="s">
        <v>7915</v>
      </c>
      <c r="B1705" s="1" t="s">
        <v>7916</v>
      </c>
      <c r="C1705" s="1">
        <v>30</v>
      </c>
      <c r="D1705" s="1" t="s">
        <v>7917</v>
      </c>
      <c r="E1705" s="1" t="s">
        <v>25</v>
      </c>
      <c r="F1705" s="2">
        <v>43873</v>
      </c>
      <c r="G1705" s="1" t="s">
        <v>274</v>
      </c>
      <c r="H1705" s="1">
        <v>4</v>
      </c>
      <c r="I1705" s="1" t="s">
        <v>52</v>
      </c>
      <c r="J1705" s="1" t="s">
        <v>3652</v>
      </c>
      <c r="K1705" s="1" t="s">
        <v>7918</v>
      </c>
      <c r="L1705" s="1">
        <v>3</v>
      </c>
      <c r="M1705" s="1">
        <v>24</v>
      </c>
      <c r="N1705" s="1" t="s">
        <v>56</v>
      </c>
      <c r="O1705" s="1" t="s">
        <v>597</v>
      </c>
      <c r="P1705" s="1" t="s">
        <v>45</v>
      </c>
      <c r="Q1705" s="1" t="s">
        <v>69</v>
      </c>
      <c r="R1705" s="1">
        <v>435.87</v>
      </c>
      <c r="S1705" s="1" t="s">
        <v>46</v>
      </c>
      <c r="T1705" s="1" t="s">
        <v>57</v>
      </c>
      <c r="U1705" s="1" t="s">
        <v>35</v>
      </c>
      <c r="V1705" s="1" t="s">
        <v>36</v>
      </c>
    </row>
    <row r="1706" spans="1:22" x14ac:dyDescent="0.3">
      <c r="A1706" s="1" t="s">
        <v>7919</v>
      </c>
      <c r="B1706" s="1" t="s">
        <v>7920</v>
      </c>
      <c r="C1706" s="1">
        <v>28</v>
      </c>
      <c r="D1706" s="1" t="s">
        <v>7921</v>
      </c>
      <c r="E1706" s="1" t="s">
        <v>61</v>
      </c>
      <c r="F1706" s="1" t="s">
        <v>5393</v>
      </c>
      <c r="G1706" s="1" t="s">
        <v>7922</v>
      </c>
      <c r="H1706" s="1">
        <v>4</v>
      </c>
      <c r="I1706" s="1" t="s">
        <v>52</v>
      </c>
      <c r="J1706" s="1" t="s">
        <v>467</v>
      </c>
      <c r="K1706" s="1" t="s">
        <v>7923</v>
      </c>
      <c r="L1706" s="1">
        <v>2</v>
      </c>
      <c r="M1706" s="1">
        <v>44</v>
      </c>
      <c r="N1706" s="1" t="s">
        <v>45</v>
      </c>
      <c r="O1706" s="1" t="s">
        <v>116</v>
      </c>
      <c r="P1706" s="1" t="s">
        <v>54</v>
      </c>
      <c r="Q1706" s="1" t="s">
        <v>32</v>
      </c>
      <c r="R1706" s="1">
        <v>1716.72</v>
      </c>
      <c r="S1706" s="1" t="s">
        <v>46</v>
      </c>
      <c r="T1706" s="1" t="s">
        <v>57</v>
      </c>
      <c r="U1706" s="1" t="s">
        <v>35</v>
      </c>
      <c r="V1706" s="1" t="s">
        <v>36</v>
      </c>
    </row>
    <row r="1707" spans="1:22" x14ac:dyDescent="0.3">
      <c r="A1707" s="1" t="s">
        <v>7924</v>
      </c>
      <c r="B1707" s="1" t="s">
        <v>7925</v>
      </c>
      <c r="C1707" s="1">
        <v>57</v>
      </c>
      <c r="D1707" s="1" t="s">
        <v>7926</v>
      </c>
      <c r="E1707" s="1" t="s">
        <v>25</v>
      </c>
      <c r="F1707" s="1" t="s">
        <v>841</v>
      </c>
      <c r="G1707" s="2">
        <v>44355</v>
      </c>
      <c r="H1707" s="1">
        <v>1</v>
      </c>
      <c r="I1707" s="1" t="s">
        <v>52</v>
      </c>
      <c r="J1707" s="1" t="s">
        <v>702</v>
      </c>
      <c r="K1707" s="1" t="s">
        <v>7927</v>
      </c>
      <c r="L1707" s="1">
        <v>2</v>
      </c>
      <c r="M1707" s="1">
        <v>23</v>
      </c>
      <c r="N1707" s="1" t="s">
        <v>45</v>
      </c>
      <c r="O1707" s="1" t="s">
        <v>31</v>
      </c>
      <c r="P1707" s="1" t="s">
        <v>30</v>
      </c>
      <c r="Q1707" s="1" t="s">
        <v>69</v>
      </c>
      <c r="R1707" s="1">
        <v>1642.48</v>
      </c>
      <c r="S1707" s="1" t="s">
        <v>46</v>
      </c>
      <c r="T1707" s="1" t="s">
        <v>47</v>
      </c>
      <c r="U1707" s="1" t="s">
        <v>35</v>
      </c>
      <c r="V1707" s="1" t="s">
        <v>36</v>
      </c>
    </row>
    <row r="1708" spans="1:22" x14ac:dyDescent="0.3">
      <c r="A1708" s="1" t="s">
        <v>7928</v>
      </c>
      <c r="B1708" s="1" t="s">
        <v>7929</v>
      </c>
      <c r="C1708" s="1">
        <v>40</v>
      </c>
      <c r="D1708" s="1" t="s">
        <v>7930</v>
      </c>
      <c r="E1708" s="1" t="s">
        <v>95</v>
      </c>
      <c r="F1708" s="2">
        <v>44419</v>
      </c>
      <c r="G1708" s="1" t="s">
        <v>1497</v>
      </c>
      <c r="H1708" s="1">
        <v>3</v>
      </c>
      <c r="I1708" s="1" t="s">
        <v>52</v>
      </c>
      <c r="J1708" s="1" t="s">
        <v>621</v>
      </c>
      <c r="K1708" s="1" t="s">
        <v>7931</v>
      </c>
      <c r="L1708" s="1">
        <v>8</v>
      </c>
      <c r="M1708" s="1">
        <v>21</v>
      </c>
      <c r="N1708" s="1" t="s">
        <v>54</v>
      </c>
      <c r="O1708" s="1" t="s">
        <v>293</v>
      </c>
      <c r="P1708" s="1" t="s">
        <v>45</v>
      </c>
      <c r="Q1708" s="1" t="s">
        <v>69</v>
      </c>
      <c r="R1708" s="1">
        <v>1324.64</v>
      </c>
      <c r="S1708" s="1" t="s">
        <v>46</v>
      </c>
      <c r="T1708" s="1" t="s">
        <v>34</v>
      </c>
      <c r="U1708" s="1" t="s">
        <v>35</v>
      </c>
      <c r="V1708" s="1" t="s">
        <v>36</v>
      </c>
    </row>
    <row r="1709" spans="1:22" x14ac:dyDescent="0.3">
      <c r="A1709" s="1" t="s">
        <v>7932</v>
      </c>
      <c r="B1709" s="1" t="s">
        <v>7933</v>
      </c>
      <c r="C1709" s="1">
        <v>39</v>
      </c>
      <c r="D1709" s="1" t="s">
        <v>7934</v>
      </c>
      <c r="E1709" s="1" t="s">
        <v>40</v>
      </c>
      <c r="F1709" s="2">
        <v>44866</v>
      </c>
      <c r="G1709" s="1" t="s">
        <v>3714</v>
      </c>
      <c r="H1709" s="1">
        <v>5</v>
      </c>
      <c r="I1709" s="1" t="s">
        <v>27</v>
      </c>
      <c r="J1709" s="1" t="s">
        <v>1190</v>
      </c>
      <c r="K1709" s="1" t="s">
        <v>7935</v>
      </c>
      <c r="L1709" s="1">
        <v>9</v>
      </c>
      <c r="M1709" s="1">
        <v>39</v>
      </c>
      <c r="N1709" s="1" t="s">
        <v>56</v>
      </c>
      <c r="O1709" s="1" t="s">
        <v>128</v>
      </c>
      <c r="P1709" s="1" t="s">
        <v>54</v>
      </c>
      <c r="Q1709" s="1" t="s">
        <v>32</v>
      </c>
      <c r="R1709" s="1">
        <v>841.32</v>
      </c>
      <c r="S1709" s="1" t="s">
        <v>46</v>
      </c>
      <c r="T1709" s="1" t="s">
        <v>34</v>
      </c>
      <c r="U1709" s="1" t="s">
        <v>35</v>
      </c>
      <c r="V1709" s="1" t="s">
        <v>188</v>
      </c>
    </row>
    <row r="1710" spans="1:22" x14ac:dyDescent="0.3">
      <c r="A1710" s="1" t="s">
        <v>7936</v>
      </c>
      <c r="B1710" s="1" t="s">
        <v>7937</v>
      </c>
      <c r="C1710" s="1">
        <v>33</v>
      </c>
      <c r="D1710" s="1" t="s">
        <v>7938</v>
      </c>
      <c r="E1710" s="1" t="s">
        <v>40</v>
      </c>
      <c r="F1710" s="1" t="s">
        <v>1969</v>
      </c>
      <c r="G1710" s="2">
        <v>45636</v>
      </c>
      <c r="H1710" s="1">
        <v>1</v>
      </c>
      <c r="I1710" s="1" t="s">
        <v>52</v>
      </c>
      <c r="J1710" s="2">
        <v>45938</v>
      </c>
      <c r="K1710" s="1" t="s">
        <v>7939</v>
      </c>
      <c r="L1710" s="1">
        <v>8</v>
      </c>
      <c r="M1710" s="1">
        <v>10</v>
      </c>
      <c r="N1710" s="1" t="s">
        <v>30</v>
      </c>
      <c r="O1710" s="1" t="s">
        <v>238</v>
      </c>
      <c r="P1710" s="1" t="s">
        <v>45</v>
      </c>
      <c r="Q1710" s="1" t="s">
        <v>32</v>
      </c>
      <c r="R1710" s="1">
        <v>1820.32</v>
      </c>
      <c r="S1710" s="1" t="s">
        <v>46</v>
      </c>
      <c r="T1710" s="1" t="s">
        <v>57</v>
      </c>
      <c r="U1710" s="1" t="s">
        <v>35</v>
      </c>
      <c r="V1710" s="1" t="s">
        <v>36</v>
      </c>
    </row>
    <row r="1711" spans="1:22" x14ac:dyDescent="0.3">
      <c r="A1711" s="1" t="s">
        <v>7940</v>
      </c>
      <c r="B1711" s="1" t="s">
        <v>7941</v>
      </c>
      <c r="C1711" s="1">
        <v>40</v>
      </c>
      <c r="D1711" s="1" t="s">
        <v>7942</v>
      </c>
      <c r="E1711" s="1" t="s">
        <v>40</v>
      </c>
      <c r="F1711" s="1" t="s">
        <v>4731</v>
      </c>
      <c r="G1711" s="1" t="s">
        <v>1503</v>
      </c>
      <c r="H1711" s="1">
        <v>1</v>
      </c>
      <c r="I1711" s="1" t="s">
        <v>64</v>
      </c>
      <c r="J1711" s="1" t="s">
        <v>1298</v>
      </c>
      <c r="K1711" s="1" t="s">
        <v>7943</v>
      </c>
      <c r="L1711" s="1">
        <v>6</v>
      </c>
      <c r="M1711" s="1">
        <v>35</v>
      </c>
      <c r="N1711" s="1" t="s">
        <v>56</v>
      </c>
      <c r="O1711" s="1" t="s">
        <v>418</v>
      </c>
      <c r="P1711" s="1" t="s">
        <v>56</v>
      </c>
      <c r="Q1711" s="1" t="s">
        <v>69</v>
      </c>
      <c r="R1711" s="1">
        <v>1559.64</v>
      </c>
      <c r="S1711" s="1" t="s">
        <v>33</v>
      </c>
      <c r="T1711" s="1" t="s">
        <v>34</v>
      </c>
      <c r="U1711" s="1" t="s">
        <v>35</v>
      </c>
      <c r="V1711" s="1" t="s">
        <v>71</v>
      </c>
    </row>
    <row r="1712" spans="1:22" x14ac:dyDescent="0.3">
      <c r="A1712" s="1" t="s">
        <v>7944</v>
      </c>
      <c r="B1712" s="1" t="s">
        <v>7945</v>
      </c>
      <c r="C1712" s="1">
        <v>20</v>
      </c>
      <c r="D1712" s="1" t="s">
        <v>7946</v>
      </c>
      <c r="E1712" s="1" t="s">
        <v>61</v>
      </c>
      <c r="F1712" s="1" t="s">
        <v>2173</v>
      </c>
      <c r="G1712" s="2">
        <v>45537</v>
      </c>
      <c r="H1712" s="1">
        <v>0</v>
      </c>
      <c r="I1712" s="1" t="s">
        <v>27</v>
      </c>
      <c r="J1712" s="1" t="s">
        <v>140</v>
      </c>
      <c r="K1712" s="1" t="s">
        <v>7947</v>
      </c>
      <c r="L1712" s="1">
        <v>8</v>
      </c>
      <c r="M1712" s="1">
        <v>39</v>
      </c>
      <c r="N1712" s="1" t="s">
        <v>54</v>
      </c>
      <c r="O1712" s="1" t="s">
        <v>269</v>
      </c>
      <c r="P1712" s="1" t="s">
        <v>56</v>
      </c>
      <c r="Q1712" s="1" t="s">
        <v>32</v>
      </c>
      <c r="R1712" s="1">
        <v>1856</v>
      </c>
      <c r="S1712" s="1" t="s">
        <v>46</v>
      </c>
      <c r="T1712" s="1" t="s">
        <v>100</v>
      </c>
      <c r="U1712" s="1" t="s">
        <v>35</v>
      </c>
      <c r="V1712" s="1" t="s">
        <v>36</v>
      </c>
    </row>
    <row r="1713" spans="1:22" x14ac:dyDescent="0.3">
      <c r="A1713" s="1" t="s">
        <v>7948</v>
      </c>
      <c r="B1713" s="1" t="s">
        <v>7949</v>
      </c>
      <c r="C1713" s="1">
        <v>47</v>
      </c>
      <c r="D1713" s="1" t="s">
        <v>7950</v>
      </c>
      <c r="E1713" s="1" t="s">
        <v>61</v>
      </c>
      <c r="F1713" s="2">
        <v>44596</v>
      </c>
      <c r="G1713" s="2">
        <v>45391</v>
      </c>
      <c r="H1713" s="1">
        <v>5</v>
      </c>
      <c r="I1713" s="1" t="s">
        <v>64</v>
      </c>
      <c r="J1713" s="2">
        <v>44928</v>
      </c>
      <c r="K1713" s="1" t="s">
        <v>3719</v>
      </c>
      <c r="L1713" s="1">
        <v>7</v>
      </c>
      <c r="M1713" s="1">
        <v>34</v>
      </c>
      <c r="N1713" s="1" t="s">
        <v>45</v>
      </c>
      <c r="O1713" s="1" t="s">
        <v>91</v>
      </c>
      <c r="P1713" s="1" t="s">
        <v>54</v>
      </c>
      <c r="Q1713" s="1" t="s">
        <v>69</v>
      </c>
      <c r="R1713" s="1">
        <v>1294.44</v>
      </c>
      <c r="S1713" s="1" t="s">
        <v>46</v>
      </c>
      <c r="T1713" s="1" t="s">
        <v>34</v>
      </c>
      <c r="U1713" s="1" t="s">
        <v>35</v>
      </c>
      <c r="V1713" s="1" t="s">
        <v>71</v>
      </c>
    </row>
    <row r="1714" spans="1:22" x14ac:dyDescent="0.3">
      <c r="A1714" s="1" t="s">
        <v>7951</v>
      </c>
      <c r="B1714" s="1" t="s">
        <v>7952</v>
      </c>
      <c r="C1714" s="1">
        <v>53</v>
      </c>
      <c r="D1714" s="1" t="s">
        <v>7953</v>
      </c>
      <c r="E1714" s="1" t="s">
        <v>95</v>
      </c>
      <c r="F1714" s="2">
        <v>45080</v>
      </c>
      <c r="G1714" s="1" t="s">
        <v>508</v>
      </c>
      <c r="H1714" s="1">
        <v>2</v>
      </c>
      <c r="I1714" s="1" t="s">
        <v>27</v>
      </c>
      <c r="J1714" s="2">
        <v>45326</v>
      </c>
      <c r="K1714" s="1" t="s">
        <v>7954</v>
      </c>
      <c r="L1714" s="1">
        <v>6</v>
      </c>
      <c r="M1714" s="1">
        <v>30</v>
      </c>
      <c r="N1714" s="1" t="s">
        <v>56</v>
      </c>
      <c r="O1714" s="1" t="s">
        <v>418</v>
      </c>
      <c r="P1714" s="1" t="s">
        <v>56</v>
      </c>
      <c r="Q1714" s="1" t="s">
        <v>69</v>
      </c>
      <c r="R1714" s="1">
        <v>1121.46</v>
      </c>
      <c r="S1714" s="1" t="s">
        <v>33</v>
      </c>
      <c r="T1714" s="1" t="s">
        <v>47</v>
      </c>
      <c r="U1714" s="1" t="s">
        <v>35</v>
      </c>
      <c r="V1714" s="1" t="s">
        <v>36</v>
      </c>
    </row>
    <row r="1715" spans="1:22" x14ac:dyDescent="0.3">
      <c r="A1715" s="1" t="s">
        <v>7955</v>
      </c>
      <c r="B1715" s="1" t="s">
        <v>7956</v>
      </c>
      <c r="C1715" s="1">
        <v>66</v>
      </c>
      <c r="D1715" s="1" t="s">
        <v>7957</v>
      </c>
      <c r="E1715" s="1" t="s">
        <v>61</v>
      </c>
      <c r="F1715" s="2">
        <v>44294</v>
      </c>
      <c r="G1715" s="2">
        <v>45904</v>
      </c>
      <c r="H1715" s="1">
        <v>4</v>
      </c>
      <c r="I1715" s="1" t="s">
        <v>27</v>
      </c>
      <c r="J1715" s="2">
        <v>45597</v>
      </c>
      <c r="K1715" s="1" t="s">
        <v>7958</v>
      </c>
      <c r="L1715" s="1">
        <v>9</v>
      </c>
      <c r="M1715" s="1">
        <v>46</v>
      </c>
      <c r="N1715" s="1" t="s">
        <v>68</v>
      </c>
      <c r="O1715" s="1" t="s">
        <v>44</v>
      </c>
      <c r="P1715" s="1" t="s">
        <v>45</v>
      </c>
      <c r="Q1715" s="1" t="s">
        <v>32</v>
      </c>
      <c r="R1715" s="1">
        <v>743.31</v>
      </c>
      <c r="S1715" s="1" t="s">
        <v>46</v>
      </c>
      <c r="T1715" s="1" t="s">
        <v>232</v>
      </c>
      <c r="U1715" s="1" t="s">
        <v>35</v>
      </c>
      <c r="V1715" s="1" t="s">
        <v>188</v>
      </c>
    </row>
    <row r="1716" spans="1:22" x14ac:dyDescent="0.3">
      <c r="A1716" s="1" t="s">
        <v>7959</v>
      </c>
      <c r="B1716" s="1" t="s">
        <v>7960</v>
      </c>
      <c r="C1716" s="1">
        <v>27</v>
      </c>
      <c r="D1716" s="1" t="s">
        <v>7961</v>
      </c>
      <c r="E1716" s="1" t="s">
        <v>40</v>
      </c>
      <c r="F1716" s="1" t="s">
        <v>275</v>
      </c>
      <c r="G1716" s="1" t="s">
        <v>1184</v>
      </c>
      <c r="H1716" s="1">
        <v>4</v>
      </c>
      <c r="I1716" s="1" t="s">
        <v>27</v>
      </c>
      <c r="J1716" s="1" t="s">
        <v>3731</v>
      </c>
      <c r="K1716" s="1" t="s">
        <v>7962</v>
      </c>
      <c r="L1716" s="1">
        <v>3</v>
      </c>
      <c r="M1716" s="1">
        <v>36</v>
      </c>
      <c r="N1716" s="1" t="s">
        <v>45</v>
      </c>
      <c r="O1716" s="1" t="s">
        <v>238</v>
      </c>
      <c r="P1716" s="1" t="s">
        <v>45</v>
      </c>
      <c r="Q1716" s="1" t="s">
        <v>69</v>
      </c>
      <c r="R1716" s="1">
        <v>95.79</v>
      </c>
      <c r="S1716" s="1" t="s">
        <v>33</v>
      </c>
      <c r="T1716" s="1" t="s">
        <v>57</v>
      </c>
      <c r="U1716" s="1" t="s">
        <v>35</v>
      </c>
      <c r="V1716" s="1" t="s">
        <v>188</v>
      </c>
    </row>
    <row r="1717" spans="1:22" x14ac:dyDescent="0.3">
      <c r="A1717" s="1" t="s">
        <v>7963</v>
      </c>
      <c r="B1717" s="1" t="s">
        <v>7964</v>
      </c>
      <c r="C1717" s="1">
        <v>48</v>
      </c>
      <c r="D1717" s="1" t="s">
        <v>7965</v>
      </c>
      <c r="E1717" s="1" t="s">
        <v>51</v>
      </c>
      <c r="F1717" s="1" t="s">
        <v>1386</v>
      </c>
      <c r="G1717" s="1" t="s">
        <v>5171</v>
      </c>
      <c r="H1717" s="1">
        <v>4</v>
      </c>
      <c r="I1717" s="1" t="s">
        <v>64</v>
      </c>
      <c r="J1717" s="1" t="s">
        <v>3516</v>
      </c>
      <c r="K1717" s="1" t="s">
        <v>7966</v>
      </c>
      <c r="L1717" s="1">
        <v>4</v>
      </c>
      <c r="M1717" s="1">
        <v>7</v>
      </c>
      <c r="N1717" s="1" t="s">
        <v>54</v>
      </c>
      <c r="O1717" s="1" t="s">
        <v>597</v>
      </c>
      <c r="P1717" s="1" t="s">
        <v>45</v>
      </c>
      <c r="Q1717" s="1" t="s">
        <v>69</v>
      </c>
      <c r="R1717" s="1">
        <v>979.84</v>
      </c>
      <c r="S1717" s="1" t="s">
        <v>46</v>
      </c>
      <c r="T1717" s="1" t="s">
        <v>34</v>
      </c>
      <c r="U1717" s="1" t="s">
        <v>35</v>
      </c>
      <c r="V1717" s="1" t="s">
        <v>71</v>
      </c>
    </row>
    <row r="1718" spans="1:22" x14ac:dyDescent="0.3">
      <c r="A1718" s="1" t="s">
        <v>7967</v>
      </c>
      <c r="B1718" s="1" t="s">
        <v>7968</v>
      </c>
      <c r="C1718" s="1">
        <v>36</v>
      </c>
      <c r="D1718" s="1" t="s">
        <v>7969</v>
      </c>
      <c r="E1718" s="1" t="s">
        <v>61</v>
      </c>
      <c r="F1718" s="1" t="s">
        <v>7283</v>
      </c>
      <c r="G1718" s="2">
        <v>44479</v>
      </c>
      <c r="H1718" s="1">
        <v>2</v>
      </c>
      <c r="I1718" s="1" t="s">
        <v>52</v>
      </c>
      <c r="J1718" s="1" t="s">
        <v>180</v>
      </c>
      <c r="K1718" s="1" t="s">
        <v>7970</v>
      </c>
      <c r="L1718" s="1">
        <v>4</v>
      </c>
      <c r="M1718" s="1">
        <v>48</v>
      </c>
      <c r="N1718" s="1" t="s">
        <v>56</v>
      </c>
      <c r="O1718" s="1" t="s">
        <v>238</v>
      </c>
      <c r="P1718" s="1" t="s">
        <v>45</v>
      </c>
      <c r="Q1718" s="1" t="s">
        <v>32</v>
      </c>
      <c r="R1718" s="1">
        <v>317.08</v>
      </c>
      <c r="S1718" s="1" t="s">
        <v>46</v>
      </c>
      <c r="T1718" s="1" t="s">
        <v>34</v>
      </c>
      <c r="U1718" s="1" t="s">
        <v>35</v>
      </c>
      <c r="V1718" s="1" t="s">
        <v>36</v>
      </c>
    </row>
    <row r="1719" spans="1:22" x14ac:dyDescent="0.3">
      <c r="A1719" s="1" t="s">
        <v>7971</v>
      </c>
      <c r="B1719" s="1" t="s">
        <v>7972</v>
      </c>
      <c r="C1719" s="1">
        <v>43</v>
      </c>
      <c r="D1719" s="1" t="s">
        <v>7973</v>
      </c>
      <c r="E1719" s="1" t="s">
        <v>51</v>
      </c>
      <c r="F1719" s="2">
        <v>44930</v>
      </c>
      <c r="G1719" s="1" t="s">
        <v>2615</v>
      </c>
      <c r="H1719" s="1">
        <v>4</v>
      </c>
      <c r="I1719" s="1" t="s">
        <v>27</v>
      </c>
      <c r="J1719" s="2">
        <v>45265</v>
      </c>
      <c r="K1719" s="1" t="s">
        <v>7974</v>
      </c>
      <c r="L1719" s="1">
        <v>9</v>
      </c>
      <c r="M1719" s="1">
        <v>42</v>
      </c>
      <c r="N1719" s="1" t="s">
        <v>56</v>
      </c>
      <c r="O1719" s="1" t="s">
        <v>122</v>
      </c>
      <c r="P1719" s="1" t="s">
        <v>30</v>
      </c>
      <c r="Q1719" s="1" t="s">
        <v>69</v>
      </c>
      <c r="R1719" s="1">
        <v>248.49</v>
      </c>
      <c r="S1719" s="1" t="s">
        <v>46</v>
      </c>
      <c r="T1719" s="1" t="s">
        <v>34</v>
      </c>
      <c r="U1719" s="1" t="s">
        <v>35</v>
      </c>
      <c r="V1719" s="1" t="s">
        <v>188</v>
      </c>
    </row>
    <row r="1720" spans="1:22" x14ac:dyDescent="0.3">
      <c r="A1720" s="1" t="s">
        <v>7975</v>
      </c>
      <c r="B1720" s="1" t="s">
        <v>7976</v>
      </c>
      <c r="C1720" s="1">
        <v>18</v>
      </c>
      <c r="D1720" s="1" t="s">
        <v>7977</v>
      </c>
      <c r="E1720" s="1" t="s">
        <v>25</v>
      </c>
      <c r="F1720" s="1" t="s">
        <v>2167</v>
      </c>
      <c r="G1720" s="1" t="s">
        <v>2430</v>
      </c>
      <c r="H1720" s="1">
        <v>5</v>
      </c>
      <c r="I1720" s="1" t="s">
        <v>52</v>
      </c>
      <c r="J1720" s="1" t="s">
        <v>1497</v>
      </c>
      <c r="K1720" s="1" t="s">
        <v>7978</v>
      </c>
      <c r="L1720" s="1">
        <v>9</v>
      </c>
      <c r="M1720" s="1">
        <v>18</v>
      </c>
      <c r="N1720" s="1" t="s">
        <v>68</v>
      </c>
      <c r="O1720" s="1" t="s">
        <v>116</v>
      </c>
      <c r="P1720" s="1" t="s">
        <v>54</v>
      </c>
      <c r="Q1720" s="1" t="s">
        <v>69</v>
      </c>
      <c r="R1720" s="1">
        <v>273.87</v>
      </c>
      <c r="S1720" s="1" t="s">
        <v>46</v>
      </c>
      <c r="T1720" s="1" t="s">
        <v>100</v>
      </c>
      <c r="U1720" s="1" t="s">
        <v>35</v>
      </c>
      <c r="V1720" s="1" t="s">
        <v>36</v>
      </c>
    </row>
    <row r="1721" spans="1:22" x14ac:dyDescent="0.3">
      <c r="A1721" s="1" t="s">
        <v>7979</v>
      </c>
      <c r="B1721" s="1" t="s">
        <v>7980</v>
      </c>
      <c r="C1721" s="1">
        <v>40</v>
      </c>
      <c r="D1721" s="1" t="s">
        <v>7981</v>
      </c>
      <c r="E1721" s="1" t="s">
        <v>51</v>
      </c>
      <c r="F1721" s="2">
        <v>43962</v>
      </c>
      <c r="G1721" s="2">
        <v>45141</v>
      </c>
      <c r="H1721" s="1">
        <v>1</v>
      </c>
      <c r="I1721" s="1" t="s">
        <v>52</v>
      </c>
      <c r="J1721" s="2">
        <v>45484</v>
      </c>
      <c r="K1721" s="1" t="s">
        <v>7982</v>
      </c>
      <c r="L1721" s="1">
        <v>2</v>
      </c>
      <c r="M1721" s="1">
        <v>35</v>
      </c>
      <c r="N1721" s="1" t="s">
        <v>68</v>
      </c>
      <c r="O1721" s="1" t="s">
        <v>175</v>
      </c>
      <c r="P1721" s="1" t="s">
        <v>56</v>
      </c>
      <c r="Q1721" s="1" t="s">
        <v>32</v>
      </c>
      <c r="R1721" s="1">
        <v>1740.44</v>
      </c>
      <c r="S1721" s="1" t="s">
        <v>46</v>
      </c>
      <c r="T1721" s="1" t="s">
        <v>34</v>
      </c>
      <c r="U1721" s="1" t="s">
        <v>35</v>
      </c>
      <c r="V1721" s="1" t="s">
        <v>36</v>
      </c>
    </row>
    <row r="1722" spans="1:22" x14ac:dyDescent="0.3">
      <c r="A1722" s="1" t="s">
        <v>7983</v>
      </c>
      <c r="B1722" s="1" t="s">
        <v>7984</v>
      </c>
      <c r="C1722" s="1">
        <v>22</v>
      </c>
      <c r="D1722" s="1" t="s">
        <v>7985</v>
      </c>
      <c r="E1722" s="1" t="s">
        <v>40</v>
      </c>
      <c r="F1722" s="2">
        <v>45200</v>
      </c>
      <c r="G1722" s="1" t="s">
        <v>1338</v>
      </c>
      <c r="H1722" s="1">
        <v>3</v>
      </c>
      <c r="I1722" s="1" t="s">
        <v>64</v>
      </c>
      <c r="J1722" s="1" t="s">
        <v>1005</v>
      </c>
      <c r="K1722" s="1" t="s">
        <v>7986</v>
      </c>
      <c r="L1722" s="1">
        <v>9</v>
      </c>
      <c r="M1722" s="1">
        <v>41</v>
      </c>
      <c r="N1722" s="1" t="s">
        <v>45</v>
      </c>
      <c r="O1722" s="1" t="s">
        <v>418</v>
      </c>
      <c r="P1722" s="1" t="s">
        <v>56</v>
      </c>
      <c r="Q1722" s="1" t="s">
        <v>32</v>
      </c>
      <c r="R1722" s="1">
        <v>1580.31</v>
      </c>
      <c r="S1722" s="1" t="s">
        <v>46</v>
      </c>
      <c r="T1722" s="1" t="s">
        <v>100</v>
      </c>
      <c r="U1722" s="1" t="s">
        <v>35</v>
      </c>
      <c r="V1722" s="1" t="s">
        <v>71</v>
      </c>
    </row>
    <row r="1723" spans="1:22" x14ac:dyDescent="0.3">
      <c r="A1723" s="1" t="s">
        <v>7987</v>
      </c>
      <c r="B1723" s="1" t="s">
        <v>7988</v>
      </c>
      <c r="C1723" s="1">
        <v>18</v>
      </c>
      <c r="D1723" s="1" t="s">
        <v>7989</v>
      </c>
      <c r="E1723" s="1" t="s">
        <v>95</v>
      </c>
      <c r="F1723" s="2">
        <v>44084</v>
      </c>
      <c r="G1723" s="2">
        <v>45447</v>
      </c>
      <c r="H1723" s="1">
        <v>2</v>
      </c>
      <c r="I1723" s="1" t="s">
        <v>27</v>
      </c>
      <c r="J1723" s="1" t="s">
        <v>1541</v>
      </c>
      <c r="K1723" s="1" t="s">
        <v>7990</v>
      </c>
      <c r="L1723" s="1">
        <v>4</v>
      </c>
      <c r="M1723" s="1">
        <v>27</v>
      </c>
      <c r="N1723" s="1" t="s">
        <v>56</v>
      </c>
      <c r="O1723" s="1" t="s">
        <v>604</v>
      </c>
      <c r="P1723" s="1" t="s">
        <v>45</v>
      </c>
      <c r="Q1723" s="1" t="s">
        <v>32</v>
      </c>
      <c r="R1723" s="1">
        <v>1451.92</v>
      </c>
      <c r="S1723" s="1" t="s">
        <v>46</v>
      </c>
      <c r="T1723" s="1" t="s">
        <v>100</v>
      </c>
      <c r="U1723" s="1" t="s">
        <v>35</v>
      </c>
      <c r="V1723" s="1" t="s">
        <v>36</v>
      </c>
    </row>
    <row r="1724" spans="1:22" x14ac:dyDescent="0.3">
      <c r="A1724" s="1" t="s">
        <v>7991</v>
      </c>
      <c r="B1724" s="1" t="s">
        <v>7992</v>
      </c>
      <c r="C1724" s="1">
        <v>25</v>
      </c>
      <c r="D1724" s="1" t="s">
        <v>7993</v>
      </c>
      <c r="E1724" s="1" t="s">
        <v>40</v>
      </c>
      <c r="F1724" s="1" t="s">
        <v>1917</v>
      </c>
      <c r="G1724" s="1" t="s">
        <v>1889</v>
      </c>
      <c r="H1724" s="1">
        <v>3</v>
      </c>
      <c r="I1724" s="1" t="s">
        <v>52</v>
      </c>
      <c r="J1724" s="1" t="s">
        <v>1801</v>
      </c>
      <c r="K1724" s="1" t="s">
        <v>7994</v>
      </c>
      <c r="L1724" s="1">
        <v>3</v>
      </c>
      <c r="M1724" s="1">
        <v>2</v>
      </c>
      <c r="N1724" s="1" t="s">
        <v>54</v>
      </c>
      <c r="O1724" s="1" t="s">
        <v>157</v>
      </c>
      <c r="P1724" s="1" t="s">
        <v>68</v>
      </c>
      <c r="Q1724" s="1" t="s">
        <v>32</v>
      </c>
      <c r="R1724" s="1">
        <v>1419.93</v>
      </c>
      <c r="S1724" s="1" t="s">
        <v>46</v>
      </c>
      <c r="T1724" s="1" t="s">
        <v>57</v>
      </c>
      <c r="U1724" s="1" t="s">
        <v>35</v>
      </c>
      <c r="V1724" s="1" t="s">
        <v>36</v>
      </c>
    </row>
    <row r="1725" spans="1:22" x14ac:dyDescent="0.3">
      <c r="A1725" s="1" t="s">
        <v>7995</v>
      </c>
      <c r="B1725" s="1" t="s">
        <v>7996</v>
      </c>
      <c r="C1725" s="1">
        <v>18</v>
      </c>
      <c r="D1725" s="1" t="s">
        <v>7997</v>
      </c>
      <c r="E1725" s="1" t="s">
        <v>95</v>
      </c>
      <c r="F1725" s="1" t="s">
        <v>2207</v>
      </c>
      <c r="G1725" s="1" t="s">
        <v>1075</v>
      </c>
      <c r="H1725" s="1">
        <v>3</v>
      </c>
      <c r="I1725" s="1" t="s">
        <v>27</v>
      </c>
      <c r="J1725" s="1" t="s">
        <v>2598</v>
      </c>
      <c r="K1725" s="1" t="s">
        <v>7998</v>
      </c>
      <c r="L1725" s="1">
        <v>6</v>
      </c>
      <c r="M1725" s="1">
        <v>9</v>
      </c>
      <c r="N1725" s="1" t="s">
        <v>54</v>
      </c>
      <c r="O1725" s="1" t="s">
        <v>536</v>
      </c>
      <c r="P1725" s="1" t="s">
        <v>68</v>
      </c>
      <c r="Q1725" s="1" t="s">
        <v>32</v>
      </c>
      <c r="R1725" s="1">
        <v>936.36</v>
      </c>
      <c r="S1725" s="1" t="s">
        <v>46</v>
      </c>
      <c r="T1725" s="1" t="s">
        <v>100</v>
      </c>
      <c r="U1725" s="1" t="s">
        <v>35</v>
      </c>
      <c r="V1725" s="1" t="s">
        <v>36</v>
      </c>
    </row>
    <row r="1726" spans="1:22" x14ac:dyDescent="0.3">
      <c r="A1726" s="1" t="s">
        <v>7999</v>
      </c>
      <c r="B1726" s="1" t="s">
        <v>8000</v>
      </c>
      <c r="C1726" s="1">
        <v>42</v>
      </c>
      <c r="D1726" s="1" t="s">
        <v>8001</v>
      </c>
      <c r="E1726" s="1" t="s">
        <v>40</v>
      </c>
      <c r="F1726" s="1" t="s">
        <v>5645</v>
      </c>
      <c r="G1726" s="1" t="s">
        <v>4015</v>
      </c>
      <c r="H1726" s="1">
        <v>4</v>
      </c>
      <c r="I1726" s="1" t="s">
        <v>27</v>
      </c>
      <c r="J1726" s="1" t="s">
        <v>963</v>
      </c>
      <c r="K1726" s="1" t="s">
        <v>8002</v>
      </c>
      <c r="L1726" s="1">
        <v>5</v>
      </c>
      <c r="M1726" s="1">
        <v>31</v>
      </c>
      <c r="N1726" s="1" t="s">
        <v>45</v>
      </c>
      <c r="O1726" s="1" t="s">
        <v>122</v>
      </c>
      <c r="P1726" s="1" t="s">
        <v>30</v>
      </c>
      <c r="Q1726" s="1" t="s">
        <v>69</v>
      </c>
      <c r="R1726" s="1">
        <v>70.75</v>
      </c>
      <c r="S1726" s="1" t="s">
        <v>46</v>
      </c>
      <c r="T1726" s="1" t="s">
        <v>34</v>
      </c>
      <c r="U1726" s="1" t="s">
        <v>101</v>
      </c>
      <c r="V1726" s="1" t="s">
        <v>188</v>
      </c>
    </row>
    <row r="1727" spans="1:22" x14ac:dyDescent="0.3">
      <c r="A1727" s="1" t="s">
        <v>8003</v>
      </c>
      <c r="B1727" s="1" t="s">
        <v>8004</v>
      </c>
      <c r="C1727" s="1">
        <v>26</v>
      </c>
      <c r="D1727" s="1" t="s">
        <v>8005</v>
      </c>
      <c r="E1727" s="1" t="s">
        <v>25</v>
      </c>
      <c r="F1727" s="2">
        <v>44291</v>
      </c>
      <c r="G1727" s="1" t="s">
        <v>3861</v>
      </c>
      <c r="H1727" s="1">
        <v>5</v>
      </c>
      <c r="I1727" s="1" t="s">
        <v>52</v>
      </c>
      <c r="J1727" s="1" t="s">
        <v>410</v>
      </c>
      <c r="K1727" s="1" t="s">
        <v>8006</v>
      </c>
      <c r="L1727" s="1">
        <v>8</v>
      </c>
      <c r="M1727" s="1">
        <v>13</v>
      </c>
      <c r="N1727" s="1" t="s">
        <v>45</v>
      </c>
      <c r="O1727" s="1" t="s">
        <v>269</v>
      </c>
      <c r="P1727" s="1" t="s">
        <v>56</v>
      </c>
      <c r="Q1727" s="1" t="s">
        <v>69</v>
      </c>
      <c r="R1727" s="1">
        <v>1312.32</v>
      </c>
      <c r="S1727" s="1" t="s">
        <v>46</v>
      </c>
      <c r="T1727" s="1" t="s">
        <v>57</v>
      </c>
      <c r="U1727" s="1" t="s">
        <v>35</v>
      </c>
      <c r="V1727" s="1" t="s">
        <v>36</v>
      </c>
    </row>
    <row r="1728" spans="1:22" x14ac:dyDescent="0.3">
      <c r="A1728" s="1" t="s">
        <v>8007</v>
      </c>
      <c r="B1728" s="1" t="s">
        <v>8008</v>
      </c>
      <c r="C1728" s="1">
        <v>53</v>
      </c>
      <c r="D1728" s="1" t="s">
        <v>8009</v>
      </c>
      <c r="E1728" s="1" t="s">
        <v>25</v>
      </c>
      <c r="F1728" s="1" t="s">
        <v>4416</v>
      </c>
      <c r="G1728" s="1" t="s">
        <v>8010</v>
      </c>
      <c r="H1728" s="1">
        <v>5</v>
      </c>
      <c r="I1728" s="1" t="s">
        <v>27</v>
      </c>
      <c r="J1728" s="1" t="s">
        <v>2000</v>
      </c>
      <c r="K1728" s="1" t="s">
        <v>8011</v>
      </c>
      <c r="L1728" s="1">
        <v>3</v>
      </c>
      <c r="M1728" s="1">
        <v>23</v>
      </c>
      <c r="N1728" s="1" t="s">
        <v>30</v>
      </c>
      <c r="O1728" s="1" t="s">
        <v>821</v>
      </c>
      <c r="P1728" s="1" t="s">
        <v>68</v>
      </c>
      <c r="Q1728" s="1" t="s">
        <v>32</v>
      </c>
      <c r="R1728" s="1">
        <v>620.30999999999995</v>
      </c>
      <c r="S1728" s="1" t="s">
        <v>46</v>
      </c>
      <c r="T1728" s="1" t="s">
        <v>47</v>
      </c>
      <c r="U1728" s="1" t="s">
        <v>35</v>
      </c>
      <c r="V1728" s="1" t="s">
        <v>188</v>
      </c>
    </row>
    <row r="1729" spans="1:22" x14ac:dyDescent="0.3">
      <c r="A1729" s="1" t="s">
        <v>8012</v>
      </c>
      <c r="B1729" s="1" t="s">
        <v>8013</v>
      </c>
      <c r="C1729" s="1">
        <v>49</v>
      </c>
      <c r="D1729" s="1" t="s">
        <v>8014</v>
      </c>
      <c r="E1729" s="1" t="s">
        <v>88</v>
      </c>
      <c r="F1729" s="1" t="s">
        <v>1046</v>
      </c>
      <c r="G1729" s="1" t="s">
        <v>1253</v>
      </c>
      <c r="H1729" s="1">
        <v>1</v>
      </c>
      <c r="I1729" s="1" t="s">
        <v>52</v>
      </c>
      <c r="J1729" s="1" t="s">
        <v>4191</v>
      </c>
      <c r="K1729" s="1" t="s">
        <v>8015</v>
      </c>
      <c r="L1729" s="1">
        <v>2</v>
      </c>
      <c r="M1729" s="1">
        <v>1</v>
      </c>
      <c r="N1729" s="1" t="s">
        <v>45</v>
      </c>
      <c r="O1729" s="1" t="s">
        <v>269</v>
      </c>
      <c r="P1729" s="1" t="s">
        <v>56</v>
      </c>
      <c r="Q1729" s="1" t="s">
        <v>322</v>
      </c>
      <c r="R1729" s="1">
        <v>1944.3</v>
      </c>
      <c r="S1729" s="1" t="s">
        <v>46</v>
      </c>
      <c r="T1729" s="1" t="s">
        <v>34</v>
      </c>
      <c r="U1729" s="1" t="s">
        <v>101</v>
      </c>
      <c r="V1729" s="1" t="s">
        <v>36</v>
      </c>
    </row>
    <row r="1730" spans="1:22" x14ac:dyDescent="0.3">
      <c r="A1730" s="1" t="s">
        <v>8016</v>
      </c>
      <c r="B1730" s="1" t="s">
        <v>8017</v>
      </c>
      <c r="C1730" s="1">
        <v>43</v>
      </c>
      <c r="D1730" s="1" t="s">
        <v>8018</v>
      </c>
      <c r="E1730" s="1" t="s">
        <v>40</v>
      </c>
      <c r="F1730" s="1" t="s">
        <v>2680</v>
      </c>
      <c r="G1730" s="1" t="s">
        <v>4505</v>
      </c>
      <c r="H1730" s="1">
        <v>3</v>
      </c>
      <c r="I1730" s="1" t="s">
        <v>27</v>
      </c>
      <c r="J1730" s="1" t="s">
        <v>1205</v>
      </c>
      <c r="K1730" s="1" t="s">
        <v>8019</v>
      </c>
      <c r="L1730" s="1">
        <v>2</v>
      </c>
      <c r="M1730" s="1">
        <v>36</v>
      </c>
      <c r="N1730" s="1" t="s">
        <v>56</v>
      </c>
      <c r="O1730" s="1" t="s">
        <v>269</v>
      </c>
      <c r="P1730" s="1" t="s">
        <v>56</v>
      </c>
      <c r="Q1730" s="1" t="s">
        <v>32</v>
      </c>
      <c r="R1730" s="1">
        <v>67.099999999999994</v>
      </c>
      <c r="S1730" s="1" t="s">
        <v>33</v>
      </c>
      <c r="T1730" s="1" t="s">
        <v>34</v>
      </c>
      <c r="U1730" s="1" t="s">
        <v>101</v>
      </c>
      <c r="V1730" s="1" t="s">
        <v>36</v>
      </c>
    </row>
    <row r="1731" spans="1:22" x14ac:dyDescent="0.3">
      <c r="A1731" s="1" t="s">
        <v>8020</v>
      </c>
      <c r="B1731" s="1" t="s">
        <v>8021</v>
      </c>
      <c r="C1731" s="1">
        <v>18</v>
      </c>
      <c r="D1731" s="1" t="s">
        <v>8022</v>
      </c>
      <c r="E1731" s="1" t="s">
        <v>51</v>
      </c>
      <c r="F1731" s="2">
        <v>44780</v>
      </c>
      <c r="G1731" s="2">
        <v>45110</v>
      </c>
      <c r="H1731" s="1">
        <v>5</v>
      </c>
      <c r="I1731" s="1" t="s">
        <v>27</v>
      </c>
      <c r="J1731" s="1" t="s">
        <v>513</v>
      </c>
      <c r="K1731" s="1" t="s">
        <v>8023</v>
      </c>
      <c r="L1731" s="1">
        <v>4</v>
      </c>
      <c r="M1731" s="1">
        <v>18</v>
      </c>
      <c r="N1731" s="1" t="s">
        <v>45</v>
      </c>
      <c r="O1731" s="1" t="s">
        <v>67</v>
      </c>
      <c r="P1731" s="1" t="s">
        <v>68</v>
      </c>
      <c r="Q1731" s="1" t="s">
        <v>322</v>
      </c>
      <c r="R1731" s="1">
        <v>909.6</v>
      </c>
      <c r="S1731" s="1" t="s">
        <v>46</v>
      </c>
      <c r="T1731" s="1" t="s">
        <v>100</v>
      </c>
      <c r="U1731" s="1" t="s">
        <v>35</v>
      </c>
      <c r="V1731" s="1" t="s">
        <v>188</v>
      </c>
    </row>
    <row r="1732" spans="1:22" x14ac:dyDescent="0.3">
      <c r="A1732" s="1" t="s">
        <v>8024</v>
      </c>
      <c r="B1732" s="1" t="s">
        <v>8025</v>
      </c>
      <c r="C1732" s="1">
        <v>25</v>
      </c>
      <c r="D1732" s="1" t="s">
        <v>8026</v>
      </c>
      <c r="E1732" s="1" t="s">
        <v>40</v>
      </c>
      <c r="F1732" s="1" t="s">
        <v>2533</v>
      </c>
      <c r="G1732" s="1" t="s">
        <v>6511</v>
      </c>
      <c r="H1732" s="1">
        <v>2</v>
      </c>
      <c r="I1732" s="1" t="s">
        <v>52</v>
      </c>
      <c r="J1732" s="2">
        <v>44845</v>
      </c>
      <c r="K1732" s="1" t="s">
        <v>8027</v>
      </c>
      <c r="L1732" s="1">
        <v>4</v>
      </c>
      <c r="M1732" s="1">
        <v>26</v>
      </c>
      <c r="N1732" s="1" t="s">
        <v>30</v>
      </c>
      <c r="O1732" s="1" t="s">
        <v>245</v>
      </c>
      <c r="P1732" s="1" t="s">
        <v>54</v>
      </c>
      <c r="Q1732" s="1" t="s">
        <v>69</v>
      </c>
      <c r="R1732" s="1">
        <v>1050.24</v>
      </c>
      <c r="S1732" s="1" t="s">
        <v>46</v>
      </c>
      <c r="T1732" s="1" t="s">
        <v>57</v>
      </c>
      <c r="U1732" s="1" t="s">
        <v>35</v>
      </c>
      <c r="V1732" s="1" t="s">
        <v>36</v>
      </c>
    </row>
    <row r="1733" spans="1:22" x14ac:dyDescent="0.3">
      <c r="A1733" s="1" t="s">
        <v>8028</v>
      </c>
      <c r="B1733" s="1" t="s">
        <v>8029</v>
      </c>
      <c r="C1733" s="1">
        <v>42</v>
      </c>
      <c r="D1733" s="1" t="s">
        <v>8030</v>
      </c>
      <c r="E1733" s="1" t="s">
        <v>61</v>
      </c>
      <c r="F1733" s="2">
        <v>44659</v>
      </c>
      <c r="G1733" s="2">
        <v>44987</v>
      </c>
      <c r="H1733" s="1">
        <v>3</v>
      </c>
      <c r="I1733" s="1" t="s">
        <v>27</v>
      </c>
      <c r="J1733" s="2">
        <v>44691</v>
      </c>
      <c r="K1733" s="1" t="s">
        <v>8031</v>
      </c>
      <c r="L1733" s="1">
        <v>2</v>
      </c>
      <c r="M1733" s="1">
        <v>35</v>
      </c>
      <c r="N1733" s="1" t="s">
        <v>56</v>
      </c>
      <c r="O1733" s="1" t="s">
        <v>604</v>
      </c>
      <c r="P1733" s="1" t="s">
        <v>45</v>
      </c>
      <c r="Q1733" s="1" t="s">
        <v>32</v>
      </c>
      <c r="R1733" s="1">
        <v>776.76</v>
      </c>
      <c r="S1733" s="1" t="s">
        <v>46</v>
      </c>
      <c r="T1733" s="1" t="s">
        <v>34</v>
      </c>
      <c r="U1733" s="1" t="s">
        <v>35</v>
      </c>
      <c r="V1733" s="1" t="s">
        <v>36</v>
      </c>
    </row>
    <row r="1734" spans="1:22" x14ac:dyDescent="0.3">
      <c r="A1734" s="1" t="s">
        <v>8032</v>
      </c>
      <c r="B1734" s="1" t="s">
        <v>8033</v>
      </c>
      <c r="C1734" s="1">
        <v>47</v>
      </c>
      <c r="D1734" s="1" t="s">
        <v>8034</v>
      </c>
      <c r="E1734" s="1" t="s">
        <v>88</v>
      </c>
      <c r="F1734" s="2">
        <v>44813</v>
      </c>
      <c r="G1734" s="2">
        <v>45873</v>
      </c>
      <c r="H1734" s="1">
        <v>3</v>
      </c>
      <c r="I1734" s="1" t="s">
        <v>27</v>
      </c>
      <c r="J1734" s="1" t="s">
        <v>2314</v>
      </c>
      <c r="K1734" s="1" t="s">
        <v>8035</v>
      </c>
      <c r="L1734" s="1">
        <v>9</v>
      </c>
      <c r="M1734" s="1">
        <v>34</v>
      </c>
      <c r="N1734" s="1" t="s">
        <v>30</v>
      </c>
      <c r="O1734" s="1" t="s">
        <v>373</v>
      </c>
      <c r="P1734" s="1" t="s">
        <v>54</v>
      </c>
      <c r="Q1734" s="1" t="s">
        <v>69</v>
      </c>
      <c r="R1734" s="1">
        <v>1413.54</v>
      </c>
      <c r="S1734" s="1" t="s">
        <v>46</v>
      </c>
      <c r="T1734" s="1" t="s">
        <v>34</v>
      </c>
      <c r="U1734" s="1" t="s">
        <v>35</v>
      </c>
      <c r="V1734" s="1" t="s">
        <v>36</v>
      </c>
    </row>
    <row r="1735" spans="1:22" x14ac:dyDescent="0.3">
      <c r="A1735" s="1" t="s">
        <v>8036</v>
      </c>
      <c r="B1735" s="1" t="s">
        <v>8037</v>
      </c>
      <c r="C1735" s="1">
        <v>20</v>
      </c>
      <c r="D1735" s="1" t="s">
        <v>8038</v>
      </c>
      <c r="E1735" s="1" t="s">
        <v>25</v>
      </c>
      <c r="F1735" s="1" t="s">
        <v>680</v>
      </c>
      <c r="G1735" s="1" t="s">
        <v>2928</v>
      </c>
      <c r="H1735" s="1">
        <v>2</v>
      </c>
      <c r="I1735" s="1" t="s">
        <v>27</v>
      </c>
      <c r="J1735" s="2">
        <v>45180</v>
      </c>
      <c r="K1735" s="1" t="s">
        <v>8039</v>
      </c>
      <c r="L1735" s="1">
        <v>5</v>
      </c>
      <c r="M1735" s="1">
        <v>36</v>
      </c>
      <c r="N1735" s="1" t="s">
        <v>54</v>
      </c>
      <c r="O1735" s="1" t="s">
        <v>231</v>
      </c>
      <c r="P1735" s="1" t="s">
        <v>30</v>
      </c>
      <c r="Q1735" s="1" t="s">
        <v>32</v>
      </c>
      <c r="R1735" s="1">
        <v>855.45</v>
      </c>
      <c r="S1735" s="1" t="s">
        <v>46</v>
      </c>
      <c r="T1735" s="1" t="s">
        <v>100</v>
      </c>
      <c r="U1735" s="1" t="s">
        <v>35</v>
      </c>
      <c r="V1735" s="1" t="s">
        <v>36</v>
      </c>
    </row>
    <row r="1736" spans="1:22" x14ac:dyDescent="0.3">
      <c r="A1736" s="1" t="s">
        <v>8040</v>
      </c>
      <c r="B1736" s="1" t="s">
        <v>8041</v>
      </c>
      <c r="C1736" s="1">
        <v>41</v>
      </c>
      <c r="D1736" s="1" t="s">
        <v>8042</v>
      </c>
      <c r="E1736" s="1" t="s">
        <v>61</v>
      </c>
      <c r="F1736" s="2">
        <v>44907</v>
      </c>
      <c r="G1736" s="1" t="s">
        <v>3488</v>
      </c>
      <c r="H1736" s="1">
        <v>1</v>
      </c>
      <c r="I1736" s="1" t="s">
        <v>27</v>
      </c>
      <c r="J1736" s="1" t="s">
        <v>784</v>
      </c>
      <c r="K1736" s="1" t="s">
        <v>8043</v>
      </c>
      <c r="L1736" s="1">
        <v>5</v>
      </c>
      <c r="M1736" s="1">
        <v>19</v>
      </c>
      <c r="N1736" s="1" t="s">
        <v>56</v>
      </c>
      <c r="O1736" s="1" t="s">
        <v>354</v>
      </c>
      <c r="P1736" s="1" t="s">
        <v>45</v>
      </c>
      <c r="Q1736" s="1" t="s">
        <v>32</v>
      </c>
      <c r="R1736" s="1">
        <v>1586.8</v>
      </c>
      <c r="S1736" s="1" t="s">
        <v>46</v>
      </c>
      <c r="T1736" s="1" t="s">
        <v>34</v>
      </c>
      <c r="U1736" s="1" t="s">
        <v>35</v>
      </c>
      <c r="V1736" s="1" t="s">
        <v>36</v>
      </c>
    </row>
    <row r="1737" spans="1:22" x14ac:dyDescent="0.3">
      <c r="A1737" s="1" t="s">
        <v>8044</v>
      </c>
      <c r="B1737" s="1" t="s">
        <v>8045</v>
      </c>
      <c r="C1737" s="1">
        <v>65</v>
      </c>
      <c r="D1737" s="1" t="s">
        <v>8046</v>
      </c>
      <c r="E1737" s="1" t="s">
        <v>95</v>
      </c>
      <c r="F1737" s="1" t="s">
        <v>2648</v>
      </c>
      <c r="G1737" s="2">
        <v>45450</v>
      </c>
      <c r="H1737" s="1">
        <v>0</v>
      </c>
      <c r="I1737" s="1" t="s">
        <v>27</v>
      </c>
      <c r="J1737" s="2">
        <v>44780</v>
      </c>
      <c r="K1737" s="1" t="s">
        <v>8047</v>
      </c>
      <c r="L1737" s="1">
        <v>3</v>
      </c>
      <c r="M1737" s="1">
        <v>22</v>
      </c>
      <c r="N1737" s="1" t="s">
        <v>56</v>
      </c>
      <c r="O1737" s="1" t="s">
        <v>135</v>
      </c>
      <c r="P1737" s="1" t="s">
        <v>45</v>
      </c>
      <c r="Q1737" s="1" t="s">
        <v>69</v>
      </c>
      <c r="R1737" s="1">
        <v>1839.21</v>
      </c>
      <c r="S1737" s="1" t="s">
        <v>46</v>
      </c>
      <c r="T1737" s="1" t="s">
        <v>232</v>
      </c>
      <c r="U1737" s="1" t="s">
        <v>35</v>
      </c>
      <c r="V1737" s="1" t="s">
        <v>36</v>
      </c>
    </row>
    <row r="1738" spans="1:22" x14ac:dyDescent="0.3">
      <c r="A1738" s="1" t="s">
        <v>8048</v>
      </c>
      <c r="B1738" s="1" t="s">
        <v>8049</v>
      </c>
      <c r="C1738" s="1">
        <v>33</v>
      </c>
      <c r="D1738" s="1" t="s">
        <v>8050</v>
      </c>
      <c r="E1738" s="1" t="s">
        <v>88</v>
      </c>
      <c r="F1738" s="2">
        <v>44624</v>
      </c>
      <c r="G1738" s="2">
        <v>45115</v>
      </c>
      <c r="H1738" s="1">
        <v>4</v>
      </c>
      <c r="I1738" s="1" t="s">
        <v>27</v>
      </c>
      <c r="J1738" s="1" t="s">
        <v>209</v>
      </c>
      <c r="K1738" s="1" t="s">
        <v>8051</v>
      </c>
      <c r="L1738" s="1">
        <v>9</v>
      </c>
      <c r="M1738" s="1">
        <v>40</v>
      </c>
      <c r="N1738" s="1" t="s">
        <v>45</v>
      </c>
      <c r="O1738" s="1" t="s">
        <v>837</v>
      </c>
      <c r="P1738" s="1" t="s">
        <v>56</v>
      </c>
      <c r="Q1738" s="1" t="s">
        <v>69</v>
      </c>
      <c r="R1738" s="1">
        <v>785.61</v>
      </c>
      <c r="S1738" s="1" t="s">
        <v>46</v>
      </c>
      <c r="T1738" s="1" t="s">
        <v>57</v>
      </c>
      <c r="U1738" s="1" t="s">
        <v>35</v>
      </c>
      <c r="V1738" s="1" t="s">
        <v>188</v>
      </c>
    </row>
    <row r="1739" spans="1:22" x14ac:dyDescent="0.3">
      <c r="A1739" s="1" t="s">
        <v>8052</v>
      </c>
      <c r="B1739" s="1" t="s">
        <v>8053</v>
      </c>
      <c r="C1739" s="1">
        <v>69</v>
      </c>
      <c r="D1739" s="1" t="s">
        <v>8054</v>
      </c>
      <c r="E1739" s="1" t="s">
        <v>40</v>
      </c>
      <c r="F1739" s="1" t="s">
        <v>1599</v>
      </c>
      <c r="G1739" s="1" t="s">
        <v>1430</v>
      </c>
      <c r="H1739" s="1">
        <v>4</v>
      </c>
      <c r="I1739" s="1" t="s">
        <v>27</v>
      </c>
      <c r="J1739" s="1" t="s">
        <v>1338</v>
      </c>
      <c r="K1739" s="1" t="s">
        <v>8055</v>
      </c>
      <c r="L1739" s="1">
        <v>5</v>
      </c>
      <c r="M1739" s="1">
        <v>35</v>
      </c>
      <c r="N1739" s="1" t="s">
        <v>30</v>
      </c>
      <c r="O1739" s="1" t="s">
        <v>269</v>
      </c>
      <c r="P1739" s="1" t="s">
        <v>56</v>
      </c>
      <c r="Q1739" s="1" t="s">
        <v>32</v>
      </c>
      <c r="R1739" s="1">
        <v>454.95</v>
      </c>
      <c r="S1739" s="1" t="s">
        <v>46</v>
      </c>
      <c r="T1739" s="1" t="s">
        <v>232</v>
      </c>
      <c r="U1739" s="1" t="s">
        <v>35</v>
      </c>
      <c r="V1739" s="1" t="s">
        <v>188</v>
      </c>
    </row>
    <row r="1740" spans="1:22" x14ac:dyDescent="0.3">
      <c r="A1740" s="1" t="s">
        <v>8056</v>
      </c>
      <c r="B1740" s="1" t="s">
        <v>8057</v>
      </c>
      <c r="C1740" s="1">
        <v>27</v>
      </c>
      <c r="D1740" s="1" t="s">
        <v>8058</v>
      </c>
      <c r="E1740" s="1" t="s">
        <v>88</v>
      </c>
      <c r="F1740" s="1" t="s">
        <v>825</v>
      </c>
      <c r="G1740" s="1" t="s">
        <v>2241</v>
      </c>
      <c r="H1740" s="1">
        <v>4</v>
      </c>
      <c r="I1740" s="1" t="s">
        <v>27</v>
      </c>
      <c r="J1740" s="2">
        <v>45599</v>
      </c>
      <c r="K1740" s="1" t="s">
        <v>8059</v>
      </c>
      <c r="L1740" s="1">
        <v>3</v>
      </c>
      <c r="M1740" s="1">
        <v>40</v>
      </c>
      <c r="N1740" s="1" t="s">
        <v>45</v>
      </c>
      <c r="O1740" s="1" t="s">
        <v>597</v>
      </c>
      <c r="P1740" s="1" t="s">
        <v>45</v>
      </c>
      <c r="Q1740" s="1" t="s">
        <v>69</v>
      </c>
      <c r="R1740" s="1">
        <v>874.29</v>
      </c>
      <c r="S1740" s="1" t="s">
        <v>33</v>
      </c>
      <c r="T1740" s="1" t="s">
        <v>57</v>
      </c>
      <c r="U1740" s="1" t="s">
        <v>35</v>
      </c>
      <c r="V1740" s="1" t="s">
        <v>188</v>
      </c>
    </row>
    <row r="1741" spans="1:22" x14ac:dyDescent="0.3">
      <c r="A1741" s="1" t="s">
        <v>8060</v>
      </c>
      <c r="B1741" s="1" t="s">
        <v>8061</v>
      </c>
      <c r="C1741" s="1">
        <v>36</v>
      </c>
      <c r="D1741" s="1" t="s">
        <v>8062</v>
      </c>
      <c r="E1741" s="1" t="s">
        <v>51</v>
      </c>
      <c r="F1741" s="1" t="s">
        <v>675</v>
      </c>
      <c r="G1741" s="1" t="s">
        <v>1811</v>
      </c>
      <c r="H1741" s="1">
        <v>3</v>
      </c>
      <c r="I1741" s="1" t="s">
        <v>52</v>
      </c>
      <c r="J1741" s="1" t="s">
        <v>3330</v>
      </c>
      <c r="K1741" s="1" t="s">
        <v>8063</v>
      </c>
      <c r="L1741" s="1">
        <v>1</v>
      </c>
      <c r="M1741" s="1">
        <v>47</v>
      </c>
      <c r="N1741" s="1" t="s">
        <v>45</v>
      </c>
      <c r="O1741" s="1" t="s">
        <v>251</v>
      </c>
      <c r="P1741" s="1" t="s">
        <v>30</v>
      </c>
      <c r="Q1741" s="1" t="s">
        <v>69</v>
      </c>
      <c r="R1741" s="1">
        <v>407.69</v>
      </c>
      <c r="S1741" s="1" t="s">
        <v>46</v>
      </c>
      <c r="T1741" s="1" t="s">
        <v>34</v>
      </c>
      <c r="U1741" s="1" t="s">
        <v>35</v>
      </c>
      <c r="V1741" s="1" t="s">
        <v>36</v>
      </c>
    </row>
    <row r="1742" spans="1:22" x14ac:dyDescent="0.3">
      <c r="A1742" s="1" t="s">
        <v>8064</v>
      </c>
      <c r="B1742" s="1" t="s">
        <v>8065</v>
      </c>
      <c r="C1742" s="1">
        <v>69</v>
      </c>
      <c r="D1742" s="1" t="s">
        <v>8066</v>
      </c>
      <c r="E1742" s="1" t="s">
        <v>61</v>
      </c>
      <c r="F1742" s="1" t="s">
        <v>6798</v>
      </c>
      <c r="G1742" s="2">
        <v>45874</v>
      </c>
      <c r="H1742" s="1">
        <v>3</v>
      </c>
      <c r="I1742" s="1" t="s">
        <v>27</v>
      </c>
      <c r="J1742" s="1" t="s">
        <v>382</v>
      </c>
      <c r="K1742" s="1" t="s">
        <v>8067</v>
      </c>
      <c r="L1742" s="1">
        <v>8</v>
      </c>
      <c r="M1742" s="1">
        <v>33</v>
      </c>
      <c r="N1742" s="1" t="s">
        <v>56</v>
      </c>
      <c r="O1742" s="1" t="s">
        <v>194</v>
      </c>
      <c r="P1742" s="1" t="s">
        <v>56</v>
      </c>
      <c r="Q1742" s="1" t="s">
        <v>69</v>
      </c>
      <c r="R1742" s="1">
        <v>422.4</v>
      </c>
      <c r="S1742" s="1" t="s">
        <v>33</v>
      </c>
      <c r="T1742" s="1" t="s">
        <v>232</v>
      </c>
      <c r="U1742" s="1" t="s">
        <v>35</v>
      </c>
      <c r="V1742" s="1" t="s">
        <v>36</v>
      </c>
    </row>
    <row r="1743" spans="1:22" x14ac:dyDescent="0.3">
      <c r="A1743" s="1" t="s">
        <v>8068</v>
      </c>
      <c r="B1743" s="1" t="s">
        <v>8069</v>
      </c>
      <c r="C1743" s="1">
        <v>32</v>
      </c>
      <c r="D1743" s="1" t="s">
        <v>8070</v>
      </c>
      <c r="E1743" s="1" t="s">
        <v>40</v>
      </c>
      <c r="F1743" s="1" t="s">
        <v>3470</v>
      </c>
      <c r="G1743" s="1" t="s">
        <v>3300</v>
      </c>
      <c r="H1743" s="1">
        <v>4</v>
      </c>
      <c r="I1743" s="1" t="s">
        <v>27</v>
      </c>
      <c r="J1743" s="2">
        <v>44663</v>
      </c>
      <c r="K1743" s="1" t="s">
        <v>8071</v>
      </c>
      <c r="L1743" s="1">
        <v>1</v>
      </c>
      <c r="M1743" s="1">
        <v>18</v>
      </c>
      <c r="N1743" s="1" t="s">
        <v>30</v>
      </c>
      <c r="O1743" s="1" t="s">
        <v>135</v>
      </c>
      <c r="P1743" s="1" t="s">
        <v>45</v>
      </c>
      <c r="Q1743" s="1" t="s">
        <v>32</v>
      </c>
      <c r="R1743" s="1">
        <v>248.17</v>
      </c>
      <c r="S1743" s="1" t="s">
        <v>46</v>
      </c>
      <c r="T1743" s="1" t="s">
        <v>57</v>
      </c>
      <c r="U1743" s="1" t="s">
        <v>35</v>
      </c>
      <c r="V1743" s="1" t="s">
        <v>188</v>
      </c>
    </row>
    <row r="1744" spans="1:22" x14ac:dyDescent="0.3">
      <c r="A1744" s="1" t="s">
        <v>8072</v>
      </c>
      <c r="B1744" s="1" t="s">
        <v>8073</v>
      </c>
      <c r="C1744" s="1">
        <v>52</v>
      </c>
      <c r="D1744" s="1" t="s">
        <v>8074</v>
      </c>
      <c r="E1744" s="1" t="s">
        <v>61</v>
      </c>
      <c r="F1744" s="1" t="s">
        <v>242</v>
      </c>
      <c r="G1744" s="1" t="s">
        <v>2972</v>
      </c>
      <c r="H1744" s="1">
        <v>1</v>
      </c>
      <c r="I1744" s="1" t="s">
        <v>27</v>
      </c>
      <c r="J1744" s="1" t="s">
        <v>2421</v>
      </c>
      <c r="K1744" s="1" t="s">
        <v>8075</v>
      </c>
      <c r="L1744" s="1">
        <v>4</v>
      </c>
      <c r="M1744" s="1">
        <v>19</v>
      </c>
      <c r="N1744" s="1" t="s">
        <v>56</v>
      </c>
      <c r="O1744" s="1" t="s">
        <v>245</v>
      </c>
      <c r="P1744" s="1" t="s">
        <v>54</v>
      </c>
      <c r="Q1744" s="1" t="s">
        <v>32</v>
      </c>
      <c r="R1744" s="1">
        <v>1625.6</v>
      </c>
      <c r="S1744" s="1" t="s">
        <v>46</v>
      </c>
      <c r="T1744" s="1" t="s">
        <v>47</v>
      </c>
      <c r="U1744" s="1" t="s">
        <v>35</v>
      </c>
      <c r="V1744" s="1" t="s">
        <v>36</v>
      </c>
    </row>
    <row r="1745" spans="1:22" x14ac:dyDescent="0.3">
      <c r="A1745" s="1" t="s">
        <v>8076</v>
      </c>
      <c r="B1745" s="1" t="s">
        <v>8077</v>
      </c>
      <c r="C1745" s="1">
        <v>62</v>
      </c>
      <c r="D1745" s="1" t="s">
        <v>8078</v>
      </c>
      <c r="E1745" s="1" t="s">
        <v>25</v>
      </c>
      <c r="F1745" s="2">
        <v>44534</v>
      </c>
      <c r="G1745" s="1" t="s">
        <v>4795</v>
      </c>
      <c r="H1745" s="1">
        <v>2</v>
      </c>
      <c r="I1745" s="1" t="s">
        <v>27</v>
      </c>
      <c r="J1745" s="1" t="s">
        <v>825</v>
      </c>
      <c r="K1745" s="1" t="s">
        <v>8079</v>
      </c>
      <c r="L1745" s="1">
        <v>6</v>
      </c>
      <c r="M1745" s="1">
        <v>49</v>
      </c>
      <c r="N1745" s="1" t="s">
        <v>30</v>
      </c>
      <c r="O1745" s="1" t="s">
        <v>55</v>
      </c>
      <c r="P1745" s="1" t="s">
        <v>56</v>
      </c>
      <c r="Q1745" s="1" t="s">
        <v>32</v>
      </c>
      <c r="R1745" s="1">
        <v>297.72000000000003</v>
      </c>
      <c r="S1745" s="1" t="s">
        <v>46</v>
      </c>
      <c r="T1745" s="1" t="s">
        <v>47</v>
      </c>
      <c r="U1745" s="1" t="s">
        <v>35</v>
      </c>
      <c r="V1745" s="1" t="s">
        <v>36</v>
      </c>
    </row>
    <row r="1746" spans="1:22" x14ac:dyDescent="0.3">
      <c r="A1746" s="1" t="s">
        <v>8080</v>
      </c>
      <c r="B1746" s="1" t="s">
        <v>8081</v>
      </c>
      <c r="C1746" s="1">
        <v>26</v>
      </c>
      <c r="D1746" s="1" t="s">
        <v>8082</v>
      </c>
      <c r="E1746" s="1" t="s">
        <v>51</v>
      </c>
      <c r="F1746" s="1" t="s">
        <v>3501</v>
      </c>
      <c r="G1746" s="1" t="s">
        <v>236</v>
      </c>
      <c r="H1746" s="1">
        <v>5</v>
      </c>
      <c r="I1746" s="1" t="s">
        <v>27</v>
      </c>
      <c r="J1746" s="1" t="s">
        <v>2743</v>
      </c>
      <c r="K1746" s="1" t="s">
        <v>8083</v>
      </c>
      <c r="L1746" s="1">
        <v>6</v>
      </c>
      <c r="M1746" s="1">
        <v>11</v>
      </c>
      <c r="N1746" s="1" t="s">
        <v>56</v>
      </c>
      <c r="O1746" s="1" t="s">
        <v>128</v>
      </c>
      <c r="P1746" s="1" t="s">
        <v>54</v>
      </c>
      <c r="Q1746" s="1" t="s">
        <v>69</v>
      </c>
      <c r="R1746" s="1">
        <v>1165.8</v>
      </c>
      <c r="S1746" s="1" t="s">
        <v>46</v>
      </c>
      <c r="T1746" s="1" t="s">
        <v>57</v>
      </c>
      <c r="U1746" s="1" t="s">
        <v>35</v>
      </c>
      <c r="V1746" s="1" t="s">
        <v>188</v>
      </c>
    </row>
    <row r="1747" spans="1:22" x14ac:dyDescent="0.3">
      <c r="A1747" s="1" t="s">
        <v>8084</v>
      </c>
      <c r="B1747" s="1" t="s">
        <v>8085</v>
      </c>
      <c r="C1747" s="1">
        <v>33</v>
      </c>
      <c r="D1747" s="1" t="s">
        <v>8086</v>
      </c>
      <c r="E1747" s="1" t="s">
        <v>40</v>
      </c>
      <c r="F1747" s="1" t="s">
        <v>6770</v>
      </c>
      <c r="G1747" s="1" t="s">
        <v>717</v>
      </c>
      <c r="H1747" s="1">
        <v>0</v>
      </c>
      <c r="I1747" s="1" t="s">
        <v>27</v>
      </c>
      <c r="J1747" s="2">
        <v>45536</v>
      </c>
      <c r="K1747" s="1" t="s">
        <v>8087</v>
      </c>
      <c r="L1747" s="1">
        <v>7</v>
      </c>
      <c r="M1747" s="1">
        <v>16</v>
      </c>
      <c r="N1747" s="1" t="s">
        <v>68</v>
      </c>
      <c r="O1747" s="1" t="s">
        <v>199</v>
      </c>
      <c r="P1747" s="1" t="s">
        <v>54</v>
      </c>
      <c r="Q1747" s="1" t="s">
        <v>32</v>
      </c>
      <c r="R1747" s="1">
        <v>988.75</v>
      </c>
      <c r="S1747" s="1" t="s">
        <v>46</v>
      </c>
      <c r="T1747" s="1" t="s">
        <v>57</v>
      </c>
      <c r="U1747" s="1" t="s">
        <v>35</v>
      </c>
      <c r="V1747" s="1" t="s">
        <v>36</v>
      </c>
    </row>
    <row r="1748" spans="1:22" x14ac:dyDescent="0.3">
      <c r="A1748" s="1" t="s">
        <v>8088</v>
      </c>
      <c r="B1748" s="1" t="s">
        <v>8089</v>
      </c>
      <c r="C1748" s="1">
        <v>53</v>
      </c>
      <c r="D1748" s="1" t="s">
        <v>8090</v>
      </c>
      <c r="E1748" s="1" t="s">
        <v>25</v>
      </c>
      <c r="F1748" s="1" t="s">
        <v>1430</v>
      </c>
      <c r="G1748" s="1" t="s">
        <v>2737</v>
      </c>
      <c r="H1748" s="1">
        <v>1</v>
      </c>
      <c r="I1748" s="1" t="s">
        <v>64</v>
      </c>
      <c r="J1748" s="2">
        <v>45292</v>
      </c>
      <c r="K1748" s="1" t="s">
        <v>8091</v>
      </c>
      <c r="L1748" s="1">
        <v>3</v>
      </c>
      <c r="M1748" s="1">
        <v>35</v>
      </c>
      <c r="N1748" s="1" t="s">
        <v>54</v>
      </c>
      <c r="O1748" s="1" t="s">
        <v>55</v>
      </c>
      <c r="P1748" s="1" t="s">
        <v>56</v>
      </c>
      <c r="Q1748" s="1" t="s">
        <v>32</v>
      </c>
      <c r="R1748" s="1">
        <v>1498.23</v>
      </c>
      <c r="S1748" s="1" t="s">
        <v>46</v>
      </c>
      <c r="T1748" s="1" t="s">
        <v>47</v>
      </c>
      <c r="U1748" s="1" t="s">
        <v>35</v>
      </c>
      <c r="V1748" s="1" t="s">
        <v>71</v>
      </c>
    </row>
    <row r="1749" spans="1:22" x14ac:dyDescent="0.3">
      <c r="A1749" s="1" t="s">
        <v>8092</v>
      </c>
      <c r="B1749" s="1" t="s">
        <v>8093</v>
      </c>
      <c r="C1749" s="1">
        <v>56</v>
      </c>
      <c r="D1749" s="1" t="s">
        <v>8094</v>
      </c>
      <c r="E1749" s="1" t="s">
        <v>95</v>
      </c>
      <c r="F1749" s="1" t="s">
        <v>7503</v>
      </c>
      <c r="G1749" s="2">
        <v>45634</v>
      </c>
      <c r="H1749" s="1">
        <v>1</v>
      </c>
      <c r="I1749" s="1" t="s">
        <v>52</v>
      </c>
      <c r="J1749" s="2">
        <v>45813</v>
      </c>
      <c r="K1749" s="1" t="s">
        <v>8095</v>
      </c>
      <c r="L1749" s="1">
        <v>1</v>
      </c>
      <c r="M1749" s="1">
        <v>12</v>
      </c>
      <c r="N1749" s="1" t="s">
        <v>68</v>
      </c>
      <c r="O1749" s="1" t="s">
        <v>293</v>
      </c>
      <c r="P1749" s="1" t="s">
        <v>45</v>
      </c>
      <c r="Q1749" s="1" t="s">
        <v>32</v>
      </c>
      <c r="R1749" s="1">
        <v>242.33</v>
      </c>
      <c r="S1749" s="1" t="s">
        <v>46</v>
      </c>
      <c r="T1749" s="1" t="s">
        <v>47</v>
      </c>
      <c r="U1749" s="1" t="s">
        <v>35</v>
      </c>
      <c r="V1749" s="1" t="s">
        <v>36</v>
      </c>
    </row>
    <row r="1750" spans="1:22" x14ac:dyDescent="0.3">
      <c r="A1750" s="1" t="s">
        <v>8096</v>
      </c>
      <c r="B1750" s="1" t="s">
        <v>8097</v>
      </c>
      <c r="C1750" s="1">
        <v>52</v>
      </c>
      <c r="D1750" s="1" t="s">
        <v>8098</v>
      </c>
      <c r="E1750" s="1" t="s">
        <v>95</v>
      </c>
      <c r="F1750" s="1" t="s">
        <v>6538</v>
      </c>
      <c r="G1750" s="1" t="s">
        <v>1970</v>
      </c>
      <c r="H1750" s="1">
        <v>2</v>
      </c>
      <c r="I1750" s="1" t="s">
        <v>27</v>
      </c>
      <c r="J1750" s="1" t="s">
        <v>4968</v>
      </c>
      <c r="K1750" s="1" t="s">
        <v>8099</v>
      </c>
      <c r="L1750" s="1">
        <v>1</v>
      </c>
      <c r="M1750" s="1">
        <v>21</v>
      </c>
      <c r="N1750" s="1" t="s">
        <v>54</v>
      </c>
      <c r="O1750" s="1" t="s">
        <v>245</v>
      </c>
      <c r="P1750" s="1" t="s">
        <v>54</v>
      </c>
      <c r="Q1750" s="1" t="s">
        <v>32</v>
      </c>
      <c r="R1750" s="1">
        <v>946.91</v>
      </c>
      <c r="S1750" s="1" t="s">
        <v>33</v>
      </c>
      <c r="T1750" s="1" t="s">
        <v>47</v>
      </c>
      <c r="U1750" s="1" t="s">
        <v>35</v>
      </c>
      <c r="V1750" s="1" t="s">
        <v>36</v>
      </c>
    </row>
    <row r="1751" spans="1:22" x14ac:dyDescent="0.3">
      <c r="A1751" s="1" t="s">
        <v>8100</v>
      </c>
      <c r="B1751" s="1" t="s">
        <v>8101</v>
      </c>
      <c r="C1751" s="1">
        <v>50</v>
      </c>
      <c r="D1751" s="1" t="s">
        <v>8102</v>
      </c>
      <c r="E1751" s="1" t="s">
        <v>95</v>
      </c>
      <c r="F1751" s="1" t="s">
        <v>4786</v>
      </c>
      <c r="G1751" s="2">
        <v>44869</v>
      </c>
      <c r="H1751" s="1">
        <v>0</v>
      </c>
      <c r="I1751" s="1" t="s">
        <v>27</v>
      </c>
      <c r="J1751" s="1" t="s">
        <v>1344</v>
      </c>
      <c r="K1751" s="1" t="s">
        <v>8103</v>
      </c>
      <c r="L1751" s="1">
        <v>1</v>
      </c>
      <c r="M1751" s="1">
        <v>25</v>
      </c>
      <c r="N1751" s="1" t="s">
        <v>56</v>
      </c>
      <c r="O1751" s="1" t="s">
        <v>354</v>
      </c>
      <c r="P1751" s="1" t="s">
        <v>45</v>
      </c>
      <c r="Q1751" s="1" t="s">
        <v>69</v>
      </c>
      <c r="R1751" s="1">
        <v>411.67</v>
      </c>
      <c r="S1751" s="1" t="s">
        <v>46</v>
      </c>
      <c r="T1751" s="1" t="s">
        <v>47</v>
      </c>
      <c r="U1751" s="1" t="s">
        <v>35</v>
      </c>
      <c r="V1751" s="1" t="s">
        <v>36</v>
      </c>
    </row>
    <row r="1752" spans="1:22" x14ac:dyDescent="0.3">
      <c r="A1752" s="1" t="s">
        <v>8104</v>
      </c>
      <c r="B1752" s="1" t="s">
        <v>8105</v>
      </c>
      <c r="C1752" s="1">
        <v>34</v>
      </c>
      <c r="D1752" s="1" t="s">
        <v>8106</v>
      </c>
      <c r="E1752" s="1" t="s">
        <v>25</v>
      </c>
      <c r="F1752" s="1" t="s">
        <v>1764</v>
      </c>
      <c r="G1752" s="2">
        <v>45841</v>
      </c>
      <c r="H1752" s="1">
        <v>1</v>
      </c>
      <c r="I1752" s="1" t="s">
        <v>27</v>
      </c>
      <c r="J1752" s="1" t="s">
        <v>746</v>
      </c>
      <c r="K1752" s="1" t="s">
        <v>8107</v>
      </c>
      <c r="L1752" s="1">
        <v>8</v>
      </c>
      <c r="M1752" s="1">
        <v>34</v>
      </c>
      <c r="N1752" s="1" t="s">
        <v>56</v>
      </c>
      <c r="O1752" s="1" t="s">
        <v>610</v>
      </c>
      <c r="P1752" s="1" t="s">
        <v>68</v>
      </c>
      <c r="Q1752" s="1" t="s">
        <v>32</v>
      </c>
      <c r="R1752" s="1">
        <v>1421.92</v>
      </c>
      <c r="S1752" s="1" t="s">
        <v>46</v>
      </c>
      <c r="T1752" s="1" t="s">
        <v>57</v>
      </c>
      <c r="U1752" s="1" t="s">
        <v>35</v>
      </c>
      <c r="V1752" s="1" t="s">
        <v>36</v>
      </c>
    </row>
    <row r="1753" spans="1:22" x14ac:dyDescent="0.3">
      <c r="A1753" s="1" t="s">
        <v>8108</v>
      </c>
      <c r="B1753" s="1" t="s">
        <v>8109</v>
      </c>
      <c r="C1753" s="1">
        <v>26</v>
      </c>
      <c r="D1753" s="1" t="s">
        <v>8110</v>
      </c>
      <c r="E1753" s="1" t="s">
        <v>95</v>
      </c>
      <c r="F1753" s="1" t="s">
        <v>2019</v>
      </c>
      <c r="G1753" s="2">
        <v>44906</v>
      </c>
      <c r="H1753" s="1">
        <v>4</v>
      </c>
      <c r="I1753" s="1" t="s">
        <v>27</v>
      </c>
      <c r="J1753" s="2">
        <v>44933</v>
      </c>
      <c r="K1753" s="1" t="s">
        <v>8111</v>
      </c>
      <c r="L1753" s="1">
        <v>3</v>
      </c>
      <c r="M1753" s="1">
        <v>4</v>
      </c>
      <c r="N1753" s="1" t="s">
        <v>30</v>
      </c>
      <c r="O1753" s="1" t="s">
        <v>597</v>
      </c>
      <c r="P1753" s="1" t="s">
        <v>45</v>
      </c>
      <c r="Q1753" s="1" t="s">
        <v>32</v>
      </c>
      <c r="R1753" s="1">
        <v>1500.18</v>
      </c>
      <c r="S1753" s="1" t="s">
        <v>46</v>
      </c>
      <c r="T1753" s="1" t="s">
        <v>57</v>
      </c>
      <c r="U1753" s="1" t="s">
        <v>35</v>
      </c>
      <c r="V1753" s="1" t="s">
        <v>188</v>
      </c>
    </row>
    <row r="1754" spans="1:22" x14ac:dyDescent="0.3">
      <c r="A1754" s="1" t="s">
        <v>8112</v>
      </c>
      <c r="B1754" s="1" t="s">
        <v>8113</v>
      </c>
      <c r="C1754" s="1">
        <v>59</v>
      </c>
      <c r="D1754" s="1" t="s">
        <v>8114</v>
      </c>
      <c r="E1754" s="1" t="s">
        <v>25</v>
      </c>
      <c r="F1754" s="1" t="s">
        <v>2066</v>
      </c>
      <c r="G1754" s="1" t="s">
        <v>2061</v>
      </c>
      <c r="H1754" s="1">
        <v>5</v>
      </c>
      <c r="I1754" s="1" t="s">
        <v>27</v>
      </c>
      <c r="J1754" s="2">
        <v>44875</v>
      </c>
      <c r="K1754" s="1" t="s">
        <v>8115</v>
      </c>
      <c r="L1754" s="1">
        <v>3</v>
      </c>
      <c r="M1754" s="1">
        <v>24</v>
      </c>
      <c r="N1754" s="1" t="s">
        <v>56</v>
      </c>
      <c r="O1754" s="1" t="s">
        <v>366</v>
      </c>
      <c r="P1754" s="1" t="s">
        <v>54</v>
      </c>
      <c r="Q1754" s="1" t="s">
        <v>32</v>
      </c>
      <c r="R1754" s="1">
        <v>1193.55</v>
      </c>
      <c r="S1754" s="1" t="s">
        <v>46</v>
      </c>
      <c r="T1754" s="1" t="s">
        <v>47</v>
      </c>
      <c r="U1754" s="1" t="s">
        <v>35</v>
      </c>
      <c r="V1754" s="1" t="s">
        <v>188</v>
      </c>
    </row>
    <row r="1755" spans="1:22" x14ac:dyDescent="0.3">
      <c r="A1755" s="1" t="s">
        <v>8116</v>
      </c>
      <c r="B1755" s="1" t="s">
        <v>8117</v>
      </c>
      <c r="C1755" s="1">
        <v>29</v>
      </c>
      <c r="D1755" s="1" t="s">
        <v>8118</v>
      </c>
      <c r="E1755" s="1" t="s">
        <v>95</v>
      </c>
      <c r="F1755" s="1" t="s">
        <v>1513</v>
      </c>
      <c r="G1755" s="1" t="s">
        <v>946</v>
      </c>
      <c r="H1755" s="1">
        <v>3</v>
      </c>
      <c r="I1755" s="1" t="s">
        <v>27</v>
      </c>
      <c r="J1755" s="1" t="s">
        <v>2512</v>
      </c>
      <c r="K1755" s="1" t="s">
        <v>8119</v>
      </c>
      <c r="L1755" s="1">
        <v>5</v>
      </c>
      <c r="M1755" s="1">
        <v>12</v>
      </c>
      <c r="N1755" s="1" t="s">
        <v>54</v>
      </c>
      <c r="O1755" s="1" t="s">
        <v>99</v>
      </c>
      <c r="P1755" s="1" t="s">
        <v>56</v>
      </c>
      <c r="Q1755" s="1" t="s">
        <v>69</v>
      </c>
      <c r="R1755" s="1">
        <v>240.85</v>
      </c>
      <c r="S1755" s="1" t="s">
        <v>46</v>
      </c>
      <c r="T1755" s="1" t="s">
        <v>57</v>
      </c>
      <c r="U1755" s="1" t="s">
        <v>35</v>
      </c>
      <c r="V1755" s="1" t="s">
        <v>36</v>
      </c>
    </row>
    <row r="1756" spans="1:22" x14ac:dyDescent="0.3">
      <c r="A1756" s="1" t="s">
        <v>8120</v>
      </c>
      <c r="B1756" s="1" t="s">
        <v>8121</v>
      </c>
      <c r="C1756" s="1">
        <v>41</v>
      </c>
      <c r="D1756" s="1" t="s">
        <v>8122</v>
      </c>
      <c r="E1756" s="1" t="s">
        <v>40</v>
      </c>
      <c r="F1756" s="2">
        <v>44807</v>
      </c>
      <c r="G1756" s="1" t="s">
        <v>1454</v>
      </c>
      <c r="H1756" s="1">
        <v>4</v>
      </c>
      <c r="I1756" s="1" t="s">
        <v>64</v>
      </c>
      <c r="J1756" s="1" t="s">
        <v>4981</v>
      </c>
      <c r="K1756" s="1" t="s">
        <v>8123</v>
      </c>
      <c r="L1756" s="1">
        <v>6</v>
      </c>
      <c r="M1756" s="1">
        <v>38</v>
      </c>
      <c r="N1756" s="1" t="s">
        <v>56</v>
      </c>
      <c r="O1756" s="1" t="s">
        <v>157</v>
      </c>
      <c r="P1756" s="1" t="s">
        <v>68</v>
      </c>
      <c r="Q1756" s="1" t="s">
        <v>69</v>
      </c>
      <c r="R1756" s="1">
        <v>1230.8399999999999</v>
      </c>
      <c r="S1756" s="1" t="s">
        <v>46</v>
      </c>
      <c r="T1756" s="1" t="s">
        <v>34</v>
      </c>
      <c r="U1756" s="1" t="s">
        <v>35</v>
      </c>
      <c r="V1756" s="1" t="s">
        <v>71</v>
      </c>
    </row>
    <row r="1757" spans="1:22" x14ac:dyDescent="0.3">
      <c r="A1757" s="1" t="s">
        <v>8124</v>
      </c>
      <c r="B1757" s="1" t="s">
        <v>8125</v>
      </c>
      <c r="C1757" s="1">
        <v>51</v>
      </c>
      <c r="D1757" s="1" t="s">
        <v>8126</v>
      </c>
      <c r="E1757" s="1" t="s">
        <v>40</v>
      </c>
      <c r="F1757" s="2">
        <v>44628</v>
      </c>
      <c r="G1757" s="1" t="s">
        <v>544</v>
      </c>
      <c r="H1757" s="1">
        <v>4</v>
      </c>
      <c r="I1757" s="1" t="s">
        <v>27</v>
      </c>
      <c r="J1757" s="1" t="s">
        <v>4336</v>
      </c>
      <c r="K1757" s="1" t="s">
        <v>8127</v>
      </c>
      <c r="L1757" s="1">
        <v>5</v>
      </c>
      <c r="M1757" s="1">
        <v>25</v>
      </c>
      <c r="N1757" s="1" t="s">
        <v>30</v>
      </c>
      <c r="O1757" s="1" t="s">
        <v>269</v>
      </c>
      <c r="P1757" s="1" t="s">
        <v>56</v>
      </c>
      <c r="Q1757" s="1" t="s">
        <v>32</v>
      </c>
      <c r="R1757" s="1">
        <v>843.85</v>
      </c>
      <c r="S1757" s="1" t="s">
        <v>46</v>
      </c>
      <c r="T1757" s="1" t="s">
        <v>47</v>
      </c>
      <c r="U1757" s="1" t="s">
        <v>35</v>
      </c>
      <c r="V1757" s="1" t="s">
        <v>188</v>
      </c>
    </row>
    <row r="1758" spans="1:22" x14ac:dyDescent="0.3">
      <c r="A1758" s="1" t="s">
        <v>8128</v>
      </c>
      <c r="B1758" s="1" t="s">
        <v>8129</v>
      </c>
      <c r="C1758" s="1">
        <v>56</v>
      </c>
      <c r="D1758" s="1" t="s">
        <v>8130</v>
      </c>
      <c r="E1758" s="1" t="s">
        <v>51</v>
      </c>
      <c r="F1758" s="1" t="s">
        <v>2933</v>
      </c>
      <c r="G1758" s="2">
        <v>45115</v>
      </c>
      <c r="H1758" s="1">
        <v>5</v>
      </c>
      <c r="I1758" s="1" t="s">
        <v>27</v>
      </c>
      <c r="J1758" s="1" t="s">
        <v>2072</v>
      </c>
      <c r="K1758" s="1" t="s">
        <v>8131</v>
      </c>
      <c r="L1758" s="1">
        <v>6</v>
      </c>
      <c r="M1758" s="1">
        <v>25</v>
      </c>
      <c r="N1758" s="1" t="s">
        <v>54</v>
      </c>
      <c r="O1758" s="1" t="s">
        <v>175</v>
      </c>
      <c r="P1758" s="1" t="s">
        <v>56</v>
      </c>
      <c r="Q1758" s="1" t="s">
        <v>69</v>
      </c>
      <c r="R1758" s="1">
        <v>1478.58</v>
      </c>
      <c r="S1758" s="1" t="s">
        <v>46</v>
      </c>
      <c r="T1758" s="1" t="s">
        <v>47</v>
      </c>
      <c r="U1758" s="1" t="s">
        <v>35</v>
      </c>
      <c r="V1758" s="1" t="s">
        <v>188</v>
      </c>
    </row>
    <row r="1759" spans="1:22" x14ac:dyDescent="0.3">
      <c r="A1759" s="1" t="s">
        <v>8132</v>
      </c>
      <c r="B1759" s="1" t="s">
        <v>8133</v>
      </c>
      <c r="C1759" s="1">
        <v>22</v>
      </c>
      <c r="D1759" s="1" t="s">
        <v>8134</v>
      </c>
      <c r="E1759" s="1" t="s">
        <v>88</v>
      </c>
      <c r="F1759" s="1" t="s">
        <v>573</v>
      </c>
      <c r="G1759" s="2">
        <v>45696</v>
      </c>
      <c r="H1759" s="1">
        <v>0</v>
      </c>
      <c r="I1759" s="1" t="s">
        <v>27</v>
      </c>
      <c r="J1759" s="1" t="s">
        <v>1354</v>
      </c>
      <c r="K1759" s="1" t="s">
        <v>8135</v>
      </c>
      <c r="L1759" s="1">
        <v>5</v>
      </c>
      <c r="M1759" s="1">
        <v>32</v>
      </c>
      <c r="N1759" s="1" t="s">
        <v>68</v>
      </c>
      <c r="O1759" s="1" t="s">
        <v>223</v>
      </c>
      <c r="P1759" s="1" t="s">
        <v>56</v>
      </c>
      <c r="Q1759" s="1" t="s">
        <v>69</v>
      </c>
      <c r="R1759" s="1">
        <v>1463.2</v>
      </c>
      <c r="S1759" s="1" t="s">
        <v>46</v>
      </c>
      <c r="T1759" s="1" t="s">
        <v>100</v>
      </c>
      <c r="U1759" s="1" t="s">
        <v>35</v>
      </c>
      <c r="V1759" s="1" t="s">
        <v>36</v>
      </c>
    </row>
    <row r="1760" spans="1:22" x14ac:dyDescent="0.3">
      <c r="A1760" s="1" t="s">
        <v>8136</v>
      </c>
      <c r="B1760" s="1" t="s">
        <v>8137</v>
      </c>
      <c r="C1760" s="1">
        <v>61</v>
      </c>
      <c r="D1760" s="1" t="s">
        <v>8138</v>
      </c>
      <c r="E1760" s="1" t="s">
        <v>25</v>
      </c>
      <c r="F1760" s="1" t="s">
        <v>7323</v>
      </c>
      <c r="G1760" s="2">
        <v>45903</v>
      </c>
      <c r="H1760" s="1">
        <v>4</v>
      </c>
      <c r="I1760" s="1" t="s">
        <v>52</v>
      </c>
      <c r="J1760" s="2">
        <v>45570</v>
      </c>
      <c r="K1760" s="1" t="s">
        <v>8139</v>
      </c>
      <c r="L1760" s="1">
        <v>5</v>
      </c>
      <c r="M1760" s="1">
        <v>47</v>
      </c>
      <c r="N1760" s="1" t="s">
        <v>45</v>
      </c>
      <c r="O1760" s="1" t="s">
        <v>821</v>
      </c>
      <c r="P1760" s="1" t="s">
        <v>68</v>
      </c>
      <c r="Q1760" s="1" t="s">
        <v>32</v>
      </c>
      <c r="R1760" s="1">
        <v>1016.4</v>
      </c>
      <c r="S1760" s="1" t="s">
        <v>46</v>
      </c>
      <c r="T1760" s="1" t="s">
        <v>47</v>
      </c>
      <c r="U1760" s="1" t="s">
        <v>35</v>
      </c>
      <c r="V1760" s="1" t="s">
        <v>36</v>
      </c>
    </row>
    <row r="1761" spans="1:22" x14ac:dyDescent="0.3">
      <c r="A1761" s="1" t="s">
        <v>8140</v>
      </c>
      <c r="B1761" s="1" t="s">
        <v>8141</v>
      </c>
      <c r="C1761" s="1">
        <v>37</v>
      </c>
      <c r="D1761" s="1" t="s">
        <v>8142</v>
      </c>
      <c r="E1761" s="1" t="s">
        <v>51</v>
      </c>
      <c r="F1761" s="1" t="s">
        <v>4200</v>
      </c>
      <c r="G1761" s="2">
        <v>45173</v>
      </c>
      <c r="H1761" s="1">
        <v>4</v>
      </c>
      <c r="I1761" s="1" t="s">
        <v>64</v>
      </c>
      <c r="J1761" s="1" t="s">
        <v>1106</v>
      </c>
      <c r="K1761" s="1" t="s">
        <v>8143</v>
      </c>
      <c r="L1761" s="1">
        <v>2</v>
      </c>
      <c r="M1761" s="1">
        <v>46</v>
      </c>
      <c r="N1761" s="1" t="s">
        <v>56</v>
      </c>
      <c r="O1761" s="1" t="s">
        <v>245</v>
      </c>
      <c r="P1761" s="1" t="s">
        <v>54</v>
      </c>
      <c r="Q1761" s="1" t="s">
        <v>69</v>
      </c>
      <c r="R1761" s="1">
        <v>1863.6</v>
      </c>
      <c r="S1761" s="1" t="s">
        <v>46</v>
      </c>
      <c r="T1761" s="1" t="s">
        <v>34</v>
      </c>
      <c r="U1761" s="1" t="s">
        <v>35</v>
      </c>
      <c r="V1761" s="1" t="s">
        <v>71</v>
      </c>
    </row>
    <row r="1762" spans="1:22" x14ac:dyDescent="0.3">
      <c r="A1762" s="1" t="s">
        <v>8144</v>
      </c>
      <c r="B1762" s="1" t="s">
        <v>8145</v>
      </c>
      <c r="C1762" s="1">
        <v>62</v>
      </c>
      <c r="D1762" s="1" t="s">
        <v>8146</v>
      </c>
      <c r="E1762" s="1" t="s">
        <v>40</v>
      </c>
      <c r="F1762" s="2">
        <v>44663</v>
      </c>
      <c r="G1762" s="1" t="s">
        <v>2588</v>
      </c>
      <c r="H1762" s="1">
        <v>1</v>
      </c>
      <c r="I1762" s="1" t="s">
        <v>52</v>
      </c>
      <c r="J1762" s="2">
        <v>45303</v>
      </c>
      <c r="K1762" s="1" t="s">
        <v>8147</v>
      </c>
      <c r="L1762" s="1">
        <v>9</v>
      </c>
      <c r="M1762" s="1">
        <v>9</v>
      </c>
      <c r="N1762" s="1" t="s">
        <v>54</v>
      </c>
      <c r="O1762" s="1" t="s">
        <v>31</v>
      </c>
      <c r="P1762" s="1" t="s">
        <v>30</v>
      </c>
      <c r="Q1762" s="1" t="s">
        <v>69</v>
      </c>
      <c r="R1762" s="1">
        <v>1054.6199999999999</v>
      </c>
      <c r="S1762" s="1" t="s">
        <v>46</v>
      </c>
      <c r="T1762" s="1" t="s">
        <v>47</v>
      </c>
      <c r="U1762" s="1" t="s">
        <v>35</v>
      </c>
      <c r="V1762" s="1" t="s">
        <v>36</v>
      </c>
    </row>
    <row r="1763" spans="1:22" x14ac:dyDescent="0.3">
      <c r="A1763" s="1" t="s">
        <v>8148</v>
      </c>
      <c r="B1763" s="1" t="s">
        <v>8149</v>
      </c>
      <c r="C1763" s="1">
        <v>42</v>
      </c>
      <c r="D1763" s="1" t="s">
        <v>8150</v>
      </c>
      <c r="E1763" s="1" t="s">
        <v>25</v>
      </c>
      <c r="F1763" s="2">
        <v>44294</v>
      </c>
      <c r="G1763" s="2">
        <v>44599</v>
      </c>
      <c r="H1763" s="1">
        <v>4</v>
      </c>
      <c r="I1763" s="1" t="s">
        <v>52</v>
      </c>
      <c r="J1763" s="1" t="s">
        <v>2727</v>
      </c>
      <c r="K1763" s="1" t="s">
        <v>8151</v>
      </c>
      <c r="L1763" s="1">
        <v>7</v>
      </c>
      <c r="M1763" s="1">
        <v>34</v>
      </c>
      <c r="N1763" s="1" t="s">
        <v>54</v>
      </c>
      <c r="O1763" s="1" t="s">
        <v>31</v>
      </c>
      <c r="P1763" s="1" t="s">
        <v>30</v>
      </c>
      <c r="Q1763" s="1" t="s">
        <v>69</v>
      </c>
      <c r="R1763" s="1">
        <v>277.62</v>
      </c>
      <c r="S1763" s="1" t="s">
        <v>46</v>
      </c>
      <c r="T1763" s="1" t="s">
        <v>34</v>
      </c>
      <c r="U1763" s="1" t="s">
        <v>35</v>
      </c>
      <c r="V1763" s="1" t="s">
        <v>36</v>
      </c>
    </row>
    <row r="1764" spans="1:22" x14ac:dyDescent="0.3">
      <c r="A1764" s="1" t="s">
        <v>8152</v>
      </c>
      <c r="B1764" s="1" t="s">
        <v>8153</v>
      </c>
      <c r="C1764" s="1">
        <v>26</v>
      </c>
      <c r="D1764" s="1" t="s">
        <v>8154</v>
      </c>
      <c r="E1764" s="1" t="s">
        <v>51</v>
      </c>
      <c r="F1764" s="1" t="s">
        <v>383</v>
      </c>
      <c r="G1764" s="2">
        <v>44840</v>
      </c>
      <c r="H1764" s="1">
        <v>1</v>
      </c>
      <c r="I1764" s="1" t="s">
        <v>52</v>
      </c>
      <c r="J1764" s="2">
        <v>45027</v>
      </c>
      <c r="K1764" s="1" t="s">
        <v>8155</v>
      </c>
      <c r="L1764" s="1">
        <v>5</v>
      </c>
      <c r="M1764" s="1">
        <v>25</v>
      </c>
      <c r="N1764" s="1" t="s">
        <v>30</v>
      </c>
      <c r="O1764" s="1" t="s">
        <v>157</v>
      </c>
      <c r="P1764" s="1" t="s">
        <v>68</v>
      </c>
      <c r="Q1764" s="1" t="s">
        <v>69</v>
      </c>
      <c r="R1764" s="1">
        <v>237.6</v>
      </c>
      <c r="S1764" s="1" t="s">
        <v>46</v>
      </c>
      <c r="T1764" s="1" t="s">
        <v>57</v>
      </c>
      <c r="U1764" s="1" t="s">
        <v>35</v>
      </c>
      <c r="V1764" s="1" t="s">
        <v>36</v>
      </c>
    </row>
    <row r="1765" spans="1:22" x14ac:dyDescent="0.3">
      <c r="A1765" s="1" t="s">
        <v>8156</v>
      </c>
      <c r="B1765" s="1" t="s">
        <v>8157</v>
      </c>
      <c r="C1765" s="1">
        <v>34</v>
      </c>
      <c r="D1765" s="1" t="s">
        <v>8158</v>
      </c>
      <c r="E1765" s="1" t="s">
        <v>88</v>
      </c>
      <c r="F1765" s="2">
        <v>44960</v>
      </c>
      <c r="G1765" s="1" t="s">
        <v>792</v>
      </c>
      <c r="H1765" s="1">
        <v>1</v>
      </c>
      <c r="I1765" s="1" t="s">
        <v>52</v>
      </c>
      <c r="J1765" s="1" t="s">
        <v>1106</v>
      </c>
      <c r="K1765" s="1" t="s">
        <v>8159</v>
      </c>
      <c r="L1765" s="1">
        <v>9</v>
      </c>
      <c r="M1765" s="1">
        <v>9</v>
      </c>
      <c r="N1765" s="1" t="s">
        <v>54</v>
      </c>
      <c r="O1765" s="1" t="s">
        <v>536</v>
      </c>
      <c r="P1765" s="1" t="s">
        <v>68</v>
      </c>
      <c r="Q1765" s="1" t="s">
        <v>69</v>
      </c>
      <c r="R1765" s="1">
        <v>1486.44</v>
      </c>
      <c r="S1765" s="1" t="s">
        <v>46</v>
      </c>
      <c r="T1765" s="1" t="s">
        <v>57</v>
      </c>
      <c r="U1765" s="1" t="s">
        <v>35</v>
      </c>
      <c r="V1765" s="1" t="s">
        <v>36</v>
      </c>
    </row>
    <row r="1766" spans="1:22" x14ac:dyDescent="0.3">
      <c r="A1766" s="1" t="s">
        <v>8160</v>
      </c>
      <c r="B1766" s="1" t="s">
        <v>8161</v>
      </c>
      <c r="C1766" s="1">
        <v>46</v>
      </c>
      <c r="D1766" s="1" t="s">
        <v>8162</v>
      </c>
      <c r="E1766" s="1" t="s">
        <v>61</v>
      </c>
      <c r="F1766" s="1" t="s">
        <v>2604</v>
      </c>
      <c r="G1766" s="2">
        <v>45413</v>
      </c>
      <c r="H1766" s="1">
        <v>5</v>
      </c>
      <c r="I1766" s="1" t="s">
        <v>27</v>
      </c>
      <c r="J1766" s="2">
        <v>45605</v>
      </c>
      <c r="K1766" s="1" t="s">
        <v>8163</v>
      </c>
      <c r="L1766" s="1">
        <v>2</v>
      </c>
      <c r="M1766" s="1">
        <v>15</v>
      </c>
      <c r="N1766" s="1" t="s">
        <v>56</v>
      </c>
      <c r="O1766" s="1" t="s">
        <v>122</v>
      </c>
      <c r="P1766" s="1" t="s">
        <v>30</v>
      </c>
      <c r="Q1766" s="1" t="s">
        <v>32</v>
      </c>
      <c r="R1766" s="1">
        <v>57.6</v>
      </c>
      <c r="S1766" s="1" t="s">
        <v>46</v>
      </c>
      <c r="T1766" s="1" t="s">
        <v>34</v>
      </c>
      <c r="U1766" s="1" t="s">
        <v>101</v>
      </c>
      <c r="V1766" s="1" t="s">
        <v>188</v>
      </c>
    </row>
    <row r="1767" spans="1:22" x14ac:dyDescent="0.3">
      <c r="A1767" s="1" t="s">
        <v>8164</v>
      </c>
      <c r="B1767" s="1" t="s">
        <v>8165</v>
      </c>
      <c r="C1767" s="1">
        <v>44</v>
      </c>
      <c r="D1767" s="1" t="s">
        <v>8166</v>
      </c>
      <c r="E1767" s="1" t="s">
        <v>61</v>
      </c>
      <c r="F1767" s="1" t="s">
        <v>409</v>
      </c>
      <c r="G1767" s="2">
        <v>45661</v>
      </c>
      <c r="H1767" s="1">
        <v>1</v>
      </c>
      <c r="I1767" s="1" t="s">
        <v>27</v>
      </c>
      <c r="J1767" s="2">
        <v>45722</v>
      </c>
      <c r="K1767" s="1" t="s">
        <v>8167</v>
      </c>
      <c r="L1767" s="1">
        <v>9</v>
      </c>
      <c r="M1767" s="1">
        <v>39</v>
      </c>
      <c r="N1767" s="1" t="s">
        <v>45</v>
      </c>
      <c r="O1767" s="1" t="s">
        <v>55</v>
      </c>
      <c r="P1767" s="1" t="s">
        <v>56</v>
      </c>
      <c r="Q1767" s="1" t="s">
        <v>32</v>
      </c>
      <c r="R1767" s="1">
        <v>578.16</v>
      </c>
      <c r="S1767" s="1" t="s">
        <v>46</v>
      </c>
      <c r="T1767" s="1" t="s">
        <v>34</v>
      </c>
      <c r="U1767" s="1" t="s">
        <v>35</v>
      </c>
      <c r="V1767" s="1" t="s">
        <v>36</v>
      </c>
    </row>
    <row r="1768" spans="1:22" x14ac:dyDescent="0.3">
      <c r="A1768" s="1" t="s">
        <v>8168</v>
      </c>
      <c r="B1768" s="1" t="s">
        <v>8169</v>
      </c>
      <c r="C1768" s="1">
        <v>29</v>
      </c>
      <c r="D1768" s="1" t="s">
        <v>8170</v>
      </c>
      <c r="E1768" s="1" t="s">
        <v>40</v>
      </c>
      <c r="F1768" s="1" t="s">
        <v>1879</v>
      </c>
      <c r="G1768" s="1" t="s">
        <v>863</v>
      </c>
      <c r="H1768" s="1">
        <v>1</v>
      </c>
      <c r="I1768" s="1" t="s">
        <v>27</v>
      </c>
      <c r="J1768" s="1" t="s">
        <v>4457</v>
      </c>
      <c r="K1768" s="1" t="s">
        <v>8171</v>
      </c>
      <c r="L1768" s="1">
        <v>2</v>
      </c>
      <c r="M1768" s="1">
        <v>31</v>
      </c>
      <c r="N1768" s="1" t="s">
        <v>30</v>
      </c>
      <c r="O1768" s="1" t="s">
        <v>91</v>
      </c>
      <c r="P1768" s="1" t="s">
        <v>54</v>
      </c>
      <c r="Q1768" s="1" t="s">
        <v>69</v>
      </c>
      <c r="R1768" s="1">
        <v>987.2</v>
      </c>
      <c r="S1768" s="1" t="s">
        <v>46</v>
      </c>
      <c r="T1768" s="1" t="s">
        <v>57</v>
      </c>
      <c r="U1768" s="1" t="s">
        <v>35</v>
      </c>
      <c r="V1768" s="1" t="s">
        <v>36</v>
      </c>
    </row>
    <row r="1769" spans="1:22" x14ac:dyDescent="0.3">
      <c r="A1769" s="1" t="s">
        <v>8172</v>
      </c>
      <c r="B1769" s="1" t="s">
        <v>8173</v>
      </c>
      <c r="C1769" s="1">
        <v>42</v>
      </c>
      <c r="D1769" s="1" t="s">
        <v>8174</v>
      </c>
      <c r="E1769" s="1" t="s">
        <v>88</v>
      </c>
      <c r="F1769" s="1" t="s">
        <v>6221</v>
      </c>
      <c r="G1769" s="1" t="s">
        <v>1924</v>
      </c>
      <c r="H1769" s="1">
        <v>2</v>
      </c>
      <c r="I1769" s="1" t="s">
        <v>64</v>
      </c>
      <c r="J1769" s="1" t="s">
        <v>4113</v>
      </c>
      <c r="K1769" s="1" t="s">
        <v>8175</v>
      </c>
      <c r="L1769" s="1">
        <v>7</v>
      </c>
      <c r="M1769" s="1">
        <v>39</v>
      </c>
      <c r="N1769" s="1" t="s">
        <v>45</v>
      </c>
      <c r="O1769" s="1" t="s">
        <v>99</v>
      </c>
      <c r="P1769" s="1" t="s">
        <v>56</v>
      </c>
      <c r="Q1769" s="1" t="s">
        <v>69</v>
      </c>
      <c r="R1769" s="1">
        <v>1261.4000000000001</v>
      </c>
      <c r="S1769" s="1" t="s">
        <v>46</v>
      </c>
      <c r="T1769" s="1" t="s">
        <v>34</v>
      </c>
      <c r="U1769" s="1" t="s">
        <v>35</v>
      </c>
      <c r="V1769" s="1" t="s">
        <v>71</v>
      </c>
    </row>
    <row r="1770" spans="1:22" x14ac:dyDescent="0.3">
      <c r="A1770" s="1" t="s">
        <v>8176</v>
      </c>
      <c r="B1770" s="1" t="s">
        <v>8177</v>
      </c>
      <c r="C1770" s="1">
        <v>37</v>
      </c>
      <c r="D1770" s="1" t="s">
        <v>8178</v>
      </c>
      <c r="E1770" s="1" t="s">
        <v>95</v>
      </c>
      <c r="F1770" s="1" t="s">
        <v>1179</v>
      </c>
      <c r="G1770" s="2">
        <v>45537</v>
      </c>
      <c r="H1770" s="1">
        <v>4</v>
      </c>
      <c r="I1770" s="1" t="s">
        <v>27</v>
      </c>
      <c r="J1770" s="2">
        <v>45055</v>
      </c>
      <c r="K1770" s="1" t="s">
        <v>8179</v>
      </c>
      <c r="L1770" s="1">
        <v>3</v>
      </c>
      <c r="M1770" s="1">
        <v>36</v>
      </c>
      <c r="N1770" s="1" t="s">
        <v>30</v>
      </c>
      <c r="O1770" s="1" t="s">
        <v>31</v>
      </c>
      <c r="P1770" s="1" t="s">
        <v>30</v>
      </c>
      <c r="Q1770" s="1" t="s">
        <v>32</v>
      </c>
      <c r="R1770" s="1">
        <v>364.29</v>
      </c>
      <c r="S1770" s="1" t="s">
        <v>33</v>
      </c>
      <c r="T1770" s="1" t="s">
        <v>34</v>
      </c>
      <c r="U1770" s="1" t="s">
        <v>35</v>
      </c>
      <c r="V1770" s="1" t="s">
        <v>188</v>
      </c>
    </row>
    <row r="1771" spans="1:22" x14ac:dyDescent="0.3">
      <c r="A1771" s="1" t="s">
        <v>8180</v>
      </c>
      <c r="B1771" s="1" t="s">
        <v>8181</v>
      </c>
      <c r="C1771" s="1">
        <v>46</v>
      </c>
      <c r="D1771" s="1" t="s">
        <v>8182</v>
      </c>
      <c r="E1771" s="1" t="s">
        <v>95</v>
      </c>
      <c r="F1771" s="1" t="s">
        <v>6543</v>
      </c>
      <c r="G1771" s="1" t="s">
        <v>2626</v>
      </c>
      <c r="H1771" s="1">
        <v>0</v>
      </c>
      <c r="I1771" s="1" t="s">
        <v>64</v>
      </c>
      <c r="J1771" s="1" t="s">
        <v>2034</v>
      </c>
      <c r="K1771" s="1" t="s">
        <v>8183</v>
      </c>
      <c r="L1771" s="1">
        <v>3</v>
      </c>
      <c r="M1771" s="1">
        <v>26</v>
      </c>
      <c r="N1771" s="1" t="s">
        <v>54</v>
      </c>
      <c r="O1771" s="1" t="s">
        <v>821</v>
      </c>
      <c r="P1771" s="1" t="s">
        <v>68</v>
      </c>
      <c r="Q1771" s="1" t="s">
        <v>322</v>
      </c>
      <c r="R1771" s="1">
        <v>968.1</v>
      </c>
      <c r="S1771" s="1" t="s">
        <v>46</v>
      </c>
      <c r="T1771" s="1" t="s">
        <v>34</v>
      </c>
      <c r="U1771" s="1" t="s">
        <v>35</v>
      </c>
      <c r="V1771" s="1" t="s">
        <v>71</v>
      </c>
    </row>
    <row r="1772" spans="1:22" x14ac:dyDescent="0.3">
      <c r="A1772" s="1" t="s">
        <v>8184</v>
      </c>
      <c r="B1772" s="1" t="s">
        <v>8185</v>
      </c>
      <c r="C1772" s="1">
        <v>58</v>
      </c>
      <c r="D1772" s="1" t="s">
        <v>8186</v>
      </c>
      <c r="E1772" s="1" t="s">
        <v>88</v>
      </c>
      <c r="F1772" s="2">
        <v>44720</v>
      </c>
      <c r="G1772" s="1" t="s">
        <v>220</v>
      </c>
      <c r="H1772" s="1">
        <v>4</v>
      </c>
      <c r="I1772" s="1" t="s">
        <v>52</v>
      </c>
      <c r="J1772" s="2">
        <v>45449</v>
      </c>
      <c r="K1772" s="1" t="s">
        <v>8187</v>
      </c>
      <c r="L1772" s="1">
        <v>1</v>
      </c>
      <c r="M1772" s="1">
        <v>35</v>
      </c>
      <c r="N1772" s="1" t="s">
        <v>45</v>
      </c>
      <c r="O1772" s="1" t="s">
        <v>610</v>
      </c>
      <c r="P1772" s="1" t="s">
        <v>68</v>
      </c>
      <c r="Q1772" s="1" t="s">
        <v>32</v>
      </c>
      <c r="R1772" s="1">
        <v>527.36</v>
      </c>
      <c r="S1772" s="1" t="s">
        <v>46</v>
      </c>
      <c r="T1772" s="1" t="s">
        <v>47</v>
      </c>
      <c r="U1772" s="1" t="s">
        <v>35</v>
      </c>
      <c r="V1772" s="1" t="s">
        <v>36</v>
      </c>
    </row>
    <row r="1773" spans="1:22" x14ac:dyDescent="0.3">
      <c r="A1773" s="1" t="s">
        <v>8188</v>
      </c>
      <c r="B1773" s="1" t="s">
        <v>8189</v>
      </c>
      <c r="C1773" s="1">
        <v>50</v>
      </c>
      <c r="D1773" s="1" t="s">
        <v>8190</v>
      </c>
      <c r="E1773" s="1" t="s">
        <v>25</v>
      </c>
      <c r="F1773" s="1" t="s">
        <v>1452</v>
      </c>
      <c r="G1773" s="2">
        <v>45546</v>
      </c>
      <c r="H1773" s="1">
        <v>3</v>
      </c>
      <c r="I1773" s="1" t="s">
        <v>27</v>
      </c>
      <c r="J1773" s="1" t="s">
        <v>670</v>
      </c>
      <c r="K1773" s="1" t="s">
        <v>8191</v>
      </c>
      <c r="L1773" s="1">
        <v>9</v>
      </c>
      <c r="M1773" s="1">
        <v>33</v>
      </c>
      <c r="N1773" s="1" t="s">
        <v>56</v>
      </c>
      <c r="O1773" s="1" t="s">
        <v>99</v>
      </c>
      <c r="P1773" s="1" t="s">
        <v>56</v>
      </c>
      <c r="Q1773" s="1" t="s">
        <v>69</v>
      </c>
      <c r="R1773" s="1">
        <v>912.96</v>
      </c>
      <c r="S1773" s="1" t="s">
        <v>33</v>
      </c>
      <c r="T1773" s="1" t="s">
        <v>47</v>
      </c>
      <c r="U1773" s="1" t="s">
        <v>35</v>
      </c>
      <c r="V1773" s="1" t="s">
        <v>36</v>
      </c>
    </row>
    <row r="1774" spans="1:22" x14ac:dyDescent="0.3">
      <c r="A1774" s="1" t="s">
        <v>8192</v>
      </c>
      <c r="B1774" s="1" t="s">
        <v>8193</v>
      </c>
      <c r="C1774" s="1">
        <v>44</v>
      </c>
      <c r="D1774" s="1" t="s">
        <v>8194</v>
      </c>
      <c r="E1774" s="1" t="s">
        <v>25</v>
      </c>
      <c r="F1774" s="2">
        <v>44384</v>
      </c>
      <c r="G1774" s="1" t="s">
        <v>2543</v>
      </c>
      <c r="H1774" s="1">
        <v>2</v>
      </c>
      <c r="I1774" s="1" t="s">
        <v>27</v>
      </c>
      <c r="J1774" s="1" t="s">
        <v>5393</v>
      </c>
      <c r="K1774" s="1" t="s">
        <v>8195</v>
      </c>
      <c r="L1774" s="1">
        <v>5</v>
      </c>
      <c r="M1774" s="1">
        <v>1</v>
      </c>
      <c r="N1774" s="1" t="s">
        <v>30</v>
      </c>
      <c r="O1774" s="1" t="s">
        <v>821</v>
      </c>
      <c r="P1774" s="1" t="s">
        <v>68</v>
      </c>
      <c r="Q1774" s="1" t="s">
        <v>69</v>
      </c>
      <c r="R1774" s="1">
        <v>1127.05</v>
      </c>
      <c r="S1774" s="1" t="s">
        <v>46</v>
      </c>
      <c r="T1774" s="1" t="s">
        <v>34</v>
      </c>
      <c r="U1774" s="1" t="s">
        <v>101</v>
      </c>
      <c r="V1774" s="1" t="s">
        <v>36</v>
      </c>
    </row>
    <row r="1775" spans="1:22" x14ac:dyDescent="0.3">
      <c r="A1775" s="1" t="s">
        <v>8196</v>
      </c>
      <c r="B1775" s="1" t="s">
        <v>8197</v>
      </c>
      <c r="C1775" s="1">
        <v>33</v>
      </c>
      <c r="D1775" s="1" t="s">
        <v>8198</v>
      </c>
      <c r="E1775" s="1" t="s">
        <v>95</v>
      </c>
      <c r="F1775" s="1" t="s">
        <v>652</v>
      </c>
      <c r="G1775" s="1" t="s">
        <v>5166</v>
      </c>
      <c r="H1775" s="1">
        <v>1</v>
      </c>
      <c r="I1775" s="1" t="s">
        <v>27</v>
      </c>
      <c r="J1775" s="1" t="s">
        <v>1715</v>
      </c>
      <c r="K1775" s="1" t="s">
        <v>8199</v>
      </c>
      <c r="L1775" s="1">
        <v>1</v>
      </c>
      <c r="M1775" s="1">
        <v>16</v>
      </c>
      <c r="N1775" s="1" t="s">
        <v>68</v>
      </c>
      <c r="O1775" s="1" t="s">
        <v>194</v>
      </c>
      <c r="P1775" s="1" t="s">
        <v>56</v>
      </c>
      <c r="Q1775" s="1" t="s">
        <v>32</v>
      </c>
      <c r="R1775" s="1">
        <v>554.73</v>
      </c>
      <c r="S1775" s="1" t="s">
        <v>46</v>
      </c>
      <c r="T1775" s="1" t="s">
        <v>57</v>
      </c>
      <c r="U1775" s="1" t="s">
        <v>35</v>
      </c>
      <c r="V1775" s="1" t="s">
        <v>36</v>
      </c>
    </row>
    <row r="1776" spans="1:22" x14ac:dyDescent="0.3">
      <c r="A1776" s="1" t="s">
        <v>8200</v>
      </c>
      <c r="B1776" s="1" t="s">
        <v>8201</v>
      </c>
      <c r="C1776" s="1">
        <v>58</v>
      </c>
      <c r="D1776" s="1" t="s">
        <v>8202</v>
      </c>
      <c r="E1776" s="1" t="s">
        <v>95</v>
      </c>
      <c r="F1776" s="1" t="s">
        <v>4048</v>
      </c>
      <c r="G1776" s="2">
        <v>45266</v>
      </c>
      <c r="H1776" s="1">
        <v>2</v>
      </c>
      <c r="I1776" s="1" t="s">
        <v>27</v>
      </c>
      <c r="J1776" s="1" t="s">
        <v>423</v>
      </c>
      <c r="K1776" s="1" t="s">
        <v>8203</v>
      </c>
      <c r="L1776" s="1">
        <v>3</v>
      </c>
      <c r="M1776" s="1">
        <v>18</v>
      </c>
      <c r="N1776" s="1" t="s">
        <v>45</v>
      </c>
      <c r="O1776" s="1" t="s">
        <v>109</v>
      </c>
      <c r="P1776" s="1" t="s">
        <v>68</v>
      </c>
      <c r="Q1776" s="1" t="s">
        <v>69</v>
      </c>
      <c r="R1776" s="1">
        <v>1925.28</v>
      </c>
      <c r="S1776" s="1" t="s">
        <v>46</v>
      </c>
      <c r="T1776" s="1" t="s">
        <v>47</v>
      </c>
      <c r="U1776" s="1" t="s">
        <v>35</v>
      </c>
      <c r="V1776" s="1" t="s">
        <v>36</v>
      </c>
    </row>
    <row r="1777" spans="1:22" x14ac:dyDescent="0.3">
      <c r="A1777" s="1" t="s">
        <v>8204</v>
      </c>
      <c r="B1777" s="1" t="s">
        <v>8205</v>
      </c>
      <c r="C1777" s="1">
        <v>26</v>
      </c>
      <c r="D1777" s="1" t="s">
        <v>8206</v>
      </c>
      <c r="E1777" s="1" t="s">
        <v>88</v>
      </c>
      <c r="F1777" s="1" t="s">
        <v>1143</v>
      </c>
      <c r="G1777" s="1" t="s">
        <v>4402</v>
      </c>
      <c r="H1777" s="1">
        <v>0</v>
      </c>
      <c r="I1777" s="1" t="s">
        <v>64</v>
      </c>
      <c r="J1777" s="1" t="s">
        <v>4113</v>
      </c>
      <c r="K1777" s="1" t="s">
        <v>8207</v>
      </c>
      <c r="L1777" s="1">
        <v>9</v>
      </c>
      <c r="M1777" s="1">
        <v>38</v>
      </c>
      <c r="N1777" s="1" t="s">
        <v>68</v>
      </c>
      <c r="O1777" s="1" t="s">
        <v>99</v>
      </c>
      <c r="P1777" s="1" t="s">
        <v>56</v>
      </c>
      <c r="Q1777" s="1" t="s">
        <v>69</v>
      </c>
      <c r="R1777" s="1">
        <v>1047.51</v>
      </c>
      <c r="S1777" s="1" t="s">
        <v>46</v>
      </c>
      <c r="T1777" s="1" t="s">
        <v>57</v>
      </c>
      <c r="U1777" s="1" t="s">
        <v>35</v>
      </c>
      <c r="V1777" s="1" t="s">
        <v>71</v>
      </c>
    </row>
    <row r="1778" spans="1:22" x14ac:dyDescent="0.3">
      <c r="A1778" s="1" t="s">
        <v>8208</v>
      </c>
      <c r="B1778" s="1" t="s">
        <v>8209</v>
      </c>
      <c r="C1778" s="1">
        <v>48</v>
      </c>
      <c r="D1778" s="1" t="s">
        <v>8210</v>
      </c>
      <c r="E1778" s="1" t="s">
        <v>40</v>
      </c>
      <c r="F1778" s="2">
        <v>44596</v>
      </c>
      <c r="G1778" s="1" t="s">
        <v>4015</v>
      </c>
      <c r="H1778" s="1">
        <v>4</v>
      </c>
      <c r="I1778" s="1" t="s">
        <v>52</v>
      </c>
      <c r="J1778" s="1" t="s">
        <v>409</v>
      </c>
      <c r="K1778" s="1" t="s">
        <v>8211</v>
      </c>
      <c r="L1778" s="1">
        <v>3</v>
      </c>
      <c r="M1778" s="1">
        <v>12</v>
      </c>
      <c r="N1778" s="1" t="s">
        <v>54</v>
      </c>
      <c r="O1778" s="1" t="s">
        <v>122</v>
      </c>
      <c r="P1778" s="1" t="s">
        <v>30</v>
      </c>
      <c r="Q1778" s="1" t="s">
        <v>69</v>
      </c>
      <c r="R1778" s="1">
        <v>831.27</v>
      </c>
      <c r="S1778" s="1" t="s">
        <v>46</v>
      </c>
      <c r="T1778" s="1" t="s">
        <v>34</v>
      </c>
      <c r="U1778" s="1" t="s">
        <v>35</v>
      </c>
      <c r="V1778" s="1" t="s">
        <v>36</v>
      </c>
    </row>
    <row r="1779" spans="1:22" x14ac:dyDescent="0.3">
      <c r="A1779" s="1" t="s">
        <v>8212</v>
      </c>
      <c r="B1779" s="1" t="s">
        <v>8213</v>
      </c>
      <c r="C1779" s="1">
        <v>60</v>
      </c>
      <c r="D1779" s="1" t="s">
        <v>8214</v>
      </c>
      <c r="E1779" s="1" t="s">
        <v>88</v>
      </c>
      <c r="F1779" s="2">
        <v>44352</v>
      </c>
      <c r="G1779" s="2">
        <v>45695</v>
      </c>
      <c r="H1779" s="1">
        <v>5</v>
      </c>
      <c r="I1779" s="1" t="s">
        <v>27</v>
      </c>
      <c r="J1779" s="1" t="s">
        <v>2402</v>
      </c>
      <c r="K1779" s="1" t="s">
        <v>8215</v>
      </c>
      <c r="L1779" s="1">
        <v>8</v>
      </c>
      <c r="M1779" s="1">
        <v>9</v>
      </c>
      <c r="N1779" s="1" t="s">
        <v>54</v>
      </c>
      <c r="O1779" s="1" t="s">
        <v>199</v>
      </c>
      <c r="P1779" s="1" t="s">
        <v>54</v>
      </c>
      <c r="Q1779" s="1" t="s">
        <v>32</v>
      </c>
      <c r="R1779" s="1">
        <v>546.4</v>
      </c>
      <c r="S1779" s="1" t="s">
        <v>33</v>
      </c>
      <c r="T1779" s="1" t="s">
        <v>47</v>
      </c>
      <c r="U1779" s="1" t="s">
        <v>35</v>
      </c>
      <c r="V1779" s="1" t="s">
        <v>188</v>
      </c>
    </row>
    <row r="1780" spans="1:22" x14ac:dyDescent="0.3">
      <c r="A1780" s="1" t="s">
        <v>8216</v>
      </c>
      <c r="B1780" s="1" t="s">
        <v>8217</v>
      </c>
      <c r="C1780" s="1">
        <v>33</v>
      </c>
      <c r="D1780" s="1" t="s">
        <v>8218</v>
      </c>
      <c r="E1780" s="1" t="s">
        <v>88</v>
      </c>
      <c r="F1780" s="2">
        <v>44622</v>
      </c>
      <c r="G1780" s="2">
        <v>45418</v>
      </c>
      <c r="H1780" s="1">
        <v>3</v>
      </c>
      <c r="I1780" s="1" t="s">
        <v>52</v>
      </c>
      <c r="J1780" s="1" t="s">
        <v>1036</v>
      </c>
      <c r="K1780" s="1" t="s">
        <v>8219</v>
      </c>
      <c r="L1780" s="1">
        <v>2</v>
      </c>
      <c r="M1780" s="1">
        <v>37</v>
      </c>
      <c r="N1780" s="1" t="s">
        <v>54</v>
      </c>
      <c r="O1780" s="1" t="s">
        <v>597</v>
      </c>
      <c r="P1780" s="1" t="s">
        <v>45</v>
      </c>
      <c r="Q1780" s="1" t="s">
        <v>69</v>
      </c>
      <c r="R1780" s="1">
        <v>1957.08</v>
      </c>
      <c r="S1780" s="1" t="s">
        <v>46</v>
      </c>
      <c r="T1780" s="1" t="s">
        <v>57</v>
      </c>
      <c r="U1780" s="1" t="s">
        <v>35</v>
      </c>
      <c r="V1780" s="1" t="s">
        <v>36</v>
      </c>
    </row>
    <row r="1781" spans="1:22" x14ac:dyDescent="0.3">
      <c r="A1781" s="1" t="s">
        <v>8220</v>
      </c>
      <c r="B1781" s="1" t="s">
        <v>8221</v>
      </c>
      <c r="C1781" s="1">
        <v>35</v>
      </c>
      <c r="D1781" s="1" t="s">
        <v>8222</v>
      </c>
      <c r="E1781" s="1" t="s">
        <v>51</v>
      </c>
      <c r="F1781" s="2">
        <v>44538</v>
      </c>
      <c r="G1781" s="2">
        <v>45637</v>
      </c>
      <c r="H1781" s="1">
        <v>0</v>
      </c>
      <c r="I1781" s="1" t="s">
        <v>27</v>
      </c>
      <c r="J1781" s="1" t="s">
        <v>508</v>
      </c>
      <c r="K1781" s="1" t="s">
        <v>8223</v>
      </c>
      <c r="L1781" s="1">
        <v>1</v>
      </c>
      <c r="M1781" s="1">
        <v>36</v>
      </c>
      <c r="N1781" s="1" t="s">
        <v>54</v>
      </c>
      <c r="O1781" s="1" t="s">
        <v>231</v>
      </c>
      <c r="P1781" s="1" t="s">
        <v>30</v>
      </c>
      <c r="Q1781" s="1" t="s">
        <v>69</v>
      </c>
      <c r="R1781" s="1">
        <v>1241.77</v>
      </c>
      <c r="S1781" s="1" t="s">
        <v>46</v>
      </c>
      <c r="T1781" s="1" t="s">
        <v>34</v>
      </c>
      <c r="U1781" s="1" t="s">
        <v>35</v>
      </c>
      <c r="V1781" s="1" t="s">
        <v>36</v>
      </c>
    </row>
    <row r="1782" spans="1:22" x14ac:dyDescent="0.3">
      <c r="A1782" s="1" t="s">
        <v>8224</v>
      </c>
      <c r="B1782" s="1" t="s">
        <v>8225</v>
      </c>
      <c r="C1782" s="1">
        <v>30</v>
      </c>
      <c r="D1782" s="1" t="s">
        <v>8226</v>
      </c>
      <c r="E1782" s="1" t="s">
        <v>61</v>
      </c>
      <c r="F1782" s="1" t="s">
        <v>440</v>
      </c>
      <c r="G1782" s="2">
        <v>45753</v>
      </c>
      <c r="H1782" s="1">
        <v>0</v>
      </c>
      <c r="I1782" s="1" t="s">
        <v>27</v>
      </c>
      <c r="J1782" s="2">
        <v>45755</v>
      </c>
      <c r="K1782" s="1" t="s">
        <v>8227</v>
      </c>
      <c r="L1782" s="1">
        <v>3</v>
      </c>
      <c r="M1782" s="1">
        <v>11</v>
      </c>
      <c r="N1782" s="1" t="s">
        <v>56</v>
      </c>
      <c r="O1782" s="1" t="s">
        <v>128</v>
      </c>
      <c r="P1782" s="1" t="s">
        <v>54</v>
      </c>
      <c r="Q1782" s="1" t="s">
        <v>69</v>
      </c>
      <c r="R1782" s="1">
        <v>1183.6199999999999</v>
      </c>
      <c r="S1782" s="1" t="s">
        <v>46</v>
      </c>
      <c r="T1782" s="1" t="s">
        <v>57</v>
      </c>
      <c r="U1782" s="1" t="s">
        <v>35</v>
      </c>
      <c r="V1782" s="1" t="s">
        <v>36</v>
      </c>
    </row>
    <row r="1783" spans="1:22" x14ac:dyDescent="0.3">
      <c r="A1783" s="1" t="s">
        <v>8228</v>
      </c>
      <c r="B1783" s="1" t="s">
        <v>8229</v>
      </c>
      <c r="C1783" s="1">
        <v>50</v>
      </c>
      <c r="D1783" s="1" t="s">
        <v>8230</v>
      </c>
      <c r="E1783" s="1" t="s">
        <v>61</v>
      </c>
      <c r="F1783" s="1" t="s">
        <v>3643</v>
      </c>
      <c r="G1783" s="1" t="s">
        <v>4107</v>
      </c>
      <c r="H1783" s="1">
        <v>1</v>
      </c>
      <c r="I1783" s="1" t="s">
        <v>52</v>
      </c>
      <c r="J1783" s="2">
        <v>45359</v>
      </c>
      <c r="K1783" s="1" t="s">
        <v>8231</v>
      </c>
      <c r="L1783" s="1">
        <v>8</v>
      </c>
      <c r="M1783" s="1">
        <v>38</v>
      </c>
      <c r="N1783" s="1" t="s">
        <v>54</v>
      </c>
      <c r="O1783" s="1" t="s">
        <v>77</v>
      </c>
      <c r="P1783" s="1" t="s">
        <v>54</v>
      </c>
      <c r="Q1783" s="1" t="s">
        <v>32</v>
      </c>
      <c r="R1783" s="1">
        <v>43.12</v>
      </c>
      <c r="S1783" s="1" t="s">
        <v>33</v>
      </c>
      <c r="T1783" s="1" t="s">
        <v>47</v>
      </c>
      <c r="U1783" s="1" t="s">
        <v>101</v>
      </c>
      <c r="V1783" s="1" t="s">
        <v>36</v>
      </c>
    </row>
    <row r="1784" spans="1:22" x14ac:dyDescent="0.3">
      <c r="A1784" s="1" t="s">
        <v>8232</v>
      </c>
      <c r="B1784" s="1" t="s">
        <v>8233</v>
      </c>
      <c r="C1784" s="1">
        <v>40</v>
      </c>
      <c r="D1784" s="1" t="s">
        <v>8234</v>
      </c>
      <c r="E1784" s="1" t="s">
        <v>61</v>
      </c>
      <c r="F1784" s="1" t="s">
        <v>5474</v>
      </c>
      <c r="G1784" s="1" t="s">
        <v>2135</v>
      </c>
      <c r="H1784" s="1">
        <v>5</v>
      </c>
      <c r="I1784" s="1" t="s">
        <v>27</v>
      </c>
      <c r="J1784" s="2">
        <v>44986</v>
      </c>
      <c r="K1784" s="1" t="s">
        <v>8235</v>
      </c>
      <c r="L1784" s="1">
        <v>8</v>
      </c>
      <c r="M1784" s="1">
        <v>19</v>
      </c>
      <c r="N1784" s="1" t="s">
        <v>45</v>
      </c>
      <c r="O1784" s="1" t="s">
        <v>624</v>
      </c>
      <c r="P1784" s="1" t="s">
        <v>30</v>
      </c>
      <c r="Q1784" s="1" t="s">
        <v>69</v>
      </c>
      <c r="R1784" s="1">
        <v>963.28</v>
      </c>
      <c r="S1784" s="1" t="s">
        <v>46</v>
      </c>
      <c r="T1784" s="1" t="s">
        <v>34</v>
      </c>
      <c r="U1784" s="1" t="s">
        <v>35</v>
      </c>
      <c r="V1784" s="1" t="s">
        <v>188</v>
      </c>
    </row>
    <row r="1785" spans="1:22" x14ac:dyDescent="0.3">
      <c r="A1785" s="1" t="s">
        <v>8236</v>
      </c>
      <c r="B1785" s="1" t="s">
        <v>8237</v>
      </c>
      <c r="C1785" s="1">
        <v>48</v>
      </c>
      <c r="D1785" s="1" t="s">
        <v>8238</v>
      </c>
      <c r="E1785" s="1" t="s">
        <v>95</v>
      </c>
      <c r="F1785" s="2">
        <v>44873</v>
      </c>
      <c r="G1785" s="2">
        <v>44962</v>
      </c>
      <c r="H1785" s="1">
        <v>3</v>
      </c>
      <c r="I1785" s="1" t="s">
        <v>27</v>
      </c>
      <c r="J1785" s="1" t="s">
        <v>4572</v>
      </c>
      <c r="K1785" s="1" t="s">
        <v>8239</v>
      </c>
      <c r="L1785" s="1">
        <v>8</v>
      </c>
      <c r="M1785" s="1">
        <v>15</v>
      </c>
      <c r="N1785" s="1" t="s">
        <v>30</v>
      </c>
      <c r="O1785" s="1" t="s">
        <v>624</v>
      </c>
      <c r="P1785" s="1" t="s">
        <v>30</v>
      </c>
      <c r="Q1785" s="1" t="s">
        <v>69</v>
      </c>
      <c r="R1785" s="1">
        <v>994.4</v>
      </c>
      <c r="S1785" s="1" t="s">
        <v>33</v>
      </c>
      <c r="T1785" s="1" t="s">
        <v>34</v>
      </c>
      <c r="U1785" s="1" t="s">
        <v>35</v>
      </c>
      <c r="V1785" s="1" t="s">
        <v>36</v>
      </c>
    </row>
    <row r="1786" spans="1:22" x14ac:dyDescent="0.3">
      <c r="A1786" s="1" t="s">
        <v>8240</v>
      </c>
      <c r="B1786" s="1" t="s">
        <v>8241</v>
      </c>
      <c r="C1786" s="1">
        <v>48</v>
      </c>
      <c r="D1786" s="1" t="s">
        <v>8242</v>
      </c>
      <c r="E1786" s="1" t="s">
        <v>95</v>
      </c>
      <c r="F1786" s="1" t="s">
        <v>2559</v>
      </c>
      <c r="G1786" s="1" t="s">
        <v>1635</v>
      </c>
      <c r="H1786" s="1">
        <v>5</v>
      </c>
      <c r="I1786" s="1" t="s">
        <v>27</v>
      </c>
      <c r="J1786" s="1" t="s">
        <v>393</v>
      </c>
      <c r="K1786" s="1" t="s">
        <v>8243</v>
      </c>
      <c r="L1786" s="1">
        <v>2</v>
      </c>
      <c r="M1786" s="1">
        <v>40</v>
      </c>
      <c r="N1786" s="1" t="s">
        <v>54</v>
      </c>
      <c r="O1786" s="1" t="s">
        <v>109</v>
      </c>
      <c r="P1786" s="1" t="s">
        <v>68</v>
      </c>
      <c r="Q1786" s="1" t="s">
        <v>69</v>
      </c>
      <c r="R1786" s="1">
        <v>359.8</v>
      </c>
      <c r="S1786" s="1" t="s">
        <v>46</v>
      </c>
      <c r="T1786" s="1" t="s">
        <v>34</v>
      </c>
      <c r="U1786" s="1" t="s">
        <v>35</v>
      </c>
      <c r="V1786" s="1" t="s">
        <v>188</v>
      </c>
    </row>
    <row r="1787" spans="1:22" x14ac:dyDescent="0.3">
      <c r="A1787" s="1" t="s">
        <v>8244</v>
      </c>
      <c r="B1787" s="1" t="s">
        <v>8245</v>
      </c>
      <c r="C1787" s="1">
        <v>64</v>
      </c>
      <c r="D1787" s="1" t="s">
        <v>8246</v>
      </c>
      <c r="E1787" s="1" t="s">
        <v>25</v>
      </c>
      <c r="F1787" s="1" t="s">
        <v>1982</v>
      </c>
      <c r="G1787" s="2">
        <v>44875</v>
      </c>
      <c r="H1787" s="1">
        <v>1</v>
      </c>
      <c r="I1787" s="1" t="s">
        <v>52</v>
      </c>
      <c r="J1787" s="2">
        <v>45538</v>
      </c>
      <c r="K1787" s="1" t="s">
        <v>8247</v>
      </c>
      <c r="L1787" s="1">
        <v>7</v>
      </c>
      <c r="M1787" s="1">
        <v>47</v>
      </c>
      <c r="N1787" s="1" t="s">
        <v>45</v>
      </c>
      <c r="O1787" s="1" t="s">
        <v>418</v>
      </c>
      <c r="P1787" s="1" t="s">
        <v>56</v>
      </c>
      <c r="Q1787" s="1" t="s">
        <v>69</v>
      </c>
      <c r="R1787" s="1">
        <v>1061.06</v>
      </c>
      <c r="S1787" s="1" t="s">
        <v>46</v>
      </c>
      <c r="T1787" s="1" t="s">
        <v>47</v>
      </c>
      <c r="U1787" s="1" t="s">
        <v>35</v>
      </c>
      <c r="V1787" s="1" t="s">
        <v>36</v>
      </c>
    </row>
    <row r="1788" spans="1:22" x14ac:dyDescent="0.3">
      <c r="A1788" s="1" t="s">
        <v>8248</v>
      </c>
      <c r="B1788" s="1" t="s">
        <v>8249</v>
      </c>
      <c r="C1788" s="1">
        <v>61</v>
      </c>
      <c r="D1788" s="1" t="s">
        <v>8250</v>
      </c>
      <c r="E1788" s="1" t="s">
        <v>40</v>
      </c>
      <c r="F1788" s="2">
        <v>45237</v>
      </c>
      <c r="G1788" s="2">
        <v>45149</v>
      </c>
      <c r="H1788" s="1">
        <v>3</v>
      </c>
      <c r="I1788" s="1" t="s">
        <v>27</v>
      </c>
      <c r="J1788" s="1" t="s">
        <v>5706</v>
      </c>
      <c r="K1788" s="1" t="s">
        <v>8251</v>
      </c>
      <c r="L1788" s="1">
        <v>8</v>
      </c>
      <c r="M1788" s="1">
        <v>19</v>
      </c>
      <c r="N1788" s="1" t="s">
        <v>45</v>
      </c>
      <c r="O1788" s="1" t="s">
        <v>44</v>
      </c>
      <c r="P1788" s="1" t="s">
        <v>45</v>
      </c>
      <c r="Q1788" s="1" t="s">
        <v>32</v>
      </c>
      <c r="R1788" s="1">
        <v>1321.44</v>
      </c>
      <c r="S1788" s="1" t="s">
        <v>33</v>
      </c>
      <c r="T1788" s="1" t="s">
        <v>47</v>
      </c>
      <c r="U1788" s="1" t="s">
        <v>35</v>
      </c>
      <c r="V1788" s="1" t="s">
        <v>36</v>
      </c>
    </row>
    <row r="1789" spans="1:22" x14ac:dyDescent="0.3">
      <c r="A1789" s="1" t="s">
        <v>8252</v>
      </c>
      <c r="B1789" s="1" t="s">
        <v>8253</v>
      </c>
      <c r="C1789" s="1">
        <v>29</v>
      </c>
      <c r="D1789" s="1" t="s">
        <v>8254</v>
      </c>
      <c r="E1789" s="1" t="s">
        <v>25</v>
      </c>
      <c r="F1789" s="1" t="s">
        <v>440</v>
      </c>
      <c r="G1789" s="1" t="s">
        <v>4608</v>
      </c>
      <c r="H1789" s="1">
        <v>4</v>
      </c>
      <c r="I1789" s="1" t="s">
        <v>27</v>
      </c>
      <c r="J1789" s="1" t="s">
        <v>5687</v>
      </c>
      <c r="K1789" s="1" t="s">
        <v>8255</v>
      </c>
      <c r="L1789" s="1">
        <v>7</v>
      </c>
      <c r="M1789" s="1">
        <v>5</v>
      </c>
      <c r="N1789" s="1" t="s">
        <v>54</v>
      </c>
      <c r="O1789" s="1" t="s">
        <v>425</v>
      </c>
      <c r="P1789" s="1" t="s">
        <v>30</v>
      </c>
      <c r="Q1789" s="1" t="s">
        <v>69</v>
      </c>
      <c r="R1789" s="1">
        <v>460.32</v>
      </c>
      <c r="S1789" s="1" t="s">
        <v>46</v>
      </c>
      <c r="T1789" s="1" t="s">
        <v>57</v>
      </c>
      <c r="U1789" s="1" t="s">
        <v>101</v>
      </c>
      <c r="V1789" s="1" t="s">
        <v>188</v>
      </c>
    </row>
    <row r="1790" spans="1:22" x14ac:dyDescent="0.3">
      <c r="A1790" s="1" t="s">
        <v>8256</v>
      </c>
      <c r="B1790" s="1" t="s">
        <v>8257</v>
      </c>
      <c r="C1790" s="1">
        <v>64</v>
      </c>
      <c r="D1790" s="1" t="s">
        <v>8258</v>
      </c>
      <c r="E1790" s="1" t="s">
        <v>51</v>
      </c>
      <c r="F1790" s="1" t="s">
        <v>2402</v>
      </c>
      <c r="G1790" s="1" t="s">
        <v>4426</v>
      </c>
      <c r="H1790" s="1">
        <v>1</v>
      </c>
      <c r="I1790" s="1" t="s">
        <v>52</v>
      </c>
      <c r="J1790" s="2">
        <v>44204</v>
      </c>
      <c r="K1790" s="1" t="s">
        <v>8259</v>
      </c>
      <c r="L1790" s="1">
        <v>9</v>
      </c>
      <c r="M1790" s="1">
        <v>8</v>
      </c>
      <c r="N1790" s="1" t="s">
        <v>45</v>
      </c>
      <c r="O1790" s="1" t="s">
        <v>604</v>
      </c>
      <c r="P1790" s="1" t="s">
        <v>45</v>
      </c>
      <c r="Q1790" s="1" t="s">
        <v>32</v>
      </c>
      <c r="R1790" s="1">
        <v>1113.6600000000001</v>
      </c>
      <c r="S1790" s="1" t="s">
        <v>33</v>
      </c>
      <c r="T1790" s="1" t="s">
        <v>47</v>
      </c>
      <c r="U1790" s="1" t="s">
        <v>35</v>
      </c>
      <c r="V1790" s="1" t="s">
        <v>36</v>
      </c>
    </row>
    <row r="1791" spans="1:22" x14ac:dyDescent="0.3">
      <c r="A1791" s="1" t="s">
        <v>8260</v>
      </c>
      <c r="B1791" s="1" t="s">
        <v>8261</v>
      </c>
      <c r="C1791" s="1">
        <v>22</v>
      </c>
      <c r="D1791" s="1" t="s">
        <v>8262</v>
      </c>
      <c r="E1791" s="1" t="s">
        <v>25</v>
      </c>
      <c r="F1791" s="1" t="s">
        <v>5485</v>
      </c>
      <c r="G1791" s="1" t="s">
        <v>4074</v>
      </c>
      <c r="H1791" s="1">
        <v>1</v>
      </c>
      <c r="I1791" s="1" t="s">
        <v>27</v>
      </c>
      <c r="J1791" s="2">
        <v>44320</v>
      </c>
      <c r="K1791" s="1" t="s">
        <v>8263</v>
      </c>
      <c r="L1791" s="1">
        <v>4</v>
      </c>
      <c r="M1791" s="1">
        <v>11</v>
      </c>
      <c r="N1791" s="1" t="s">
        <v>54</v>
      </c>
      <c r="O1791" s="1" t="s">
        <v>251</v>
      </c>
      <c r="P1791" s="1" t="s">
        <v>30</v>
      </c>
      <c r="Q1791" s="1" t="s">
        <v>69</v>
      </c>
      <c r="R1791" s="1">
        <v>248.8</v>
      </c>
      <c r="S1791" s="1" t="s">
        <v>46</v>
      </c>
      <c r="T1791" s="1" t="s">
        <v>100</v>
      </c>
      <c r="U1791" s="1" t="s">
        <v>35</v>
      </c>
      <c r="V1791" s="1" t="s">
        <v>36</v>
      </c>
    </row>
    <row r="1792" spans="1:22" x14ac:dyDescent="0.3">
      <c r="A1792" s="1" t="s">
        <v>8264</v>
      </c>
      <c r="B1792" s="1" t="s">
        <v>8265</v>
      </c>
      <c r="C1792" s="1">
        <v>54</v>
      </c>
      <c r="D1792" s="1" t="s">
        <v>8266</v>
      </c>
      <c r="E1792" s="1" t="s">
        <v>88</v>
      </c>
      <c r="F1792" s="2">
        <v>44573</v>
      </c>
      <c r="G1792" s="2">
        <v>45265</v>
      </c>
      <c r="H1792" s="1">
        <v>3</v>
      </c>
      <c r="I1792" s="1" t="s">
        <v>27</v>
      </c>
      <c r="J1792" s="1" t="s">
        <v>3531</v>
      </c>
      <c r="K1792" s="1" t="s">
        <v>8267</v>
      </c>
      <c r="L1792" s="1">
        <v>4</v>
      </c>
      <c r="M1792" s="1">
        <v>13</v>
      </c>
      <c r="N1792" s="1" t="s">
        <v>54</v>
      </c>
      <c r="O1792" s="1" t="s">
        <v>194</v>
      </c>
      <c r="P1792" s="1" t="s">
        <v>56</v>
      </c>
      <c r="Q1792" s="1" t="s">
        <v>32</v>
      </c>
      <c r="R1792" s="1">
        <v>40.72</v>
      </c>
      <c r="S1792" s="1" t="s">
        <v>46</v>
      </c>
      <c r="T1792" s="1" t="s">
        <v>47</v>
      </c>
      <c r="U1792" s="1" t="s">
        <v>70</v>
      </c>
      <c r="V1792" s="1" t="s">
        <v>36</v>
      </c>
    </row>
    <row r="1793" spans="1:22" x14ac:dyDescent="0.3">
      <c r="A1793" s="1" t="s">
        <v>8268</v>
      </c>
      <c r="B1793" s="1" t="s">
        <v>8269</v>
      </c>
      <c r="C1793" s="1">
        <v>52</v>
      </c>
      <c r="D1793" s="1" t="s">
        <v>8270</v>
      </c>
      <c r="E1793" s="1" t="s">
        <v>88</v>
      </c>
      <c r="F1793" s="1" t="s">
        <v>5589</v>
      </c>
      <c r="G1793" s="2">
        <v>45783</v>
      </c>
      <c r="H1793" s="1">
        <v>5</v>
      </c>
      <c r="I1793" s="1" t="s">
        <v>64</v>
      </c>
      <c r="J1793" s="2">
        <v>45511</v>
      </c>
      <c r="K1793" s="1" t="s">
        <v>8271</v>
      </c>
      <c r="L1793" s="1">
        <v>7</v>
      </c>
      <c r="M1793" s="1">
        <v>31</v>
      </c>
      <c r="N1793" s="1" t="s">
        <v>45</v>
      </c>
      <c r="O1793" s="1" t="s">
        <v>194</v>
      </c>
      <c r="P1793" s="1" t="s">
        <v>56</v>
      </c>
      <c r="Q1793" s="1" t="s">
        <v>32</v>
      </c>
      <c r="R1793" s="1">
        <v>1246.98</v>
      </c>
      <c r="S1793" s="1" t="s">
        <v>46</v>
      </c>
      <c r="T1793" s="1" t="s">
        <v>47</v>
      </c>
      <c r="U1793" s="1" t="s">
        <v>35</v>
      </c>
      <c r="V1793" s="1" t="s">
        <v>71</v>
      </c>
    </row>
    <row r="1794" spans="1:22" x14ac:dyDescent="0.3">
      <c r="A1794" s="1" t="s">
        <v>8272</v>
      </c>
      <c r="B1794" s="1" t="s">
        <v>8273</v>
      </c>
      <c r="C1794" s="1">
        <v>47</v>
      </c>
      <c r="D1794" s="1" t="s">
        <v>8274</v>
      </c>
      <c r="E1794" s="1" t="s">
        <v>25</v>
      </c>
      <c r="F1794" s="2">
        <v>44781</v>
      </c>
      <c r="G1794" s="1" t="s">
        <v>2691</v>
      </c>
      <c r="H1794" s="1">
        <v>4</v>
      </c>
      <c r="I1794" s="1" t="s">
        <v>27</v>
      </c>
      <c r="J1794" s="1" t="s">
        <v>7017</v>
      </c>
      <c r="K1794" s="1" t="s">
        <v>8275</v>
      </c>
      <c r="L1794" s="1">
        <v>1</v>
      </c>
      <c r="M1794" s="1">
        <v>44</v>
      </c>
      <c r="N1794" s="1" t="s">
        <v>30</v>
      </c>
      <c r="O1794" s="1" t="s">
        <v>211</v>
      </c>
      <c r="P1794" s="1" t="s">
        <v>68</v>
      </c>
      <c r="Q1794" s="1" t="s">
        <v>69</v>
      </c>
      <c r="R1794" s="1">
        <v>821.69</v>
      </c>
      <c r="S1794" s="1" t="s">
        <v>46</v>
      </c>
      <c r="T1794" s="1" t="s">
        <v>34</v>
      </c>
      <c r="U1794" s="1" t="s">
        <v>35</v>
      </c>
      <c r="V1794" s="1" t="s">
        <v>188</v>
      </c>
    </row>
    <row r="1795" spans="1:22" x14ac:dyDescent="0.3">
      <c r="A1795" s="1" t="s">
        <v>8276</v>
      </c>
      <c r="B1795" s="1" t="s">
        <v>8277</v>
      </c>
      <c r="C1795" s="1">
        <v>63</v>
      </c>
      <c r="D1795" s="1" t="s">
        <v>8278</v>
      </c>
      <c r="E1795" s="1" t="s">
        <v>25</v>
      </c>
      <c r="F1795" s="1" t="s">
        <v>6338</v>
      </c>
      <c r="G1795" s="2">
        <v>44936</v>
      </c>
      <c r="H1795" s="1">
        <v>0</v>
      </c>
      <c r="I1795" s="1" t="s">
        <v>64</v>
      </c>
      <c r="J1795" s="1" t="s">
        <v>2300</v>
      </c>
      <c r="K1795" s="1" t="s">
        <v>8279</v>
      </c>
      <c r="L1795" s="1">
        <v>7</v>
      </c>
      <c r="M1795" s="1">
        <v>16</v>
      </c>
      <c r="N1795" s="1" t="s">
        <v>45</v>
      </c>
      <c r="O1795" s="1" t="s">
        <v>91</v>
      </c>
      <c r="P1795" s="1" t="s">
        <v>54</v>
      </c>
      <c r="Q1795" s="1" t="s">
        <v>69</v>
      </c>
      <c r="R1795" s="1">
        <v>1166.6199999999999</v>
      </c>
      <c r="S1795" s="1" t="s">
        <v>46</v>
      </c>
      <c r="T1795" s="1" t="s">
        <v>47</v>
      </c>
      <c r="U1795" s="1" t="s">
        <v>35</v>
      </c>
      <c r="V1795" s="1" t="s">
        <v>71</v>
      </c>
    </row>
    <row r="1796" spans="1:22" x14ac:dyDescent="0.3">
      <c r="A1796" s="1" t="s">
        <v>8280</v>
      </c>
      <c r="B1796" s="1" t="s">
        <v>8281</v>
      </c>
      <c r="C1796" s="1">
        <v>25</v>
      </c>
      <c r="D1796" s="1" t="s">
        <v>8282</v>
      </c>
      <c r="E1796" s="1" t="s">
        <v>61</v>
      </c>
      <c r="F1796" s="1" t="s">
        <v>1189</v>
      </c>
      <c r="G1796" s="1" t="s">
        <v>3899</v>
      </c>
      <c r="H1796" s="1">
        <v>2</v>
      </c>
      <c r="I1796" s="1" t="s">
        <v>64</v>
      </c>
      <c r="J1796" s="1" t="s">
        <v>1020</v>
      </c>
      <c r="K1796" s="1" t="s">
        <v>8283</v>
      </c>
      <c r="L1796" s="1">
        <v>1</v>
      </c>
      <c r="M1796" s="1">
        <v>39</v>
      </c>
      <c r="N1796" s="1" t="s">
        <v>68</v>
      </c>
      <c r="O1796" s="1" t="s">
        <v>604</v>
      </c>
      <c r="P1796" s="1" t="s">
        <v>45</v>
      </c>
      <c r="Q1796" s="1" t="s">
        <v>32</v>
      </c>
      <c r="R1796" s="1">
        <v>715.99</v>
      </c>
      <c r="S1796" s="1" t="s">
        <v>46</v>
      </c>
      <c r="T1796" s="1" t="s">
        <v>57</v>
      </c>
      <c r="U1796" s="1" t="s">
        <v>35</v>
      </c>
      <c r="V1796" s="1" t="s">
        <v>71</v>
      </c>
    </row>
    <row r="1797" spans="1:22" x14ac:dyDescent="0.3">
      <c r="A1797" s="1" t="s">
        <v>8284</v>
      </c>
      <c r="B1797" s="1" t="s">
        <v>8285</v>
      </c>
      <c r="C1797" s="1">
        <v>50</v>
      </c>
      <c r="D1797" s="1" t="s">
        <v>8286</v>
      </c>
      <c r="E1797" s="1" t="s">
        <v>61</v>
      </c>
      <c r="F1797" s="1" t="s">
        <v>4581</v>
      </c>
      <c r="G1797" s="1" t="s">
        <v>962</v>
      </c>
      <c r="H1797" s="1">
        <v>1</v>
      </c>
      <c r="I1797" s="1" t="s">
        <v>52</v>
      </c>
      <c r="J1797" s="1" t="s">
        <v>3705</v>
      </c>
      <c r="K1797" s="1" t="s">
        <v>8287</v>
      </c>
      <c r="L1797" s="1">
        <v>1</v>
      </c>
      <c r="M1797" s="1">
        <v>5</v>
      </c>
      <c r="N1797" s="1" t="s">
        <v>30</v>
      </c>
      <c r="O1797" s="1" t="s">
        <v>169</v>
      </c>
      <c r="P1797" s="1" t="s">
        <v>30</v>
      </c>
      <c r="Q1797" s="1" t="s">
        <v>69</v>
      </c>
      <c r="R1797" s="1">
        <v>1397.94</v>
      </c>
      <c r="S1797" s="1" t="s">
        <v>33</v>
      </c>
      <c r="T1797" s="1" t="s">
        <v>47</v>
      </c>
      <c r="U1797" s="1" t="s">
        <v>35</v>
      </c>
      <c r="V1797" s="1" t="s">
        <v>36</v>
      </c>
    </row>
    <row r="1798" spans="1:22" x14ac:dyDescent="0.3">
      <c r="A1798" s="1" t="s">
        <v>8288</v>
      </c>
      <c r="B1798" s="1" t="s">
        <v>8289</v>
      </c>
      <c r="C1798" s="1">
        <v>21</v>
      </c>
      <c r="D1798" s="1" t="s">
        <v>8290</v>
      </c>
      <c r="E1798" s="1" t="s">
        <v>88</v>
      </c>
      <c r="F1798" s="1" t="s">
        <v>6366</v>
      </c>
      <c r="G1798" s="1" t="s">
        <v>154</v>
      </c>
      <c r="H1798" s="1">
        <v>1</v>
      </c>
      <c r="I1798" s="1" t="s">
        <v>27</v>
      </c>
      <c r="J1798" s="1" t="s">
        <v>166</v>
      </c>
      <c r="K1798" s="1" t="s">
        <v>8291</v>
      </c>
      <c r="L1798" s="1">
        <v>5</v>
      </c>
      <c r="M1798" s="1">
        <v>35</v>
      </c>
      <c r="N1798" s="1" t="s">
        <v>30</v>
      </c>
      <c r="O1798" s="1" t="s">
        <v>366</v>
      </c>
      <c r="P1798" s="1" t="s">
        <v>54</v>
      </c>
      <c r="Q1798" s="1" t="s">
        <v>32</v>
      </c>
      <c r="R1798" s="1">
        <v>1539.45</v>
      </c>
      <c r="S1798" s="1" t="s">
        <v>46</v>
      </c>
      <c r="T1798" s="1" t="s">
        <v>100</v>
      </c>
      <c r="U1798" s="1" t="s">
        <v>35</v>
      </c>
      <c r="V1798" s="1" t="s">
        <v>36</v>
      </c>
    </row>
    <row r="1799" spans="1:22" x14ac:dyDescent="0.3">
      <c r="A1799" s="1" t="s">
        <v>8292</v>
      </c>
      <c r="B1799" s="1" t="s">
        <v>8293</v>
      </c>
      <c r="C1799" s="1">
        <v>68</v>
      </c>
      <c r="D1799" s="1" t="s">
        <v>8294</v>
      </c>
      <c r="E1799" s="1" t="s">
        <v>88</v>
      </c>
      <c r="F1799" s="1" t="s">
        <v>1452</v>
      </c>
      <c r="G1799" s="2">
        <v>45424</v>
      </c>
      <c r="H1799" s="1">
        <v>4</v>
      </c>
      <c r="I1799" s="1" t="s">
        <v>27</v>
      </c>
      <c r="J1799" s="1" t="s">
        <v>1601</v>
      </c>
      <c r="K1799" s="1" t="s">
        <v>8295</v>
      </c>
      <c r="L1799" s="1">
        <v>9</v>
      </c>
      <c r="M1799" s="1">
        <v>6</v>
      </c>
      <c r="N1799" s="1" t="s">
        <v>54</v>
      </c>
      <c r="O1799" s="1" t="s">
        <v>269</v>
      </c>
      <c r="P1799" s="1" t="s">
        <v>56</v>
      </c>
      <c r="Q1799" s="1" t="s">
        <v>32</v>
      </c>
      <c r="R1799" s="1">
        <v>1321.02</v>
      </c>
      <c r="S1799" s="1" t="s">
        <v>46</v>
      </c>
      <c r="T1799" s="1" t="s">
        <v>232</v>
      </c>
      <c r="U1799" s="1" t="s">
        <v>35</v>
      </c>
      <c r="V1799" s="1" t="s">
        <v>188</v>
      </c>
    </row>
    <row r="1800" spans="1:22" x14ac:dyDescent="0.3">
      <c r="A1800" s="1" t="s">
        <v>8296</v>
      </c>
      <c r="B1800" s="1" t="s">
        <v>8297</v>
      </c>
      <c r="C1800" s="1">
        <v>40</v>
      </c>
      <c r="D1800" s="1" t="s">
        <v>8298</v>
      </c>
      <c r="E1800" s="1" t="s">
        <v>88</v>
      </c>
      <c r="F1800" s="1" t="s">
        <v>6221</v>
      </c>
      <c r="G1800" s="1" t="s">
        <v>2104</v>
      </c>
      <c r="H1800" s="1">
        <v>1</v>
      </c>
      <c r="I1800" s="1" t="s">
        <v>27</v>
      </c>
      <c r="J1800" s="1" t="s">
        <v>852</v>
      </c>
      <c r="K1800" s="1" t="s">
        <v>8299</v>
      </c>
      <c r="L1800" s="1">
        <v>3</v>
      </c>
      <c r="M1800" s="1">
        <v>41</v>
      </c>
      <c r="N1800" s="1" t="s">
        <v>56</v>
      </c>
      <c r="O1800" s="1" t="s">
        <v>128</v>
      </c>
      <c r="P1800" s="1" t="s">
        <v>54</v>
      </c>
      <c r="Q1800" s="1" t="s">
        <v>32</v>
      </c>
      <c r="R1800" s="1">
        <v>247.38</v>
      </c>
      <c r="S1800" s="1" t="s">
        <v>46</v>
      </c>
      <c r="T1800" s="1" t="s">
        <v>34</v>
      </c>
      <c r="U1800" s="1" t="s">
        <v>35</v>
      </c>
      <c r="V1800" s="1" t="s">
        <v>36</v>
      </c>
    </row>
    <row r="1801" spans="1:22" x14ac:dyDescent="0.3">
      <c r="A1801" s="1" t="s">
        <v>8300</v>
      </c>
      <c r="B1801" s="1" t="s">
        <v>8301</v>
      </c>
      <c r="C1801" s="1">
        <v>20</v>
      </c>
      <c r="D1801" s="1" t="s">
        <v>8302</v>
      </c>
      <c r="E1801" s="1" t="s">
        <v>88</v>
      </c>
      <c r="F1801" s="2">
        <v>44417</v>
      </c>
      <c r="G1801" s="2">
        <v>44510</v>
      </c>
      <c r="H1801" s="1">
        <v>1</v>
      </c>
      <c r="I1801" s="1" t="s">
        <v>27</v>
      </c>
      <c r="J1801" s="2">
        <v>45116</v>
      </c>
      <c r="K1801" s="1" t="s">
        <v>8303</v>
      </c>
      <c r="L1801" s="1">
        <v>4</v>
      </c>
      <c r="M1801" s="1">
        <v>11</v>
      </c>
      <c r="N1801" s="1" t="s">
        <v>30</v>
      </c>
      <c r="O1801" s="1" t="s">
        <v>624</v>
      </c>
      <c r="P1801" s="1" t="s">
        <v>30</v>
      </c>
      <c r="Q1801" s="1" t="s">
        <v>32</v>
      </c>
      <c r="R1801" s="1">
        <v>1625.72</v>
      </c>
      <c r="S1801" s="1" t="s">
        <v>33</v>
      </c>
      <c r="T1801" s="1" t="s">
        <v>100</v>
      </c>
      <c r="U1801" s="1" t="s">
        <v>35</v>
      </c>
      <c r="V1801" s="1" t="s">
        <v>36</v>
      </c>
    </row>
    <row r="1802" spans="1:22" x14ac:dyDescent="0.3">
      <c r="A1802" s="1" t="s">
        <v>8304</v>
      </c>
      <c r="B1802" s="1" t="s">
        <v>8305</v>
      </c>
      <c r="C1802" s="1">
        <v>20</v>
      </c>
      <c r="D1802" s="1" t="s">
        <v>8306</v>
      </c>
      <c r="E1802" s="1" t="s">
        <v>88</v>
      </c>
      <c r="F1802" s="1" t="s">
        <v>1232</v>
      </c>
      <c r="G1802" s="2">
        <v>44656</v>
      </c>
      <c r="H1802" s="1">
        <v>2</v>
      </c>
      <c r="I1802" s="1" t="s">
        <v>27</v>
      </c>
      <c r="J1802" s="1" t="s">
        <v>2061</v>
      </c>
      <c r="K1802" s="1" t="s">
        <v>8307</v>
      </c>
      <c r="L1802" s="1">
        <v>2</v>
      </c>
      <c r="M1802" s="1">
        <v>35</v>
      </c>
      <c r="N1802" s="1" t="s">
        <v>45</v>
      </c>
      <c r="O1802" s="1" t="s">
        <v>109</v>
      </c>
      <c r="P1802" s="1" t="s">
        <v>68</v>
      </c>
      <c r="Q1802" s="1" t="s">
        <v>32</v>
      </c>
      <c r="R1802" s="1">
        <v>1742.88</v>
      </c>
      <c r="S1802" s="1" t="s">
        <v>46</v>
      </c>
      <c r="T1802" s="1" t="s">
        <v>100</v>
      </c>
      <c r="U1802" s="1" t="s">
        <v>35</v>
      </c>
      <c r="V1802" s="1" t="s">
        <v>36</v>
      </c>
    </row>
    <row r="1803" spans="1:22" x14ac:dyDescent="0.3">
      <c r="A1803" s="1" t="s">
        <v>8308</v>
      </c>
      <c r="B1803" s="1" t="s">
        <v>8309</v>
      </c>
      <c r="C1803" s="1">
        <v>51</v>
      </c>
      <c r="D1803" s="1" t="s">
        <v>8310</v>
      </c>
      <c r="E1803" s="1" t="s">
        <v>88</v>
      </c>
      <c r="F1803" s="2">
        <v>44877</v>
      </c>
      <c r="G1803" s="1" t="s">
        <v>2957</v>
      </c>
      <c r="H1803" s="1">
        <v>5</v>
      </c>
      <c r="I1803" s="1" t="s">
        <v>27</v>
      </c>
      <c r="J1803" s="1" t="s">
        <v>284</v>
      </c>
      <c r="K1803" s="1" t="s">
        <v>8311</v>
      </c>
      <c r="L1803" s="1">
        <v>8</v>
      </c>
      <c r="M1803" s="1">
        <v>9</v>
      </c>
      <c r="N1803" s="1" t="s">
        <v>45</v>
      </c>
      <c r="O1803" s="1" t="s">
        <v>425</v>
      </c>
      <c r="P1803" s="1" t="s">
        <v>30</v>
      </c>
      <c r="Q1803" s="1" t="s">
        <v>32</v>
      </c>
      <c r="R1803" s="1">
        <v>1636</v>
      </c>
      <c r="S1803" s="1" t="s">
        <v>46</v>
      </c>
      <c r="T1803" s="1" t="s">
        <v>47</v>
      </c>
      <c r="U1803" s="1" t="s">
        <v>35</v>
      </c>
      <c r="V1803" s="1" t="s">
        <v>188</v>
      </c>
    </row>
    <row r="1804" spans="1:22" x14ac:dyDescent="0.3">
      <c r="A1804" s="1" t="s">
        <v>8312</v>
      </c>
      <c r="B1804" s="1" t="s">
        <v>8313</v>
      </c>
      <c r="C1804" s="1">
        <v>37</v>
      </c>
      <c r="D1804" s="1" t="s">
        <v>8314</v>
      </c>
      <c r="E1804" s="1" t="s">
        <v>51</v>
      </c>
      <c r="F1804" s="2">
        <v>44055</v>
      </c>
      <c r="G1804" s="1" t="s">
        <v>1764</v>
      </c>
      <c r="H1804" s="1">
        <v>4</v>
      </c>
      <c r="I1804" s="1" t="s">
        <v>27</v>
      </c>
      <c r="J1804" s="2">
        <v>44774</v>
      </c>
      <c r="K1804" s="1" t="s">
        <v>8315</v>
      </c>
      <c r="L1804" s="1">
        <v>2</v>
      </c>
      <c r="M1804" s="1">
        <v>49</v>
      </c>
      <c r="N1804" s="1" t="s">
        <v>54</v>
      </c>
      <c r="O1804" s="1" t="s">
        <v>31</v>
      </c>
      <c r="P1804" s="1" t="s">
        <v>30</v>
      </c>
      <c r="Q1804" s="1" t="s">
        <v>32</v>
      </c>
      <c r="R1804" s="1">
        <v>780.48</v>
      </c>
      <c r="S1804" s="1" t="s">
        <v>46</v>
      </c>
      <c r="T1804" s="1" t="s">
        <v>34</v>
      </c>
      <c r="U1804" s="1" t="s">
        <v>35</v>
      </c>
      <c r="V1804" s="1" t="s">
        <v>188</v>
      </c>
    </row>
    <row r="1805" spans="1:22" x14ac:dyDescent="0.3">
      <c r="A1805" s="1" t="s">
        <v>8316</v>
      </c>
      <c r="B1805" s="1" t="s">
        <v>8317</v>
      </c>
      <c r="C1805" s="1">
        <v>57</v>
      </c>
      <c r="D1805" s="1" t="s">
        <v>8318</v>
      </c>
      <c r="E1805" s="1" t="s">
        <v>51</v>
      </c>
      <c r="F1805" s="2">
        <v>44903</v>
      </c>
      <c r="G1805" s="1" t="s">
        <v>4848</v>
      </c>
      <c r="H1805" s="1">
        <v>1</v>
      </c>
      <c r="I1805" s="1" t="s">
        <v>27</v>
      </c>
      <c r="J1805" s="1" t="s">
        <v>3785</v>
      </c>
      <c r="K1805" s="1" t="s">
        <v>8319</v>
      </c>
      <c r="L1805" s="1">
        <v>6</v>
      </c>
      <c r="M1805" s="1">
        <v>27</v>
      </c>
      <c r="N1805" s="1" t="s">
        <v>30</v>
      </c>
      <c r="O1805" s="1" t="s">
        <v>354</v>
      </c>
      <c r="P1805" s="1" t="s">
        <v>45</v>
      </c>
      <c r="Q1805" s="1" t="s">
        <v>69</v>
      </c>
      <c r="R1805" s="1">
        <v>1772.22</v>
      </c>
      <c r="S1805" s="1" t="s">
        <v>46</v>
      </c>
      <c r="T1805" s="1" t="s">
        <v>47</v>
      </c>
      <c r="U1805" s="1" t="s">
        <v>35</v>
      </c>
      <c r="V1805" s="1" t="s">
        <v>36</v>
      </c>
    </row>
    <row r="1806" spans="1:22" x14ac:dyDescent="0.3">
      <c r="A1806" s="1" t="s">
        <v>8320</v>
      </c>
      <c r="B1806" s="1" t="s">
        <v>8321</v>
      </c>
      <c r="C1806" s="1">
        <v>40</v>
      </c>
      <c r="D1806" s="1" t="s">
        <v>8322</v>
      </c>
      <c r="E1806" s="1" t="s">
        <v>88</v>
      </c>
      <c r="F1806" s="2">
        <v>44777</v>
      </c>
      <c r="G1806" s="2">
        <v>45962</v>
      </c>
      <c r="H1806" s="1">
        <v>5</v>
      </c>
      <c r="I1806" s="1" t="s">
        <v>52</v>
      </c>
      <c r="J1806" s="1" t="s">
        <v>161</v>
      </c>
      <c r="K1806" s="1" t="s">
        <v>8323</v>
      </c>
      <c r="L1806" s="1">
        <v>2</v>
      </c>
      <c r="M1806" s="1">
        <v>2</v>
      </c>
      <c r="N1806" s="1" t="s">
        <v>30</v>
      </c>
      <c r="O1806" s="1" t="s">
        <v>610</v>
      </c>
      <c r="P1806" s="1" t="s">
        <v>68</v>
      </c>
      <c r="Q1806" s="1" t="s">
        <v>69</v>
      </c>
      <c r="R1806" s="1">
        <v>1710.14</v>
      </c>
      <c r="S1806" s="1" t="s">
        <v>46</v>
      </c>
      <c r="T1806" s="1" t="s">
        <v>34</v>
      </c>
      <c r="U1806" s="1" t="s">
        <v>35</v>
      </c>
      <c r="V1806" s="1" t="s">
        <v>36</v>
      </c>
    </row>
    <row r="1807" spans="1:22" x14ac:dyDescent="0.3">
      <c r="A1807" s="1" t="s">
        <v>8324</v>
      </c>
      <c r="B1807" s="1" t="s">
        <v>8325</v>
      </c>
      <c r="C1807" s="1">
        <v>55</v>
      </c>
      <c r="D1807" s="1" t="s">
        <v>8326</v>
      </c>
      <c r="E1807" s="1" t="s">
        <v>25</v>
      </c>
      <c r="F1807" s="1" t="s">
        <v>1273</v>
      </c>
      <c r="G1807" s="1" t="s">
        <v>2061</v>
      </c>
      <c r="H1807" s="1">
        <v>0</v>
      </c>
      <c r="I1807" s="1" t="s">
        <v>27</v>
      </c>
      <c r="J1807" s="2">
        <v>44993</v>
      </c>
      <c r="K1807" s="1" t="s">
        <v>8327</v>
      </c>
      <c r="L1807" s="1">
        <v>1</v>
      </c>
      <c r="M1807" s="1">
        <v>9</v>
      </c>
      <c r="N1807" s="1" t="s">
        <v>54</v>
      </c>
      <c r="O1807" s="1" t="s">
        <v>223</v>
      </c>
      <c r="P1807" s="1" t="s">
        <v>56</v>
      </c>
      <c r="Q1807" s="1" t="s">
        <v>32</v>
      </c>
      <c r="R1807" s="1">
        <v>1595.97</v>
      </c>
      <c r="S1807" s="1" t="s">
        <v>46</v>
      </c>
      <c r="T1807" s="1" t="s">
        <v>47</v>
      </c>
      <c r="U1807" s="1" t="s">
        <v>35</v>
      </c>
      <c r="V1807" s="1" t="s">
        <v>36</v>
      </c>
    </row>
    <row r="1808" spans="1:22" x14ac:dyDescent="0.3">
      <c r="A1808" s="1" t="s">
        <v>8328</v>
      </c>
      <c r="B1808" s="1" t="s">
        <v>8329</v>
      </c>
      <c r="C1808" s="1">
        <v>66</v>
      </c>
      <c r="D1808" s="1" t="s">
        <v>8330</v>
      </c>
      <c r="E1808" s="1" t="s">
        <v>95</v>
      </c>
      <c r="F1808" s="1" t="s">
        <v>8331</v>
      </c>
      <c r="G1808" s="2">
        <v>44988</v>
      </c>
      <c r="H1808" s="1">
        <v>5</v>
      </c>
      <c r="I1808" s="1" t="s">
        <v>52</v>
      </c>
      <c r="J1808" s="1" t="s">
        <v>5706</v>
      </c>
      <c r="K1808" s="1" t="s">
        <v>1001</v>
      </c>
      <c r="L1808" s="1">
        <v>3</v>
      </c>
      <c r="M1808" s="1">
        <v>17</v>
      </c>
      <c r="N1808" s="1" t="s">
        <v>45</v>
      </c>
      <c r="O1808" s="1" t="s">
        <v>116</v>
      </c>
      <c r="P1808" s="1" t="s">
        <v>54</v>
      </c>
      <c r="Q1808" s="1" t="s">
        <v>32</v>
      </c>
      <c r="R1808" s="1">
        <v>418.74</v>
      </c>
      <c r="S1808" s="1" t="s">
        <v>46</v>
      </c>
      <c r="T1808" s="1" t="s">
        <v>232</v>
      </c>
      <c r="U1808" s="1" t="s">
        <v>35</v>
      </c>
      <c r="V1808" s="1" t="s">
        <v>36</v>
      </c>
    </row>
    <row r="1809" spans="1:22" x14ac:dyDescent="0.3">
      <c r="A1809" s="1" t="s">
        <v>8332</v>
      </c>
      <c r="B1809" s="1" t="s">
        <v>8333</v>
      </c>
      <c r="C1809" s="1">
        <v>44</v>
      </c>
      <c r="D1809" s="1" t="s">
        <v>8334</v>
      </c>
      <c r="E1809" s="1" t="s">
        <v>51</v>
      </c>
      <c r="F1809" s="2">
        <v>44903</v>
      </c>
      <c r="G1809" s="2">
        <v>45933</v>
      </c>
      <c r="H1809" s="1">
        <v>5</v>
      </c>
      <c r="I1809" s="1" t="s">
        <v>27</v>
      </c>
      <c r="J1809" s="1" t="s">
        <v>2347</v>
      </c>
      <c r="K1809" s="1" t="s">
        <v>8335</v>
      </c>
      <c r="L1809" s="1">
        <v>4</v>
      </c>
      <c r="M1809" s="1">
        <v>7</v>
      </c>
      <c r="N1809" s="1" t="s">
        <v>56</v>
      </c>
      <c r="O1809" s="1" t="s">
        <v>116</v>
      </c>
      <c r="P1809" s="1" t="s">
        <v>54</v>
      </c>
      <c r="Q1809" s="1" t="s">
        <v>32</v>
      </c>
      <c r="R1809" s="1">
        <v>1972.76</v>
      </c>
      <c r="S1809" s="1" t="s">
        <v>46</v>
      </c>
      <c r="T1809" s="1" t="s">
        <v>34</v>
      </c>
      <c r="U1809" s="1" t="s">
        <v>35</v>
      </c>
      <c r="V1809" s="1" t="s">
        <v>188</v>
      </c>
    </row>
    <row r="1810" spans="1:22" x14ac:dyDescent="0.3">
      <c r="A1810" s="1" t="s">
        <v>8336</v>
      </c>
      <c r="B1810" s="1" t="s">
        <v>8337</v>
      </c>
      <c r="C1810" s="1">
        <v>25</v>
      </c>
      <c r="D1810" s="1" t="s">
        <v>8338</v>
      </c>
      <c r="E1810" s="1" t="s">
        <v>95</v>
      </c>
      <c r="F1810" s="2">
        <v>43991</v>
      </c>
      <c r="G1810" s="2">
        <v>44938</v>
      </c>
      <c r="H1810" s="1">
        <v>4</v>
      </c>
      <c r="I1810" s="1" t="s">
        <v>27</v>
      </c>
      <c r="J1810" s="2">
        <v>45354</v>
      </c>
      <c r="K1810" s="1" t="s">
        <v>8339</v>
      </c>
      <c r="L1810" s="1">
        <v>9</v>
      </c>
      <c r="M1810" s="1">
        <v>3</v>
      </c>
      <c r="N1810" s="1" t="s">
        <v>68</v>
      </c>
      <c r="O1810" s="1" t="s">
        <v>142</v>
      </c>
      <c r="P1810" s="1" t="s">
        <v>68</v>
      </c>
      <c r="Q1810" s="1" t="s">
        <v>32</v>
      </c>
      <c r="R1810" s="1">
        <v>34.83</v>
      </c>
      <c r="S1810" s="1" t="s">
        <v>33</v>
      </c>
      <c r="T1810" s="1" t="s">
        <v>57</v>
      </c>
      <c r="U1810" s="1" t="s">
        <v>70</v>
      </c>
      <c r="V1810" s="1" t="s">
        <v>188</v>
      </c>
    </row>
    <row r="1811" spans="1:22" x14ac:dyDescent="0.3">
      <c r="A1811" s="1" t="s">
        <v>8340</v>
      </c>
      <c r="B1811" s="1" t="s">
        <v>8341</v>
      </c>
      <c r="C1811" s="1">
        <v>53</v>
      </c>
      <c r="D1811" s="1" t="s">
        <v>8342</v>
      </c>
      <c r="E1811" s="1" t="s">
        <v>40</v>
      </c>
      <c r="F1811" s="1" t="s">
        <v>2019</v>
      </c>
      <c r="G1811" s="1" t="s">
        <v>5327</v>
      </c>
      <c r="H1811" s="1">
        <v>3</v>
      </c>
      <c r="I1811" s="1" t="s">
        <v>27</v>
      </c>
      <c r="J1811" s="1" t="s">
        <v>659</v>
      </c>
      <c r="K1811" s="1" t="s">
        <v>8343</v>
      </c>
      <c r="L1811" s="1">
        <v>3</v>
      </c>
      <c r="M1811" s="1">
        <v>46</v>
      </c>
      <c r="N1811" s="1" t="s">
        <v>54</v>
      </c>
      <c r="O1811" s="1" t="s">
        <v>157</v>
      </c>
      <c r="P1811" s="1" t="s">
        <v>68</v>
      </c>
      <c r="Q1811" s="1" t="s">
        <v>32</v>
      </c>
      <c r="R1811" s="1">
        <v>1938.06</v>
      </c>
      <c r="S1811" s="1" t="s">
        <v>46</v>
      </c>
      <c r="T1811" s="1" t="s">
        <v>47</v>
      </c>
      <c r="U1811" s="1" t="s">
        <v>35</v>
      </c>
      <c r="V1811" s="1" t="s">
        <v>36</v>
      </c>
    </row>
    <row r="1812" spans="1:22" x14ac:dyDescent="0.3">
      <c r="A1812" s="1" t="s">
        <v>8344</v>
      </c>
      <c r="B1812" s="1" t="s">
        <v>8345</v>
      </c>
      <c r="C1812" s="1">
        <v>65</v>
      </c>
      <c r="D1812" s="1" t="s">
        <v>8346</v>
      </c>
      <c r="E1812" s="1" t="s">
        <v>51</v>
      </c>
      <c r="F1812" s="2">
        <v>44502</v>
      </c>
      <c r="G1812" s="1" t="s">
        <v>791</v>
      </c>
      <c r="H1812" s="1">
        <v>1</v>
      </c>
      <c r="I1812" s="1" t="s">
        <v>52</v>
      </c>
      <c r="J1812" s="1" t="s">
        <v>358</v>
      </c>
      <c r="K1812" s="1" t="s">
        <v>8347</v>
      </c>
      <c r="L1812" s="1">
        <v>6</v>
      </c>
      <c r="M1812" s="1">
        <v>20</v>
      </c>
      <c r="N1812" s="1" t="s">
        <v>45</v>
      </c>
      <c r="O1812" s="1" t="s">
        <v>536</v>
      </c>
      <c r="P1812" s="1" t="s">
        <v>68</v>
      </c>
      <c r="Q1812" s="1" t="s">
        <v>32</v>
      </c>
      <c r="R1812" s="1">
        <v>1987.74</v>
      </c>
      <c r="S1812" s="1" t="s">
        <v>46</v>
      </c>
      <c r="T1812" s="1" t="s">
        <v>232</v>
      </c>
      <c r="U1812" s="1" t="s">
        <v>35</v>
      </c>
      <c r="V1812" s="1" t="s">
        <v>36</v>
      </c>
    </row>
    <row r="1813" spans="1:22" x14ac:dyDescent="0.3">
      <c r="A1813" s="1" t="s">
        <v>8348</v>
      </c>
      <c r="B1813" s="1" t="s">
        <v>8349</v>
      </c>
      <c r="C1813" s="1">
        <v>44</v>
      </c>
      <c r="D1813" s="1" t="s">
        <v>8350</v>
      </c>
      <c r="E1813" s="1" t="s">
        <v>88</v>
      </c>
      <c r="F1813" s="1" t="s">
        <v>2795</v>
      </c>
      <c r="G1813" s="2">
        <v>45387</v>
      </c>
      <c r="H1813" s="1">
        <v>3</v>
      </c>
      <c r="I1813" s="1" t="s">
        <v>27</v>
      </c>
      <c r="J1813" s="1" t="s">
        <v>4221</v>
      </c>
      <c r="K1813" s="1" t="s">
        <v>8351</v>
      </c>
      <c r="L1813" s="1">
        <v>5</v>
      </c>
      <c r="M1813" s="1">
        <v>17</v>
      </c>
      <c r="N1813" s="1" t="s">
        <v>56</v>
      </c>
      <c r="O1813" s="1" t="s">
        <v>211</v>
      </c>
      <c r="P1813" s="1" t="s">
        <v>68</v>
      </c>
      <c r="Q1813" s="1" t="s">
        <v>69</v>
      </c>
      <c r="R1813" s="1">
        <v>479.65</v>
      </c>
      <c r="S1813" s="1" t="s">
        <v>46</v>
      </c>
      <c r="T1813" s="1" t="s">
        <v>34</v>
      </c>
      <c r="U1813" s="1" t="s">
        <v>35</v>
      </c>
      <c r="V1813" s="1" t="s">
        <v>36</v>
      </c>
    </row>
    <row r="1814" spans="1:22" x14ac:dyDescent="0.3">
      <c r="A1814" s="1" t="s">
        <v>8352</v>
      </c>
      <c r="B1814" s="1" t="s">
        <v>8353</v>
      </c>
      <c r="C1814" s="1">
        <v>24</v>
      </c>
      <c r="D1814" s="1" t="s">
        <v>8354</v>
      </c>
      <c r="E1814" s="1" t="s">
        <v>25</v>
      </c>
      <c r="F1814" s="2">
        <v>44256</v>
      </c>
      <c r="G1814" s="2">
        <v>44349</v>
      </c>
      <c r="H1814" s="1">
        <v>5</v>
      </c>
      <c r="I1814" s="1" t="s">
        <v>52</v>
      </c>
      <c r="J1814" s="2">
        <v>45845</v>
      </c>
      <c r="K1814" s="1" t="s">
        <v>8355</v>
      </c>
      <c r="L1814" s="1">
        <v>7</v>
      </c>
      <c r="M1814" s="1">
        <v>5</v>
      </c>
      <c r="N1814" s="1" t="s">
        <v>54</v>
      </c>
      <c r="O1814" s="1" t="s">
        <v>251</v>
      </c>
      <c r="P1814" s="1" t="s">
        <v>30</v>
      </c>
      <c r="Q1814" s="1" t="s">
        <v>32</v>
      </c>
      <c r="R1814" s="1">
        <v>1706.95</v>
      </c>
      <c r="S1814" s="1" t="s">
        <v>46</v>
      </c>
      <c r="T1814" s="1" t="s">
        <v>100</v>
      </c>
      <c r="U1814" s="1" t="s">
        <v>35</v>
      </c>
      <c r="V1814" s="1" t="s">
        <v>36</v>
      </c>
    </row>
    <row r="1815" spans="1:22" x14ac:dyDescent="0.3">
      <c r="A1815" s="1" t="s">
        <v>8356</v>
      </c>
      <c r="B1815" s="1" t="s">
        <v>8357</v>
      </c>
      <c r="C1815" s="1">
        <v>69</v>
      </c>
      <c r="D1815" s="1" t="s">
        <v>8358</v>
      </c>
      <c r="E1815" s="1" t="s">
        <v>95</v>
      </c>
      <c r="F1815" s="2">
        <v>44533</v>
      </c>
      <c r="G1815" s="2">
        <v>44963</v>
      </c>
      <c r="H1815" s="1">
        <v>0</v>
      </c>
      <c r="I1815" s="1" t="s">
        <v>27</v>
      </c>
      <c r="J1815" s="2">
        <v>45785</v>
      </c>
      <c r="K1815" s="1" t="s">
        <v>2062</v>
      </c>
      <c r="L1815" s="1">
        <v>9</v>
      </c>
      <c r="M1815" s="1">
        <v>36</v>
      </c>
      <c r="N1815" s="1" t="s">
        <v>68</v>
      </c>
      <c r="O1815" s="1" t="s">
        <v>354</v>
      </c>
      <c r="P1815" s="1" t="s">
        <v>45</v>
      </c>
      <c r="Q1815" s="1" t="s">
        <v>322</v>
      </c>
      <c r="R1815" s="1">
        <v>513.54</v>
      </c>
      <c r="S1815" s="1" t="s">
        <v>46</v>
      </c>
      <c r="T1815" s="1" t="s">
        <v>232</v>
      </c>
      <c r="U1815" s="1" t="s">
        <v>35</v>
      </c>
      <c r="V1815" s="1" t="s">
        <v>36</v>
      </c>
    </row>
    <row r="1816" spans="1:22" x14ac:dyDescent="0.3">
      <c r="A1816" s="1" t="s">
        <v>8359</v>
      </c>
      <c r="B1816" s="1" t="s">
        <v>8360</v>
      </c>
      <c r="C1816" s="1">
        <v>56</v>
      </c>
      <c r="D1816" s="1" t="s">
        <v>8361</v>
      </c>
      <c r="E1816" s="1" t="s">
        <v>61</v>
      </c>
      <c r="F1816" s="2">
        <v>44380</v>
      </c>
      <c r="G1816" s="1" t="s">
        <v>166</v>
      </c>
      <c r="H1816" s="1">
        <v>3</v>
      </c>
      <c r="I1816" s="1" t="s">
        <v>27</v>
      </c>
      <c r="J1816" s="1" t="s">
        <v>6757</v>
      </c>
      <c r="K1816" s="1" t="s">
        <v>8362</v>
      </c>
      <c r="L1816" s="1">
        <v>5</v>
      </c>
      <c r="M1816" s="1">
        <v>49</v>
      </c>
      <c r="N1816" s="1" t="s">
        <v>68</v>
      </c>
      <c r="O1816" s="1" t="s">
        <v>231</v>
      </c>
      <c r="P1816" s="1" t="s">
        <v>30</v>
      </c>
      <c r="Q1816" s="1" t="s">
        <v>32</v>
      </c>
      <c r="R1816" s="1">
        <v>1241</v>
      </c>
      <c r="S1816" s="1" t="s">
        <v>46</v>
      </c>
      <c r="T1816" s="1" t="s">
        <v>47</v>
      </c>
      <c r="U1816" s="1" t="s">
        <v>35</v>
      </c>
      <c r="V1816" s="1" t="s">
        <v>36</v>
      </c>
    </row>
    <row r="1817" spans="1:22" x14ac:dyDescent="0.3">
      <c r="A1817" s="1" t="s">
        <v>8363</v>
      </c>
      <c r="B1817" s="1" t="s">
        <v>8364</v>
      </c>
      <c r="C1817" s="1">
        <v>54</v>
      </c>
      <c r="D1817" s="1" t="s">
        <v>8365</v>
      </c>
      <c r="E1817" s="1" t="s">
        <v>61</v>
      </c>
      <c r="F1817" s="2">
        <v>44509</v>
      </c>
      <c r="G1817" s="1" t="s">
        <v>1685</v>
      </c>
      <c r="H1817" s="1">
        <v>2</v>
      </c>
      <c r="I1817" s="1" t="s">
        <v>27</v>
      </c>
      <c r="J1817" s="1" t="s">
        <v>96</v>
      </c>
      <c r="K1817" s="1" t="s">
        <v>8366</v>
      </c>
      <c r="L1817" s="1">
        <v>8</v>
      </c>
      <c r="M1817" s="1">
        <v>27</v>
      </c>
      <c r="N1817" s="1" t="s">
        <v>30</v>
      </c>
      <c r="O1817" s="1" t="s">
        <v>231</v>
      </c>
      <c r="P1817" s="1" t="s">
        <v>30</v>
      </c>
      <c r="Q1817" s="1" t="s">
        <v>32</v>
      </c>
      <c r="R1817" s="1">
        <v>322.32</v>
      </c>
      <c r="S1817" s="1" t="s">
        <v>33</v>
      </c>
      <c r="T1817" s="1" t="s">
        <v>47</v>
      </c>
      <c r="U1817" s="1" t="s">
        <v>35</v>
      </c>
      <c r="V1817" s="1" t="s">
        <v>36</v>
      </c>
    </row>
    <row r="1818" spans="1:22" x14ac:dyDescent="0.3">
      <c r="A1818" s="1" t="s">
        <v>8367</v>
      </c>
      <c r="B1818" s="1" t="s">
        <v>8368</v>
      </c>
      <c r="C1818" s="1">
        <v>37</v>
      </c>
      <c r="D1818" s="1" t="s">
        <v>8369</v>
      </c>
      <c r="E1818" s="1" t="s">
        <v>25</v>
      </c>
      <c r="F1818" s="2">
        <v>44264</v>
      </c>
      <c r="G1818" s="1" t="s">
        <v>4466</v>
      </c>
      <c r="H1818" s="1">
        <v>2</v>
      </c>
      <c r="I1818" s="1" t="s">
        <v>27</v>
      </c>
      <c r="J1818" s="2">
        <v>44867</v>
      </c>
      <c r="K1818" s="1" t="s">
        <v>8370</v>
      </c>
      <c r="L1818" s="1">
        <v>5</v>
      </c>
      <c r="M1818" s="1">
        <v>30</v>
      </c>
      <c r="N1818" s="1" t="s">
        <v>68</v>
      </c>
      <c r="O1818" s="1" t="s">
        <v>354</v>
      </c>
      <c r="P1818" s="1" t="s">
        <v>45</v>
      </c>
      <c r="Q1818" s="1" t="s">
        <v>69</v>
      </c>
      <c r="R1818" s="1">
        <v>1471.85</v>
      </c>
      <c r="S1818" s="1" t="s">
        <v>46</v>
      </c>
      <c r="T1818" s="1" t="s">
        <v>34</v>
      </c>
      <c r="U1818" s="1" t="s">
        <v>35</v>
      </c>
      <c r="V1818" s="1" t="s">
        <v>36</v>
      </c>
    </row>
    <row r="1819" spans="1:22" x14ac:dyDescent="0.3">
      <c r="A1819" s="1" t="s">
        <v>8371</v>
      </c>
      <c r="B1819" s="1" t="s">
        <v>8372</v>
      </c>
      <c r="C1819" s="1">
        <v>58</v>
      </c>
      <c r="D1819" s="1" t="s">
        <v>8373</v>
      </c>
      <c r="E1819" s="1" t="s">
        <v>95</v>
      </c>
      <c r="F1819" s="1" t="s">
        <v>1955</v>
      </c>
      <c r="G1819" s="1" t="s">
        <v>2066</v>
      </c>
      <c r="H1819" s="1">
        <v>0</v>
      </c>
      <c r="I1819" s="1" t="s">
        <v>27</v>
      </c>
      <c r="J1819" s="1" t="s">
        <v>2010</v>
      </c>
      <c r="K1819" s="1" t="s">
        <v>1081</v>
      </c>
      <c r="L1819" s="1">
        <v>9</v>
      </c>
      <c r="M1819" s="1">
        <v>1</v>
      </c>
      <c r="N1819" s="1" t="s">
        <v>30</v>
      </c>
      <c r="O1819" s="1" t="s">
        <v>418</v>
      </c>
      <c r="P1819" s="1" t="s">
        <v>56</v>
      </c>
      <c r="Q1819" s="1" t="s">
        <v>69</v>
      </c>
      <c r="R1819" s="1">
        <v>932.76</v>
      </c>
      <c r="S1819" s="1" t="s">
        <v>46</v>
      </c>
      <c r="T1819" s="1" t="s">
        <v>47</v>
      </c>
      <c r="U1819" s="1" t="s">
        <v>101</v>
      </c>
      <c r="V1819" s="1" t="s">
        <v>36</v>
      </c>
    </row>
    <row r="1820" spans="1:22" x14ac:dyDescent="0.3">
      <c r="A1820" s="1" t="s">
        <v>8374</v>
      </c>
      <c r="B1820" s="1" t="s">
        <v>8375</v>
      </c>
      <c r="C1820" s="1">
        <v>28</v>
      </c>
      <c r="D1820" s="1" t="s">
        <v>8376</v>
      </c>
      <c r="E1820" s="1" t="s">
        <v>88</v>
      </c>
      <c r="F1820" s="1" t="s">
        <v>4533</v>
      </c>
      <c r="G1820" s="2">
        <v>44564</v>
      </c>
      <c r="H1820" s="1">
        <v>2</v>
      </c>
      <c r="I1820" s="1" t="s">
        <v>27</v>
      </c>
      <c r="J1820" s="1" t="s">
        <v>513</v>
      </c>
      <c r="K1820" s="1" t="s">
        <v>8377</v>
      </c>
      <c r="L1820" s="1">
        <v>4</v>
      </c>
      <c r="M1820" s="1">
        <v>20</v>
      </c>
      <c r="N1820" s="1" t="s">
        <v>54</v>
      </c>
      <c r="O1820" s="1" t="s">
        <v>354</v>
      </c>
      <c r="P1820" s="1" t="s">
        <v>45</v>
      </c>
      <c r="Q1820" s="1" t="s">
        <v>69</v>
      </c>
      <c r="R1820" s="1">
        <v>1808</v>
      </c>
      <c r="S1820" s="1" t="s">
        <v>46</v>
      </c>
      <c r="T1820" s="1" t="s">
        <v>57</v>
      </c>
      <c r="U1820" s="1" t="s">
        <v>35</v>
      </c>
      <c r="V1820" s="1" t="s">
        <v>36</v>
      </c>
    </row>
    <row r="1821" spans="1:22" x14ac:dyDescent="0.3">
      <c r="A1821" s="1" t="s">
        <v>8378</v>
      </c>
      <c r="B1821" s="1" t="s">
        <v>8379</v>
      </c>
      <c r="C1821" s="1">
        <v>18</v>
      </c>
      <c r="D1821" s="1" t="s">
        <v>8380</v>
      </c>
      <c r="E1821" s="1" t="s">
        <v>95</v>
      </c>
      <c r="F1821" s="1" t="s">
        <v>3626</v>
      </c>
      <c r="G1821" s="1" t="s">
        <v>791</v>
      </c>
      <c r="H1821" s="1">
        <v>5</v>
      </c>
      <c r="I1821" s="1" t="s">
        <v>27</v>
      </c>
      <c r="J1821" s="1" t="s">
        <v>1375</v>
      </c>
      <c r="K1821" s="1" t="s">
        <v>8381</v>
      </c>
      <c r="L1821" s="1">
        <v>1</v>
      </c>
      <c r="M1821" s="1">
        <v>10</v>
      </c>
      <c r="N1821" s="1" t="s">
        <v>54</v>
      </c>
      <c r="O1821" s="1" t="s">
        <v>44</v>
      </c>
      <c r="P1821" s="1" t="s">
        <v>45</v>
      </c>
      <c r="Q1821" s="1" t="s">
        <v>32</v>
      </c>
      <c r="R1821" s="1">
        <v>899.63</v>
      </c>
      <c r="S1821" s="1" t="s">
        <v>46</v>
      </c>
      <c r="T1821" s="1" t="s">
        <v>100</v>
      </c>
      <c r="U1821" s="1" t="s">
        <v>35</v>
      </c>
      <c r="V1821" s="1" t="s">
        <v>188</v>
      </c>
    </row>
    <row r="1822" spans="1:22" x14ac:dyDescent="0.3">
      <c r="A1822" s="1" t="s">
        <v>8382</v>
      </c>
      <c r="B1822" s="1" t="s">
        <v>8383</v>
      </c>
      <c r="C1822" s="1">
        <v>26</v>
      </c>
      <c r="D1822" s="1" t="s">
        <v>8384</v>
      </c>
      <c r="E1822" s="1" t="s">
        <v>40</v>
      </c>
      <c r="F1822" s="2">
        <v>44473</v>
      </c>
      <c r="G1822" s="1" t="s">
        <v>4812</v>
      </c>
      <c r="H1822" s="1">
        <v>2</v>
      </c>
      <c r="I1822" s="1" t="s">
        <v>27</v>
      </c>
      <c r="J1822" s="2">
        <v>45356</v>
      </c>
      <c r="K1822" s="1" t="s">
        <v>8385</v>
      </c>
      <c r="L1822" s="1">
        <v>9</v>
      </c>
      <c r="M1822" s="1">
        <v>21</v>
      </c>
      <c r="N1822" s="1" t="s">
        <v>45</v>
      </c>
      <c r="O1822" s="1" t="s">
        <v>116</v>
      </c>
      <c r="P1822" s="1" t="s">
        <v>54</v>
      </c>
      <c r="Q1822" s="1" t="s">
        <v>32</v>
      </c>
      <c r="R1822" s="1">
        <v>1976.58</v>
      </c>
      <c r="S1822" s="1" t="s">
        <v>46</v>
      </c>
      <c r="T1822" s="1" t="s">
        <v>57</v>
      </c>
      <c r="U1822" s="1" t="s">
        <v>35</v>
      </c>
      <c r="V1822" s="1" t="s">
        <v>36</v>
      </c>
    </row>
    <row r="1823" spans="1:22" x14ac:dyDescent="0.3">
      <c r="A1823" s="1" t="s">
        <v>8386</v>
      </c>
      <c r="B1823" s="1" t="s">
        <v>8387</v>
      </c>
      <c r="C1823" s="1">
        <v>21</v>
      </c>
      <c r="D1823" s="1" t="s">
        <v>8388</v>
      </c>
      <c r="E1823" s="1" t="s">
        <v>40</v>
      </c>
      <c r="F1823" s="1" t="s">
        <v>6989</v>
      </c>
      <c r="G1823" s="1" t="s">
        <v>772</v>
      </c>
      <c r="H1823" s="1">
        <v>2</v>
      </c>
      <c r="I1823" s="1" t="s">
        <v>27</v>
      </c>
      <c r="J1823" s="1" t="s">
        <v>4243</v>
      </c>
      <c r="K1823" s="1" t="s">
        <v>8389</v>
      </c>
      <c r="L1823" s="1">
        <v>9</v>
      </c>
      <c r="M1823" s="1">
        <v>13</v>
      </c>
      <c r="N1823" s="1" t="s">
        <v>68</v>
      </c>
      <c r="O1823" s="1" t="s">
        <v>67</v>
      </c>
      <c r="P1823" s="1" t="s">
        <v>68</v>
      </c>
      <c r="Q1823" s="1" t="s">
        <v>69</v>
      </c>
      <c r="R1823" s="1">
        <v>1650.15</v>
      </c>
      <c r="S1823" s="1" t="s">
        <v>33</v>
      </c>
      <c r="T1823" s="1" t="s">
        <v>100</v>
      </c>
      <c r="U1823" s="1" t="s">
        <v>35</v>
      </c>
      <c r="V1823" s="1" t="s">
        <v>36</v>
      </c>
    </row>
    <row r="1824" spans="1:22" x14ac:dyDescent="0.3">
      <c r="A1824" s="1" t="s">
        <v>8390</v>
      </c>
      <c r="B1824" s="1" t="s">
        <v>8391</v>
      </c>
      <c r="C1824" s="1">
        <v>28</v>
      </c>
      <c r="D1824" s="1" t="s">
        <v>8392</v>
      </c>
      <c r="E1824" s="1" t="s">
        <v>40</v>
      </c>
      <c r="F1824" s="2">
        <v>44906</v>
      </c>
      <c r="G1824" s="1" t="s">
        <v>2072</v>
      </c>
      <c r="H1824" s="1">
        <v>5</v>
      </c>
      <c r="I1824" s="1" t="s">
        <v>27</v>
      </c>
      <c r="J1824" s="1" t="s">
        <v>2690</v>
      </c>
      <c r="K1824" s="1" t="s">
        <v>8393</v>
      </c>
      <c r="L1824" s="1">
        <v>3</v>
      </c>
      <c r="M1824" s="1">
        <v>21</v>
      </c>
      <c r="N1824" s="1" t="s">
        <v>30</v>
      </c>
      <c r="O1824" s="1" t="s">
        <v>855</v>
      </c>
      <c r="P1824" s="1" t="s">
        <v>45</v>
      </c>
      <c r="Q1824" s="1" t="s">
        <v>32</v>
      </c>
      <c r="R1824" s="1">
        <v>1903.08</v>
      </c>
      <c r="S1824" s="1" t="s">
        <v>46</v>
      </c>
      <c r="T1824" s="1" t="s">
        <v>57</v>
      </c>
      <c r="U1824" s="1" t="s">
        <v>35</v>
      </c>
      <c r="V1824" s="1" t="s">
        <v>188</v>
      </c>
    </row>
    <row r="1825" spans="1:22" x14ac:dyDescent="0.3">
      <c r="A1825" s="1" t="s">
        <v>8394</v>
      </c>
      <c r="B1825" s="1" t="s">
        <v>8395</v>
      </c>
      <c r="C1825" s="1">
        <v>20</v>
      </c>
      <c r="D1825" s="1" t="s">
        <v>8396</v>
      </c>
      <c r="E1825" s="1" t="s">
        <v>51</v>
      </c>
      <c r="F1825" s="1" t="s">
        <v>146</v>
      </c>
      <c r="G1825" s="1" t="s">
        <v>3200</v>
      </c>
      <c r="H1825" s="1">
        <v>0</v>
      </c>
      <c r="I1825" s="1" t="s">
        <v>27</v>
      </c>
      <c r="J1825" s="1" t="s">
        <v>1011</v>
      </c>
      <c r="K1825" s="1" t="s">
        <v>8397</v>
      </c>
      <c r="L1825" s="1">
        <v>8</v>
      </c>
      <c r="M1825" s="1">
        <v>47</v>
      </c>
      <c r="N1825" s="1" t="s">
        <v>56</v>
      </c>
      <c r="O1825" s="1" t="s">
        <v>77</v>
      </c>
      <c r="P1825" s="1" t="s">
        <v>54</v>
      </c>
      <c r="Q1825" s="1" t="s">
        <v>32</v>
      </c>
      <c r="R1825" s="1">
        <v>720.32</v>
      </c>
      <c r="S1825" s="1" t="s">
        <v>46</v>
      </c>
      <c r="T1825" s="1" t="s">
        <v>100</v>
      </c>
      <c r="U1825" s="1" t="s">
        <v>35</v>
      </c>
      <c r="V1825" s="1" t="s">
        <v>36</v>
      </c>
    </row>
    <row r="1826" spans="1:22" x14ac:dyDescent="0.3">
      <c r="A1826" s="1" t="s">
        <v>8398</v>
      </c>
      <c r="B1826" s="1" t="s">
        <v>8399</v>
      </c>
      <c r="C1826" s="1">
        <v>53</v>
      </c>
      <c r="D1826" s="1" t="s">
        <v>8400</v>
      </c>
      <c r="E1826" s="1" t="s">
        <v>51</v>
      </c>
      <c r="F1826" s="1" t="s">
        <v>2044</v>
      </c>
      <c r="G1826" s="2">
        <v>44936</v>
      </c>
      <c r="H1826" s="1">
        <v>0</v>
      </c>
      <c r="I1826" s="1" t="s">
        <v>27</v>
      </c>
      <c r="J1826" s="1" t="s">
        <v>2625</v>
      </c>
      <c r="K1826" s="1" t="s">
        <v>3292</v>
      </c>
      <c r="L1826" s="1">
        <v>3</v>
      </c>
      <c r="M1826" s="1">
        <v>1</v>
      </c>
      <c r="N1826" s="1" t="s">
        <v>68</v>
      </c>
      <c r="O1826" s="1" t="s">
        <v>122</v>
      </c>
      <c r="P1826" s="1" t="s">
        <v>30</v>
      </c>
      <c r="Q1826" s="1" t="s">
        <v>322</v>
      </c>
      <c r="R1826" s="1">
        <v>397.26</v>
      </c>
      <c r="S1826" s="1" t="s">
        <v>46</v>
      </c>
      <c r="T1826" s="1" t="s">
        <v>47</v>
      </c>
      <c r="U1826" s="1" t="s">
        <v>70</v>
      </c>
      <c r="V1826" s="1" t="s">
        <v>36</v>
      </c>
    </row>
    <row r="1827" spans="1:22" x14ac:dyDescent="0.3">
      <c r="A1827" s="1" t="s">
        <v>8401</v>
      </c>
      <c r="B1827" s="1" t="s">
        <v>8402</v>
      </c>
      <c r="C1827" s="1">
        <v>39</v>
      </c>
      <c r="D1827" s="1" t="s">
        <v>8403</v>
      </c>
      <c r="E1827" s="1" t="s">
        <v>40</v>
      </c>
      <c r="F1827" s="1" t="s">
        <v>2281</v>
      </c>
      <c r="G1827" s="2">
        <v>45755</v>
      </c>
      <c r="H1827" s="1">
        <v>1</v>
      </c>
      <c r="I1827" s="1" t="s">
        <v>64</v>
      </c>
      <c r="J1827" s="1" t="s">
        <v>1889</v>
      </c>
      <c r="K1827" s="1" t="s">
        <v>8404</v>
      </c>
      <c r="L1827" s="1">
        <v>2</v>
      </c>
      <c r="M1827" s="1">
        <v>48</v>
      </c>
      <c r="N1827" s="1" t="s">
        <v>54</v>
      </c>
      <c r="O1827" s="1" t="s">
        <v>821</v>
      </c>
      <c r="P1827" s="1" t="s">
        <v>68</v>
      </c>
      <c r="Q1827" s="1" t="s">
        <v>69</v>
      </c>
      <c r="R1827" s="1">
        <v>739.8</v>
      </c>
      <c r="S1827" s="1" t="s">
        <v>46</v>
      </c>
      <c r="T1827" s="1" t="s">
        <v>34</v>
      </c>
      <c r="U1827" s="1" t="s">
        <v>35</v>
      </c>
      <c r="V1827" s="1" t="s">
        <v>71</v>
      </c>
    </row>
    <row r="1828" spans="1:22" x14ac:dyDescent="0.3">
      <c r="A1828" s="1" t="s">
        <v>8405</v>
      </c>
      <c r="B1828" s="1" t="s">
        <v>8406</v>
      </c>
      <c r="C1828" s="1">
        <v>45</v>
      </c>
      <c r="D1828" s="1" t="s">
        <v>8407</v>
      </c>
      <c r="E1828" s="1" t="s">
        <v>51</v>
      </c>
      <c r="F1828" s="1" t="s">
        <v>1780</v>
      </c>
      <c r="G1828" s="2">
        <v>44562</v>
      </c>
      <c r="H1828" s="1">
        <v>2</v>
      </c>
      <c r="I1828" s="1" t="s">
        <v>52</v>
      </c>
      <c r="J1828" s="2">
        <v>44475</v>
      </c>
      <c r="K1828" s="1" t="s">
        <v>8408</v>
      </c>
      <c r="L1828" s="1">
        <v>6</v>
      </c>
      <c r="M1828" s="1">
        <v>43</v>
      </c>
      <c r="N1828" s="1" t="s">
        <v>45</v>
      </c>
      <c r="O1828" s="1" t="s">
        <v>31</v>
      </c>
      <c r="P1828" s="1" t="s">
        <v>30</v>
      </c>
      <c r="Q1828" s="1" t="s">
        <v>69</v>
      </c>
      <c r="R1828" s="1">
        <v>1163.8800000000001</v>
      </c>
      <c r="S1828" s="1" t="s">
        <v>46</v>
      </c>
      <c r="T1828" s="1" t="s">
        <v>34</v>
      </c>
      <c r="U1828" s="1" t="s">
        <v>35</v>
      </c>
      <c r="V1828" s="1" t="s">
        <v>36</v>
      </c>
    </row>
    <row r="1829" spans="1:22" x14ac:dyDescent="0.3">
      <c r="A1829" s="1" t="s">
        <v>8409</v>
      </c>
      <c r="B1829" s="1" t="s">
        <v>8410</v>
      </c>
      <c r="C1829" s="1">
        <v>61</v>
      </c>
      <c r="D1829" s="1" t="s">
        <v>8411</v>
      </c>
      <c r="E1829" s="1" t="s">
        <v>88</v>
      </c>
      <c r="F1829" s="1" t="s">
        <v>1148</v>
      </c>
      <c r="G1829" s="2">
        <v>45809</v>
      </c>
      <c r="H1829" s="1">
        <v>4</v>
      </c>
      <c r="I1829" s="1" t="s">
        <v>27</v>
      </c>
      <c r="J1829" s="1" t="s">
        <v>5753</v>
      </c>
      <c r="K1829" s="1" t="s">
        <v>8412</v>
      </c>
      <c r="L1829" s="1">
        <v>3</v>
      </c>
      <c r="M1829" s="1">
        <v>27</v>
      </c>
      <c r="N1829" s="1" t="s">
        <v>45</v>
      </c>
      <c r="O1829" s="1" t="s">
        <v>175</v>
      </c>
      <c r="P1829" s="1" t="s">
        <v>56</v>
      </c>
      <c r="Q1829" s="1" t="s">
        <v>32</v>
      </c>
      <c r="R1829" s="1">
        <v>641.94000000000005</v>
      </c>
      <c r="S1829" s="1" t="s">
        <v>46</v>
      </c>
      <c r="T1829" s="1" t="s">
        <v>47</v>
      </c>
      <c r="U1829" s="1" t="s">
        <v>35</v>
      </c>
      <c r="V1829" s="1" t="s">
        <v>188</v>
      </c>
    </row>
    <row r="1830" spans="1:22" x14ac:dyDescent="0.3">
      <c r="A1830" s="1" t="s">
        <v>8413</v>
      </c>
      <c r="B1830" s="1" t="s">
        <v>8414</v>
      </c>
      <c r="C1830" s="1">
        <v>51</v>
      </c>
      <c r="D1830" s="1" t="s">
        <v>8415</v>
      </c>
      <c r="E1830" s="1" t="s">
        <v>25</v>
      </c>
      <c r="F1830" s="1" t="s">
        <v>242</v>
      </c>
      <c r="G1830" s="1" t="s">
        <v>2810</v>
      </c>
      <c r="H1830" s="1">
        <v>5</v>
      </c>
      <c r="I1830" s="1" t="s">
        <v>52</v>
      </c>
      <c r="J1830" s="1" t="s">
        <v>2679</v>
      </c>
      <c r="K1830" s="1" t="s">
        <v>8416</v>
      </c>
      <c r="L1830" s="1">
        <v>9</v>
      </c>
      <c r="M1830" s="1">
        <v>48</v>
      </c>
      <c r="N1830" s="1" t="s">
        <v>45</v>
      </c>
      <c r="O1830" s="1" t="s">
        <v>99</v>
      </c>
      <c r="P1830" s="1" t="s">
        <v>56</v>
      </c>
      <c r="Q1830" s="1" t="s">
        <v>32</v>
      </c>
      <c r="R1830" s="1">
        <v>1252.8</v>
      </c>
      <c r="S1830" s="1" t="s">
        <v>46</v>
      </c>
      <c r="T1830" s="1" t="s">
        <v>47</v>
      </c>
      <c r="U1830" s="1" t="s">
        <v>35</v>
      </c>
      <c r="V1830" s="1" t="s">
        <v>36</v>
      </c>
    </row>
    <row r="1831" spans="1:22" x14ac:dyDescent="0.3">
      <c r="A1831" s="1" t="s">
        <v>8417</v>
      </c>
      <c r="B1831" s="1" t="s">
        <v>8418</v>
      </c>
      <c r="C1831" s="1">
        <v>39</v>
      </c>
      <c r="D1831" s="1" t="s">
        <v>8419</v>
      </c>
      <c r="E1831" s="1" t="s">
        <v>95</v>
      </c>
      <c r="F1831" s="1" t="s">
        <v>1216</v>
      </c>
      <c r="G1831" s="1" t="s">
        <v>3233</v>
      </c>
      <c r="H1831" s="1">
        <v>5</v>
      </c>
      <c r="I1831" s="1" t="s">
        <v>52</v>
      </c>
      <c r="J1831" s="2">
        <v>44936</v>
      </c>
      <c r="K1831" s="1" t="s">
        <v>8420</v>
      </c>
      <c r="L1831" s="1">
        <v>1</v>
      </c>
      <c r="M1831" s="1">
        <v>29</v>
      </c>
      <c r="N1831" s="1" t="s">
        <v>45</v>
      </c>
      <c r="O1831" s="1" t="s">
        <v>77</v>
      </c>
      <c r="P1831" s="1" t="s">
        <v>54</v>
      </c>
      <c r="Q1831" s="1" t="s">
        <v>32</v>
      </c>
      <c r="R1831" s="1">
        <v>429.99</v>
      </c>
      <c r="S1831" s="1" t="s">
        <v>46</v>
      </c>
      <c r="T1831" s="1" t="s">
        <v>34</v>
      </c>
      <c r="U1831" s="1" t="s">
        <v>35</v>
      </c>
      <c r="V1831" s="1" t="s">
        <v>36</v>
      </c>
    </row>
    <row r="1832" spans="1:22" x14ac:dyDescent="0.3">
      <c r="A1832" s="1" t="s">
        <v>8421</v>
      </c>
      <c r="B1832" s="1" t="s">
        <v>8422</v>
      </c>
      <c r="C1832" s="1">
        <v>66</v>
      </c>
      <c r="D1832" s="1" t="s">
        <v>8423</v>
      </c>
      <c r="E1832" s="1" t="s">
        <v>88</v>
      </c>
      <c r="F1832" s="2">
        <v>45203</v>
      </c>
      <c r="G1832" s="1" t="s">
        <v>614</v>
      </c>
      <c r="H1832" s="1">
        <v>5</v>
      </c>
      <c r="I1832" s="1" t="s">
        <v>52</v>
      </c>
      <c r="J1832" s="1" t="s">
        <v>2208</v>
      </c>
      <c r="K1832" s="1" t="s">
        <v>8424</v>
      </c>
      <c r="L1832" s="1">
        <v>6</v>
      </c>
      <c r="M1832" s="1">
        <v>10</v>
      </c>
      <c r="N1832" s="1" t="s">
        <v>54</v>
      </c>
      <c r="O1832" s="1" t="s">
        <v>116</v>
      </c>
      <c r="P1832" s="1" t="s">
        <v>54</v>
      </c>
      <c r="Q1832" s="1" t="s">
        <v>69</v>
      </c>
      <c r="R1832" s="1">
        <v>1226.8800000000001</v>
      </c>
      <c r="S1832" s="1" t="s">
        <v>33</v>
      </c>
      <c r="T1832" s="1" t="s">
        <v>232</v>
      </c>
      <c r="U1832" s="1" t="s">
        <v>35</v>
      </c>
      <c r="V1832" s="1" t="s">
        <v>36</v>
      </c>
    </row>
    <row r="1833" spans="1:22" x14ac:dyDescent="0.3">
      <c r="A1833" s="1" t="s">
        <v>8425</v>
      </c>
      <c r="B1833" s="1" t="s">
        <v>8426</v>
      </c>
      <c r="C1833" s="1">
        <v>62</v>
      </c>
      <c r="D1833" s="1" t="s">
        <v>8427</v>
      </c>
      <c r="E1833" s="1" t="s">
        <v>88</v>
      </c>
      <c r="F1833" s="2">
        <v>44682</v>
      </c>
      <c r="G1833" s="2">
        <v>45783</v>
      </c>
      <c r="H1833" s="1">
        <v>0</v>
      </c>
      <c r="I1833" s="1" t="s">
        <v>52</v>
      </c>
      <c r="J1833" s="1" t="s">
        <v>4402</v>
      </c>
      <c r="K1833" s="1" t="s">
        <v>8428</v>
      </c>
      <c r="L1833" s="1">
        <v>5</v>
      </c>
      <c r="M1833" s="1">
        <v>33</v>
      </c>
      <c r="N1833" s="1" t="s">
        <v>56</v>
      </c>
      <c r="O1833" s="1" t="s">
        <v>109</v>
      </c>
      <c r="P1833" s="1" t="s">
        <v>68</v>
      </c>
      <c r="Q1833" s="1" t="s">
        <v>32</v>
      </c>
      <c r="R1833" s="1">
        <v>134.75</v>
      </c>
      <c r="S1833" s="1" t="s">
        <v>46</v>
      </c>
      <c r="T1833" s="1" t="s">
        <v>47</v>
      </c>
      <c r="U1833" s="1" t="s">
        <v>35</v>
      </c>
      <c r="V1833" s="1" t="s">
        <v>36</v>
      </c>
    </row>
    <row r="1834" spans="1:22" x14ac:dyDescent="0.3">
      <c r="A1834" s="1" t="s">
        <v>8429</v>
      </c>
      <c r="B1834" s="1" t="s">
        <v>8430</v>
      </c>
      <c r="C1834" s="1">
        <v>53</v>
      </c>
      <c r="D1834" s="1" t="s">
        <v>8431</v>
      </c>
      <c r="E1834" s="1" t="s">
        <v>25</v>
      </c>
      <c r="F1834" s="1" t="s">
        <v>3035</v>
      </c>
      <c r="G1834" s="1" t="s">
        <v>883</v>
      </c>
      <c r="H1834" s="1">
        <v>1</v>
      </c>
      <c r="I1834" s="1" t="s">
        <v>27</v>
      </c>
      <c r="J1834" s="2">
        <v>45815</v>
      </c>
      <c r="K1834" s="1" t="s">
        <v>8432</v>
      </c>
      <c r="L1834" s="1">
        <v>6</v>
      </c>
      <c r="M1834" s="1">
        <v>32</v>
      </c>
      <c r="N1834" s="1" t="s">
        <v>30</v>
      </c>
      <c r="O1834" s="1" t="s">
        <v>77</v>
      </c>
      <c r="P1834" s="1" t="s">
        <v>54</v>
      </c>
      <c r="Q1834" s="1" t="s">
        <v>32</v>
      </c>
      <c r="R1834" s="1">
        <v>135.96</v>
      </c>
      <c r="S1834" s="1" t="s">
        <v>46</v>
      </c>
      <c r="T1834" s="1" t="s">
        <v>47</v>
      </c>
      <c r="U1834" s="1" t="s">
        <v>35</v>
      </c>
      <c r="V1834" s="1" t="s">
        <v>36</v>
      </c>
    </row>
    <row r="1835" spans="1:22" x14ac:dyDescent="0.3">
      <c r="A1835" s="1" t="s">
        <v>8433</v>
      </c>
      <c r="B1835" s="1" t="s">
        <v>8434</v>
      </c>
      <c r="C1835" s="1">
        <v>32</v>
      </c>
      <c r="D1835" s="1" t="s">
        <v>8435</v>
      </c>
      <c r="E1835" s="1" t="s">
        <v>51</v>
      </c>
      <c r="F1835" s="2">
        <v>45203</v>
      </c>
      <c r="G1835" s="1" t="s">
        <v>1105</v>
      </c>
      <c r="H1835" s="1">
        <v>2</v>
      </c>
      <c r="I1835" s="1" t="s">
        <v>27</v>
      </c>
      <c r="J1835" s="2">
        <v>45724</v>
      </c>
      <c r="K1835" s="1" t="s">
        <v>8436</v>
      </c>
      <c r="L1835" s="1">
        <v>9</v>
      </c>
      <c r="M1835" s="1">
        <v>48</v>
      </c>
      <c r="N1835" s="1" t="s">
        <v>54</v>
      </c>
      <c r="O1835" s="1" t="s">
        <v>821</v>
      </c>
      <c r="P1835" s="1" t="s">
        <v>68</v>
      </c>
      <c r="Q1835" s="1" t="s">
        <v>69</v>
      </c>
      <c r="R1835" s="1">
        <v>1357.74</v>
      </c>
      <c r="S1835" s="1" t="s">
        <v>46</v>
      </c>
      <c r="T1835" s="1" t="s">
        <v>57</v>
      </c>
      <c r="U1835" s="1" t="s">
        <v>35</v>
      </c>
      <c r="V1835" s="1" t="s">
        <v>36</v>
      </c>
    </row>
    <row r="1836" spans="1:22" x14ac:dyDescent="0.3">
      <c r="A1836" s="1" t="s">
        <v>8437</v>
      </c>
      <c r="B1836" s="1" t="s">
        <v>8438</v>
      </c>
      <c r="C1836" s="1">
        <v>38</v>
      </c>
      <c r="D1836" s="1" t="s">
        <v>8439</v>
      </c>
      <c r="E1836" s="1" t="s">
        <v>61</v>
      </c>
      <c r="F1836" s="1" t="s">
        <v>3515</v>
      </c>
      <c r="G1836" s="2">
        <v>45023</v>
      </c>
      <c r="H1836" s="1">
        <v>0</v>
      </c>
      <c r="I1836" s="1" t="s">
        <v>64</v>
      </c>
      <c r="J1836" s="2">
        <v>45082</v>
      </c>
      <c r="K1836" s="1" t="s">
        <v>8440</v>
      </c>
      <c r="L1836" s="1">
        <v>3</v>
      </c>
      <c r="M1836" s="1">
        <v>29</v>
      </c>
      <c r="N1836" s="1" t="s">
        <v>68</v>
      </c>
      <c r="O1836" s="1" t="s">
        <v>128</v>
      </c>
      <c r="P1836" s="1" t="s">
        <v>54</v>
      </c>
      <c r="Q1836" s="1" t="s">
        <v>69</v>
      </c>
      <c r="R1836" s="1">
        <v>1043.22</v>
      </c>
      <c r="S1836" s="1" t="s">
        <v>46</v>
      </c>
      <c r="T1836" s="1" t="s">
        <v>34</v>
      </c>
      <c r="U1836" s="1" t="s">
        <v>35</v>
      </c>
      <c r="V1836" s="1" t="s">
        <v>71</v>
      </c>
    </row>
    <row r="1837" spans="1:22" x14ac:dyDescent="0.3">
      <c r="A1837" s="1" t="s">
        <v>8441</v>
      </c>
      <c r="B1837" s="1" t="s">
        <v>8442</v>
      </c>
      <c r="C1837" s="1">
        <v>38</v>
      </c>
      <c r="D1837" s="1" t="s">
        <v>8443</v>
      </c>
      <c r="E1837" s="1" t="s">
        <v>51</v>
      </c>
      <c r="F1837" s="2">
        <v>44686</v>
      </c>
      <c r="G1837" s="1" t="s">
        <v>1159</v>
      </c>
      <c r="H1837" s="1">
        <v>4</v>
      </c>
      <c r="I1837" s="1" t="s">
        <v>52</v>
      </c>
      <c r="J1837" s="2">
        <v>45871</v>
      </c>
      <c r="K1837" s="1" t="s">
        <v>8444</v>
      </c>
      <c r="L1837" s="1">
        <v>9</v>
      </c>
      <c r="M1837" s="1">
        <v>34</v>
      </c>
      <c r="N1837" s="1" t="s">
        <v>68</v>
      </c>
      <c r="O1837" s="1" t="s">
        <v>149</v>
      </c>
      <c r="P1837" s="1" t="s">
        <v>30</v>
      </c>
      <c r="Q1837" s="1" t="s">
        <v>32</v>
      </c>
      <c r="R1837" s="1">
        <v>102.78</v>
      </c>
      <c r="S1837" s="1" t="s">
        <v>46</v>
      </c>
      <c r="T1837" s="1" t="s">
        <v>34</v>
      </c>
      <c r="U1837" s="1" t="s">
        <v>35</v>
      </c>
      <c r="V1837" s="1" t="s">
        <v>36</v>
      </c>
    </row>
    <row r="1838" spans="1:22" x14ac:dyDescent="0.3">
      <c r="A1838" s="1" t="s">
        <v>8445</v>
      </c>
      <c r="B1838" s="1" t="s">
        <v>8446</v>
      </c>
      <c r="C1838" s="1">
        <v>64</v>
      </c>
      <c r="D1838" s="1" t="s">
        <v>8447</v>
      </c>
      <c r="E1838" s="1" t="s">
        <v>88</v>
      </c>
      <c r="F1838" s="1" t="s">
        <v>8448</v>
      </c>
      <c r="G1838" s="1" t="s">
        <v>1695</v>
      </c>
      <c r="H1838" s="1">
        <v>1</v>
      </c>
      <c r="I1838" s="1" t="s">
        <v>27</v>
      </c>
      <c r="J1838" s="1" t="s">
        <v>4817</v>
      </c>
      <c r="K1838" s="1" t="s">
        <v>8449</v>
      </c>
      <c r="L1838" s="1">
        <v>3</v>
      </c>
      <c r="M1838" s="1">
        <v>26</v>
      </c>
      <c r="N1838" s="1" t="s">
        <v>54</v>
      </c>
      <c r="O1838" s="1" t="s">
        <v>99</v>
      </c>
      <c r="P1838" s="1" t="s">
        <v>56</v>
      </c>
      <c r="Q1838" s="1" t="s">
        <v>69</v>
      </c>
      <c r="R1838" s="1">
        <v>1593.45</v>
      </c>
      <c r="S1838" s="1" t="s">
        <v>46</v>
      </c>
      <c r="T1838" s="1" t="s">
        <v>47</v>
      </c>
      <c r="U1838" s="1" t="s">
        <v>35</v>
      </c>
      <c r="V1838" s="1" t="s">
        <v>36</v>
      </c>
    </row>
    <row r="1839" spans="1:22" x14ac:dyDescent="0.3">
      <c r="A1839" s="1" t="s">
        <v>8450</v>
      </c>
      <c r="B1839" s="1" t="s">
        <v>8451</v>
      </c>
      <c r="C1839" s="1">
        <v>33</v>
      </c>
      <c r="D1839" s="1" t="s">
        <v>8452</v>
      </c>
      <c r="E1839" s="1" t="s">
        <v>61</v>
      </c>
      <c r="F1839" s="2">
        <v>44902</v>
      </c>
      <c r="G1839" s="2">
        <v>44814</v>
      </c>
      <c r="H1839" s="1">
        <v>3</v>
      </c>
      <c r="I1839" s="1" t="s">
        <v>64</v>
      </c>
      <c r="J1839" s="1" t="s">
        <v>3935</v>
      </c>
      <c r="K1839" s="1" t="s">
        <v>8453</v>
      </c>
      <c r="L1839" s="1">
        <v>1</v>
      </c>
      <c r="M1839" s="1">
        <v>48</v>
      </c>
      <c r="N1839" s="1" t="s">
        <v>56</v>
      </c>
      <c r="O1839" s="1" t="s">
        <v>67</v>
      </c>
      <c r="P1839" s="1" t="s">
        <v>68</v>
      </c>
      <c r="Q1839" s="1" t="s">
        <v>32</v>
      </c>
      <c r="R1839" s="1">
        <v>1339</v>
      </c>
      <c r="S1839" s="1" t="s">
        <v>46</v>
      </c>
      <c r="T1839" s="1" t="s">
        <v>57</v>
      </c>
      <c r="U1839" s="1" t="s">
        <v>35</v>
      </c>
      <c r="V1839" s="1" t="s">
        <v>71</v>
      </c>
    </row>
    <row r="1840" spans="1:22" x14ac:dyDescent="0.3">
      <c r="A1840" s="1" t="s">
        <v>8454</v>
      </c>
      <c r="B1840" s="1" t="s">
        <v>8455</v>
      </c>
      <c r="C1840" s="1">
        <v>23</v>
      </c>
      <c r="D1840" s="1" t="s">
        <v>8456</v>
      </c>
      <c r="E1840" s="1" t="s">
        <v>61</v>
      </c>
      <c r="F1840" s="2">
        <v>44504</v>
      </c>
      <c r="G1840" s="2">
        <v>44597</v>
      </c>
      <c r="H1840" s="1">
        <v>0</v>
      </c>
      <c r="I1840" s="1" t="s">
        <v>27</v>
      </c>
      <c r="J1840" s="1" t="s">
        <v>1075</v>
      </c>
      <c r="K1840" s="1" t="s">
        <v>8457</v>
      </c>
      <c r="L1840" s="1">
        <v>1</v>
      </c>
      <c r="M1840" s="1">
        <v>42</v>
      </c>
      <c r="N1840" s="1" t="s">
        <v>45</v>
      </c>
      <c r="O1840" s="1" t="s">
        <v>373</v>
      </c>
      <c r="P1840" s="1" t="s">
        <v>54</v>
      </c>
      <c r="Q1840" s="1" t="s">
        <v>69</v>
      </c>
      <c r="R1840" s="1">
        <v>809.03</v>
      </c>
      <c r="S1840" s="1" t="s">
        <v>46</v>
      </c>
      <c r="T1840" s="1" t="s">
        <v>100</v>
      </c>
      <c r="U1840" s="1" t="s">
        <v>35</v>
      </c>
      <c r="V1840" s="1" t="s">
        <v>36</v>
      </c>
    </row>
    <row r="1841" spans="1:22" x14ac:dyDescent="0.3">
      <c r="A1841" s="1" t="s">
        <v>8458</v>
      </c>
      <c r="B1841" s="1" t="s">
        <v>8459</v>
      </c>
      <c r="C1841" s="1">
        <v>45</v>
      </c>
      <c r="D1841" s="1" t="s">
        <v>8460</v>
      </c>
      <c r="E1841" s="1" t="s">
        <v>40</v>
      </c>
      <c r="F1841" s="2">
        <v>45017</v>
      </c>
      <c r="G1841" s="1" t="s">
        <v>382</v>
      </c>
      <c r="H1841" s="1">
        <v>1</v>
      </c>
      <c r="I1841" s="1" t="s">
        <v>52</v>
      </c>
      <c r="J1841" s="1" t="s">
        <v>2441</v>
      </c>
      <c r="K1841" s="1" t="s">
        <v>8461</v>
      </c>
      <c r="L1841" s="1">
        <v>3</v>
      </c>
      <c r="M1841" s="1">
        <v>43</v>
      </c>
      <c r="N1841" s="1" t="s">
        <v>54</v>
      </c>
      <c r="O1841" s="1" t="s">
        <v>55</v>
      </c>
      <c r="P1841" s="1" t="s">
        <v>56</v>
      </c>
      <c r="Q1841" s="1" t="s">
        <v>69</v>
      </c>
      <c r="R1841" s="1">
        <v>1271.1600000000001</v>
      </c>
      <c r="S1841" s="1" t="s">
        <v>46</v>
      </c>
      <c r="T1841" s="1" t="s">
        <v>34</v>
      </c>
      <c r="U1841" s="1" t="s">
        <v>35</v>
      </c>
      <c r="V1841" s="1" t="s">
        <v>36</v>
      </c>
    </row>
    <row r="1842" spans="1:22" x14ac:dyDescent="0.3">
      <c r="A1842" s="1" t="s">
        <v>8462</v>
      </c>
      <c r="B1842" s="1" t="s">
        <v>8463</v>
      </c>
      <c r="C1842" s="1">
        <v>31</v>
      </c>
      <c r="D1842" s="1" t="s">
        <v>8464</v>
      </c>
      <c r="E1842" s="1" t="s">
        <v>40</v>
      </c>
      <c r="F1842" s="1" t="s">
        <v>3749</v>
      </c>
      <c r="G1842" s="1" t="s">
        <v>1775</v>
      </c>
      <c r="H1842" s="1">
        <v>3</v>
      </c>
      <c r="I1842" s="1" t="s">
        <v>52</v>
      </c>
      <c r="J1842" s="2">
        <v>44968</v>
      </c>
      <c r="K1842" s="1" t="s">
        <v>8465</v>
      </c>
      <c r="L1842" s="1">
        <v>7</v>
      </c>
      <c r="M1842" s="1">
        <v>33</v>
      </c>
      <c r="N1842" s="1" t="s">
        <v>68</v>
      </c>
      <c r="O1842" s="1" t="s">
        <v>366</v>
      </c>
      <c r="P1842" s="1" t="s">
        <v>54</v>
      </c>
      <c r="Q1842" s="1" t="s">
        <v>69</v>
      </c>
      <c r="R1842" s="1">
        <v>507.08</v>
      </c>
      <c r="S1842" s="1" t="s">
        <v>46</v>
      </c>
      <c r="T1842" s="1" t="s">
        <v>57</v>
      </c>
      <c r="U1842" s="1" t="s">
        <v>35</v>
      </c>
      <c r="V1842" s="1" t="s">
        <v>36</v>
      </c>
    </row>
    <row r="1843" spans="1:22" x14ac:dyDescent="0.3">
      <c r="A1843" s="1" t="s">
        <v>8466</v>
      </c>
      <c r="B1843" s="1" t="s">
        <v>8467</v>
      </c>
      <c r="C1843" s="1">
        <v>58</v>
      </c>
      <c r="D1843" s="1" t="s">
        <v>8468</v>
      </c>
      <c r="E1843" s="1" t="s">
        <v>40</v>
      </c>
      <c r="F1843" s="2">
        <v>44744</v>
      </c>
      <c r="G1843" s="2">
        <v>44897</v>
      </c>
      <c r="H1843" s="1">
        <v>2</v>
      </c>
      <c r="I1843" s="1" t="s">
        <v>64</v>
      </c>
      <c r="J1843" s="1" t="s">
        <v>4456</v>
      </c>
      <c r="K1843" s="1" t="s">
        <v>8469</v>
      </c>
      <c r="L1843" s="1">
        <v>4</v>
      </c>
      <c r="M1843" s="1">
        <v>36</v>
      </c>
      <c r="N1843" s="1" t="s">
        <v>56</v>
      </c>
      <c r="O1843" s="1" t="s">
        <v>366</v>
      </c>
      <c r="P1843" s="1" t="s">
        <v>54</v>
      </c>
      <c r="Q1843" s="1" t="s">
        <v>32</v>
      </c>
      <c r="R1843" s="1">
        <v>625.76</v>
      </c>
      <c r="S1843" s="1" t="s">
        <v>46</v>
      </c>
      <c r="T1843" s="1" t="s">
        <v>47</v>
      </c>
      <c r="U1843" s="1" t="s">
        <v>35</v>
      </c>
      <c r="V1843" s="1" t="s">
        <v>71</v>
      </c>
    </row>
    <row r="1844" spans="1:22" x14ac:dyDescent="0.3">
      <c r="A1844" s="1" t="s">
        <v>8470</v>
      </c>
      <c r="B1844" s="1" t="s">
        <v>8471</v>
      </c>
      <c r="C1844" s="1">
        <v>34</v>
      </c>
      <c r="D1844" s="1" t="s">
        <v>8472</v>
      </c>
      <c r="E1844" s="1" t="s">
        <v>25</v>
      </c>
      <c r="F1844" s="2">
        <v>44203</v>
      </c>
      <c r="G1844" s="1" t="s">
        <v>2066</v>
      </c>
      <c r="H1844" s="1">
        <v>3</v>
      </c>
      <c r="I1844" s="1" t="s">
        <v>27</v>
      </c>
      <c r="J1844" s="1" t="s">
        <v>1988</v>
      </c>
      <c r="K1844" s="1" t="s">
        <v>8473</v>
      </c>
      <c r="L1844" s="1">
        <v>6</v>
      </c>
      <c r="M1844" s="1">
        <v>7</v>
      </c>
      <c r="N1844" s="1" t="s">
        <v>68</v>
      </c>
      <c r="O1844" s="1" t="s">
        <v>418</v>
      </c>
      <c r="P1844" s="1" t="s">
        <v>56</v>
      </c>
      <c r="Q1844" s="1" t="s">
        <v>69</v>
      </c>
      <c r="R1844" s="1">
        <v>948.48</v>
      </c>
      <c r="S1844" s="1" t="s">
        <v>46</v>
      </c>
      <c r="T1844" s="1" t="s">
        <v>57</v>
      </c>
      <c r="U1844" s="1" t="s">
        <v>35</v>
      </c>
      <c r="V1844" s="1" t="s">
        <v>36</v>
      </c>
    </row>
    <row r="1845" spans="1:22" x14ac:dyDescent="0.3">
      <c r="A1845" s="1" t="s">
        <v>8474</v>
      </c>
      <c r="B1845" s="1" t="s">
        <v>8475</v>
      </c>
      <c r="C1845" s="1">
        <v>26</v>
      </c>
      <c r="D1845" s="1" t="s">
        <v>8476</v>
      </c>
      <c r="E1845" s="1" t="s">
        <v>51</v>
      </c>
      <c r="F1845" s="1" t="s">
        <v>215</v>
      </c>
      <c r="G1845" s="1" t="s">
        <v>4726</v>
      </c>
      <c r="H1845" s="1">
        <v>2</v>
      </c>
      <c r="I1845" s="1" t="s">
        <v>27</v>
      </c>
      <c r="J1845" s="2">
        <v>45272</v>
      </c>
      <c r="K1845" s="1" t="s">
        <v>8477</v>
      </c>
      <c r="L1845" s="1">
        <v>1</v>
      </c>
      <c r="M1845" s="1">
        <v>46</v>
      </c>
      <c r="N1845" s="1" t="s">
        <v>68</v>
      </c>
      <c r="O1845" s="1" t="s">
        <v>109</v>
      </c>
      <c r="P1845" s="1" t="s">
        <v>68</v>
      </c>
      <c r="Q1845" s="1" t="s">
        <v>69</v>
      </c>
      <c r="R1845" s="1">
        <v>644.69000000000005</v>
      </c>
      <c r="S1845" s="1" t="s">
        <v>33</v>
      </c>
      <c r="T1845" s="1" t="s">
        <v>57</v>
      </c>
      <c r="U1845" s="1" t="s">
        <v>35</v>
      </c>
      <c r="V1845" s="1" t="s">
        <v>36</v>
      </c>
    </row>
    <row r="1846" spans="1:22" x14ac:dyDescent="0.3">
      <c r="A1846" s="1" t="s">
        <v>8478</v>
      </c>
      <c r="B1846" s="1" t="s">
        <v>8479</v>
      </c>
      <c r="C1846" s="1">
        <v>43</v>
      </c>
      <c r="D1846" s="1" t="s">
        <v>8480</v>
      </c>
      <c r="E1846" s="1" t="s">
        <v>61</v>
      </c>
      <c r="F1846" s="1" t="s">
        <v>6361</v>
      </c>
      <c r="G1846" s="1" t="s">
        <v>2241</v>
      </c>
      <c r="H1846" s="1">
        <v>4</v>
      </c>
      <c r="I1846" s="1" t="s">
        <v>27</v>
      </c>
      <c r="J1846" s="1" t="s">
        <v>2685</v>
      </c>
      <c r="K1846" s="1" t="s">
        <v>8481</v>
      </c>
      <c r="L1846" s="1">
        <v>3</v>
      </c>
      <c r="M1846" s="1">
        <v>33</v>
      </c>
      <c r="N1846" s="1" t="s">
        <v>56</v>
      </c>
      <c r="O1846" s="1" t="s">
        <v>223</v>
      </c>
      <c r="P1846" s="1" t="s">
        <v>56</v>
      </c>
      <c r="Q1846" s="1" t="s">
        <v>69</v>
      </c>
      <c r="R1846" s="1">
        <v>1710.75</v>
      </c>
      <c r="S1846" s="1" t="s">
        <v>33</v>
      </c>
      <c r="T1846" s="1" t="s">
        <v>34</v>
      </c>
      <c r="U1846" s="1" t="s">
        <v>35</v>
      </c>
      <c r="V1846" s="1" t="s">
        <v>188</v>
      </c>
    </row>
    <row r="1847" spans="1:22" x14ac:dyDescent="0.3">
      <c r="A1847" s="1" t="s">
        <v>8482</v>
      </c>
      <c r="B1847" s="1" t="s">
        <v>8483</v>
      </c>
      <c r="C1847" s="1">
        <v>61</v>
      </c>
      <c r="D1847" s="1" t="s">
        <v>8484</v>
      </c>
      <c r="E1847" s="1" t="s">
        <v>88</v>
      </c>
      <c r="F1847" s="2">
        <v>44236</v>
      </c>
      <c r="G1847" s="1" t="s">
        <v>1420</v>
      </c>
      <c r="H1847" s="1">
        <v>1</v>
      </c>
      <c r="I1847" s="1" t="s">
        <v>27</v>
      </c>
      <c r="J1847" s="1" t="s">
        <v>2517</v>
      </c>
      <c r="K1847" s="1" t="s">
        <v>8485</v>
      </c>
      <c r="L1847" s="1">
        <v>7</v>
      </c>
      <c r="M1847" s="1">
        <v>14</v>
      </c>
      <c r="N1847" s="1" t="s">
        <v>30</v>
      </c>
      <c r="O1847" s="1" t="s">
        <v>169</v>
      </c>
      <c r="P1847" s="1" t="s">
        <v>30</v>
      </c>
      <c r="Q1847" s="1" t="s">
        <v>69</v>
      </c>
      <c r="R1847" s="1">
        <v>1869</v>
      </c>
      <c r="S1847" s="1" t="s">
        <v>33</v>
      </c>
      <c r="T1847" s="1" t="s">
        <v>47</v>
      </c>
      <c r="U1847" s="1" t="s">
        <v>35</v>
      </c>
      <c r="V1847" s="1" t="s">
        <v>36</v>
      </c>
    </row>
    <row r="1848" spans="1:22" x14ac:dyDescent="0.3">
      <c r="A1848" s="1" t="s">
        <v>8486</v>
      </c>
      <c r="B1848" s="1" t="s">
        <v>8487</v>
      </c>
      <c r="C1848" s="1">
        <v>19</v>
      </c>
      <c r="D1848" s="1" t="s">
        <v>8488</v>
      </c>
      <c r="E1848" s="1" t="s">
        <v>40</v>
      </c>
      <c r="F1848" s="2">
        <v>44652</v>
      </c>
      <c r="G1848" s="2">
        <v>45360</v>
      </c>
      <c r="H1848" s="1">
        <v>3</v>
      </c>
      <c r="I1848" s="1" t="s">
        <v>27</v>
      </c>
      <c r="J1848" s="2">
        <v>44876</v>
      </c>
      <c r="K1848" s="1" t="s">
        <v>8489</v>
      </c>
      <c r="L1848" s="1">
        <v>4</v>
      </c>
      <c r="M1848" s="1">
        <v>14</v>
      </c>
      <c r="N1848" s="1" t="s">
        <v>54</v>
      </c>
      <c r="O1848" s="1" t="s">
        <v>157</v>
      </c>
      <c r="P1848" s="1" t="s">
        <v>68</v>
      </c>
      <c r="Q1848" s="1" t="s">
        <v>69</v>
      </c>
      <c r="R1848" s="1">
        <v>553.67999999999995</v>
      </c>
      <c r="S1848" s="1" t="s">
        <v>46</v>
      </c>
      <c r="T1848" s="1" t="s">
        <v>100</v>
      </c>
      <c r="U1848" s="1" t="s">
        <v>35</v>
      </c>
      <c r="V1848" s="1" t="s">
        <v>36</v>
      </c>
    </row>
    <row r="1849" spans="1:22" x14ac:dyDescent="0.3">
      <c r="A1849" s="1" t="s">
        <v>8490</v>
      </c>
      <c r="B1849" s="1" t="s">
        <v>8491</v>
      </c>
      <c r="C1849" s="1">
        <v>47</v>
      </c>
      <c r="D1849" s="1" t="s">
        <v>8492</v>
      </c>
      <c r="E1849" s="1" t="s">
        <v>51</v>
      </c>
      <c r="F1849" s="2">
        <v>44053</v>
      </c>
      <c r="G1849" s="1" t="s">
        <v>1606</v>
      </c>
      <c r="H1849" s="1">
        <v>4</v>
      </c>
      <c r="I1849" s="1" t="s">
        <v>27</v>
      </c>
      <c r="J1849" s="1" t="s">
        <v>712</v>
      </c>
      <c r="K1849" s="1" t="s">
        <v>8493</v>
      </c>
      <c r="L1849" s="1">
        <v>7</v>
      </c>
      <c r="M1849" s="1">
        <v>33</v>
      </c>
      <c r="N1849" s="1" t="s">
        <v>45</v>
      </c>
      <c r="O1849" s="1" t="s">
        <v>67</v>
      </c>
      <c r="P1849" s="1" t="s">
        <v>68</v>
      </c>
      <c r="Q1849" s="1" t="s">
        <v>32</v>
      </c>
      <c r="R1849" s="1">
        <v>502.53</v>
      </c>
      <c r="S1849" s="1" t="s">
        <v>46</v>
      </c>
      <c r="T1849" s="1" t="s">
        <v>34</v>
      </c>
      <c r="U1849" s="1" t="s">
        <v>35</v>
      </c>
      <c r="V1849" s="1" t="s">
        <v>188</v>
      </c>
    </row>
    <row r="1850" spans="1:22" x14ac:dyDescent="0.3">
      <c r="A1850" s="1" t="s">
        <v>8494</v>
      </c>
      <c r="B1850" s="1" t="s">
        <v>8495</v>
      </c>
      <c r="C1850" s="1">
        <v>30</v>
      </c>
      <c r="D1850" s="1" t="s">
        <v>8496</v>
      </c>
      <c r="E1850" s="1" t="s">
        <v>40</v>
      </c>
      <c r="F1850" s="1" t="s">
        <v>2369</v>
      </c>
      <c r="G1850" s="1" t="s">
        <v>872</v>
      </c>
      <c r="H1850" s="1">
        <v>3</v>
      </c>
      <c r="I1850" s="1" t="s">
        <v>27</v>
      </c>
      <c r="J1850" s="2">
        <v>45506</v>
      </c>
      <c r="K1850" s="1" t="s">
        <v>8497</v>
      </c>
      <c r="L1850" s="1">
        <v>4</v>
      </c>
      <c r="M1850" s="1">
        <v>28</v>
      </c>
      <c r="N1850" s="1" t="s">
        <v>54</v>
      </c>
      <c r="O1850" s="1" t="s">
        <v>251</v>
      </c>
      <c r="P1850" s="1" t="s">
        <v>30</v>
      </c>
      <c r="Q1850" s="1" t="s">
        <v>69</v>
      </c>
      <c r="R1850" s="1">
        <v>1909.84</v>
      </c>
      <c r="S1850" s="1" t="s">
        <v>46</v>
      </c>
      <c r="T1850" s="1" t="s">
        <v>57</v>
      </c>
      <c r="U1850" s="1" t="s">
        <v>35</v>
      </c>
      <c r="V1850" s="1" t="s">
        <v>36</v>
      </c>
    </row>
    <row r="1851" spans="1:22" x14ac:dyDescent="0.3">
      <c r="A1851" s="1" t="s">
        <v>8498</v>
      </c>
      <c r="B1851" s="1" t="s">
        <v>8499</v>
      </c>
      <c r="C1851" s="1">
        <v>43</v>
      </c>
      <c r="D1851" s="1" t="s">
        <v>8500</v>
      </c>
      <c r="E1851" s="1" t="s">
        <v>61</v>
      </c>
      <c r="F1851" s="1" t="s">
        <v>1189</v>
      </c>
      <c r="G1851" s="2">
        <v>44813</v>
      </c>
      <c r="H1851" s="1">
        <v>3</v>
      </c>
      <c r="I1851" s="1" t="s">
        <v>27</v>
      </c>
      <c r="J1851" s="2">
        <v>45265</v>
      </c>
      <c r="K1851" s="1" t="s">
        <v>8501</v>
      </c>
      <c r="L1851" s="1">
        <v>1</v>
      </c>
      <c r="M1851" s="1">
        <v>5</v>
      </c>
      <c r="N1851" s="1" t="s">
        <v>56</v>
      </c>
      <c r="O1851" s="1" t="s">
        <v>536</v>
      </c>
      <c r="P1851" s="1" t="s">
        <v>68</v>
      </c>
      <c r="Q1851" s="1" t="s">
        <v>69</v>
      </c>
      <c r="R1851" s="1">
        <v>601.04</v>
      </c>
      <c r="S1851" s="1" t="s">
        <v>46</v>
      </c>
      <c r="T1851" s="1" t="s">
        <v>34</v>
      </c>
      <c r="U1851" s="1" t="s">
        <v>35</v>
      </c>
      <c r="V1851" s="1" t="s">
        <v>36</v>
      </c>
    </row>
    <row r="1852" spans="1:22" x14ac:dyDescent="0.3">
      <c r="A1852" s="1" t="s">
        <v>8502</v>
      </c>
      <c r="B1852" s="1" t="s">
        <v>8503</v>
      </c>
      <c r="C1852" s="1">
        <v>28</v>
      </c>
      <c r="D1852" s="1" t="s">
        <v>8504</v>
      </c>
      <c r="E1852" s="1" t="s">
        <v>95</v>
      </c>
      <c r="F1852" s="2">
        <v>44290</v>
      </c>
      <c r="G1852" s="1" t="s">
        <v>83</v>
      </c>
      <c r="H1852" s="1">
        <v>4</v>
      </c>
      <c r="I1852" s="1" t="s">
        <v>52</v>
      </c>
      <c r="J1852" s="2">
        <v>45903</v>
      </c>
      <c r="K1852" s="1" t="s">
        <v>8505</v>
      </c>
      <c r="L1852" s="1">
        <v>3</v>
      </c>
      <c r="M1852" s="1">
        <v>30</v>
      </c>
      <c r="N1852" s="1" t="s">
        <v>54</v>
      </c>
      <c r="O1852" s="1" t="s">
        <v>597</v>
      </c>
      <c r="P1852" s="1" t="s">
        <v>45</v>
      </c>
      <c r="Q1852" s="1" t="s">
        <v>32</v>
      </c>
      <c r="R1852" s="1">
        <v>1403.13</v>
      </c>
      <c r="S1852" s="1" t="s">
        <v>46</v>
      </c>
      <c r="T1852" s="1" t="s">
        <v>57</v>
      </c>
      <c r="U1852" s="1" t="s">
        <v>35</v>
      </c>
      <c r="V1852" s="1" t="s">
        <v>36</v>
      </c>
    </row>
    <row r="1853" spans="1:22" x14ac:dyDescent="0.3">
      <c r="A1853" s="1" t="s">
        <v>8506</v>
      </c>
      <c r="B1853" s="1" t="s">
        <v>8507</v>
      </c>
      <c r="C1853" s="1">
        <v>47</v>
      </c>
      <c r="D1853" s="1" t="s">
        <v>8508</v>
      </c>
      <c r="E1853" s="1" t="s">
        <v>88</v>
      </c>
      <c r="F1853" s="2">
        <v>44174</v>
      </c>
      <c r="G1853" s="1" t="s">
        <v>4712</v>
      </c>
      <c r="H1853" s="1">
        <v>1</v>
      </c>
      <c r="I1853" s="1" t="s">
        <v>27</v>
      </c>
      <c r="J1853" s="1" t="s">
        <v>1031</v>
      </c>
      <c r="K1853" s="1" t="s">
        <v>8509</v>
      </c>
      <c r="L1853" s="1">
        <v>7</v>
      </c>
      <c r="M1853" s="1">
        <v>36</v>
      </c>
      <c r="N1853" s="1" t="s">
        <v>56</v>
      </c>
      <c r="O1853" s="1" t="s">
        <v>597</v>
      </c>
      <c r="P1853" s="1" t="s">
        <v>45</v>
      </c>
      <c r="Q1853" s="1" t="s">
        <v>69</v>
      </c>
      <c r="R1853" s="1">
        <v>1029.98</v>
      </c>
      <c r="S1853" s="1" t="s">
        <v>46</v>
      </c>
      <c r="T1853" s="1" t="s">
        <v>34</v>
      </c>
      <c r="U1853" s="1" t="s">
        <v>35</v>
      </c>
      <c r="V1853" s="1" t="s">
        <v>36</v>
      </c>
    </row>
    <row r="1854" spans="1:22" x14ac:dyDescent="0.3">
      <c r="A1854" s="1" t="s">
        <v>8510</v>
      </c>
      <c r="B1854" s="1" t="s">
        <v>8511</v>
      </c>
      <c r="C1854" s="1">
        <v>60</v>
      </c>
      <c r="D1854" s="1" t="s">
        <v>8512</v>
      </c>
      <c r="E1854" s="1" t="s">
        <v>40</v>
      </c>
      <c r="F1854" s="1" t="s">
        <v>2201</v>
      </c>
      <c r="G1854" s="1" t="s">
        <v>3899</v>
      </c>
      <c r="H1854" s="1">
        <v>3</v>
      </c>
      <c r="I1854" s="1" t="s">
        <v>52</v>
      </c>
      <c r="J1854" s="1" t="s">
        <v>2441</v>
      </c>
      <c r="K1854" s="1" t="s">
        <v>8513</v>
      </c>
      <c r="L1854" s="1">
        <v>2</v>
      </c>
      <c r="M1854" s="1">
        <v>17</v>
      </c>
      <c r="N1854" s="1" t="s">
        <v>54</v>
      </c>
      <c r="O1854" s="1" t="s">
        <v>536</v>
      </c>
      <c r="P1854" s="1" t="s">
        <v>68</v>
      </c>
      <c r="Q1854" s="1" t="s">
        <v>69</v>
      </c>
      <c r="R1854" s="1">
        <v>566.78</v>
      </c>
      <c r="S1854" s="1" t="s">
        <v>46</v>
      </c>
      <c r="T1854" s="1" t="s">
        <v>47</v>
      </c>
      <c r="U1854" s="1" t="s">
        <v>35</v>
      </c>
      <c r="V1854" s="1" t="s">
        <v>36</v>
      </c>
    </row>
    <row r="1855" spans="1:22" x14ac:dyDescent="0.3">
      <c r="A1855" s="1" t="s">
        <v>8514</v>
      </c>
      <c r="B1855" s="1" t="s">
        <v>8515</v>
      </c>
      <c r="C1855" s="1">
        <v>21</v>
      </c>
      <c r="D1855" s="1" t="s">
        <v>8516</v>
      </c>
      <c r="E1855" s="1" t="s">
        <v>88</v>
      </c>
      <c r="F1855" s="1" t="s">
        <v>584</v>
      </c>
      <c r="G1855" s="1" t="s">
        <v>519</v>
      </c>
      <c r="H1855" s="1">
        <v>1</v>
      </c>
      <c r="I1855" s="1" t="s">
        <v>52</v>
      </c>
      <c r="J1855" s="1" t="s">
        <v>4713</v>
      </c>
      <c r="K1855" s="1" t="s">
        <v>8517</v>
      </c>
      <c r="L1855" s="1">
        <v>2</v>
      </c>
      <c r="M1855" s="1">
        <v>28</v>
      </c>
      <c r="N1855" s="1" t="s">
        <v>54</v>
      </c>
      <c r="O1855" s="1" t="s">
        <v>293</v>
      </c>
      <c r="P1855" s="1" t="s">
        <v>45</v>
      </c>
      <c r="Q1855" s="1" t="s">
        <v>32</v>
      </c>
      <c r="R1855" s="1">
        <v>1487.12</v>
      </c>
      <c r="S1855" s="1" t="s">
        <v>46</v>
      </c>
      <c r="T1855" s="1" t="s">
        <v>100</v>
      </c>
      <c r="U1855" s="1" t="s">
        <v>35</v>
      </c>
      <c r="V1855" s="1" t="s">
        <v>36</v>
      </c>
    </row>
    <row r="1856" spans="1:22" x14ac:dyDescent="0.3">
      <c r="A1856" s="1" t="s">
        <v>8518</v>
      </c>
      <c r="B1856" s="1" t="s">
        <v>8519</v>
      </c>
      <c r="C1856" s="1">
        <v>61</v>
      </c>
      <c r="D1856" s="1" t="s">
        <v>8520</v>
      </c>
      <c r="E1856" s="1" t="s">
        <v>40</v>
      </c>
      <c r="F1856" s="2">
        <v>44204</v>
      </c>
      <c r="G1856" s="1" t="s">
        <v>4967</v>
      </c>
      <c r="H1856" s="1">
        <v>1</v>
      </c>
      <c r="I1856" s="1" t="s">
        <v>27</v>
      </c>
      <c r="J1856" s="2">
        <v>45998</v>
      </c>
      <c r="K1856" s="1" t="s">
        <v>8521</v>
      </c>
      <c r="L1856" s="1">
        <v>8</v>
      </c>
      <c r="M1856" s="1">
        <v>29</v>
      </c>
      <c r="N1856" s="1" t="s">
        <v>68</v>
      </c>
      <c r="O1856" s="1" t="s">
        <v>31</v>
      </c>
      <c r="P1856" s="1" t="s">
        <v>30</v>
      </c>
      <c r="Q1856" s="1" t="s">
        <v>69</v>
      </c>
      <c r="R1856" s="1">
        <v>504.8</v>
      </c>
      <c r="S1856" s="1" t="s">
        <v>46</v>
      </c>
      <c r="T1856" s="1" t="s">
        <v>47</v>
      </c>
      <c r="U1856" s="1" t="s">
        <v>35</v>
      </c>
      <c r="V1856" s="1" t="s">
        <v>36</v>
      </c>
    </row>
    <row r="1857" spans="1:22" x14ac:dyDescent="0.3">
      <c r="A1857" s="1" t="s">
        <v>8522</v>
      </c>
      <c r="B1857" s="1" t="s">
        <v>8523</v>
      </c>
      <c r="C1857" s="1">
        <v>28</v>
      </c>
      <c r="D1857" s="1" t="s">
        <v>8524</v>
      </c>
      <c r="E1857" s="1" t="s">
        <v>95</v>
      </c>
      <c r="F1857" s="1" t="s">
        <v>4949</v>
      </c>
      <c r="G1857" s="1" t="s">
        <v>2800</v>
      </c>
      <c r="H1857" s="1">
        <v>3</v>
      </c>
      <c r="I1857" s="1" t="s">
        <v>64</v>
      </c>
      <c r="J1857" s="1" t="s">
        <v>1716</v>
      </c>
      <c r="K1857" s="1" t="s">
        <v>8525</v>
      </c>
      <c r="L1857" s="1">
        <v>7</v>
      </c>
      <c r="M1857" s="1">
        <v>4</v>
      </c>
      <c r="N1857" s="1" t="s">
        <v>68</v>
      </c>
      <c r="O1857" s="1" t="s">
        <v>67</v>
      </c>
      <c r="P1857" s="1" t="s">
        <v>68</v>
      </c>
      <c r="Q1857" s="1" t="s">
        <v>69</v>
      </c>
      <c r="R1857" s="1">
        <v>1325.31</v>
      </c>
      <c r="S1857" s="1" t="s">
        <v>33</v>
      </c>
      <c r="T1857" s="1" t="s">
        <v>57</v>
      </c>
      <c r="U1857" s="1" t="s">
        <v>35</v>
      </c>
      <c r="V1857" s="1" t="s">
        <v>71</v>
      </c>
    </row>
    <row r="1858" spans="1:22" x14ac:dyDescent="0.3">
      <c r="A1858" s="1" t="s">
        <v>8526</v>
      </c>
      <c r="B1858" s="1" t="s">
        <v>8527</v>
      </c>
      <c r="C1858" s="1">
        <v>65</v>
      </c>
      <c r="D1858" s="1" t="s">
        <v>8528</v>
      </c>
      <c r="E1858" s="1" t="s">
        <v>88</v>
      </c>
      <c r="F1858" s="1" t="s">
        <v>1143</v>
      </c>
      <c r="G1858" s="2">
        <v>45300</v>
      </c>
      <c r="H1858" s="1">
        <v>0</v>
      </c>
      <c r="I1858" s="1" t="s">
        <v>27</v>
      </c>
      <c r="J1858" s="2">
        <v>45049</v>
      </c>
      <c r="K1858" s="1" t="s">
        <v>8529</v>
      </c>
      <c r="L1858" s="1">
        <v>4</v>
      </c>
      <c r="M1858" s="1">
        <v>18</v>
      </c>
      <c r="N1858" s="1" t="s">
        <v>30</v>
      </c>
      <c r="O1858" s="1" t="s">
        <v>238</v>
      </c>
      <c r="P1858" s="1" t="s">
        <v>45</v>
      </c>
      <c r="Q1858" s="1" t="s">
        <v>322</v>
      </c>
      <c r="R1858" s="1">
        <v>1461.2</v>
      </c>
      <c r="S1858" s="1" t="s">
        <v>46</v>
      </c>
      <c r="T1858" s="1" t="s">
        <v>232</v>
      </c>
      <c r="U1858" s="1" t="s">
        <v>35</v>
      </c>
      <c r="V1858" s="1" t="s">
        <v>36</v>
      </c>
    </row>
    <row r="1859" spans="1:22" x14ac:dyDescent="0.3">
      <c r="A1859" s="1" t="s">
        <v>8530</v>
      </c>
      <c r="B1859" s="1" t="s">
        <v>8531</v>
      </c>
      <c r="C1859" s="1">
        <v>61</v>
      </c>
      <c r="D1859" s="1" t="s">
        <v>8532</v>
      </c>
      <c r="E1859" s="1" t="s">
        <v>25</v>
      </c>
      <c r="F1859" s="1" t="s">
        <v>1514</v>
      </c>
      <c r="G1859" s="2">
        <v>45209</v>
      </c>
      <c r="H1859" s="1">
        <v>1</v>
      </c>
      <c r="I1859" s="1" t="s">
        <v>27</v>
      </c>
      <c r="J1859" s="2">
        <v>45454</v>
      </c>
      <c r="K1859" s="1" t="s">
        <v>8533</v>
      </c>
      <c r="L1859" s="1">
        <v>9</v>
      </c>
      <c r="M1859" s="1">
        <v>7</v>
      </c>
      <c r="N1859" s="1" t="s">
        <v>56</v>
      </c>
      <c r="O1859" s="1" t="s">
        <v>175</v>
      </c>
      <c r="P1859" s="1" t="s">
        <v>56</v>
      </c>
      <c r="Q1859" s="1" t="s">
        <v>32</v>
      </c>
      <c r="R1859" s="1">
        <v>404.46</v>
      </c>
      <c r="S1859" s="1" t="s">
        <v>33</v>
      </c>
      <c r="T1859" s="1" t="s">
        <v>47</v>
      </c>
      <c r="U1859" s="1" t="s">
        <v>35</v>
      </c>
      <c r="V1859" s="1" t="s">
        <v>36</v>
      </c>
    </row>
    <row r="1860" spans="1:22" x14ac:dyDescent="0.3">
      <c r="A1860" s="1" t="s">
        <v>8534</v>
      </c>
      <c r="B1860" s="1" t="s">
        <v>8535</v>
      </c>
      <c r="C1860" s="1">
        <v>46</v>
      </c>
      <c r="D1860" s="1" t="s">
        <v>8536</v>
      </c>
      <c r="E1860" s="1" t="s">
        <v>40</v>
      </c>
      <c r="F1860" s="1" t="s">
        <v>4088</v>
      </c>
      <c r="G1860" s="1" t="s">
        <v>2569</v>
      </c>
      <c r="H1860" s="1">
        <v>1</v>
      </c>
      <c r="I1860" s="1" t="s">
        <v>27</v>
      </c>
      <c r="J1860" s="2">
        <v>44929</v>
      </c>
      <c r="K1860" s="1" t="s">
        <v>8537</v>
      </c>
      <c r="L1860" s="1">
        <v>2</v>
      </c>
      <c r="M1860" s="1">
        <v>6</v>
      </c>
      <c r="N1860" s="1" t="s">
        <v>68</v>
      </c>
      <c r="O1860" s="1" t="s">
        <v>135</v>
      </c>
      <c r="P1860" s="1" t="s">
        <v>45</v>
      </c>
      <c r="Q1860" s="1" t="s">
        <v>69</v>
      </c>
      <c r="R1860" s="1">
        <v>1112.8399999999999</v>
      </c>
      <c r="S1860" s="1" t="s">
        <v>46</v>
      </c>
      <c r="T1860" s="1" t="s">
        <v>34</v>
      </c>
      <c r="U1860" s="1" t="s">
        <v>35</v>
      </c>
      <c r="V1860" s="1" t="s">
        <v>36</v>
      </c>
    </row>
    <row r="1861" spans="1:22" x14ac:dyDescent="0.3">
      <c r="A1861" s="1" t="s">
        <v>8538</v>
      </c>
      <c r="B1861" s="1" t="s">
        <v>8539</v>
      </c>
      <c r="C1861" s="1">
        <v>63</v>
      </c>
      <c r="D1861" s="1" t="s">
        <v>8540</v>
      </c>
      <c r="E1861" s="1" t="s">
        <v>40</v>
      </c>
      <c r="F1861" s="1" t="s">
        <v>1408</v>
      </c>
      <c r="G1861" s="1" t="s">
        <v>486</v>
      </c>
      <c r="H1861" s="1">
        <v>2</v>
      </c>
      <c r="I1861" s="1" t="s">
        <v>52</v>
      </c>
      <c r="J1861" s="2">
        <v>45084</v>
      </c>
      <c r="K1861" s="1" t="s">
        <v>8541</v>
      </c>
      <c r="L1861" s="1">
        <v>6</v>
      </c>
      <c r="M1861" s="1">
        <v>40</v>
      </c>
      <c r="N1861" s="1" t="s">
        <v>45</v>
      </c>
      <c r="O1861" s="1" t="s">
        <v>211</v>
      </c>
      <c r="P1861" s="1" t="s">
        <v>68</v>
      </c>
      <c r="Q1861" s="1" t="s">
        <v>69</v>
      </c>
      <c r="R1861" s="1">
        <v>620.52</v>
      </c>
      <c r="S1861" s="1" t="s">
        <v>46</v>
      </c>
      <c r="T1861" s="1" t="s">
        <v>47</v>
      </c>
      <c r="U1861" s="1" t="s">
        <v>35</v>
      </c>
      <c r="V1861" s="1" t="s">
        <v>36</v>
      </c>
    </row>
    <row r="1862" spans="1:22" x14ac:dyDescent="0.3">
      <c r="A1862" s="1" t="s">
        <v>8542</v>
      </c>
      <c r="B1862" s="1" t="s">
        <v>8543</v>
      </c>
      <c r="C1862" s="1">
        <v>35</v>
      </c>
      <c r="D1862" s="1" t="s">
        <v>8544</v>
      </c>
      <c r="E1862" s="1" t="s">
        <v>51</v>
      </c>
      <c r="F1862" s="1" t="s">
        <v>6221</v>
      </c>
      <c r="G1862" s="1" t="s">
        <v>4466</v>
      </c>
      <c r="H1862" s="1">
        <v>0</v>
      </c>
      <c r="I1862" s="1" t="s">
        <v>27</v>
      </c>
      <c r="J1862" s="2">
        <v>45635</v>
      </c>
      <c r="K1862" s="1" t="s">
        <v>8545</v>
      </c>
      <c r="L1862" s="1">
        <v>4</v>
      </c>
      <c r="M1862" s="1">
        <v>25</v>
      </c>
      <c r="N1862" s="1" t="s">
        <v>54</v>
      </c>
      <c r="O1862" s="1" t="s">
        <v>67</v>
      </c>
      <c r="P1862" s="1" t="s">
        <v>68</v>
      </c>
      <c r="Q1862" s="1" t="s">
        <v>322</v>
      </c>
      <c r="R1862" s="1">
        <v>1200.32</v>
      </c>
      <c r="S1862" s="1" t="s">
        <v>46</v>
      </c>
      <c r="T1862" s="1" t="s">
        <v>34</v>
      </c>
      <c r="U1862" s="1" t="s">
        <v>35</v>
      </c>
      <c r="V1862" s="1" t="s">
        <v>36</v>
      </c>
    </row>
    <row r="1863" spans="1:22" x14ac:dyDescent="0.3">
      <c r="A1863" s="1" t="s">
        <v>8546</v>
      </c>
      <c r="B1863" s="1" t="s">
        <v>8547</v>
      </c>
      <c r="C1863" s="1">
        <v>39</v>
      </c>
      <c r="D1863" s="1" t="s">
        <v>8548</v>
      </c>
      <c r="E1863" s="1" t="s">
        <v>40</v>
      </c>
      <c r="F1863" s="2">
        <v>44412</v>
      </c>
      <c r="G1863" s="1" t="s">
        <v>371</v>
      </c>
      <c r="H1863" s="1">
        <v>5</v>
      </c>
      <c r="I1863" s="1" t="s">
        <v>27</v>
      </c>
      <c r="J1863" s="2">
        <v>45637</v>
      </c>
      <c r="K1863" s="1" t="s">
        <v>8549</v>
      </c>
      <c r="L1863" s="1">
        <v>2</v>
      </c>
      <c r="M1863" s="1">
        <v>4</v>
      </c>
      <c r="N1863" s="1" t="s">
        <v>56</v>
      </c>
      <c r="O1863" s="1" t="s">
        <v>175</v>
      </c>
      <c r="P1863" s="1" t="s">
        <v>56</v>
      </c>
      <c r="Q1863" s="1" t="s">
        <v>32</v>
      </c>
      <c r="R1863" s="1">
        <v>235.16</v>
      </c>
      <c r="S1863" s="1" t="s">
        <v>33</v>
      </c>
      <c r="T1863" s="1" t="s">
        <v>34</v>
      </c>
      <c r="U1863" s="1" t="s">
        <v>101</v>
      </c>
      <c r="V1863" s="1" t="s">
        <v>188</v>
      </c>
    </row>
    <row r="1864" spans="1:22" x14ac:dyDescent="0.3">
      <c r="A1864" s="1" t="s">
        <v>8550</v>
      </c>
      <c r="B1864" s="1" t="s">
        <v>8551</v>
      </c>
      <c r="C1864" s="1">
        <v>43</v>
      </c>
      <c r="D1864" s="1" t="s">
        <v>8552</v>
      </c>
      <c r="E1864" s="1" t="s">
        <v>95</v>
      </c>
      <c r="F1864" s="1" t="s">
        <v>5602</v>
      </c>
      <c r="G1864" s="1" t="s">
        <v>6548</v>
      </c>
      <c r="H1864" s="1">
        <v>4</v>
      </c>
      <c r="I1864" s="1" t="s">
        <v>27</v>
      </c>
      <c r="J1864" s="1" t="s">
        <v>1006</v>
      </c>
      <c r="K1864" s="1" t="s">
        <v>8553</v>
      </c>
      <c r="L1864" s="1">
        <v>1</v>
      </c>
      <c r="M1864" s="1">
        <v>8</v>
      </c>
      <c r="N1864" s="1" t="s">
        <v>68</v>
      </c>
      <c r="O1864" s="1" t="s">
        <v>99</v>
      </c>
      <c r="P1864" s="1" t="s">
        <v>56</v>
      </c>
      <c r="Q1864" s="1" t="s">
        <v>69</v>
      </c>
      <c r="R1864" s="1">
        <v>1685.5</v>
      </c>
      <c r="S1864" s="1" t="s">
        <v>46</v>
      </c>
      <c r="T1864" s="1" t="s">
        <v>34</v>
      </c>
      <c r="U1864" s="1" t="s">
        <v>35</v>
      </c>
      <c r="V1864" s="1" t="s">
        <v>188</v>
      </c>
    </row>
    <row r="1865" spans="1:22" x14ac:dyDescent="0.3">
      <c r="A1865" s="1" t="s">
        <v>8554</v>
      </c>
      <c r="B1865" s="1" t="s">
        <v>8555</v>
      </c>
      <c r="C1865" s="1">
        <v>58</v>
      </c>
      <c r="D1865" s="1" t="s">
        <v>8556</v>
      </c>
      <c r="E1865" s="1" t="s">
        <v>88</v>
      </c>
      <c r="F1865" s="1" t="s">
        <v>446</v>
      </c>
      <c r="G1865" s="2">
        <v>44936</v>
      </c>
      <c r="H1865" s="1">
        <v>4</v>
      </c>
      <c r="I1865" s="1" t="s">
        <v>27</v>
      </c>
      <c r="J1865" s="1" t="s">
        <v>762</v>
      </c>
      <c r="K1865" s="1" t="s">
        <v>8557</v>
      </c>
      <c r="L1865" s="1">
        <v>5</v>
      </c>
      <c r="M1865" s="1">
        <v>6</v>
      </c>
      <c r="N1865" s="1" t="s">
        <v>56</v>
      </c>
      <c r="O1865" s="1" t="s">
        <v>373</v>
      </c>
      <c r="P1865" s="1" t="s">
        <v>54</v>
      </c>
      <c r="Q1865" s="1" t="s">
        <v>69</v>
      </c>
      <c r="R1865" s="1">
        <v>1656.9</v>
      </c>
      <c r="S1865" s="1" t="s">
        <v>46</v>
      </c>
      <c r="T1865" s="1" t="s">
        <v>47</v>
      </c>
      <c r="U1865" s="1" t="s">
        <v>35</v>
      </c>
      <c r="V1865" s="1" t="s">
        <v>188</v>
      </c>
    </row>
    <row r="1866" spans="1:22" x14ac:dyDescent="0.3">
      <c r="A1866" s="1" t="s">
        <v>8558</v>
      </c>
      <c r="B1866" s="1" t="s">
        <v>8559</v>
      </c>
      <c r="C1866" s="1">
        <v>21</v>
      </c>
      <c r="D1866" s="1" t="s">
        <v>8560</v>
      </c>
      <c r="E1866" s="1" t="s">
        <v>40</v>
      </c>
      <c r="F1866" s="1" t="s">
        <v>8561</v>
      </c>
      <c r="G1866" s="2">
        <v>45027</v>
      </c>
      <c r="H1866" s="1">
        <v>0</v>
      </c>
      <c r="I1866" s="1" t="s">
        <v>64</v>
      </c>
      <c r="J1866" s="1" t="s">
        <v>3912</v>
      </c>
      <c r="K1866" s="1" t="s">
        <v>8562</v>
      </c>
      <c r="L1866" s="1">
        <v>1</v>
      </c>
      <c r="M1866" s="1">
        <v>41</v>
      </c>
      <c r="N1866" s="1" t="s">
        <v>30</v>
      </c>
      <c r="O1866" s="1" t="s">
        <v>169</v>
      </c>
      <c r="P1866" s="1" t="s">
        <v>30</v>
      </c>
      <c r="Q1866" s="1" t="s">
        <v>32</v>
      </c>
      <c r="R1866" s="1">
        <v>529.98</v>
      </c>
      <c r="S1866" s="1" t="s">
        <v>33</v>
      </c>
      <c r="T1866" s="1" t="s">
        <v>100</v>
      </c>
      <c r="U1866" s="1" t="s">
        <v>35</v>
      </c>
      <c r="V1866" s="1" t="s">
        <v>71</v>
      </c>
    </row>
    <row r="1867" spans="1:22" x14ac:dyDescent="0.3">
      <c r="A1867" s="1" t="s">
        <v>8563</v>
      </c>
      <c r="B1867" s="1" t="s">
        <v>8564</v>
      </c>
      <c r="C1867" s="1">
        <v>46</v>
      </c>
      <c r="D1867" s="1" t="s">
        <v>8565</v>
      </c>
      <c r="E1867" s="1" t="s">
        <v>51</v>
      </c>
      <c r="F1867" s="1" t="s">
        <v>1742</v>
      </c>
      <c r="G1867" s="1" t="s">
        <v>2174</v>
      </c>
      <c r="H1867" s="1">
        <v>5</v>
      </c>
      <c r="I1867" s="1" t="s">
        <v>52</v>
      </c>
      <c r="J1867" s="1" t="s">
        <v>2446</v>
      </c>
      <c r="K1867" s="1" t="s">
        <v>8566</v>
      </c>
      <c r="L1867" s="1">
        <v>3</v>
      </c>
      <c r="M1867" s="1">
        <v>26</v>
      </c>
      <c r="N1867" s="1" t="s">
        <v>56</v>
      </c>
      <c r="O1867" s="1" t="s">
        <v>199</v>
      </c>
      <c r="P1867" s="1" t="s">
        <v>54</v>
      </c>
      <c r="Q1867" s="1" t="s">
        <v>69</v>
      </c>
      <c r="R1867" s="1">
        <v>1927.23</v>
      </c>
      <c r="S1867" s="1" t="s">
        <v>46</v>
      </c>
      <c r="T1867" s="1" t="s">
        <v>34</v>
      </c>
      <c r="U1867" s="1" t="s">
        <v>35</v>
      </c>
      <c r="V1867" s="1" t="s">
        <v>36</v>
      </c>
    </row>
    <row r="1868" spans="1:22" x14ac:dyDescent="0.3">
      <c r="A1868" s="1" t="s">
        <v>8567</v>
      </c>
      <c r="B1868" s="1" t="s">
        <v>8568</v>
      </c>
      <c r="C1868" s="1">
        <v>67</v>
      </c>
      <c r="D1868" s="1" t="s">
        <v>8569</v>
      </c>
      <c r="E1868" s="1" t="s">
        <v>25</v>
      </c>
      <c r="F1868" s="1" t="s">
        <v>4698</v>
      </c>
      <c r="G1868" s="1" t="s">
        <v>2421</v>
      </c>
      <c r="H1868" s="1">
        <v>3</v>
      </c>
      <c r="I1868" s="1" t="s">
        <v>27</v>
      </c>
      <c r="J1868" s="1" t="s">
        <v>7277</v>
      </c>
      <c r="K1868" s="1" t="s">
        <v>8570</v>
      </c>
      <c r="L1868" s="1">
        <v>9</v>
      </c>
      <c r="M1868" s="1">
        <v>38</v>
      </c>
      <c r="N1868" s="1" t="s">
        <v>54</v>
      </c>
      <c r="O1868" s="1" t="s">
        <v>821</v>
      </c>
      <c r="P1868" s="1" t="s">
        <v>68</v>
      </c>
      <c r="Q1868" s="1" t="s">
        <v>32</v>
      </c>
      <c r="R1868" s="1">
        <v>1068.1199999999999</v>
      </c>
      <c r="S1868" s="1" t="s">
        <v>46</v>
      </c>
      <c r="T1868" s="1" t="s">
        <v>232</v>
      </c>
      <c r="U1868" s="1" t="s">
        <v>35</v>
      </c>
      <c r="V1868" s="1" t="s">
        <v>36</v>
      </c>
    </row>
    <row r="1869" spans="1:22" x14ac:dyDescent="0.3">
      <c r="A1869" s="1" t="s">
        <v>8571</v>
      </c>
      <c r="B1869" s="1" t="s">
        <v>8572</v>
      </c>
      <c r="C1869" s="1">
        <v>24</v>
      </c>
      <c r="D1869" s="1" t="s">
        <v>8573</v>
      </c>
      <c r="E1869" s="1" t="s">
        <v>25</v>
      </c>
      <c r="F1869" s="1" t="s">
        <v>4603</v>
      </c>
      <c r="G1869" s="1" t="s">
        <v>6413</v>
      </c>
      <c r="H1869" s="1">
        <v>2</v>
      </c>
      <c r="I1869" s="1" t="s">
        <v>52</v>
      </c>
      <c r="J1869" s="2">
        <v>45086</v>
      </c>
      <c r="K1869" s="1" t="s">
        <v>8574</v>
      </c>
      <c r="L1869" s="1">
        <v>1</v>
      </c>
      <c r="M1869" s="1">
        <v>40</v>
      </c>
      <c r="N1869" s="1" t="s">
        <v>56</v>
      </c>
      <c r="O1869" s="1" t="s">
        <v>157</v>
      </c>
      <c r="P1869" s="1" t="s">
        <v>68</v>
      </c>
      <c r="Q1869" s="1" t="s">
        <v>32</v>
      </c>
      <c r="R1869" s="1">
        <v>570.80999999999995</v>
      </c>
      <c r="S1869" s="1" t="s">
        <v>46</v>
      </c>
      <c r="T1869" s="1" t="s">
        <v>100</v>
      </c>
      <c r="U1869" s="1" t="s">
        <v>35</v>
      </c>
      <c r="V1869" s="1" t="s">
        <v>36</v>
      </c>
    </row>
    <row r="1870" spans="1:22" x14ac:dyDescent="0.3">
      <c r="A1870" s="1" t="s">
        <v>8575</v>
      </c>
      <c r="B1870" s="1" t="s">
        <v>8576</v>
      </c>
      <c r="C1870" s="1">
        <v>28</v>
      </c>
      <c r="D1870" s="1" t="s">
        <v>8577</v>
      </c>
      <c r="E1870" s="1" t="s">
        <v>25</v>
      </c>
      <c r="F1870" s="2">
        <v>44085</v>
      </c>
      <c r="G1870" s="1" t="s">
        <v>4088</v>
      </c>
      <c r="H1870" s="1">
        <v>0</v>
      </c>
      <c r="I1870" s="1" t="s">
        <v>27</v>
      </c>
      <c r="J1870" s="1" t="s">
        <v>1924</v>
      </c>
      <c r="K1870" s="1" t="s">
        <v>8578</v>
      </c>
      <c r="L1870" s="1">
        <v>3</v>
      </c>
      <c r="M1870" s="1">
        <v>42</v>
      </c>
      <c r="N1870" s="1" t="s">
        <v>54</v>
      </c>
      <c r="O1870" s="1" t="s">
        <v>99</v>
      </c>
      <c r="P1870" s="1" t="s">
        <v>56</v>
      </c>
      <c r="Q1870" s="1" t="s">
        <v>32</v>
      </c>
      <c r="R1870" s="1">
        <v>1232.01</v>
      </c>
      <c r="S1870" s="1" t="s">
        <v>46</v>
      </c>
      <c r="T1870" s="1" t="s">
        <v>57</v>
      </c>
      <c r="U1870" s="1" t="s">
        <v>35</v>
      </c>
      <c r="V1870" s="1" t="s">
        <v>36</v>
      </c>
    </row>
    <row r="1871" spans="1:22" x14ac:dyDescent="0.3">
      <c r="A1871" s="1" t="s">
        <v>8579</v>
      </c>
      <c r="B1871" s="1" t="s">
        <v>8580</v>
      </c>
      <c r="C1871" s="1">
        <v>68</v>
      </c>
      <c r="D1871" s="1" t="s">
        <v>8581</v>
      </c>
      <c r="E1871" s="1" t="s">
        <v>95</v>
      </c>
      <c r="F1871" s="2">
        <v>44508</v>
      </c>
      <c r="G1871" s="1" t="s">
        <v>220</v>
      </c>
      <c r="H1871" s="1">
        <v>1</v>
      </c>
      <c r="I1871" s="1" t="s">
        <v>27</v>
      </c>
      <c r="J1871" s="1" t="s">
        <v>6841</v>
      </c>
      <c r="K1871" s="1" t="s">
        <v>8582</v>
      </c>
      <c r="L1871" s="1">
        <v>8</v>
      </c>
      <c r="M1871" s="1">
        <v>14</v>
      </c>
      <c r="N1871" s="1" t="s">
        <v>30</v>
      </c>
      <c r="O1871" s="1" t="s">
        <v>116</v>
      </c>
      <c r="P1871" s="1" t="s">
        <v>54</v>
      </c>
      <c r="Q1871" s="1" t="s">
        <v>69</v>
      </c>
      <c r="R1871" s="1">
        <v>175.2</v>
      </c>
      <c r="S1871" s="1" t="s">
        <v>46</v>
      </c>
      <c r="T1871" s="1" t="s">
        <v>232</v>
      </c>
      <c r="U1871" s="1" t="s">
        <v>101</v>
      </c>
      <c r="V1871" s="1" t="s">
        <v>36</v>
      </c>
    </row>
    <row r="1872" spans="1:22" x14ac:dyDescent="0.3">
      <c r="A1872" s="1" t="s">
        <v>8583</v>
      </c>
      <c r="B1872" s="1" t="s">
        <v>8584</v>
      </c>
      <c r="C1872" s="1">
        <v>26</v>
      </c>
      <c r="D1872" s="1" t="s">
        <v>8585</v>
      </c>
      <c r="E1872" s="1" t="s">
        <v>95</v>
      </c>
      <c r="F1872" s="1" t="s">
        <v>8586</v>
      </c>
      <c r="G1872" s="2">
        <v>45810</v>
      </c>
      <c r="H1872" s="1">
        <v>2</v>
      </c>
      <c r="I1872" s="1" t="s">
        <v>52</v>
      </c>
      <c r="J1872" s="2">
        <v>45454</v>
      </c>
      <c r="K1872" s="1" t="s">
        <v>8587</v>
      </c>
      <c r="L1872" s="1">
        <v>8</v>
      </c>
      <c r="M1872" s="1">
        <v>44</v>
      </c>
      <c r="N1872" s="1" t="s">
        <v>45</v>
      </c>
      <c r="O1872" s="1" t="s">
        <v>128</v>
      </c>
      <c r="P1872" s="1" t="s">
        <v>54</v>
      </c>
      <c r="Q1872" s="1" t="s">
        <v>32</v>
      </c>
      <c r="R1872" s="1">
        <v>1919.04</v>
      </c>
      <c r="S1872" s="1" t="s">
        <v>46</v>
      </c>
      <c r="T1872" s="1" t="s">
        <v>57</v>
      </c>
      <c r="U1872" s="1" t="s">
        <v>35</v>
      </c>
      <c r="V1872" s="1" t="s">
        <v>36</v>
      </c>
    </row>
    <row r="1873" spans="1:22" x14ac:dyDescent="0.3">
      <c r="A1873" s="1" t="s">
        <v>8588</v>
      </c>
      <c r="B1873" s="1" t="s">
        <v>8589</v>
      </c>
      <c r="C1873" s="1">
        <v>27</v>
      </c>
      <c r="D1873" s="1" t="s">
        <v>8590</v>
      </c>
      <c r="E1873" s="1" t="s">
        <v>51</v>
      </c>
      <c r="F1873" s="2">
        <v>45174</v>
      </c>
      <c r="G1873" s="2">
        <v>45876</v>
      </c>
      <c r="H1873" s="1">
        <v>1</v>
      </c>
      <c r="I1873" s="1" t="s">
        <v>52</v>
      </c>
      <c r="J1873" s="1" t="s">
        <v>2486</v>
      </c>
      <c r="K1873" s="1" t="s">
        <v>8591</v>
      </c>
      <c r="L1873" s="1">
        <v>1</v>
      </c>
      <c r="M1873" s="1">
        <v>16</v>
      </c>
      <c r="N1873" s="1" t="s">
        <v>54</v>
      </c>
      <c r="O1873" s="1" t="s">
        <v>122</v>
      </c>
      <c r="P1873" s="1" t="s">
        <v>30</v>
      </c>
      <c r="Q1873" s="1" t="s">
        <v>69</v>
      </c>
      <c r="R1873" s="1">
        <v>1761.57</v>
      </c>
      <c r="S1873" s="1" t="s">
        <v>46</v>
      </c>
      <c r="T1873" s="1" t="s">
        <v>57</v>
      </c>
      <c r="U1873" s="1" t="s">
        <v>35</v>
      </c>
      <c r="V1873" s="1" t="s">
        <v>36</v>
      </c>
    </row>
    <row r="1874" spans="1:22" x14ac:dyDescent="0.3">
      <c r="A1874" s="1" t="s">
        <v>8592</v>
      </c>
      <c r="B1874" s="1" t="s">
        <v>8593</v>
      </c>
      <c r="C1874" s="1">
        <v>48</v>
      </c>
      <c r="D1874" s="1" t="s">
        <v>8594</v>
      </c>
      <c r="E1874" s="1" t="s">
        <v>40</v>
      </c>
      <c r="F1874" s="2">
        <v>44206</v>
      </c>
      <c r="G1874" s="1" t="s">
        <v>4760</v>
      </c>
      <c r="H1874" s="1">
        <v>5</v>
      </c>
      <c r="I1874" s="1" t="s">
        <v>27</v>
      </c>
      <c r="J1874" s="1" t="s">
        <v>83</v>
      </c>
      <c r="K1874" s="1" t="s">
        <v>8595</v>
      </c>
      <c r="L1874" s="1">
        <v>1</v>
      </c>
      <c r="M1874" s="1">
        <v>40</v>
      </c>
      <c r="N1874" s="1" t="s">
        <v>56</v>
      </c>
      <c r="O1874" s="1" t="s">
        <v>624</v>
      </c>
      <c r="P1874" s="1" t="s">
        <v>30</v>
      </c>
      <c r="Q1874" s="1" t="s">
        <v>69</v>
      </c>
      <c r="R1874" s="1">
        <v>1081.8</v>
      </c>
      <c r="S1874" s="1" t="s">
        <v>46</v>
      </c>
      <c r="T1874" s="1" t="s">
        <v>34</v>
      </c>
      <c r="U1874" s="1" t="s">
        <v>35</v>
      </c>
      <c r="V1874" s="1" t="s">
        <v>188</v>
      </c>
    </row>
    <row r="1875" spans="1:22" x14ac:dyDescent="0.3">
      <c r="A1875" s="1" t="s">
        <v>8596</v>
      </c>
      <c r="B1875" s="1" t="s">
        <v>8597</v>
      </c>
      <c r="C1875" s="1">
        <v>37</v>
      </c>
      <c r="D1875" s="1" t="s">
        <v>8598</v>
      </c>
      <c r="E1875" s="1" t="s">
        <v>88</v>
      </c>
      <c r="F1875" s="2">
        <v>44627</v>
      </c>
      <c r="G1875" s="2">
        <v>45089</v>
      </c>
      <c r="H1875" s="1">
        <v>3</v>
      </c>
      <c r="I1875" s="1" t="s">
        <v>27</v>
      </c>
      <c r="J1875" s="1" t="s">
        <v>1572</v>
      </c>
      <c r="K1875" s="1" t="s">
        <v>8599</v>
      </c>
      <c r="L1875" s="1">
        <v>5</v>
      </c>
      <c r="M1875" s="1">
        <v>42</v>
      </c>
      <c r="N1875" s="1" t="s">
        <v>30</v>
      </c>
      <c r="O1875" s="1" t="s">
        <v>169</v>
      </c>
      <c r="P1875" s="1" t="s">
        <v>30</v>
      </c>
      <c r="Q1875" s="1" t="s">
        <v>69</v>
      </c>
      <c r="R1875" s="1">
        <v>762.45</v>
      </c>
      <c r="S1875" s="1" t="s">
        <v>33</v>
      </c>
      <c r="T1875" s="1" t="s">
        <v>34</v>
      </c>
      <c r="U1875" s="1" t="s">
        <v>35</v>
      </c>
      <c r="V1875" s="1" t="s">
        <v>36</v>
      </c>
    </row>
    <row r="1876" spans="1:22" x14ac:dyDescent="0.3">
      <c r="A1876" s="1" t="s">
        <v>8600</v>
      </c>
      <c r="B1876" s="1" t="s">
        <v>8601</v>
      </c>
      <c r="C1876" s="1">
        <v>50</v>
      </c>
      <c r="D1876" s="1" t="s">
        <v>8602</v>
      </c>
      <c r="E1876" s="1" t="s">
        <v>61</v>
      </c>
      <c r="F1876" s="1" t="s">
        <v>8603</v>
      </c>
      <c r="G1876" s="1" t="s">
        <v>545</v>
      </c>
      <c r="H1876" s="1">
        <v>0</v>
      </c>
      <c r="I1876" s="1" t="s">
        <v>52</v>
      </c>
      <c r="J1876" s="2">
        <v>45784</v>
      </c>
      <c r="K1876" s="1" t="s">
        <v>8604</v>
      </c>
      <c r="L1876" s="1">
        <v>1</v>
      </c>
      <c r="M1876" s="1">
        <v>30</v>
      </c>
      <c r="N1876" s="1" t="s">
        <v>54</v>
      </c>
      <c r="O1876" s="1" t="s">
        <v>837</v>
      </c>
      <c r="P1876" s="1" t="s">
        <v>56</v>
      </c>
      <c r="Q1876" s="1" t="s">
        <v>69</v>
      </c>
      <c r="R1876" s="1">
        <v>1955.81</v>
      </c>
      <c r="S1876" s="1" t="s">
        <v>46</v>
      </c>
      <c r="T1876" s="1" t="s">
        <v>47</v>
      </c>
      <c r="U1876" s="1" t="s">
        <v>35</v>
      </c>
      <c r="V1876" s="1" t="s">
        <v>36</v>
      </c>
    </row>
    <row r="1877" spans="1:22" x14ac:dyDescent="0.3">
      <c r="A1877" s="1" t="s">
        <v>8605</v>
      </c>
      <c r="B1877" s="1" t="s">
        <v>8606</v>
      </c>
      <c r="C1877" s="1">
        <v>44</v>
      </c>
      <c r="D1877" s="1" t="s">
        <v>8607</v>
      </c>
      <c r="E1877" s="1" t="s">
        <v>25</v>
      </c>
      <c r="F1877" s="1" t="s">
        <v>4164</v>
      </c>
      <c r="G1877" s="2">
        <v>44085</v>
      </c>
      <c r="H1877" s="1">
        <v>2</v>
      </c>
      <c r="I1877" s="1" t="s">
        <v>27</v>
      </c>
      <c r="J1877" s="2">
        <v>45181</v>
      </c>
      <c r="K1877" s="1" t="s">
        <v>8608</v>
      </c>
      <c r="L1877" s="1">
        <v>7</v>
      </c>
      <c r="M1877" s="1">
        <v>11</v>
      </c>
      <c r="N1877" s="1" t="s">
        <v>45</v>
      </c>
      <c r="O1877" s="1" t="s">
        <v>366</v>
      </c>
      <c r="P1877" s="1" t="s">
        <v>54</v>
      </c>
      <c r="Q1877" s="1" t="s">
        <v>69</v>
      </c>
      <c r="R1877" s="1">
        <v>647.5</v>
      </c>
      <c r="S1877" s="1" t="s">
        <v>46</v>
      </c>
      <c r="T1877" s="1" t="s">
        <v>34</v>
      </c>
      <c r="U1877" s="1" t="s">
        <v>35</v>
      </c>
      <c r="V1877" s="1" t="s">
        <v>36</v>
      </c>
    </row>
    <row r="1878" spans="1:22" x14ac:dyDescent="0.3">
      <c r="A1878" s="1" t="s">
        <v>8609</v>
      </c>
      <c r="B1878" s="1" t="s">
        <v>8610</v>
      </c>
      <c r="C1878" s="1">
        <v>41</v>
      </c>
      <c r="D1878" s="1" t="s">
        <v>8611</v>
      </c>
      <c r="E1878" s="1" t="s">
        <v>25</v>
      </c>
      <c r="F1878" s="1" t="s">
        <v>1982</v>
      </c>
      <c r="G1878" s="1" t="s">
        <v>3238</v>
      </c>
      <c r="H1878" s="1">
        <v>1</v>
      </c>
      <c r="I1878" s="1" t="s">
        <v>64</v>
      </c>
      <c r="J1878" s="2">
        <v>44988</v>
      </c>
      <c r="K1878" s="1" t="s">
        <v>8612</v>
      </c>
      <c r="L1878" s="1">
        <v>3</v>
      </c>
      <c r="M1878" s="1">
        <v>17</v>
      </c>
      <c r="N1878" s="1" t="s">
        <v>54</v>
      </c>
      <c r="O1878" s="1" t="s">
        <v>604</v>
      </c>
      <c r="P1878" s="1" t="s">
        <v>45</v>
      </c>
      <c r="Q1878" s="1" t="s">
        <v>32</v>
      </c>
      <c r="R1878" s="1">
        <v>621.03</v>
      </c>
      <c r="S1878" s="1" t="s">
        <v>46</v>
      </c>
      <c r="T1878" s="1" t="s">
        <v>34</v>
      </c>
      <c r="U1878" s="1" t="s">
        <v>35</v>
      </c>
      <c r="V1878" s="1" t="s">
        <v>71</v>
      </c>
    </row>
    <row r="1879" spans="1:22" x14ac:dyDescent="0.3">
      <c r="A1879" s="1" t="s">
        <v>8613</v>
      </c>
      <c r="B1879" s="1" t="s">
        <v>8614</v>
      </c>
      <c r="C1879" s="1">
        <v>66</v>
      </c>
      <c r="D1879" s="1" t="s">
        <v>8615</v>
      </c>
      <c r="E1879" s="1" t="s">
        <v>88</v>
      </c>
      <c r="F1879" s="1" t="s">
        <v>5670</v>
      </c>
      <c r="G1879" s="1" t="s">
        <v>790</v>
      </c>
      <c r="H1879" s="1">
        <v>2</v>
      </c>
      <c r="I1879" s="1" t="s">
        <v>64</v>
      </c>
      <c r="J1879" s="1" t="s">
        <v>2758</v>
      </c>
      <c r="K1879" s="1" t="s">
        <v>8616</v>
      </c>
      <c r="L1879" s="1">
        <v>8</v>
      </c>
      <c r="M1879" s="1">
        <v>48</v>
      </c>
      <c r="N1879" s="1" t="s">
        <v>56</v>
      </c>
      <c r="O1879" s="1" t="s">
        <v>142</v>
      </c>
      <c r="P1879" s="1" t="s">
        <v>68</v>
      </c>
      <c r="Q1879" s="1" t="s">
        <v>322</v>
      </c>
      <c r="R1879" s="1">
        <v>409.68</v>
      </c>
      <c r="S1879" s="1" t="s">
        <v>46</v>
      </c>
      <c r="T1879" s="1" t="s">
        <v>232</v>
      </c>
      <c r="U1879" s="1" t="s">
        <v>35</v>
      </c>
      <c r="V1879" s="1" t="s">
        <v>71</v>
      </c>
    </row>
    <row r="1880" spans="1:22" x14ac:dyDescent="0.3">
      <c r="A1880" s="1" t="s">
        <v>8617</v>
      </c>
      <c r="B1880" s="1" t="s">
        <v>8618</v>
      </c>
      <c r="C1880" s="1">
        <v>30</v>
      </c>
      <c r="D1880" s="1" t="s">
        <v>8619</v>
      </c>
      <c r="E1880" s="1" t="s">
        <v>95</v>
      </c>
      <c r="F1880" s="1" t="s">
        <v>8620</v>
      </c>
      <c r="G1880" s="1" t="s">
        <v>659</v>
      </c>
      <c r="H1880" s="1">
        <v>5</v>
      </c>
      <c r="I1880" s="1" t="s">
        <v>27</v>
      </c>
      <c r="J1880" s="1" t="s">
        <v>1190</v>
      </c>
      <c r="K1880" s="1" t="s">
        <v>8621</v>
      </c>
      <c r="L1880" s="1">
        <v>1</v>
      </c>
      <c r="M1880" s="1">
        <v>46</v>
      </c>
      <c r="N1880" s="1" t="s">
        <v>54</v>
      </c>
      <c r="O1880" s="1" t="s">
        <v>366</v>
      </c>
      <c r="P1880" s="1" t="s">
        <v>54</v>
      </c>
      <c r="Q1880" s="1" t="s">
        <v>69</v>
      </c>
      <c r="R1880" s="1">
        <v>1358.08</v>
      </c>
      <c r="S1880" s="1" t="s">
        <v>33</v>
      </c>
      <c r="T1880" s="1" t="s">
        <v>57</v>
      </c>
      <c r="U1880" s="1" t="s">
        <v>35</v>
      </c>
      <c r="V1880" s="1" t="s">
        <v>188</v>
      </c>
    </row>
    <row r="1881" spans="1:22" x14ac:dyDescent="0.3">
      <c r="A1881" s="1" t="s">
        <v>8622</v>
      </c>
      <c r="B1881" s="1" t="s">
        <v>8623</v>
      </c>
      <c r="C1881" s="1">
        <v>46</v>
      </c>
      <c r="D1881" s="1" t="s">
        <v>8624</v>
      </c>
      <c r="E1881" s="1" t="s">
        <v>51</v>
      </c>
      <c r="F1881" s="1" t="s">
        <v>1774</v>
      </c>
      <c r="G1881" s="1" t="s">
        <v>3690</v>
      </c>
      <c r="H1881" s="1">
        <v>1</v>
      </c>
      <c r="I1881" s="1" t="s">
        <v>27</v>
      </c>
      <c r="J1881" s="1" t="s">
        <v>3495</v>
      </c>
      <c r="K1881" s="1" t="s">
        <v>8625</v>
      </c>
      <c r="L1881" s="1">
        <v>2</v>
      </c>
      <c r="M1881" s="1">
        <v>21</v>
      </c>
      <c r="N1881" s="1" t="s">
        <v>45</v>
      </c>
      <c r="O1881" s="1" t="s">
        <v>211</v>
      </c>
      <c r="P1881" s="1" t="s">
        <v>68</v>
      </c>
      <c r="Q1881" s="1" t="s">
        <v>32</v>
      </c>
      <c r="R1881" s="1">
        <v>840.7</v>
      </c>
      <c r="S1881" s="1" t="s">
        <v>46</v>
      </c>
      <c r="T1881" s="1" t="s">
        <v>34</v>
      </c>
      <c r="U1881" s="1" t="s">
        <v>35</v>
      </c>
      <c r="V1881" s="1" t="s">
        <v>36</v>
      </c>
    </row>
    <row r="1882" spans="1:22" x14ac:dyDescent="0.3">
      <c r="A1882" s="1" t="s">
        <v>8626</v>
      </c>
      <c r="B1882" s="1" t="s">
        <v>8627</v>
      </c>
      <c r="C1882" s="1">
        <v>51</v>
      </c>
      <c r="D1882" s="1" t="s">
        <v>8628</v>
      </c>
      <c r="E1882" s="1" t="s">
        <v>61</v>
      </c>
      <c r="F1882" s="1" t="s">
        <v>4221</v>
      </c>
      <c r="G1882" s="2">
        <v>45602</v>
      </c>
      <c r="H1882" s="1">
        <v>1</v>
      </c>
      <c r="I1882" s="1" t="s">
        <v>52</v>
      </c>
      <c r="J1882" s="2">
        <v>44603</v>
      </c>
      <c r="K1882" s="1" t="s">
        <v>8629</v>
      </c>
      <c r="L1882" s="1">
        <v>3</v>
      </c>
      <c r="M1882" s="1">
        <v>43</v>
      </c>
      <c r="N1882" s="1" t="s">
        <v>68</v>
      </c>
      <c r="O1882" s="1" t="s">
        <v>624</v>
      </c>
      <c r="P1882" s="1" t="s">
        <v>30</v>
      </c>
      <c r="Q1882" s="1" t="s">
        <v>69</v>
      </c>
      <c r="R1882" s="1">
        <v>1255.5899999999999</v>
      </c>
      <c r="S1882" s="1" t="s">
        <v>46</v>
      </c>
      <c r="T1882" s="1" t="s">
        <v>47</v>
      </c>
      <c r="U1882" s="1" t="s">
        <v>35</v>
      </c>
      <c r="V1882" s="1" t="s">
        <v>36</v>
      </c>
    </row>
    <row r="1883" spans="1:22" x14ac:dyDescent="0.3">
      <c r="A1883" s="1" t="s">
        <v>8630</v>
      </c>
      <c r="B1883" s="1" t="s">
        <v>8631</v>
      </c>
      <c r="C1883" s="1">
        <v>53</v>
      </c>
      <c r="D1883" s="1" t="s">
        <v>8632</v>
      </c>
      <c r="E1883" s="1" t="s">
        <v>95</v>
      </c>
      <c r="F1883" s="2">
        <v>44501</v>
      </c>
      <c r="G1883" s="2">
        <v>45147</v>
      </c>
      <c r="H1883" s="1">
        <v>3</v>
      </c>
      <c r="I1883" s="1" t="s">
        <v>27</v>
      </c>
      <c r="J1883" s="2">
        <v>44231</v>
      </c>
      <c r="K1883" s="1" t="s">
        <v>8633</v>
      </c>
      <c r="L1883" s="1">
        <v>6</v>
      </c>
      <c r="M1883" s="1">
        <v>22</v>
      </c>
      <c r="N1883" s="1" t="s">
        <v>56</v>
      </c>
      <c r="O1883" s="1" t="s">
        <v>293</v>
      </c>
      <c r="P1883" s="1" t="s">
        <v>45</v>
      </c>
      <c r="Q1883" s="1" t="s">
        <v>69</v>
      </c>
      <c r="R1883" s="1">
        <v>1152.96</v>
      </c>
      <c r="S1883" s="1" t="s">
        <v>46</v>
      </c>
      <c r="T1883" s="1" t="s">
        <v>47</v>
      </c>
      <c r="U1883" s="1" t="s">
        <v>35</v>
      </c>
      <c r="V1883" s="1" t="s">
        <v>36</v>
      </c>
    </row>
    <row r="1884" spans="1:22" x14ac:dyDescent="0.3">
      <c r="A1884" s="1" t="s">
        <v>8634</v>
      </c>
      <c r="B1884" s="1" t="s">
        <v>8635</v>
      </c>
      <c r="C1884" s="1">
        <v>54</v>
      </c>
      <c r="D1884" s="1" t="s">
        <v>8636</v>
      </c>
      <c r="E1884" s="1" t="s">
        <v>40</v>
      </c>
      <c r="F1884" s="2">
        <v>44448</v>
      </c>
      <c r="G1884" s="1" t="s">
        <v>1924</v>
      </c>
      <c r="H1884" s="1">
        <v>4</v>
      </c>
      <c r="I1884" s="1" t="s">
        <v>52</v>
      </c>
      <c r="J1884" s="1" t="s">
        <v>1862</v>
      </c>
      <c r="K1884" s="1" t="s">
        <v>8637</v>
      </c>
      <c r="L1884" s="1">
        <v>3</v>
      </c>
      <c r="M1884" s="1">
        <v>42</v>
      </c>
      <c r="N1884" s="1" t="s">
        <v>54</v>
      </c>
      <c r="O1884" s="1" t="s">
        <v>99</v>
      </c>
      <c r="P1884" s="1" t="s">
        <v>56</v>
      </c>
      <c r="Q1884" s="1" t="s">
        <v>32</v>
      </c>
      <c r="R1884" s="1">
        <v>1231.29</v>
      </c>
      <c r="S1884" s="1" t="s">
        <v>46</v>
      </c>
      <c r="T1884" s="1" t="s">
        <v>47</v>
      </c>
      <c r="U1884" s="1" t="s">
        <v>35</v>
      </c>
      <c r="V1884" s="1" t="s">
        <v>36</v>
      </c>
    </row>
    <row r="1885" spans="1:22" x14ac:dyDescent="0.3">
      <c r="A1885" s="1" t="s">
        <v>8638</v>
      </c>
      <c r="B1885" s="1" t="s">
        <v>8639</v>
      </c>
      <c r="C1885" s="1">
        <v>58</v>
      </c>
      <c r="D1885" s="1" t="s">
        <v>8640</v>
      </c>
      <c r="E1885" s="1" t="s">
        <v>25</v>
      </c>
      <c r="F1885" s="1" t="s">
        <v>267</v>
      </c>
      <c r="G1885" s="1" t="s">
        <v>1442</v>
      </c>
      <c r="H1885" s="1">
        <v>2</v>
      </c>
      <c r="I1885" s="1" t="s">
        <v>27</v>
      </c>
      <c r="J1885" s="1" t="s">
        <v>1221</v>
      </c>
      <c r="K1885" s="1" t="s">
        <v>8641</v>
      </c>
      <c r="L1885" s="1">
        <v>6</v>
      </c>
      <c r="M1885" s="1">
        <v>46</v>
      </c>
      <c r="N1885" s="1" t="s">
        <v>45</v>
      </c>
      <c r="O1885" s="1" t="s">
        <v>44</v>
      </c>
      <c r="P1885" s="1" t="s">
        <v>45</v>
      </c>
      <c r="Q1885" s="1" t="s">
        <v>69</v>
      </c>
      <c r="R1885" s="1">
        <v>1023.96</v>
      </c>
      <c r="S1885" s="1" t="s">
        <v>33</v>
      </c>
      <c r="T1885" s="1" t="s">
        <v>47</v>
      </c>
      <c r="U1885" s="1" t="s">
        <v>35</v>
      </c>
      <c r="V1885" s="1" t="s">
        <v>36</v>
      </c>
    </row>
    <row r="1886" spans="1:22" x14ac:dyDescent="0.3">
      <c r="A1886" s="1" t="s">
        <v>8642</v>
      </c>
      <c r="B1886" s="1" t="s">
        <v>8643</v>
      </c>
      <c r="C1886" s="1">
        <v>48</v>
      </c>
      <c r="D1886" s="1" t="s">
        <v>8644</v>
      </c>
      <c r="E1886" s="1" t="s">
        <v>40</v>
      </c>
      <c r="F1886" s="1" t="s">
        <v>3948</v>
      </c>
      <c r="G1886" s="1" t="s">
        <v>1100</v>
      </c>
      <c r="H1886" s="1">
        <v>0</v>
      </c>
      <c r="I1886" s="1" t="s">
        <v>64</v>
      </c>
      <c r="J1886" s="1" t="s">
        <v>1732</v>
      </c>
      <c r="K1886" s="1" t="s">
        <v>8645</v>
      </c>
      <c r="L1886" s="1">
        <v>8</v>
      </c>
      <c r="M1886" s="1">
        <v>9</v>
      </c>
      <c r="N1886" s="1" t="s">
        <v>30</v>
      </c>
      <c r="O1886" s="1" t="s">
        <v>149</v>
      </c>
      <c r="P1886" s="1" t="s">
        <v>30</v>
      </c>
      <c r="Q1886" s="1" t="s">
        <v>69</v>
      </c>
      <c r="R1886" s="1">
        <v>261.36</v>
      </c>
      <c r="S1886" s="1" t="s">
        <v>33</v>
      </c>
      <c r="T1886" s="1" t="s">
        <v>34</v>
      </c>
      <c r="U1886" s="1" t="s">
        <v>101</v>
      </c>
      <c r="V1886" s="1" t="s">
        <v>71</v>
      </c>
    </row>
    <row r="1887" spans="1:22" x14ac:dyDescent="0.3">
      <c r="A1887" s="1" t="s">
        <v>8646</v>
      </c>
      <c r="B1887" s="1" t="s">
        <v>8647</v>
      </c>
      <c r="C1887" s="1">
        <v>59</v>
      </c>
      <c r="D1887" s="1" t="s">
        <v>8648</v>
      </c>
      <c r="E1887" s="1" t="s">
        <v>88</v>
      </c>
      <c r="F1887" s="1" t="s">
        <v>3749</v>
      </c>
      <c r="G1887" s="1" t="s">
        <v>5078</v>
      </c>
      <c r="H1887" s="1">
        <v>0</v>
      </c>
      <c r="I1887" s="1" t="s">
        <v>27</v>
      </c>
      <c r="J1887" s="1" t="s">
        <v>2763</v>
      </c>
      <c r="K1887" s="1" t="s">
        <v>8649</v>
      </c>
      <c r="L1887" s="1">
        <v>1</v>
      </c>
      <c r="M1887" s="1">
        <v>34</v>
      </c>
      <c r="N1887" s="1" t="s">
        <v>54</v>
      </c>
      <c r="O1887" s="1" t="s">
        <v>135</v>
      </c>
      <c r="P1887" s="1" t="s">
        <v>45</v>
      </c>
      <c r="Q1887" s="1" t="s">
        <v>32</v>
      </c>
      <c r="R1887" s="1">
        <v>1453.08</v>
      </c>
      <c r="S1887" s="1" t="s">
        <v>46</v>
      </c>
      <c r="T1887" s="1" t="s">
        <v>47</v>
      </c>
      <c r="U1887" s="1" t="s">
        <v>35</v>
      </c>
      <c r="V1887" s="1" t="s">
        <v>36</v>
      </c>
    </row>
    <row r="1888" spans="1:22" x14ac:dyDescent="0.3">
      <c r="A1888" s="1" t="s">
        <v>8650</v>
      </c>
      <c r="B1888" s="1" t="s">
        <v>8651</v>
      </c>
      <c r="C1888" s="1">
        <v>69</v>
      </c>
      <c r="D1888" s="1" t="s">
        <v>8652</v>
      </c>
      <c r="E1888" s="1" t="s">
        <v>88</v>
      </c>
      <c r="F1888" s="1" t="s">
        <v>8620</v>
      </c>
      <c r="G1888" s="2">
        <v>45603</v>
      </c>
      <c r="H1888" s="1">
        <v>0</v>
      </c>
      <c r="I1888" s="1" t="s">
        <v>27</v>
      </c>
      <c r="J1888" s="2">
        <v>44810</v>
      </c>
      <c r="K1888" s="1" t="s">
        <v>8653</v>
      </c>
      <c r="L1888" s="1">
        <v>9</v>
      </c>
      <c r="M1888" s="1">
        <v>19</v>
      </c>
      <c r="N1888" s="1" t="s">
        <v>68</v>
      </c>
      <c r="O1888" s="1" t="s">
        <v>142</v>
      </c>
      <c r="P1888" s="1" t="s">
        <v>68</v>
      </c>
      <c r="Q1888" s="1" t="s">
        <v>32</v>
      </c>
      <c r="R1888" s="1">
        <v>939.51</v>
      </c>
      <c r="S1888" s="1" t="s">
        <v>33</v>
      </c>
      <c r="T1888" s="1" t="s">
        <v>232</v>
      </c>
      <c r="U1888" s="1" t="s">
        <v>35</v>
      </c>
      <c r="V1888" s="1" t="s">
        <v>36</v>
      </c>
    </row>
    <row r="1889" spans="1:22" x14ac:dyDescent="0.3">
      <c r="A1889" s="1" t="s">
        <v>8654</v>
      </c>
      <c r="B1889" s="1" t="s">
        <v>8655</v>
      </c>
      <c r="C1889" s="1">
        <v>25</v>
      </c>
      <c r="D1889" s="1" t="s">
        <v>8656</v>
      </c>
      <c r="E1889" s="1" t="s">
        <v>61</v>
      </c>
      <c r="F1889" s="1" t="s">
        <v>2871</v>
      </c>
      <c r="G1889" s="1" t="s">
        <v>2973</v>
      </c>
      <c r="H1889" s="1">
        <v>0</v>
      </c>
      <c r="I1889" s="1" t="s">
        <v>52</v>
      </c>
      <c r="J1889" s="2">
        <v>45689</v>
      </c>
      <c r="K1889" s="1" t="s">
        <v>8657</v>
      </c>
      <c r="L1889" s="1">
        <v>1</v>
      </c>
      <c r="M1889" s="1">
        <v>11</v>
      </c>
      <c r="N1889" s="1" t="s">
        <v>54</v>
      </c>
      <c r="O1889" s="1" t="s">
        <v>251</v>
      </c>
      <c r="P1889" s="1" t="s">
        <v>30</v>
      </c>
      <c r="Q1889" s="1" t="s">
        <v>32</v>
      </c>
      <c r="R1889" s="1">
        <v>935.95</v>
      </c>
      <c r="S1889" s="1" t="s">
        <v>46</v>
      </c>
      <c r="T1889" s="1" t="s">
        <v>57</v>
      </c>
      <c r="U1889" s="1" t="s">
        <v>35</v>
      </c>
      <c r="V1889" s="1" t="s">
        <v>36</v>
      </c>
    </row>
    <row r="1890" spans="1:22" x14ac:dyDescent="0.3">
      <c r="A1890" s="1" t="s">
        <v>8658</v>
      </c>
      <c r="B1890" s="1" t="s">
        <v>8659</v>
      </c>
      <c r="C1890" s="1">
        <v>28</v>
      </c>
      <c r="D1890" s="1" t="s">
        <v>8660</v>
      </c>
      <c r="E1890" s="1" t="s">
        <v>61</v>
      </c>
      <c r="F1890" s="1" t="s">
        <v>422</v>
      </c>
      <c r="G1890" s="1" t="s">
        <v>1184</v>
      </c>
      <c r="H1890" s="1">
        <v>4</v>
      </c>
      <c r="I1890" s="1" t="s">
        <v>52</v>
      </c>
      <c r="J1890" s="2">
        <v>45423</v>
      </c>
      <c r="K1890" s="1" t="s">
        <v>8661</v>
      </c>
      <c r="L1890" s="1">
        <v>6</v>
      </c>
      <c r="M1890" s="1">
        <v>43</v>
      </c>
      <c r="N1890" s="1" t="s">
        <v>68</v>
      </c>
      <c r="O1890" s="1" t="s">
        <v>597</v>
      </c>
      <c r="P1890" s="1" t="s">
        <v>45</v>
      </c>
      <c r="Q1890" s="1" t="s">
        <v>69</v>
      </c>
      <c r="R1890" s="1">
        <v>38.58</v>
      </c>
      <c r="S1890" s="1" t="s">
        <v>46</v>
      </c>
      <c r="T1890" s="1" t="s">
        <v>57</v>
      </c>
      <c r="U1890" s="1" t="s">
        <v>101</v>
      </c>
      <c r="V1890" s="1" t="s">
        <v>36</v>
      </c>
    </row>
    <row r="1891" spans="1:22" x14ac:dyDescent="0.3">
      <c r="A1891" s="1" t="s">
        <v>8662</v>
      </c>
      <c r="B1891" s="1" t="s">
        <v>8663</v>
      </c>
      <c r="C1891" s="1">
        <v>31</v>
      </c>
      <c r="D1891" s="1" t="s">
        <v>8664</v>
      </c>
      <c r="E1891" s="1" t="s">
        <v>61</v>
      </c>
      <c r="F1891" s="1" t="s">
        <v>1582</v>
      </c>
      <c r="G1891" s="2">
        <v>45272</v>
      </c>
      <c r="H1891" s="1">
        <v>4</v>
      </c>
      <c r="I1891" s="1" t="s">
        <v>64</v>
      </c>
      <c r="J1891" s="2">
        <v>44937</v>
      </c>
      <c r="K1891" s="1" t="s">
        <v>8665</v>
      </c>
      <c r="L1891" s="1">
        <v>2</v>
      </c>
      <c r="M1891" s="1">
        <v>15</v>
      </c>
      <c r="N1891" s="1" t="s">
        <v>54</v>
      </c>
      <c r="O1891" s="1" t="s">
        <v>169</v>
      </c>
      <c r="P1891" s="1" t="s">
        <v>30</v>
      </c>
      <c r="Q1891" s="1" t="s">
        <v>69</v>
      </c>
      <c r="R1891" s="1">
        <v>669</v>
      </c>
      <c r="S1891" s="1" t="s">
        <v>46</v>
      </c>
      <c r="T1891" s="1" t="s">
        <v>57</v>
      </c>
      <c r="U1891" s="1" t="s">
        <v>35</v>
      </c>
      <c r="V1891" s="1" t="s">
        <v>71</v>
      </c>
    </row>
    <row r="1892" spans="1:22" x14ac:dyDescent="0.3">
      <c r="A1892" s="1" t="s">
        <v>8666</v>
      </c>
      <c r="B1892" s="1" t="s">
        <v>8667</v>
      </c>
      <c r="C1892" s="1">
        <v>51</v>
      </c>
      <c r="D1892" s="1" t="s">
        <v>8668</v>
      </c>
      <c r="E1892" s="1" t="s">
        <v>95</v>
      </c>
      <c r="F1892" s="1" t="s">
        <v>8669</v>
      </c>
      <c r="G1892" s="2">
        <v>44294</v>
      </c>
      <c r="H1892" s="1">
        <v>2</v>
      </c>
      <c r="I1892" s="1" t="s">
        <v>27</v>
      </c>
      <c r="J1892" s="2">
        <v>44293</v>
      </c>
      <c r="K1892" s="1" t="s">
        <v>8670</v>
      </c>
      <c r="L1892" s="1">
        <v>7</v>
      </c>
      <c r="M1892" s="1">
        <v>4</v>
      </c>
      <c r="N1892" s="1" t="s">
        <v>54</v>
      </c>
      <c r="O1892" s="1" t="s">
        <v>31</v>
      </c>
      <c r="P1892" s="1" t="s">
        <v>30</v>
      </c>
      <c r="Q1892" s="1" t="s">
        <v>32</v>
      </c>
      <c r="R1892" s="1">
        <v>505.12</v>
      </c>
      <c r="S1892" s="1" t="s">
        <v>46</v>
      </c>
      <c r="T1892" s="1" t="s">
        <v>47</v>
      </c>
      <c r="U1892" s="1" t="s">
        <v>101</v>
      </c>
      <c r="V1892" s="1" t="s">
        <v>36</v>
      </c>
    </row>
    <row r="1893" spans="1:22" x14ac:dyDescent="0.3">
      <c r="A1893" s="1" t="s">
        <v>8671</v>
      </c>
      <c r="B1893" s="1" t="s">
        <v>8672</v>
      </c>
      <c r="C1893" s="1">
        <v>22</v>
      </c>
      <c r="D1893" s="1" t="s">
        <v>8673</v>
      </c>
      <c r="E1893" s="1" t="s">
        <v>61</v>
      </c>
      <c r="F1893" s="1" t="s">
        <v>1454</v>
      </c>
      <c r="G1893" s="1" t="s">
        <v>285</v>
      </c>
      <c r="H1893" s="1">
        <v>1</v>
      </c>
      <c r="I1893" s="1" t="s">
        <v>52</v>
      </c>
      <c r="J1893" s="1" t="s">
        <v>4713</v>
      </c>
      <c r="K1893" s="1" t="s">
        <v>8674</v>
      </c>
      <c r="L1893" s="1">
        <v>5</v>
      </c>
      <c r="M1893" s="1">
        <v>36</v>
      </c>
      <c r="N1893" s="1" t="s">
        <v>56</v>
      </c>
      <c r="O1893" s="1" t="s">
        <v>245</v>
      </c>
      <c r="P1893" s="1" t="s">
        <v>54</v>
      </c>
      <c r="Q1893" s="1" t="s">
        <v>32</v>
      </c>
      <c r="R1893" s="1">
        <v>990.35</v>
      </c>
      <c r="S1893" s="1" t="s">
        <v>46</v>
      </c>
      <c r="T1893" s="1" t="s">
        <v>100</v>
      </c>
      <c r="U1893" s="1" t="s">
        <v>35</v>
      </c>
      <c r="V1893" s="1" t="s">
        <v>36</v>
      </c>
    </row>
    <row r="1894" spans="1:22" x14ac:dyDescent="0.3">
      <c r="A1894" s="1" t="s">
        <v>8675</v>
      </c>
      <c r="B1894" s="1" t="s">
        <v>8676</v>
      </c>
      <c r="C1894" s="1">
        <v>34</v>
      </c>
      <c r="D1894" s="1" t="s">
        <v>8677</v>
      </c>
      <c r="E1894" s="1" t="s">
        <v>40</v>
      </c>
      <c r="F1894" s="1" t="s">
        <v>1052</v>
      </c>
      <c r="G1894" s="2">
        <v>45234</v>
      </c>
      <c r="H1894" s="1">
        <v>1</v>
      </c>
      <c r="I1894" s="1" t="s">
        <v>27</v>
      </c>
      <c r="J1894" s="1" t="s">
        <v>1867</v>
      </c>
      <c r="K1894" s="1" t="s">
        <v>8678</v>
      </c>
      <c r="L1894" s="1">
        <v>1</v>
      </c>
      <c r="M1894" s="1">
        <v>22</v>
      </c>
      <c r="N1894" s="1" t="s">
        <v>68</v>
      </c>
      <c r="O1894" s="1" t="s">
        <v>837</v>
      </c>
      <c r="P1894" s="1" t="s">
        <v>56</v>
      </c>
      <c r="Q1894" s="1" t="s">
        <v>69</v>
      </c>
      <c r="R1894" s="1">
        <v>1180.5899999999999</v>
      </c>
      <c r="S1894" s="1" t="s">
        <v>46</v>
      </c>
      <c r="T1894" s="1" t="s">
        <v>57</v>
      </c>
      <c r="U1894" s="1" t="s">
        <v>35</v>
      </c>
      <c r="V1894" s="1" t="s">
        <v>36</v>
      </c>
    </row>
    <row r="1895" spans="1:22" x14ac:dyDescent="0.3">
      <c r="A1895" s="1" t="s">
        <v>8679</v>
      </c>
      <c r="B1895" s="1" t="s">
        <v>8680</v>
      </c>
      <c r="C1895" s="1">
        <v>24</v>
      </c>
      <c r="D1895" s="1" t="s">
        <v>8681</v>
      </c>
      <c r="E1895" s="1" t="s">
        <v>61</v>
      </c>
      <c r="F1895" s="2">
        <v>44323</v>
      </c>
      <c r="G1895" s="1" t="s">
        <v>4079</v>
      </c>
      <c r="H1895" s="1">
        <v>3</v>
      </c>
      <c r="I1895" s="1" t="s">
        <v>27</v>
      </c>
      <c r="J1895" s="2">
        <v>45058</v>
      </c>
      <c r="K1895" s="1" t="s">
        <v>8682</v>
      </c>
      <c r="L1895" s="1">
        <v>5</v>
      </c>
      <c r="M1895" s="1">
        <v>7</v>
      </c>
      <c r="N1895" s="1" t="s">
        <v>68</v>
      </c>
      <c r="O1895" s="1" t="s">
        <v>855</v>
      </c>
      <c r="P1895" s="1" t="s">
        <v>45</v>
      </c>
      <c r="Q1895" s="1" t="s">
        <v>32</v>
      </c>
      <c r="R1895" s="1">
        <v>418.45</v>
      </c>
      <c r="S1895" s="1" t="s">
        <v>46</v>
      </c>
      <c r="T1895" s="1" t="s">
        <v>100</v>
      </c>
      <c r="U1895" s="1" t="s">
        <v>35</v>
      </c>
      <c r="V1895" s="1" t="s">
        <v>36</v>
      </c>
    </row>
    <row r="1896" spans="1:22" x14ac:dyDescent="0.3">
      <c r="A1896" s="1" t="s">
        <v>8683</v>
      </c>
      <c r="B1896" s="1" t="s">
        <v>8684</v>
      </c>
      <c r="C1896" s="1">
        <v>24</v>
      </c>
      <c r="D1896" s="1" t="s">
        <v>8685</v>
      </c>
      <c r="E1896" s="1" t="s">
        <v>40</v>
      </c>
      <c r="F1896" s="2">
        <v>44934</v>
      </c>
      <c r="G1896" s="1" t="s">
        <v>1918</v>
      </c>
      <c r="H1896" s="1">
        <v>5</v>
      </c>
      <c r="I1896" s="1" t="s">
        <v>27</v>
      </c>
      <c r="J1896" s="2">
        <v>45784</v>
      </c>
      <c r="K1896" s="1" t="s">
        <v>8686</v>
      </c>
      <c r="L1896" s="1">
        <v>7</v>
      </c>
      <c r="M1896" s="1">
        <v>25</v>
      </c>
      <c r="N1896" s="1" t="s">
        <v>68</v>
      </c>
      <c r="O1896" s="1" t="s">
        <v>175</v>
      </c>
      <c r="P1896" s="1" t="s">
        <v>56</v>
      </c>
      <c r="Q1896" s="1" t="s">
        <v>69</v>
      </c>
      <c r="R1896" s="1">
        <v>1596.84</v>
      </c>
      <c r="S1896" s="1" t="s">
        <v>46</v>
      </c>
      <c r="T1896" s="1" t="s">
        <v>100</v>
      </c>
      <c r="U1896" s="1" t="s">
        <v>35</v>
      </c>
      <c r="V1896" s="1" t="s">
        <v>188</v>
      </c>
    </row>
    <row r="1897" spans="1:22" x14ac:dyDescent="0.3">
      <c r="A1897" s="1" t="s">
        <v>8687</v>
      </c>
      <c r="B1897" s="1" t="s">
        <v>8688</v>
      </c>
      <c r="C1897" s="1">
        <v>53</v>
      </c>
      <c r="D1897" s="1" t="s">
        <v>8689</v>
      </c>
      <c r="E1897" s="1" t="s">
        <v>88</v>
      </c>
      <c r="F1897" s="1" t="s">
        <v>4533</v>
      </c>
      <c r="G1897" s="2">
        <v>44867</v>
      </c>
      <c r="H1897" s="1">
        <v>4</v>
      </c>
      <c r="I1897" s="1" t="s">
        <v>27</v>
      </c>
      <c r="J1897" s="2">
        <v>43994</v>
      </c>
      <c r="K1897" s="1" t="s">
        <v>8690</v>
      </c>
      <c r="L1897" s="1">
        <v>5</v>
      </c>
      <c r="M1897" s="1">
        <v>13</v>
      </c>
      <c r="N1897" s="1" t="s">
        <v>68</v>
      </c>
      <c r="O1897" s="1" t="s">
        <v>855</v>
      </c>
      <c r="P1897" s="1" t="s">
        <v>45</v>
      </c>
      <c r="Q1897" s="1" t="s">
        <v>32</v>
      </c>
      <c r="R1897" s="1">
        <v>1423.45</v>
      </c>
      <c r="S1897" s="1" t="s">
        <v>46</v>
      </c>
      <c r="T1897" s="1" t="s">
        <v>47</v>
      </c>
      <c r="U1897" s="1" t="s">
        <v>35</v>
      </c>
      <c r="V1897" s="1" t="s">
        <v>188</v>
      </c>
    </row>
    <row r="1898" spans="1:22" x14ac:dyDescent="0.3">
      <c r="A1898" s="1" t="s">
        <v>8691</v>
      </c>
      <c r="B1898" s="1" t="s">
        <v>8692</v>
      </c>
      <c r="C1898" s="1">
        <v>67</v>
      </c>
      <c r="D1898" s="1" t="s">
        <v>8693</v>
      </c>
      <c r="E1898" s="1" t="s">
        <v>61</v>
      </c>
      <c r="F1898" s="2">
        <v>44324</v>
      </c>
      <c r="G1898" s="2">
        <v>45482</v>
      </c>
      <c r="H1898" s="1">
        <v>1</v>
      </c>
      <c r="I1898" s="1" t="s">
        <v>64</v>
      </c>
      <c r="J1898" s="2">
        <v>44562</v>
      </c>
      <c r="K1898" s="1" t="s">
        <v>8694</v>
      </c>
      <c r="L1898" s="1">
        <v>5</v>
      </c>
      <c r="M1898" s="1">
        <v>10</v>
      </c>
      <c r="N1898" s="1" t="s">
        <v>45</v>
      </c>
      <c r="O1898" s="1" t="s">
        <v>269</v>
      </c>
      <c r="P1898" s="1" t="s">
        <v>56</v>
      </c>
      <c r="Q1898" s="1" t="s">
        <v>69</v>
      </c>
      <c r="R1898" s="1">
        <v>51.7</v>
      </c>
      <c r="S1898" s="1" t="s">
        <v>46</v>
      </c>
      <c r="T1898" s="1" t="s">
        <v>232</v>
      </c>
      <c r="U1898" s="1" t="s">
        <v>70</v>
      </c>
      <c r="V1898" s="1" t="s">
        <v>71</v>
      </c>
    </row>
    <row r="1899" spans="1:22" x14ac:dyDescent="0.3">
      <c r="A1899" s="1" t="s">
        <v>8695</v>
      </c>
      <c r="B1899" s="1" t="s">
        <v>8696</v>
      </c>
      <c r="C1899" s="1">
        <v>57</v>
      </c>
      <c r="D1899" s="1" t="s">
        <v>8697</v>
      </c>
      <c r="E1899" s="1" t="s">
        <v>25</v>
      </c>
      <c r="F1899" s="2">
        <v>44653</v>
      </c>
      <c r="G1899" s="2">
        <v>45210</v>
      </c>
      <c r="H1899" s="1">
        <v>5</v>
      </c>
      <c r="I1899" s="1" t="s">
        <v>27</v>
      </c>
      <c r="J1899" s="1" t="s">
        <v>646</v>
      </c>
      <c r="K1899" s="1" t="s">
        <v>885</v>
      </c>
      <c r="L1899" s="1">
        <v>6</v>
      </c>
      <c r="M1899" s="1">
        <v>37</v>
      </c>
      <c r="N1899" s="1" t="s">
        <v>45</v>
      </c>
      <c r="O1899" s="1" t="s">
        <v>366</v>
      </c>
      <c r="P1899" s="1" t="s">
        <v>54</v>
      </c>
      <c r="Q1899" s="1" t="s">
        <v>32</v>
      </c>
      <c r="R1899" s="1">
        <v>1312.32</v>
      </c>
      <c r="S1899" s="1" t="s">
        <v>46</v>
      </c>
      <c r="T1899" s="1" t="s">
        <v>47</v>
      </c>
      <c r="U1899" s="1" t="s">
        <v>35</v>
      </c>
      <c r="V1899" s="1" t="s">
        <v>188</v>
      </c>
    </row>
    <row r="1900" spans="1:22" x14ac:dyDescent="0.3">
      <c r="A1900" s="1" t="s">
        <v>8698</v>
      </c>
      <c r="B1900" s="1" t="s">
        <v>8699</v>
      </c>
      <c r="C1900" s="1">
        <v>32</v>
      </c>
      <c r="D1900" s="1" t="s">
        <v>8700</v>
      </c>
      <c r="E1900" s="1" t="s">
        <v>51</v>
      </c>
      <c r="F1900" s="2">
        <v>43963</v>
      </c>
      <c r="G1900" s="1" t="s">
        <v>326</v>
      </c>
      <c r="H1900" s="1">
        <v>5</v>
      </c>
      <c r="I1900" s="1" t="s">
        <v>52</v>
      </c>
      <c r="J1900" s="2">
        <v>45086</v>
      </c>
      <c r="K1900" s="1" t="s">
        <v>8701</v>
      </c>
      <c r="L1900" s="1">
        <v>6</v>
      </c>
      <c r="M1900" s="1">
        <v>25</v>
      </c>
      <c r="N1900" s="1" t="s">
        <v>45</v>
      </c>
      <c r="O1900" s="1" t="s">
        <v>610</v>
      </c>
      <c r="P1900" s="1" t="s">
        <v>68</v>
      </c>
      <c r="Q1900" s="1" t="s">
        <v>32</v>
      </c>
      <c r="R1900" s="1">
        <v>1270.08</v>
      </c>
      <c r="S1900" s="1" t="s">
        <v>46</v>
      </c>
      <c r="T1900" s="1" t="s">
        <v>57</v>
      </c>
      <c r="U1900" s="1" t="s">
        <v>35</v>
      </c>
      <c r="V1900" s="1" t="s">
        <v>36</v>
      </c>
    </row>
    <row r="1901" spans="1:22" x14ac:dyDescent="0.3">
      <c r="A1901" s="1" t="s">
        <v>8702</v>
      </c>
      <c r="B1901" s="1" t="s">
        <v>8703</v>
      </c>
      <c r="C1901" s="1">
        <v>45</v>
      </c>
      <c r="D1901" s="1" t="s">
        <v>8704</v>
      </c>
      <c r="E1901" s="1" t="s">
        <v>51</v>
      </c>
      <c r="F1901" s="1" t="s">
        <v>4062</v>
      </c>
      <c r="G1901" s="2">
        <v>45295</v>
      </c>
      <c r="H1901" s="1">
        <v>1</v>
      </c>
      <c r="I1901" s="1" t="s">
        <v>27</v>
      </c>
      <c r="J1901" s="1" t="s">
        <v>1288</v>
      </c>
      <c r="K1901" s="1" t="s">
        <v>8705</v>
      </c>
      <c r="L1901" s="1">
        <v>7</v>
      </c>
      <c r="M1901" s="1">
        <v>2</v>
      </c>
      <c r="N1901" s="1" t="s">
        <v>68</v>
      </c>
      <c r="O1901" s="1" t="s">
        <v>135</v>
      </c>
      <c r="P1901" s="1" t="s">
        <v>45</v>
      </c>
      <c r="Q1901" s="1" t="s">
        <v>69</v>
      </c>
      <c r="R1901" s="1">
        <v>720.44</v>
      </c>
      <c r="S1901" s="1" t="s">
        <v>46</v>
      </c>
      <c r="T1901" s="1" t="s">
        <v>34</v>
      </c>
      <c r="U1901" s="1" t="s">
        <v>101</v>
      </c>
      <c r="V1901" s="1" t="s">
        <v>36</v>
      </c>
    </row>
    <row r="1902" spans="1:22" x14ac:dyDescent="0.3">
      <c r="A1902" s="1" t="s">
        <v>8706</v>
      </c>
      <c r="B1902" s="1" t="s">
        <v>8707</v>
      </c>
      <c r="C1902" s="1">
        <v>52</v>
      </c>
      <c r="D1902" s="1" t="s">
        <v>8708</v>
      </c>
      <c r="E1902" s="1" t="s">
        <v>51</v>
      </c>
      <c r="F1902" s="1" t="s">
        <v>3040</v>
      </c>
      <c r="G1902" s="2">
        <v>45083</v>
      </c>
      <c r="H1902" s="1">
        <v>5</v>
      </c>
      <c r="I1902" s="1" t="s">
        <v>27</v>
      </c>
      <c r="J1902" s="2">
        <v>45355</v>
      </c>
      <c r="K1902" s="1" t="s">
        <v>8709</v>
      </c>
      <c r="L1902" s="1">
        <v>6</v>
      </c>
      <c r="M1902" s="1">
        <v>41</v>
      </c>
      <c r="N1902" s="1" t="s">
        <v>56</v>
      </c>
      <c r="O1902" s="1" t="s">
        <v>223</v>
      </c>
      <c r="P1902" s="1" t="s">
        <v>56</v>
      </c>
      <c r="Q1902" s="1" t="s">
        <v>32</v>
      </c>
      <c r="R1902" s="1">
        <v>1666.98</v>
      </c>
      <c r="S1902" s="1" t="s">
        <v>33</v>
      </c>
      <c r="T1902" s="1" t="s">
        <v>47</v>
      </c>
      <c r="U1902" s="1" t="s">
        <v>35</v>
      </c>
      <c r="V1902" s="1" t="s">
        <v>188</v>
      </c>
    </row>
    <row r="1903" spans="1:22" x14ac:dyDescent="0.3">
      <c r="A1903" s="1" t="s">
        <v>8710</v>
      </c>
      <c r="B1903" s="1" t="s">
        <v>8711</v>
      </c>
      <c r="C1903" s="1">
        <v>51</v>
      </c>
      <c r="D1903" s="1" t="s">
        <v>8712</v>
      </c>
      <c r="E1903" s="1" t="s">
        <v>25</v>
      </c>
      <c r="F1903" s="1" t="s">
        <v>273</v>
      </c>
      <c r="G1903" s="1" t="s">
        <v>2066</v>
      </c>
      <c r="H1903" s="1">
        <v>2</v>
      </c>
      <c r="I1903" s="1" t="s">
        <v>27</v>
      </c>
      <c r="J1903" s="2">
        <v>45809</v>
      </c>
      <c r="K1903" s="1" t="s">
        <v>8713</v>
      </c>
      <c r="L1903" s="1">
        <v>6</v>
      </c>
      <c r="M1903" s="1">
        <v>30</v>
      </c>
      <c r="N1903" s="1" t="s">
        <v>68</v>
      </c>
      <c r="O1903" s="1" t="s">
        <v>99</v>
      </c>
      <c r="P1903" s="1" t="s">
        <v>56</v>
      </c>
      <c r="Q1903" s="1" t="s">
        <v>69</v>
      </c>
      <c r="R1903" s="1">
        <v>1346.76</v>
      </c>
      <c r="S1903" s="1" t="s">
        <v>46</v>
      </c>
      <c r="T1903" s="1" t="s">
        <v>47</v>
      </c>
      <c r="U1903" s="1" t="s">
        <v>35</v>
      </c>
      <c r="V1903" s="1" t="s">
        <v>36</v>
      </c>
    </row>
    <row r="1904" spans="1:22" x14ac:dyDescent="0.3">
      <c r="A1904" s="1" t="s">
        <v>8714</v>
      </c>
      <c r="B1904" s="1" t="s">
        <v>8715</v>
      </c>
      <c r="C1904" s="1">
        <v>21</v>
      </c>
      <c r="D1904" s="1" t="s">
        <v>8716</v>
      </c>
      <c r="E1904" s="1" t="s">
        <v>95</v>
      </c>
      <c r="F1904" s="1" t="s">
        <v>8717</v>
      </c>
      <c r="G1904" s="1" t="s">
        <v>1189</v>
      </c>
      <c r="H1904" s="1">
        <v>4</v>
      </c>
      <c r="I1904" s="1" t="s">
        <v>27</v>
      </c>
      <c r="J1904" s="2">
        <v>45109</v>
      </c>
      <c r="K1904" s="1" t="s">
        <v>8718</v>
      </c>
      <c r="L1904" s="1">
        <v>3</v>
      </c>
      <c r="M1904" s="1">
        <v>16</v>
      </c>
      <c r="N1904" s="1" t="s">
        <v>68</v>
      </c>
      <c r="O1904" s="1" t="s">
        <v>149</v>
      </c>
      <c r="P1904" s="1" t="s">
        <v>30</v>
      </c>
      <c r="Q1904" s="1" t="s">
        <v>69</v>
      </c>
      <c r="R1904" s="1">
        <v>832.89</v>
      </c>
      <c r="S1904" s="1" t="s">
        <v>46</v>
      </c>
      <c r="T1904" s="1" t="s">
        <v>100</v>
      </c>
      <c r="U1904" s="1" t="s">
        <v>35</v>
      </c>
      <c r="V1904" s="1" t="s">
        <v>188</v>
      </c>
    </row>
    <row r="1905" spans="1:22" x14ac:dyDescent="0.3">
      <c r="A1905" s="1" t="s">
        <v>8719</v>
      </c>
      <c r="B1905" s="1" t="s">
        <v>8720</v>
      </c>
      <c r="C1905" s="1">
        <v>28</v>
      </c>
      <c r="D1905" s="1" t="s">
        <v>8721</v>
      </c>
      <c r="E1905" s="1" t="s">
        <v>95</v>
      </c>
      <c r="F1905" s="1" t="s">
        <v>645</v>
      </c>
      <c r="G1905" s="1" t="s">
        <v>1142</v>
      </c>
      <c r="H1905" s="1">
        <v>4</v>
      </c>
      <c r="I1905" s="1" t="s">
        <v>27</v>
      </c>
      <c r="J1905" s="1" t="s">
        <v>344</v>
      </c>
      <c r="K1905" s="1" t="s">
        <v>8722</v>
      </c>
      <c r="L1905" s="1">
        <v>4</v>
      </c>
      <c r="M1905" s="1">
        <v>22</v>
      </c>
      <c r="N1905" s="1" t="s">
        <v>45</v>
      </c>
      <c r="O1905" s="1" t="s">
        <v>67</v>
      </c>
      <c r="P1905" s="1" t="s">
        <v>68</v>
      </c>
      <c r="Q1905" s="1" t="s">
        <v>32</v>
      </c>
      <c r="R1905" s="1">
        <v>1401.44</v>
      </c>
      <c r="S1905" s="1" t="s">
        <v>46</v>
      </c>
      <c r="T1905" s="1" t="s">
        <v>57</v>
      </c>
      <c r="U1905" s="1" t="s">
        <v>35</v>
      </c>
      <c r="V1905" s="1" t="s">
        <v>188</v>
      </c>
    </row>
    <row r="1906" spans="1:22" x14ac:dyDescent="0.3">
      <c r="A1906" s="1" t="s">
        <v>8723</v>
      </c>
      <c r="B1906" s="1" t="s">
        <v>8724</v>
      </c>
      <c r="C1906" s="1">
        <v>26</v>
      </c>
      <c r="D1906" s="1" t="s">
        <v>8725</v>
      </c>
      <c r="E1906" s="1" t="s">
        <v>95</v>
      </c>
      <c r="F1906" s="1" t="s">
        <v>2098</v>
      </c>
      <c r="G1906" s="2">
        <v>45541</v>
      </c>
      <c r="H1906" s="1">
        <v>2</v>
      </c>
      <c r="I1906" s="1" t="s">
        <v>64</v>
      </c>
      <c r="J1906" s="1" t="s">
        <v>3766</v>
      </c>
      <c r="K1906" s="1" t="s">
        <v>8726</v>
      </c>
      <c r="L1906" s="1">
        <v>5</v>
      </c>
      <c r="M1906" s="1">
        <v>35</v>
      </c>
      <c r="N1906" s="1" t="s">
        <v>30</v>
      </c>
      <c r="O1906" s="1" t="s">
        <v>610</v>
      </c>
      <c r="P1906" s="1" t="s">
        <v>68</v>
      </c>
      <c r="Q1906" s="1" t="s">
        <v>32</v>
      </c>
      <c r="R1906" s="1">
        <v>1068.4000000000001</v>
      </c>
      <c r="S1906" s="1" t="s">
        <v>46</v>
      </c>
      <c r="T1906" s="1" t="s">
        <v>57</v>
      </c>
      <c r="U1906" s="1" t="s">
        <v>35</v>
      </c>
      <c r="V1906" s="1" t="s">
        <v>71</v>
      </c>
    </row>
    <row r="1907" spans="1:22" x14ac:dyDescent="0.3">
      <c r="A1907" s="1" t="s">
        <v>8727</v>
      </c>
      <c r="B1907" s="1" t="s">
        <v>8728</v>
      </c>
      <c r="C1907" s="1">
        <v>59</v>
      </c>
      <c r="D1907" s="1" t="s">
        <v>8729</v>
      </c>
      <c r="E1907" s="1" t="s">
        <v>51</v>
      </c>
      <c r="F1907" s="1" t="s">
        <v>994</v>
      </c>
      <c r="G1907" s="1" t="s">
        <v>1397</v>
      </c>
      <c r="H1907" s="1">
        <v>4</v>
      </c>
      <c r="I1907" s="1" t="s">
        <v>27</v>
      </c>
      <c r="J1907" s="1" t="s">
        <v>2388</v>
      </c>
      <c r="K1907" s="1" t="s">
        <v>8730</v>
      </c>
      <c r="L1907" s="1">
        <v>8</v>
      </c>
      <c r="M1907" s="1">
        <v>27</v>
      </c>
      <c r="N1907" s="1" t="s">
        <v>45</v>
      </c>
      <c r="O1907" s="1" t="s">
        <v>231</v>
      </c>
      <c r="P1907" s="1" t="s">
        <v>30</v>
      </c>
      <c r="Q1907" s="1" t="s">
        <v>32</v>
      </c>
      <c r="R1907" s="1">
        <v>288.72000000000003</v>
      </c>
      <c r="S1907" s="1" t="s">
        <v>46</v>
      </c>
      <c r="T1907" s="1" t="s">
        <v>47</v>
      </c>
      <c r="U1907" s="1" t="s">
        <v>35</v>
      </c>
      <c r="V1907" s="1" t="s">
        <v>188</v>
      </c>
    </row>
    <row r="1908" spans="1:22" x14ac:dyDescent="0.3">
      <c r="A1908" s="1" t="s">
        <v>8731</v>
      </c>
      <c r="B1908" s="1" t="s">
        <v>8732</v>
      </c>
      <c r="C1908" s="1">
        <v>18</v>
      </c>
      <c r="D1908" s="1" t="s">
        <v>8733</v>
      </c>
      <c r="E1908" s="1" t="s">
        <v>61</v>
      </c>
      <c r="F1908" s="2">
        <v>44868</v>
      </c>
      <c r="G1908" s="2">
        <v>44812</v>
      </c>
      <c r="H1908" s="1">
        <v>3</v>
      </c>
      <c r="I1908" s="1" t="s">
        <v>52</v>
      </c>
      <c r="J1908" s="2">
        <v>45692</v>
      </c>
      <c r="K1908" s="1" t="s">
        <v>8734</v>
      </c>
      <c r="L1908" s="1">
        <v>6</v>
      </c>
      <c r="M1908" s="1">
        <v>2</v>
      </c>
      <c r="N1908" s="1" t="s">
        <v>54</v>
      </c>
      <c r="O1908" s="1" t="s">
        <v>31</v>
      </c>
      <c r="P1908" s="1" t="s">
        <v>30</v>
      </c>
      <c r="Q1908" s="1" t="s">
        <v>69</v>
      </c>
      <c r="R1908" s="1">
        <v>1607.34</v>
      </c>
      <c r="S1908" s="1" t="s">
        <v>46</v>
      </c>
      <c r="T1908" s="1" t="s">
        <v>100</v>
      </c>
      <c r="U1908" s="1" t="s">
        <v>35</v>
      </c>
      <c r="V1908" s="1" t="s">
        <v>36</v>
      </c>
    </row>
    <row r="1909" spans="1:22" x14ac:dyDescent="0.3">
      <c r="A1909" s="1" t="s">
        <v>8735</v>
      </c>
      <c r="B1909" s="1" t="s">
        <v>8736</v>
      </c>
      <c r="C1909" s="1">
        <v>40</v>
      </c>
      <c r="D1909" s="1" t="s">
        <v>8737</v>
      </c>
      <c r="E1909" s="1" t="s">
        <v>88</v>
      </c>
      <c r="F1909" s="1" t="s">
        <v>1288</v>
      </c>
      <c r="G1909" s="1" t="s">
        <v>4572</v>
      </c>
      <c r="H1909" s="1">
        <v>5</v>
      </c>
      <c r="I1909" s="1" t="s">
        <v>27</v>
      </c>
      <c r="J1909" s="2">
        <v>45293</v>
      </c>
      <c r="K1909" s="1" t="s">
        <v>8738</v>
      </c>
      <c r="L1909" s="1">
        <v>2</v>
      </c>
      <c r="M1909" s="1">
        <v>38</v>
      </c>
      <c r="N1909" s="1" t="s">
        <v>45</v>
      </c>
      <c r="O1909" s="1" t="s">
        <v>366</v>
      </c>
      <c r="P1909" s="1" t="s">
        <v>54</v>
      </c>
      <c r="Q1909" s="1" t="s">
        <v>69</v>
      </c>
      <c r="R1909" s="1">
        <v>1511.28</v>
      </c>
      <c r="S1909" s="1" t="s">
        <v>46</v>
      </c>
      <c r="T1909" s="1" t="s">
        <v>34</v>
      </c>
      <c r="U1909" s="1" t="s">
        <v>35</v>
      </c>
      <c r="V1909" s="1" t="s">
        <v>188</v>
      </c>
    </row>
    <row r="1910" spans="1:22" x14ac:dyDescent="0.3">
      <c r="A1910" s="1" t="s">
        <v>8739</v>
      </c>
      <c r="B1910" s="1" t="s">
        <v>8740</v>
      </c>
      <c r="C1910" s="1">
        <v>25</v>
      </c>
      <c r="D1910" s="1" t="s">
        <v>8741</v>
      </c>
      <c r="E1910" s="1" t="s">
        <v>61</v>
      </c>
      <c r="F1910" s="2">
        <v>44175</v>
      </c>
      <c r="G1910" s="1" t="s">
        <v>1588</v>
      </c>
      <c r="H1910" s="1">
        <v>5</v>
      </c>
      <c r="I1910" s="1" t="s">
        <v>52</v>
      </c>
      <c r="J1910" s="2">
        <v>44744</v>
      </c>
      <c r="K1910" s="1" t="s">
        <v>8742</v>
      </c>
      <c r="L1910" s="1">
        <v>1</v>
      </c>
      <c r="M1910" s="1">
        <v>5</v>
      </c>
      <c r="N1910" s="1" t="s">
        <v>56</v>
      </c>
      <c r="O1910" s="1" t="s">
        <v>149</v>
      </c>
      <c r="P1910" s="1" t="s">
        <v>30</v>
      </c>
      <c r="Q1910" s="1" t="s">
        <v>69</v>
      </c>
      <c r="R1910" s="1">
        <v>1725.32</v>
      </c>
      <c r="S1910" s="1" t="s">
        <v>46</v>
      </c>
      <c r="T1910" s="1" t="s">
        <v>57</v>
      </c>
      <c r="U1910" s="1" t="s">
        <v>35</v>
      </c>
      <c r="V1910" s="1" t="s">
        <v>36</v>
      </c>
    </row>
    <row r="1911" spans="1:22" x14ac:dyDescent="0.3">
      <c r="A1911" s="1" t="s">
        <v>8743</v>
      </c>
      <c r="B1911" s="1" t="s">
        <v>8744</v>
      </c>
      <c r="C1911" s="1">
        <v>29</v>
      </c>
      <c r="D1911" s="1" t="s">
        <v>8745</v>
      </c>
      <c r="E1911" s="1" t="s">
        <v>40</v>
      </c>
      <c r="F1911" s="1" t="s">
        <v>3398</v>
      </c>
      <c r="G1911" s="2">
        <v>45575</v>
      </c>
      <c r="H1911" s="1">
        <v>5</v>
      </c>
      <c r="I1911" s="1" t="s">
        <v>27</v>
      </c>
      <c r="J1911" s="2">
        <v>45785</v>
      </c>
      <c r="K1911" s="1" t="s">
        <v>8746</v>
      </c>
      <c r="L1911" s="1">
        <v>7</v>
      </c>
      <c r="M1911" s="1">
        <v>45</v>
      </c>
      <c r="N1911" s="1" t="s">
        <v>30</v>
      </c>
      <c r="O1911" s="1" t="s">
        <v>122</v>
      </c>
      <c r="P1911" s="1" t="s">
        <v>30</v>
      </c>
      <c r="Q1911" s="1" t="s">
        <v>69</v>
      </c>
      <c r="R1911" s="1">
        <v>609.70000000000005</v>
      </c>
      <c r="S1911" s="1" t="s">
        <v>33</v>
      </c>
      <c r="T1911" s="1" t="s">
        <v>57</v>
      </c>
      <c r="U1911" s="1" t="s">
        <v>35</v>
      </c>
      <c r="V1911" s="1" t="s">
        <v>188</v>
      </c>
    </row>
    <row r="1912" spans="1:22" x14ac:dyDescent="0.3">
      <c r="A1912" s="1" t="s">
        <v>8747</v>
      </c>
      <c r="B1912" s="1" t="s">
        <v>8748</v>
      </c>
      <c r="C1912" s="1">
        <v>63</v>
      </c>
      <c r="D1912" s="1" t="s">
        <v>8749</v>
      </c>
      <c r="E1912" s="1" t="s">
        <v>40</v>
      </c>
      <c r="F1912" s="1" t="s">
        <v>2055</v>
      </c>
      <c r="G1912" s="1" t="s">
        <v>2455</v>
      </c>
      <c r="H1912" s="1">
        <v>1</v>
      </c>
      <c r="I1912" s="1" t="s">
        <v>27</v>
      </c>
      <c r="J1912" s="1" t="s">
        <v>3097</v>
      </c>
      <c r="K1912" s="1" t="s">
        <v>8750</v>
      </c>
      <c r="L1912" s="1">
        <v>6</v>
      </c>
      <c r="M1912" s="1">
        <v>22</v>
      </c>
      <c r="N1912" s="1" t="s">
        <v>68</v>
      </c>
      <c r="O1912" s="1" t="s">
        <v>223</v>
      </c>
      <c r="P1912" s="1" t="s">
        <v>56</v>
      </c>
      <c r="Q1912" s="1" t="s">
        <v>69</v>
      </c>
      <c r="R1912" s="1">
        <v>627.54</v>
      </c>
      <c r="S1912" s="1" t="s">
        <v>46</v>
      </c>
      <c r="T1912" s="1" t="s">
        <v>47</v>
      </c>
      <c r="U1912" s="1" t="s">
        <v>35</v>
      </c>
      <c r="V1912" s="1" t="s">
        <v>36</v>
      </c>
    </row>
    <row r="1913" spans="1:22" x14ac:dyDescent="0.3">
      <c r="A1913" s="1" t="s">
        <v>8751</v>
      </c>
      <c r="B1913" s="1" t="s">
        <v>8752</v>
      </c>
      <c r="C1913" s="1">
        <v>44</v>
      </c>
      <c r="D1913" s="1" t="s">
        <v>8753</v>
      </c>
      <c r="E1913" s="1" t="s">
        <v>95</v>
      </c>
      <c r="F1913" s="2">
        <v>44444</v>
      </c>
      <c r="G1913" s="1" t="s">
        <v>3899</v>
      </c>
      <c r="H1913" s="1">
        <v>1</v>
      </c>
      <c r="I1913" s="1" t="s">
        <v>52</v>
      </c>
      <c r="J1913" s="1" t="s">
        <v>652</v>
      </c>
      <c r="K1913" s="1" t="s">
        <v>8754</v>
      </c>
      <c r="L1913" s="1">
        <v>2</v>
      </c>
      <c r="M1913" s="1">
        <v>9</v>
      </c>
      <c r="N1913" s="1" t="s">
        <v>54</v>
      </c>
      <c r="O1913" s="1" t="s">
        <v>238</v>
      </c>
      <c r="P1913" s="1" t="s">
        <v>45</v>
      </c>
      <c r="Q1913" s="1" t="s">
        <v>32</v>
      </c>
      <c r="R1913" s="1">
        <v>158.56</v>
      </c>
      <c r="S1913" s="1" t="s">
        <v>46</v>
      </c>
      <c r="T1913" s="1" t="s">
        <v>34</v>
      </c>
      <c r="U1913" s="1" t="s">
        <v>101</v>
      </c>
      <c r="V1913" s="1" t="s">
        <v>36</v>
      </c>
    </row>
    <row r="1914" spans="1:22" x14ac:dyDescent="0.3">
      <c r="A1914" s="1" t="s">
        <v>8755</v>
      </c>
      <c r="B1914" s="1" t="s">
        <v>8756</v>
      </c>
      <c r="C1914" s="1">
        <v>48</v>
      </c>
      <c r="D1914" s="1" t="s">
        <v>8757</v>
      </c>
      <c r="E1914" s="1" t="s">
        <v>51</v>
      </c>
      <c r="F1914" s="2">
        <v>45231</v>
      </c>
      <c r="G1914" s="1" t="s">
        <v>2337</v>
      </c>
      <c r="H1914" s="1">
        <v>0</v>
      </c>
      <c r="I1914" s="1" t="s">
        <v>27</v>
      </c>
      <c r="J1914" s="1" t="s">
        <v>8758</v>
      </c>
      <c r="K1914" s="1" t="s">
        <v>8759</v>
      </c>
      <c r="L1914" s="1">
        <v>6</v>
      </c>
      <c r="M1914" s="1">
        <v>9</v>
      </c>
      <c r="N1914" s="1" t="s">
        <v>54</v>
      </c>
      <c r="O1914" s="1" t="s">
        <v>149</v>
      </c>
      <c r="P1914" s="1" t="s">
        <v>30</v>
      </c>
      <c r="Q1914" s="1" t="s">
        <v>69</v>
      </c>
      <c r="R1914" s="1">
        <v>1183.32</v>
      </c>
      <c r="S1914" s="1" t="s">
        <v>46</v>
      </c>
      <c r="T1914" s="1" t="s">
        <v>34</v>
      </c>
      <c r="U1914" s="1" t="s">
        <v>35</v>
      </c>
      <c r="V1914" s="1" t="s">
        <v>36</v>
      </c>
    </row>
    <row r="1915" spans="1:22" x14ac:dyDescent="0.3">
      <c r="A1915" s="1" t="s">
        <v>8760</v>
      </c>
      <c r="B1915" s="1" t="s">
        <v>8761</v>
      </c>
      <c r="C1915" s="1">
        <v>45</v>
      </c>
      <c r="D1915" s="1" t="s">
        <v>8762</v>
      </c>
      <c r="E1915" s="1" t="s">
        <v>51</v>
      </c>
      <c r="F1915" s="2">
        <v>44288</v>
      </c>
      <c r="G1915" s="2">
        <v>44718</v>
      </c>
      <c r="H1915" s="1">
        <v>4</v>
      </c>
      <c r="I1915" s="1" t="s">
        <v>64</v>
      </c>
      <c r="J1915" s="1" t="s">
        <v>8763</v>
      </c>
      <c r="K1915" s="1" t="s">
        <v>8764</v>
      </c>
      <c r="L1915" s="1">
        <v>1</v>
      </c>
      <c r="M1915" s="1">
        <v>23</v>
      </c>
      <c r="N1915" s="1" t="s">
        <v>68</v>
      </c>
      <c r="O1915" s="1" t="s">
        <v>157</v>
      </c>
      <c r="P1915" s="1" t="s">
        <v>68</v>
      </c>
      <c r="Q1915" s="1" t="s">
        <v>69</v>
      </c>
      <c r="R1915" s="1">
        <v>343.73</v>
      </c>
      <c r="S1915" s="1" t="s">
        <v>33</v>
      </c>
      <c r="T1915" s="1" t="s">
        <v>34</v>
      </c>
      <c r="U1915" s="1" t="s">
        <v>35</v>
      </c>
      <c r="V1915" s="1" t="s">
        <v>71</v>
      </c>
    </row>
    <row r="1916" spans="1:22" x14ac:dyDescent="0.3">
      <c r="A1916" s="1" t="s">
        <v>8765</v>
      </c>
      <c r="B1916" s="1" t="s">
        <v>8766</v>
      </c>
      <c r="C1916" s="1">
        <v>67</v>
      </c>
      <c r="D1916" s="1" t="s">
        <v>8767</v>
      </c>
      <c r="E1916" s="1" t="s">
        <v>61</v>
      </c>
      <c r="F1916" s="1" t="s">
        <v>2649</v>
      </c>
      <c r="G1916" s="1" t="s">
        <v>4608</v>
      </c>
      <c r="H1916" s="1">
        <v>3</v>
      </c>
      <c r="I1916" s="1" t="s">
        <v>27</v>
      </c>
      <c r="J1916" s="1" t="s">
        <v>2403</v>
      </c>
      <c r="K1916" s="1" t="s">
        <v>8768</v>
      </c>
      <c r="L1916" s="1">
        <v>6</v>
      </c>
      <c r="M1916" s="1">
        <v>37</v>
      </c>
      <c r="N1916" s="1" t="s">
        <v>45</v>
      </c>
      <c r="O1916" s="1" t="s">
        <v>223</v>
      </c>
      <c r="P1916" s="1" t="s">
        <v>56</v>
      </c>
      <c r="Q1916" s="1" t="s">
        <v>32</v>
      </c>
      <c r="R1916" s="1">
        <v>1101.72</v>
      </c>
      <c r="S1916" s="1" t="s">
        <v>46</v>
      </c>
      <c r="T1916" s="1" t="s">
        <v>232</v>
      </c>
      <c r="U1916" s="1" t="s">
        <v>35</v>
      </c>
      <c r="V1916" s="1" t="s">
        <v>36</v>
      </c>
    </row>
    <row r="1917" spans="1:22" x14ac:dyDescent="0.3">
      <c r="A1917" s="1" t="s">
        <v>8769</v>
      </c>
      <c r="B1917" s="1" t="s">
        <v>8770</v>
      </c>
      <c r="C1917" s="1">
        <v>25</v>
      </c>
      <c r="D1917" s="1" t="s">
        <v>8771</v>
      </c>
      <c r="E1917" s="1" t="s">
        <v>25</v>
      </c>
      <c r="F1917" s="1" t="s">
        <v>445</v>
      </c>
      <c r="G1917" s="2">
        <v>45901</v>
      </c>
      <c r="H1917" s="1">
        <v>5</v>
      </c>
      <c r="I1917" s="1" t="s">
        <v>27</v>
      </c>
      <c r="J1917" s="1" t="s">
        <v>3841</v>
      </c>
      <c r="K1917" s="1" t="s">
        <v>8772</v>
      </c>
      <c r="L1917" s="1">
        <v>7</v>
      </c>
      <c r="M1917" s="1">
        <v>15</v>
      </c>
      <c r="N1917" s="1" t="s">
        <v>56</v>
      </c>
      <c r="O1917" s="1" t="s">
        <v>157</v>
      </c>
      <c r="P1917" s="1" t="s">
        <v>68</v>
      </c>
      <c r="Q1917" s="1" t="s">
        <v>322</v>
      </c>
      <c r="R1917" s="1">
        <v>1863.82</v>
      </c>
      <c r="S1917" s="1" t="s">
        <v>46</v>
      </c>
      <c r="T1917" s="1" t="s">
        <v>57</v>
      </c>
      <c r="U1917" s="1" t="s">
        <v>35</v>
      </c>
      <c r="V1917" s="1" t="s">
        <v>188</v>
      </c>
    </row>
    <row r="1918" spans="1:22" x14ac:dyDescent="0.3">
      <c r="A1918" s="1" t="s">
        <v>8773</v>
      </c>
      <c r="B1918" s="1" t="s">
        <v>8774</v>
      </c>
      <c r="C1918" s="1">
        <v>39</v>
      </c>
      <c r="D1918" s="1" t="s">
        <v>8775</v>
      </c>
      <c r="E1918" s="1" t="s">
        <v>88</v>
      </c>
      <c r="F1918" s="2">
        <v>43930</v>
      </c>
      <c r="G1918" s="1" t="s">
        <v>561</v>
      </c>
      <c r="H1918" s="1">
        <v>3</v>
      </c>
      <c r="I1918" s="1" t="s">
        <v>27</v>
      </c>
      <c r="J1918" s="1" t="s">
        <v>1989</v>
      </c>
      <c r="K1918" s="1" t="s">
        <v>8776</v>
      </c>
      <c r="L1918" s="1">
        <v>6</v>
      </c>
      <c r="M1918" s="1">
        <v>4</v>
      </c>
      <c r="N1918" s="1" t="s">
        <v>68</v>
      </c>
      <c r="O1918" s="1" t="s">
        <v>223</v>
      </c>
      <c r="P1918" s="1" t="s">
        <v>56</v>
      </c>
      <c r="Q1918" s="1" t="s">
        <v>69</v>
      </c>
      <c r="R1918" s="1">
        <v>1386.48</v>
      </c>
      <c r="S1918" s="1" t="s">
        <v>46</v>
      </c>
      <c r="T1918" s="1" t="s">
        <v>34</v>
      </c>
      <c r="U1918" s="1" t="s">
        <v>35</v>
      </c>
      <c r="V1918" s="1" t="s">
        <v>36</v>
      </c>
    </row>
    <row r="1919" spans="1:22" x14ac:dyDescent="0.3">
      <c r="A1919" s="1" t="s">
        <v>8777</v>
      </c>
      <c r="B1919" s="1" t="s">
        <v>8778</v>
      </c>
      <c r="C1919" s="1">
        <v>42</v>
      </c>
      <c r="D1919" s="1" t="s">
        <v>8779</v>
      </c>
      <c r="E1919" s="1" t="s">
        <v>51</v>
      </c>
      <c r="F1919" s="2">
        <v>44538</v>
      </c>
      <c r="G1919" s="1" t="s">
        <v>1190</v>
      </c>
      <c r="H1919" s="1">
        <v>2</v>
      </c>
      <c r="I1919" s="1" t="s">
        <v>27</v>
      </c>
      <c r="J1919" s="2">
        <v>44743</v>
      </c>
      <c r="K1919" s="1" t="s">
        <v>8780</v>
      </c>
      <c r="L1919" s="1">
        <v>7</v>
      </c>
      <c r="M1919" s="1">
        <v>15</v>
      </c>
      <c r="N1919" s="1" t="s">
        <v>56</v>
      </c>
      <c r="O1919" s="1" t="s">
        <v>194</v>
      </c>
      <c r="P1919" s="1" t="s">
        <v>56</v>
      </c>
      <c r="Q1919" s="1" t="s">
        <v>69</v>
      </c>
      <c r="R1919" s="1">
        <v>1827.21</v>
      </c>
      <c r="S1919" s="1" t="s">
        <v>33</v>
      </c>
      <c r="T1919" s="1" t="s">
        <v>34</v>
      </c>
      <c r="U1919" s="1" t="s">
        <v>35</v>
      </c>
      <c r="V1919" s="1" t="s">
        <v>36</v>
      </c>
    </row>
    <row r="1920" spans="1:22" x14ac:dyDescent="0.3">
      <c r="A1920" s="1" t="s">
        <v>8781</v>
      </c>
      <c r="B1920" s="1" t="s">
        <v>8782</v>
      </c>
      <c r="C1920" s="1">
        <v>49</v>
      </c>
      <c r="D1920" s="1" t="s">
        <v>8783</v>
      </c>
      <c r="E1920" s="1" t="s">
        <v>61</v>
      </c>
      <c r="F1920" s="1" t="s">
        <v>8784</v>
      </c>
      <c r="G1920" s="1" t="s">
        <v>2431</v>
      </c>
      <c r="H1920" s="1">
        <v>2</v>
      </c>
      <c r="I1920" s="1" t="s">
        <v>27</v>
      </c>
      <c r="J1920" s="2">
        <v>45142</v>
      </c>
      <c r="K1920" s="1" t="s">
        <v>8785</v>
      </c>
      <c r="L1920" s="1">
        <v>4</v>
      </c>
      <c r="M1920" s="1">
        <v>25</v>
      </c>
      <c r="N1920" s="1" t="s">
        <v>30</v>
      </c>
      <c r="O1920" s="1" t="s">
        <v>855</v>
      </c>
      <c r="P1920" s="1" t="s">
        <v>45</v>
      </c>
      <c r="Q1920" s="1" t="s">
        <v>69</v>
      </c>
      <c r="R1920" s="1">
        <v>881.4</v>
      </c>
      <c r="S1920" s="1" t="s">
        <v>46</v>
      </c>
      <c r="T1920" s="1" t="s">
        <v>34</v>
      </c>
      <c r="U1920" s="1" t="s">
        <v>35</v>
      </c>
      <c r="V1920" s="1" t="s">
        <v>36</v>
      </c>
    </row>
    <row r="1921" spans="1:22" x14ac:dyDescent="0.3">
      <c r="A1921" s="1" t="s">
        <v>8786</v>
      </c>
      <c r="B1921" s="1" t="s">
        <v>8787</v>
      </c>
      <c r="C1921" s="1">
        <v>22</v>
      </c>
      <c r="D1921" s="1" t="s">
        <v>8788</v>
      </c>
      <c r="E1921" s="1" t="s">
        <v>25</v>
      </c>
      <c r="F1921" s="2">
        <v>44351</v>
      </c>
      <c r="G1921" s="1" t="s">
        <v>1215</v>
      </c>
      <c r="H1921" s="1">
        <v>2</v>
      </c>
      <c r="I1921" s="1" t="s">
        <v>64</v>
      </c>
      <c r="J1921" s="2">
        <v>45569</v>
      </c>
      <c r="K1921" s="1" t="s">
        <v>8789</v>
      </c>
      <c r="L1921" s="1">
        <v>7</v>
      </c>
      <c r="M1921" s="1">
        <v>34</v>
      </c>
      <c r="N1921" s="1" t="s">
        <v>56</v>
      </c>
      <c r="O1921" s="1" t="s">
        <v>122</v>
      </c>
      <c r="P1921" s="1" t="s">
        <v>30</v>
      </c>
      <c r="Q1921" s="1" t="s">
        <v>32</v>
      </c>
      <c r="R1921" s="1">
        <v>619.42999999999995</v>
      </c>
      <c r="S1921" s="1" t="s">
        <v>46</v>
      </c>
      <c r="T1921" s="1" t="s">
        <v>100</v>
      </c>
      <c r="U1921" s="1" t="s">
        <v>35</v>
      </c>
      <c r="V1921" s="1" t="s">
        <v>71</v>
      </c>
    </row>
    <row r="1922" spans="1:22" x14ac:dyDescent="0.3">
      <c r="A1922" s="1" t="s">
        <v>8790</v>
      </c>
      <c r="B1922" s="1" t="s">
        <v>8791</v>
      </c>
      <c r="C1922" s="1">
        <v>64</v>
      </c>
      <c r="D1922" s="1" t="s">
        <v>8792</v>
      </c>
      <c r="E1922" s="1" t="s">
        <v>51</v>
      </c>
      <c r="F1922" s="1" t="s">
        <v>1764</v>
      </c>
      <c r="G1922" s="1" t="s">
        <v>8793</v>
      </c>
      <c r="H1922" s="1">
        <v>4</v>
      </c>
      <c r="I1922" s="1" t="s">
        <v>52</v>
      </c>
      <c r="J1922" s="2">
        <v>45568</v>
      </c>
      <c r="K1922" s="1" t="s">
        <v>8794</v>
      </c>
      <c r="L1922" s="1">
        <v>7</v>
      </c>
      <c r="M1922" s="1">
        <v>9</v>
      </c>
      <c r="N1922" s="1" t="s">
        <v>30</v>
      </c>
      <c r="O1922" s="1" t="s">
        <v>238</v>
      </c>
      <c r="P1922" s="1" t="s">
        <v>45</v>
      </c>
      <c r="Q1922" s="1" t="s">
        <v>32</v>
      </c>
      <c r="R1922" s="1">
        <v>1606.92</v>
      </c>
      <c r="S1922" s="1" t="s">
        <v>46</v>
      </c>
      <c r="T1922" s="1" t="s">
        <v>47</v>
      </c>
      <c r="U1922" s="1" t="s">
        <v>35</v>
      </c>
      <c r="V1922" s="1" t="s">
        <v>36</v>
      </c>
    </row>
    <row r="1923" spans="1:22" x14ac:dyDescent="0.3">
      <c r="A1923" s="1" t="s">
        <v>8795</v>
      </c>
      <c r="B1923" s="1" t="s">
        <v>8796</v>
      </c>
      <c r="C1923" s="1">
        <v>64</v>
      </c>
      <c r="D1923" s="1" t="s">
        <v>8797</v>
      </c>
      <c r="E1923" s="1" t="s">
        <v>51</v>
      </c>
      <c r="F1923" s="1" t="s">
        <v>7323</v>
      </c>
      <c r="G1923" s="2">
        <v>45995</v>
      </c>
      <c r="H1923" s="1">
        <v>3</v>
      </c>
      <c r="I1923" s="1" t="s">
        <v>27</v>
      </c>
      <c r="J1923" s="2">
        <v>45753</v>
      </c>
      <c r="K1923" s="1" t="s">
        <v>8798</v>
      </c>
      <c r="L1923" s="1">
        <v>6</v>
      </c>
      <c r="M1923" s="1">
        <v>34</v>
      </c>
      <c r="N1923" s="1" t="s">
        <v>54</v>
      </c>
      <c r="O1923" s="1" t="s">
        <v>116</v>
      </c>
      <c r="P1923" s="1" t="s">
        <v>54</v>
      </c>
      <c r="Q1923" s="1" t="s">
        <v>32</v>
      </c>
      <c r="R1923" s="1">
        <v>230.52</v>
      </c>
      <c r="S1923" s="1" t="s">
        <v>33</v>
      </c>
      <c r="T1923" s="1" t="s">
        <v>47</v>
      </c>
      <c r="U1923" s="1" t="s">
        <v>35</v>
      </c>
      <c r="V1923" s="1" t="s">
        <v>36</v>
      </c>
    </row>
    <row r="1924" spans="1:22" x14ac:dyDescent="0.3">
      <c r="A1924" s="1" t="s">
        <v>8799</v>
      </c>
      <c r="B1924" s="1" t="s">
        <v>8800</v>
      </c>
      <c r="C1924" s="1">
        <v>51</v>
      </c>
      <c r="D1924" s="1" t="s">
        <v>8801</v>
      </c>
      <c r="E1924" s="1" t="s">
        <v>51</v>
      </c>
      <c r="F1924" s="1" t="s">
        <v>4113</v>
      </c>
      <c r="G1924" s="2">
        <v>45902</v>
      </c>
      <c r="H1924" s="1">
        <v>1</v>
      </c>
      <c r="I1924" s="1" t="s">
        <v>52</v>
      </c>
      <c r="J1924" s="1" t="s">
        <v>256</v>
      </c>
      <c r="K1924" s="1" t="s">
        <v>8802</v>
      </c>
      <c r="L1924" s="1">
        <v>6</v>
      </c>
      <c r="M1924" s="1">
        <v>26</v>
      </c>
      <c r="N1924" s="1" t="s">
        <v>68</v>
      </c>
      <c r="O1924" s="1" t="s">
        <v>855</v>
      </c>
      <c r="P1924" s="1" t="s">
        <v>45</v>
      </c>
      <c r="Q1924" s="1" t="s">
        <v>69</v>
      </c>
      <c r="R1924" s="1">
        <v>211.08</v>
      </c>
      <c r="S1924" s="1" t="s">
        <v>46</v>
      </c>
      <c r="T1924" s="1" t="s">
        <v>47</v>
      </c>
      <c r="U1924" s="1" t="s">
        <v>35</v>
      </c>
      <c r="V1924" s="1" t="s">
        <v>36</v>
      </c>
    </row>
    <row r="1925" spans="1:22" x14ac:dyDescent="0.3">
      <c r="A1925" s="1" t="s">
        <v>8803</v>
      </c>
      <c r="B1925" s="1" t="s">
        <v>8804</v>
      </c>
      <c r="C1925" s="1">
        <v>44</v>
      </c>
      <c r="D1925" s="1" t="s">
        <v>8805</v>
      </c>
      <c r="E1925" s="1" t="s">
        <v>88</v>
      </c>
      <c r="F1925" s="1" t="s">
        <v>3001</v>
      </c>
      <c r="G1925" s="1" t="s">
        <v>4786</v>
      </c>
      <c r="H1925" s="1">
        <v>0</v>
      </c>
      <c r="I1925" s="1" t="s">
        <v>27</v>
      </c>
      <c r="J1925" s="2">
        <v>45753</v>
      </c>
      <c r="K1925" s="1" t="s">
        <v>8806</v>
      </c>
      <c r="L1925" s="1">
        <v>1</v>
      </c>
      <c r="M1925" s="1">
        <v>8</v>
      </c>
      <c r="N1925" s="1" t="s">
        <v>30</v>
      </c>
      <c r="O1925" s="1" t="s">
        <v>91</v>
      </c>
      <c r="P1925" s="1" t="s">
        <v>54</v>
      </c>
      <c r="Q1925" s="1" t="s">
        <v>32</v>
      </c>
      <c r="R1925" s="1">
        <v>96.43</v>
      </c>
      <c r="S1925" s="1" t="s">
        <v>46</v>
      </c>
      <c r="T1925" s="1" t="s">
        <v>34</v>
      </c>
      <c r="U1925" s="1" t="s">
        <v>101</v>
      </c>
      <c r="V1925" s="1" t="s">
        <v>36</v>
      </c>
    </row>
    <row r="1926" spans="1:22" x14ac:dyDescent="0.3">
      <c r="A1926" s="1" t="s">
        <v>8807</v>
      </c>
      <c r="B1926" s="1" t="s">
        <v>8808</v>
      </c>
      <c r="C1926" s="1">
        <v>53</v>
      </c>
      <c r="D1926" s="1" t="s">
        <v>8809</v>
      </c>
      <c r="E1926" s="1" t="s">
        <v>40</v>
      </c>
      <c r="F1926" s="2">
        <v>44266</v>
      </c>
      <c r="G1926" s="1" t="s">
        <v>691</v>
      </c>
      <c r="H1926" s="1">
        <v>0</v>
      </c>
      <c r="I1926" s="1" t="s">
        <v>27</v>
      </c>
      <c r="J1926" s="1" t="s">
        <v>8810</v>
      </c>
      <c r="K1926" s="1" t="s">
        <v>8811</v>
      </c>
      <c r="L1926" s="1">
        <v>9</v>
      </c>
      <c r="M1926" s="1">
        <v>44</v>
      </c>
      <c r="N1926" s="1" t="s">
        <v>45</v>
      </c>
      <c r="O1926" s="1" t="s">
        <v>251</v>
      </c>
      <c r="P1926" s="1" t="s">
        <v>30</v>
      </c>
      <c r="Q1926" s="1" t="s">
        <v>69</v>
      </c>
      <c r="R1926" s="1">
        <v>1786.68</v>
      </c>
      <c r="S1926" s="1" t="s">
        <v>46</v>
      </c>
      <c r="T1926" s="1" t="s">
        <v>47</v>
      </c>
      <c r="U1926" s="1" t="s">
        <v>35</v>
      </c>
      <c r="V1926" s="1" t="s">
        <v>36</v>
      </c>
    </row>
    <row r="1927" spans="1:22" x14ac:dyDescent="0.3">
      <c r="A1927" s="1" t="s">
        <v>8812</v>
      </c>
      <c r="B1927" s="1" t="s">
        <v>8813</v>
      </c>
      <c r="C1927" s="1">
        <v>33</v>
      </c>
      <c r="D1927" s="1" t="s">
        <v>8814</v>
      </c>
      <c r="E1927" s="1" t="s">
        <v>51</v>
      </c>
      <c r="F1927" s="1" t="s">
        <v>939</v>
      </c>
      <c r="G1927" s="1" t="s">
        <v>1988</v>
      </c>
      <c r="H1927" s="1">
        <v>4</v>
      </c>
      <c r="I1927" s="1" t="s">
        <v>64</v>
      </c>
      <c r="J1927" s="2">
        <v>45690</v>
      </c>
      <c r="K1927" s="1" t="s">
        <v>8815</v>
      </c>
      <c r="L1927" s="1">
        <v>3</v>
      </c>
      <c r="M1927" s="1">
        <v>47</v>
      </c>
      <c r="N1927" s="1" t="s">
        <v>30</v>
      </c>
      <c r="O1927" s="1" t="s">
        <v>44</v>
      </c>
      <c r="P1927" s="1" t="s">
        <v>45</v>
      </c>
      <c r="Q1927" s="1" t="s">
        <v>32</v>
      </c>
      <c r="R1927" s="1">
        <v>1271.7</v>
      </c>
      <c r="S1927" s="1" t="s">
        <v>46</v>
      </c>
      <c r="T1927" s="1" t="s">
        <v>57</v>
      </c>
      <c r="U1927" s="1" t="s">
        <v>35</v>
      </c>
      <c r="V1927" s="1" t="s">
        <v>71</v>
      </c>
    </row>
    <row r="1928" spans="1:22" x14ac:dyDescent="0.3">
      <c r="A1928" s="1" t="s">
        <v>8816</v>
      </c>
      <c r="B1928" s="1" t="s">
        <v>8817</v>
      </c>
      <c r="C1928" s="1">
        <v>27</v>
      </c>
      <c r="D1928" s="1" t="s">
        <v>8818</v>
      </c>
      <c r="E1928" s="1" t="s">
        <v>25</v>
      </c>
      <c r="F1928" s="2">
        <v>45080</v>
      </c>
      <c r="G1928" s="1" t="s">
        <v>5101</v>
      </c>
      <c r="H1928" s="1">
        <v>2</v>
      </c>
      <c r="I1928" s="1" t="s">
        <v>27</v>
      </c>
      <c r="J1928" s="1" t="s">
        <v>508</v>
      </c>
      <c r="K1928" s="1" t="s">
        <v>8819</v>
      </c>
      <c r="L1928" s="1">
        <v>4</v>
      </c>
      <c r="M1928" s="1">
        <v>48</v>
      </c>
      <c r="N1928" s="1" t="s">
        <v>56</v>
      </c>
      <c r="O1928" s="1" t="s">
        <v>223</v>
      </c>
      <c r="P1928" s="1" t="s">
        <v>56</v>
      </c>
      <c r="Q1928" s="1" t="s">
        <v>32</v>
      </c>
      <c r="R1928" s="1">
        <v>728.64</v>
      </c>
      <c r="S1928" s="1" t="s">
        <v>33</v>
      </c>
      <c r="T1928" s="1" t="s">
        <v>57</v>
      </c>
      <c r="U1928" s="1" t="s">
        <v>35</v>
      </c>
      <c r="V1928" s="1" t="s">
        <v>36</v>
      </c>
    </row>
    <row r="1929" spans="1:22" x14ac:dyDescent="0.3">
      <c r="A1929" s="1" t="s">
        <v>8820</v>
      </c>
      <c r="B1929" s="1" t="s">
        <v>8821</v>
      </c>
      <c r="C1929" s="1">
        <v>30</v>
      </c>
      <c r="D1929" s="1" t="s">
        <v>8822</v>
      </c>
      <c r="E1929" s="1" t="s">
        <v>40</v>
      </c>
      <c r="F1929" s="2">
        <v>44900</v>
      </c>
      <c r="G1929" s="1" t="s">
        <v>5692</v>
      </c>
      <c r="H1929" s="1">
        <v>2</v>
      </c>
      <c r="I1929" s="1" t="s">
        <v>52</v>
      </c>
      <c r="J1929" s="1" t="s">
        <v>1551</v>
      </c>
      <c r="K1929" s="1" t="s">
        <v>8823</v>
      </c>
      <c r="L1929" s="1">
        <v>1</v>
      </c>
      <c r="M1929" s="1">
        <v>44</v>
      </c>
      <c r="N1929" s="1" t="s">
        <v>30</v>
      </c>
      <c r="O1929" s="1" t="s">
        <v>373</v>
      </c>
      <c r="P1929" s="1" t="s">
        <v>54</v>
      </c>
      <c r="Q1929" s="1" t="s">
        <v>32</v>
      </c>
      <c r="R1929" s="1">
        <v>978.85</v>
      </c>
      <c r="S1929" s="1" t="s">
        <v>46</v>
      </c>
      <c r="T1929" s="1" t="s">
        <v>57</v>
      </c>
      <c r="U1929" s="1" t="s">
        <v>35</v>
      </c>
      <c r="V1929" s="1" t="s">
        <v>36</v>
      </c>
    </row>
    <row r="1930" spans="1:22" x14ac:dyDescent="0.3">
      <c r="A1930" s="1" t="s">
        <v>8824</v>
      </c>
      <c r="B1930" s="1" t="s">
        <v>8825</v>
      </c>
      <c r="C1930" s="1">
        <v>27</v>
      </c>
      <c r="D1930" s="1" t="s">
        <v>8826</v>
      </c>
      <c r="E1930" s="1" t="s">
        <v>88</v>
      </c>
      <c r="F1930" s="1" t="s">
        <v>1189</v>
      </c>
      <c r="G1930" s="1" t="s">
        <v>2201</v>
      </c>
      <c r="H1930" s="1">
        <v>1</v>
      </c>
      <c r="I1930" s="1" t="s">
        <v>52</v>
      </c>
      <c r="J1930" s="1" t="s">
        <v>1791</v>
      </c>
      <c r="K1930" s="1" t="s">
        <v>8827</v>
      </c>
      <c r="L1930" s="1">
        <v>2</v>
      </c>
      <c r="M1930" s="1">
        <v>31</v>
      </c>
      <c r="N1930" s="1" t="s">
        <v>45</v>
      </c>
      <c r="O1930" s="1" t="s">
        <v>855</v>
      </c>
      <c r="P1930" s="1" t="s">
        <v>45</v>
      </c>
      <c r="Q1930" s="1" t="s">
        <v>32</v>
      </c>
      <c r="R1930" s="1">
        <v>1314.12</v>
      </c>
      <c r="S1930" s="1" t="s">
        <v>33</v>
      </c>
      <c r="T1930" s="1" t="s">
        <v>57</v>
      </c>
      <c r="U1930" s="1" t="s">
        <v>35</v>
      </c>
      <c r="V1930" s="1" t="s">
        <v>36</v>
      </c>
    </row>
    <row r="1931" spans="1:22" x14ac:dyDescent="0.3">
      <c r="A1931" s="1" t="s">
        <v>8828</v>
      </c>
      <c r="B1931" s="1" t="s">
        <v>8829</v>
      </c>
      <c r="C1931" s="1">
        <v>18</v>
      </c>
      <c r="D1931" s="1" t="s">
        <v>8830</v>
      </c>
      <c r="E1931" s="1" t="s">
        <v>40</v>
      </c>
      <c r="F1931" s="1" t="s">
        <v>337</v>
      </c>
      <c r="G1931" s="1" t="s">
        <v>1977</v>
      </c>
      <c r="H1931" s="1">
        <v>5</v>
      </c>
      <c r="I1931" s="1" t="s">
        <v>27</v>
      </c>
      <c r="J1931" s="1" t="s">
        <v>550</v>
      </c>
      <c r="K1931" s="1" t="s">
        <v>8831</v>
      </c>
      <c r="L1931" s="1">
        <v>8</v>
      </c>
      <c r="M1931" s="1">
        <v>41</v>
      </c>
      <c r="N1931" s="1" t="s">
        <v>45</v>
      </c>
      <c r="O1931" s="1" t="s">
        <v>199</v>
      </c>
      <c r="P1931" s="1" t="s">
        <v>54</v>
      </c>
      <c r="Q1931" s="1" t="s">
        <v>32</v>
      </c>
      <c r="R1931" s="1">
        <v>54.24</v>
      </c>
      <c r="S1931" s="1" t="s">
        <v>46</v>
      </c>
      <c r="T1931" s="1" t="s">
        <v>100</v>
      </c>
      <c r="U1931" s="1" t="s">
        <v>101</v>
      </c>
      <c r="V1931" s="1" t="s">
        <v>188</v>
      </c>
    </row>
    <row r="1932" spans="1:22" x14ac:dyDescent="0.3">
      <c r="A1932" s="1" t="s">
        <v>8832</v>
      </c>
      <c r="B1932" s="1" t="s">
        <v>8833</v>
      </c>
      <c r="C1932" s="1">
        <v>21</v>
      </c>
      <c r="D1932" s="1" t="s">
        <v>8834</v>
      </c>
      <c r="E1932" s="1" t="s">
        <v>61</v>
      </c>
      <c r="F1932" s="1" t="s">
        <v>3367</v>
      </c>
      <c r="G1932" s="1" t="s">
        <v>339</v>
      </c>
      <c r="H1932" s="1">
        <v>0</v>
      </c>
      <c r="I1932" s="1" t="s">
        <v>52</v>
      </c>
      <c r="J1932" s="1" t="s">
        <v>1396</v>
      </c>
      <c r="K1932" s="1" t="s">
        <v>8835</v>
      </c>
      <c r="L1932" s="1">
        <v>2</v>
      </c>
      <c r="M1932" s="1">
        <v>48</v>
      </c>
      <c r="N1932" s="1" t="s">
        <v>30</v>
      </c>
      <c r="O1932" s="1" t="s">
        <v>99</v>
      </c>
      <c r="P1932" s="1" t="s">
        <v>56</v>
      </c>
      <c r="Q1932" s="1" t="s">
        <v>69</v>
      </c>
      <c r="R1932" s="1">
        <v>579.6</v>
      </c>
      <c r="S1932" s="1" t="s">
        <v>46</v>
      </c>
      <c r="T1932" s="1" t="s">
        <v>100</v>
      </c>
      <c r="U1932" s="1" t="s">
        <v>35</v>
      </c>
      <c r="V1932" s="1" t="s">
        <v>36</v>
      </c>
    </row>
    <row r="1933" spans="1:22" x14ac:dyDescent="0.3">
      <c r="A1933" s="1" t="s">
        <v>8836</v>
      </c>
      <c r="B1933" s="1" t="s">
        <v>8837</v>
      </c>
      <c r="C1933" s="1">
        <v>19</v>
      </c>
      <c r="D1933" s="1" t="s">
        <v>8838</v>
      </c>
      <c r="E1933" s="1" t="s">
        <v>40</v>
      </c>
      <c r="F1933" s="2">
        <v>44598</v>
      </c>
      <c r="G1933" s="1" t="s">
        <v>1397</v>
      </c>
      <c r="H1933" s="1">
        <v>0</v>
      </c>
      <c r="I1933" s="1" t="s">
        <v>52</v>
      </c>
      <c r="J1933" s="1" t="s">
        <v>1200</v>
      </c>
      <c r="K1933" s="1" t="s">
        <v>8839</v>
      </c>
      <c r="L1933" s="1">
        <v>8</v>
      </c>
      <c r="M1933" s="1">
        <v>12</v>
      </c>
      <c r="N1933" s="1" t="s">
        <v>56</v>
      </c>
      <c r="O1933" s="1" t="s">
        <v>142</v>
      </c>
      <c r="P1933" s="1" t="s">
        <v>68</v>
      </c>
      <c r="Q1933" s="1" t="s">
        <v>32</v>
      </c>
      <c r="R1933" s="1">
        <v>173.76</v>
      </c>
      <c r="S1933" s="1" t="s">
        <v>46</v>
      </c>
      <c r="T1933" s="1" t="s">
        <v>100</v>
      </c>
      <c r="U1933" s="1" t="s">
        <v>101</v>
      </c>
      <c r="V1933" s="1" t="s">
        <v>36</v>
      </c>
    </row>
    <row r="1934" spans="1:22" x14ac:dyDescent="0.3">
      <c r="A1934" s="1" t="s">
        <v>8840</v>
      </c>
      <c r="B1934" s="1" t="s">
        <v>8841</v>
      </c>
      <c r="C1934" s="1">
        <v>49</v>
      </c>
      <c r="D1934" s="1" t="s">
        <v>8842</v>
      </c>
      <c r="E1934" s="1" t="s">
        <v>95</v>
      </c>
      <c r="F1934" s="2">
        <v>44383</v>
      </c>
      <c r="G1934" s="1" t="s">
        <v>5110</v>
      </c>
      <c r="H1934" s="1">
        <v>1</v>
      </c>
      <c r="I1934" s="1" t="s">
        <v>52</v>
      </c>
      <c r="J1934" s="1" t="s">
        <v>4456</v>
      </c>
      <c r="K1934" s="1" t="s">
        <v>8843</v>
      </c>
      <c r="L1934" s="1">
        <v>1</v>
      </c>
      <c r="M1934" s="1">
        <v>32</v>
      </c>
      <c r="N1934" s="1" t="s">
        <v>45</v>
      </c>
      <c r="O1934" s="1" t="s">
        <v>199</v>
      </c>
      <c r="P1934" s="1" t="s">
        <v>54</v>
      </c>
      <c r="Q1934" s="1" t="s">
        <v>32</v>
      </c>
      <c r="R1934" s="1">
        <v>780.1</v>
      </c>
      <c r="S1934" s="1" t="s">
        <v>46</v>
      </c>
      <c r="T1934" s="1" t="s">
        <v>34</v>
      </c>
      <c r="U1934" s="1" t="s">
        <v>35</v>
      </c>
      <c r="V1934" s="1" t="s">
        <v>36</v>
      </c>
    </row>
    <row r="1935" spans="1:22" x14ac:dyDescent="0.3">
      <c r="A1935" s="1" t="s">
        <v>8844</v>
      </c>
      <c r="B1935" s="1" t="s">
        <v>8845</v>
      </c>
      <c r="C1935" s="1">
        <v>46</v>
      </c>
      <c r="D1935" s="1" t="s">
        <v>8846</v>
      </c>
      <c r="E1935" s="1" t="s">
        <v>25</v>
      </c>
      <c r="F1935" s="1" t="s">
        <v>835</v>
      </c>
      <c r="G1935" s="2">
        <v>45658</v>
      </c>
      <c r="H1935" s="1">
        <v>0</v>
      </c>
      <c r="I1935" s="1" t="s">
        <v>27</v>
      </c>
      <c r="J1935" s="1" t="s">
        <v>1675</v>
      </c>
      <c r="K1935" s="1" t="s">
        <v>8847</v>
      </c>
      <c r="L1935" s="1">
        <v>3</v>
      </c>
      <c r="M1935" s="1">
        <v>8</v>
      </c>
      <c r="N1935" s="1" t="s">
        <v>30</v>
      </c>
      <c r="O1935" s="1" t="s">
        <v>366</v>
      </c>
      <c r="P1935" s="1" t="s">
        <v>54</v>
      </c>
      <c r="Q1935" s="1" t="s">
        <v>69</v>
      </c>
      <c r="R1935" s="1">
        <v>1381.44</v>
      </c>
      <c r="S1935" s="1" t="s">
        <v>46</v>
      </c>
      <c r="T1935" s="1" t="s">
        <v>34</v>
      </c>
      <c r="U1935" s="1" t="s">
        <v>35</v>
      </c>
      <c r="V1935" s="1" t="s">
        <v>36</v>
      </c>
    </row>
    <row r="1936" spans="1:22" x14ac:dyDescent="0.3">
      <c r="A1936" s="1" t="s">
        <v>8848</v>
      </c>
      <c r="B1936" s="1" t="s">
        <v>8849</v>
      </c>
      <c r="C1936" s="1">
        <v>58</v>
      </c>
      <c r="D1936" s="1" t="s">
        <v>8850</v>
      </c>
      <c r="E1936" s="1" t="s">
        <v>88</v>
      </c>
      <c r="F1936" s="1" t="s">
        <v>1396</v>
      </c>
      <c r="G1936" s="1" t="s">
        <v>551</v>
      </c>
      <c r="H1936" s="1">
        <v>5</v>
      </c>
      <c r="I1936" s="1" t="s">
        <v>27</v>
      </c>
      <c r="J1936" s="1" t="s">
        <v>2354</v>
      </c>
      <c r="K1936" s="1" t="s">
        <v>8851</v>
      </c>
      <c r="L1936" s="1">
        <v>6</v>
      </c>
      <c r="M1936" s="1">
        <v>1</v>
      </c>
      <c r="N1936" s="1" t="s">
        <v>54</v>
      </c>
      <c r="O1936" s="1" t="s">
        <v>354</v>
      </c>
      <c r="P1936" s="1" t="s">
        <v>45</v>
      </c>
      <c r="Q1936" s="1" t="s">
        <v>32</v>
      </c>
      <c r="R1936" s="1">
        <v>1994.7</v>
      </c>
      <c r="S1936" s="1" t="s">
        <v>46</v>
      </c>
      <c r="T1936" s="1" t="s">
        <v>47</v>
      </c>
      <c r="U1936" s="1" t="s">
        <v>101</v>
      </c>
      <c r="V1936" s="1" t="s">
        <v>188</v>
      </c>
    </row>
    <row r="1937" spans="1:22" x14ac:dyDescent="0.3">
      <c r="A1937" s="1" t="s">
        <v>8852</v>
      </c>
      <c r="B1937" s="1" t="s">
        <v>8853</v>
      </c>
      <c r="C1937" s="1">
        <v>26</v>
      </c>
      <c r="D1937" s="1" t="s">
        <v>8854</v>
      </c>
      <c r="E1937" s="1" t="s">
        <v>88</v>
      </c>
      <c r="F1937" s="1" t="s">
        <v>236</v>
      </c>
      <c r="G1937" s="2">
        <v>45081</v>
      </c>
      <c r="H1937" s="1">
        <v>0</v>
      </c>
      <c r="I1937" s="1" t="s">
        <v>27</v>
      </c>
      <c r="J1937" s="2">
        <v>45391</v>
      </c>
      <c r="K1937" s="1" t="s">
        <v>8855</v>
      </c>
      <c r="L1937" s="1">
        <v>4</v>
      </c>
      <c r="M1937" s="1">
        <v>2</v>
      </c>
      <c r="N1937" s="1" t="s">
        <v>30</v>
      </c>
      <c r="O1937" s="1" t="s">
        <v>223</v>
      </c>
      <c r="P1937" s="1" t="s">
        <v>56</v>
      </c>
      <c r="Q1937" s="1" t="s">
        <v>322</v>
      </c>
      <c r="R1937" s="1">
        <v>265</v>
      </c>
      <c r="S1937" s="1" t="s">
        <v>46</v>
      </c>
      <c r="T1937" s="1" t="s">
        <v>57</v>
      </c>
      <c r="U1937" s="1" t="s">
        <v>70</v>
      </c>
      <c r="V1937" s="1" t="s">
        <v>36</v>
      </c>
    </row>
    <row r="1938" spans="1:22" x14ac:dyDescent="0.3">
      <c r="A1938" s="1" t="s">
        <v>8856</v>
      </c>
      <c r="B1938" s="1" t="s">
        <v>8857</v>
      </c>
      <c r="C1938" s="1">
        <v>49</v>
      </c>
      <c r="D1938" s="1" t="s">
        <v>8858</v>
      </c>
      <c r="E1938" s="1" t="s">
        <v>40</v>
      </c>
      <c r="F1938" s="2">
        <v>44085</v>
      </c>
      <c r="G1938" s="1" t="s">
        <v>1252</v>
      </c>
      <c r="H1938" s="1">
        <v>0</v>
      </c>
      <c r="I1938" s="1" t="s">
        <v>52</v>
      </c>
      <c r="J1938" s="2">
        <v>44448</v>
      </c>
      <c r="K1938" s="1" t="s">
        <v>8859</v>
      </c>
      <c r="L1938" s="1">
        <v>8</v>
      </c>
      <c r="M1938" s="1">
        <v>14</v>
      </c>
      <c r="N1938" s="1" t="s">
        <v>45</v>
      </c>
      <c r="O1938" s="1" t="s">
        <v>157</v>
      </c>
      <c r="P1938" s="1" t="s">
        <v>68</v>
      </c>
      <c r="Q1938" s="1" t="s">
        <v>69</v>
      </c>
      <c r="R1938" s="1">
        <v>1063.3599999999999</v>
      </c>
      <c r="S1938" s="1" t="s">
        <v>46</v>
      </c>
      <c r="T1938" s="1" t="s">
        <v>34</v>
      </c>
      <c r="U1938" s="1" t="s">
        <v>35</v>
      </c>
      <c r="V1938" s="1" t="s">
        <v>36</v>
      </c>
    </row>
    <row r="1939" spans="1:22" x14ac:dyDescent="0.3">
      <c r="A1939" s="1" t="s">
        <v>8860</v>
      </c>
      <c r="B1939" s="1" t="s">
        <v>8861</v>
      </c>
      <c r="C1939" s="1">
        <v>63</v>
      </c>
      <c r="D1939" s="1" t="s">
        <v>8862</v>
      </c>
      <c r="E1939" s="1" t="s">
        <v>88</v>
      </c>
      <c r="F1939" s="1" t="s">
        <v>4713</v>
      </c>
      <c r="G1939" s="2">
        <v>45170</v>
      </c>
      <c r="H1939" s="1">
        <v>0</v>
      </c>
      <c r="I1939" s="1" t="s">
        <v>27</v>
      </c>
      <c r="J1939" s="2">
        <v>45356</v>
      </c>
      <c r="K1939" s="1" t="s">
        <v>8863</v>
      </c>
      <c r="L1939" s="1">
        <v>9</v>
      </c>
      <c r="M1939" s="1">
        <v>5</v>
      </c>
      <c r="N1939" s="1" t="s">
        <v>30</v>
      </c>
      <c r="O1939" s="1" t="s">
        <v>373</v>
      </c>
      <c r="P1939" s="1" t="s">
        <v>54</v>
      </c>
      <c r="Q1939" s="1" t="s">
        <v>32</v>
      </c>
      <c r="R1939" s="1">
        <v>1685.16</v>
      </c>
      <c r="S1939" s="1" t="s">
        <v>46</v>
      </c>
      <c r="T1939" s="1" t="s">
        <v>47</v>
      </c>
      <c r="U1939" s="1" t="s">
        <v>35</v>
      </c>
      <c r="V1939" s="1" t="s">
        <v>36</v>
      </c>
    </row>
    <row r="1940" spans="1:22" x14ac:dyDescent="0.3">
      <c r="A1940" s="1" t="s">
        <v>8864</v>
      </c>
      <c r="B1940" s="1" t="s">
        <v>8865</v>
      </c>
      <c r="C1940" s="1">
        <v>41</v>
      </c>
      <c r="D1940" s="1" t="s">
        <v>8866</v>
      </c>
      <c r="E1940" s="1" t="s">
        <v>95</v>
      </c>
      <c r="F1940" s="2">
        <v>44564</v>
      </c>
      <c r="G1940" s="2">
        <v>45536</v>
      </c>
      <c r="H1940" s="1">
        <v>2</v>
      </c>
      <c r="I1940" s="1" t="s">
        <v>64</v>
      </c>
      <c r="J1940" s="1" t="s">
        <v>711</v>
      </c>
      <c r="K1940" s="1" t="s">
        <v>8867</v>
      </c>
      <c r="L1940" s="1">
        <v>1</v>
      </c>
      <c r="M1940" s="1">
        <v>48</v>
      </c>
      <c r="N1940" s="1" t="s">
        <v>45</v>
      </c>
      <c r="O1940" s="1" t="s">
        <v>44</v>
      </c>
      <c r="P1940" s="1" t="s">
        <v>45</v>
      </c>
      <c r="Q1940" s="1" t="s">
        <v>32</v>
      </c>
      <c r="R1940" s="1">
        <v>1575.87</v>
      </c>
      <c r="S1940" s="1" t="s">
        <v>33</v>
      </c>
      <c r="T1940" s="1" t="s">
        <v>34</v>
      </c>
      <c r="U1940" s="1" t="s">
        <v>35</v>
      </c>
      <c r="V1940" s="1" t="s">
        <v>71</v>
      </c>
    </row>
    <row r="1941" spans="1:22" x14ac:dyDescent="0.3">
      <c r="A1941" s="1" t="s">
        <v>8868</v>
      </c>
      <c r="B1941" s="1" t="s">
        <v>8869</v>
      </c>
      <c r="C1941" s="1">
        <v>50</v>
      </c>
      <c r="D1941" s="1" t="s">
        <v>8870</v>
      </c>
      <c r="E1941" s="1" t="s">
        <v>61</v>
      </c>
      <c r="F1941" s="1" t="s">
        <v>513</v>
      </c>
      <c r="G1941" s="2">
        <v>45628</v>
      </c>
      <c r="H1941" s="1">
        <v>0</v>
      </c>
      <c r="I1941" s="1" t="s">
        <v>27</v>
      </c>
      <c r="J1941" s="2">
        <v>45176</v>
      </c>
      <c r="K1941" s="1" t="s">
        <v>8871</v>
      </c>
      <c r="L1941" s="1">
        <v>5</v>
      </c>
      <c r="M1941" s="1">
        <v>11</v>
      </c>
      <c r="N1941" s="1" t="s">
        <v>54</v>
      </c>
      <c r="O1941" s="1" t="s">
        <v>199</v>
      </c>
      <c r="P1941" s="1" t="s">
        <v>54</v>
      </c>
      <c r="Q1941" s="1" t="s">
        <v>69</v>
      </c>
      <c r="R1941" s="1">
        <v>705.65</v>
      </c>
      <c r="S1941" s="1" t="s">
        <v>33</v>
      </c>
      <c r="T1941" s="1" t="s">
        <v>47</v>
      </c>
      <c r="U1941" s="1" t="s">
        <v>35</v>
      </c>
      <c r="V1941" s="1" t="s">
        <v>36</v>
      </c>
    </row>
    <row r="1942" spans="1:22" x14ac:dyDescent="0.3">
      <c r="A1942" s="1" t="s">
        <v>8872</v>
      </c>
      <c r="B1942" s="1" t="s">
        <v>8873</v>
      </c>
      <c r="C1942" s="1">
        <v>46</v>
      </c>
      <c r="D1942" s="1" t="s">
        <v>8874</v>
      </c>
      <c r="E1942" s="1" t="s">
        <v>51</v>
      </c>
      <c r="F1942" s="2">
        <v>44417</v>
      </c>
      <c r="G1942" s="1" t="s">
        <v>1402</v>
      </c>
      <c r="H1942" s="1">
        <v>5</v>
      </c>
      <c r="I1942" s="1" t="s">
        <v>27</v>
      </c>
      <c r="J1942" s="2">
        <v>45423</v>
      </c>
      <c r="K1942" s="1" t="s">
        <v>8875</v>
      </c>
      <c r="L1942" s="1">
        <v>3</v>
      </c>
      <c r="M1942" s="1">
        <v>11</v>
      </c>
      <c r="N1942" s="1" t="s">
        <v>30</v>
      </c>
      <c r="O1942" s="1" t="s">
        <v>194</v>
      </c>
      <c r="P1942" s="1" t="s">
        <v>56</v>
      </c>
      <c r="Q1942" s="1" t="s">
        <v>69</v>
      </c>
      <c r="R1942" s="1">
        <v>1753.11</v>
      </c>
      <c r="S1942" s="1" t="s">
        <v>46</v>
      </c>
      <c r="T1942" s="1" t="s">
        <v>34</v>
      </c>
      <c r="U1942" s="1" t="s">
        <v>35</v>
      </c>
      <c r="V1942" s="1" t="s">
        <v>188</v>
      </c>
    </row>
    <row r="1943" spans="1:22" x14ac:dyDescent="0.3">
      <c r="A1943" s="1" t="s">
        <v>8876</v>
      </c>
      <c r="B1943" s="1" t="s">
        <v>8877</v>
      </c>
      <c r="C1943" s="1">
        <v>59</v>
      </c>
      <c r="D1943" s="1" t="s">
        <v>8878</v>
      </c>
      <c r="E1943" s="1" t="s">
        <v>40</v>
      </c>
      <c r="F1943" s="2">
        <v>44599</v>
      </c>
      <c r="G1943" s="1" t="s">
        <v>2431</v>
      </c>
      <c r="H1943" s="1">
        <v>4</v>
      </c>
      <c r="I1943" s="1" t="s">
        <v>27</v>
      </c>
      <c r="J1943" s="2">
        <v>45022</v>
      </c>
      <c r="K1943" s="1" t="s">
        <v>8879</v>
      </c>
      <c r="L1943" s="1">
        <v>5</v>
      </c>
      <c r="M1943" s="1">
        <v>17</v>
      </c>
      <c r="N1943" s="1" t="s">
        <v>54</v>
      </c>
      <c r="O1943" s="1" t="s">
        <v>135</v>
      </c>
      <c r="P1943" s="1" t="s">
        <v>45</v>
      </c>
      <c r="Q1943" s="1" t="s">
        <v>32</v>
      </c>
      <c r="R1943" s="1">
        <v>1945.25</v>
      </c>
      <c r="S1943" s="1" t="s">
        <v>46</v>
      </c>
      <c r="T1943" s="1" t="s">
        <v>47</v>
      </c>
      <c r="U1943" s="1" t="s">
        <v>35</v>
      </c>
      <c r="V1943" s="1" t="s">
        <v>188</v>
      </c>
    </row>
    <row r="1944" spans="1:22" x14ac:dyDescent="0.3">
      <c r="A1944" s="1" t="s">
        <v>8880</v>
      </c>
      <c r="B1944" s="1" t="s">
        <v>8881</v>
      </c>
      <c r="C1944" s="1">
        <v>61</v>
      </c>
      <c r="D1944" s="1" t="s">
        <v>8882</v>
      </c>
      <c r="E1944" s="1" t="s">
        <v>88</v>
      </c>
      <c r="F1944" s="1" t="s">
        <v>1195</v>
      </c>
      <c r="G1944" s="2">
        <v>45455</v>
      </c>
      <c r="H1944" s="1">
        <v>2</v>
      </c>
      <c r="I1944" s="1" t="s">
        <v>27</v>
      </c>
      <c r="J1944" s="1" t="s">
        <v>561</v>
      </c>
      <c r="K1944" s="1" t="s">
        <v>8883</v>
      </c>
      <c r="L1944" s="1">
        <v>3</v>
      </c>
      <c r="M1944" s="1">
        <v>41</v>
      </c>
      <c r="N1944" s="1" t="s">
        <v>45</v>
      </c>
      <c r="O1944" s="1" t="s">
        <v>536</v>
      </c>
      <c r="P1944" s="1" t="s">
        <v>68</v>
      </c>
      <c r="Q1944" s="1" t="s">
        <v>32</v>
      </c>
      <c r="R1944" s="1">
        <v>1487.22</v>
      </c>
      <c r="S1944" s="1" t="s">
        <v>46</v>
      </c>
      <c r="T1944" s="1" t="s">
        <v>47</v>
      </c>
      <c r="U1944" s="1" t="s">
        <v>35</v>
      </c>
      <c r="V1944" s="1" t="s">
        <v>36</v>
      </c>
    </row>
    <row r="1945" spans="1:22" x14ac:dyDescent="0.3">
      <c r="A1945" s="1" t="s">
        <v>8884</v>
      </c>
      <c r="B1945" s="1" t="s">
        <v>8885</v>
      </c>
      <c r="C1945" s="1">
        <v>60</v>
      </c>
      <c r="D1945" s="1" t="s">
        <v>8886</v>
      </c>
      <c r="E1945" s="1" t="s">
        <v>88</v>
      </c>
      <c r="F1945" s="1" t="s">
        <v>1189</v>
      </c>
      <c r="G1945" s="2">
        <v>45874</v>
      </c>
      <c r="H1945" s="1">
        <v>5</v>
      </c>
      <c r="I1945" s="1" t="s">
        <v>27</v>
      </c>
      <c r="J1945" s="2">
        <v>44603</v>
      </c>
      <c r="K1945" s="1" t="s">
        <v>8887</v>
      </c>
      <c r="L1945" s="1">
        <v>9</v>
      </c>
      <c r="M1945" s="1">
        <v>32</v>
      </c>
      <c r="N1945" s="1" t="s">
        <v>30</v>
      </c>
      <c r="O1945" s="1" t="s">
        <v>354</v>
      </c>
      <c r="P1945" s="1" t="s">
        <v>45</v>
      </c>
      <c r="Q1945" s="1" t="s">
        <v>69</v>
      </c>
      <c r="R1945" s="1">
        <v>174.51</v>
      </c>
      <c r="S1945" s="1" t="s">
        <v>46</v>
      </c>
      <c r="T1945" s="1" t="s">
        <v>47</v>
      </c>
      <c r="U1945" s="1" t="s">
        <v>35</v>
      </c>
      <c r="V1945" s="1" t="s">
        <v>188</v>
      </c>
    </row>
    <row r="1946" spans="1:22" x14ac:dyDescent="0.3">
      <c r="A1946" s="1" t="s">
        <v>8888</v>
      </c>
      <c r="B1946" s="1" t="s">
        <v>8889</v>
      </c>
      <c r="C1946" s="1">
        <v>35</v>
      </c>
      <c r="D1946" s="1" t="s">
        <v>8890</v>
      </c>
      <c r="E1946" s="1" t="s">
        <v>95</v>
      </c>
      <c r="F1946" s="1" t="s">
        <v>1143</v>
      </c>
      <c r="G1946" s="1" t="s">
        <v>298</v>
      </c>
      <c r="H1946" s="1">
        <v>2</v>
      </c>
      <c r="I1946" s="1" t="s">
        <v>52</v>
      </c>
      <c r="J1946" s="1" t="s">
        <v>2352</v>
      </c>
      <c r="K1946" s="1" t="s">
        <v>8891</v>
      </c>
      <c r="L1946" s="1">
        <v>3</v>
      </c>
      <c r="M1946" s="1">
        <v>28</v>
      </c>
      <c r="N1946" s="1" t="s">
        <v>54</v>
      </c>
      <c r="O1946" s="1" t="s">
        <v>31</v>
      </c>
      <c r="P1946" s="1" t="s">
        <v>30</v>
      </c>
      <c r="Q1946" s="1" t="s">
        <v>69</v>
      </c>
      <c r="R1946" s="1">
        <v>1334.76</v>
      </c>
      <c r="S1946" s="1" t="s">
        <v>46</v>
      </c>
      <c r="T1946" s="1" t="s">
        <v>34</v>
      </c>
      <c r="U1946" s="1" t="s">
        <v>35</v>
      </c>
      <c r="V1946" s="1" t="s">
        <v>36</v>
      </c>
    </row>
    <row r="1947" spans="1:22" x14ac:dyDescent="0.3">
      <c r="A1947" s="1" t="s">
        <v>8892</v>
      </c>
      <c r="B1947" s="1" t="s">
        <v>8893</v>
      </c>
      <c r="C1947" s="1">
        <v>36</v>
      </c>
      <c r="D1947" s="1" t="s">
        <v>8894</v>
      </c>
      <c r="E1947" s="1" t="s">
        <v>25</v>
      </c>
      <c r="F1947" s="1" t="s">
        <v>621</v>
      </c>
      <c r="G1947" s="1" t="s">
        <v>8895</v>
      </c>
      <c r="H1947" s="1">
        <v>2</v>
      </c>
      <c r="I1947" s="1" t="s">
        <v>52</v>
      </c>
      <c r="J1947" s="1" t="s">
        <v>718</v>
      </c>
      <c r="K1947" s="1" t="s">
        <v>8896</v>
      </c>
      <c r="L1947" s="1">
        <v>6</v>
      </c>
      <c r="M1947" s="1">
        <v>28</v>
      </c>
      <c r="N1947" s="1" t="s">
        <v>45</v>
      </c>
      <c r="O1947" s="1" t="s">
        <v>55</v>
      </c>
      <c r="P1947" s="1" t="s">
        <v>56</v>
      </c>
      <c r="Q1947" s="1" t="s">
        <v>32</v>
      </c>
      <c r="R1947" s="1">
        <v>515.22</v>
      </c>
      <c r="S1947" s="1" t="s">
        <v>46</v>
      </c>
      <c r="T1947" s="1" t="s">
        <v>34</v>
      </c>
      <c r="U1947" s="1" t="s">
        <v>35</v>
      </c>
      <c r="V1947" s="1" t="s">
        <v>36</v>
      </c>
    </row>
    <row r="1948" spans="1:22" x14ac:dyDescent="0.3">
      <c r="A1948" s="1" t="s">
        <v>8897</v>
      </c>
      <c r="B1948" s="1" t="s">
        <v>8898</v>
      </c>
      <c r="C1948" s="1">
        <v>64</v>
      </c>
      <c r="D1948" s="1" t="s">
        <v>8899</v>
      </c>
      <c r="E1948" s="1" t="s">
        <v>95</v>
      </c>
      <c r="F1948" s="2">
        <v>44413</v>
      </c>
      <c r="G1948" s="1" t="s">
        <v>3393</v>
      </c>
      <c r="H1948" s="1">
        <v>2</v>
      </c>
      <c r="I1948" s="1" t="s">
        <v>27</v>
      </c>
      <c r="J1948" s="1" t="s">
        <v>1715</v>
      </c>
      <c r="K1948" s="1" t="s">
        <v>8900</v>
      </c>
      <c r="L1948" s="1">
        <v>3</v>
      </c>
      <c r="M1948" s="1">
        <v>1</v>
      </c>
      <c r="N1948" s="1" t="s">
        <v>54</v>
      </c>
      <c r="O1948" s="1" t="s">
        <v>425</v>
      </c>
      <c r="P1948" s="1" t="s">
        <v>30</v>
      </c>
      <c r="Q1948" s="1" t="s">
        <v>32</v>
      </c>
      <c r="R1948" s="1">
        <v>1148.6400000000001</v>
      </c>
      <c r="S1948" s="1" t="s">
        <v>46</v>
      </c>
      <c r="T1948" s="1" t="s">
        <v>47</v>
      </c>
      <c r="U1948" s="1" t="s">
        <v>101</v>
      </c>
      <c r="V1948" s="1" t="s">
        <v>36</v>
      </c>
    </row>
    <row r="1949" spans="1:22" x14ac:dyDescent="0.3">
      <c r="A1949" s="1" t="s">
        <v>8901</v>
      </c>
      <c r="B1949" s="1" t="s">
        <v>8902</v>
      </c>
      <c r="C1949" s="1">
        <v>34</v>
      </c>
      <c r="D1949" s="1" t="s">
        <v>8903</v>
      </c>
      <c r="E1949" s="1" t="s">
        <v>25</v>
      </c>
      <c r="F1949" s="1" t="s">
        <v>8904</v>
      </c>
      <c r="G1949" s="2">
        <v>45242</v>
      </c>
      <c r="H1949" s="1">
        <v>2</v>
      </c>
      <c r="I1949" s="1" t="s">
        <v>27</v>
      </c>
      <c r="J1949" s="1" t="s">
        <v>2455</v>
      </c>
      <c r="K1949" s="1" t="s">
        <v>8905</v>
      </c>
      <c r="L1949" s="1">
        <v>9</v>
      </c>
      <c r="M1949" s="1">
        <v>44</v>
      </c>
      <c r="N1949" s="1" t="s">
        <v>56</v>
      </c>
      <c r="O1949" s="1" t="s">
        <v>624</v>
      </c>
      <c r="P1949" s="1" t="s">
        <v>30</v>
      </c>
      <c r="Q1949" s="1" t="s">
        <v>69</v>
      </c>
      <c r="R1949" s="1">
        <v>1595.61</v>
      </c>
      <c r="S1949" s="1" t="s">
        <v>46</v>
      </c>
      <c r="T1949" s="1" t="s">
        <v>57</v>
      </c>
      <c r="U1949" s="1" t="s">
        <v>35</v>
      </c>
      <c r="V1949" s="1" t="s">
        <v>36</v>
      </c>
    </row>
    <row r="1950" spans="1:22" x14ac:dyDescent="0.3">
      <c r="A1950" s="1" t="s">
        <v>8906</v>
      </c>
      <c r="B1950" s="1" t="s">
        <v>8907</v>
      </c>
      <c r="C1950" s="1">
        <v>67</v>
      </c>
      <c r="D1950" s="1" t="s">
        <v>8908</v>
      </c>
      <c r="E1950" s="1" t="s">
        <v>95</v>
      </c>
      <c r="F1950" s="2">
        <v>44114</v>
      </c>
      <c r="G1950" s="1" t="s">
        <v>5946</v>
      </c>
      <c r="H1950" s="1">
        <v>2</v>
      </c>
      <c r="I1950" s="1" t="s">
        <v>27</v>
      </c>
      <c r="J1950" s="1" t="s">
        <v>1117</v>
      </c>
      <c r="K1950" s="1" t="s">
        <v>8909</v>
      </c>
      <c r="L1950" s="1">
        <v>6</v>
      </c>
      <c r="M1950" s="1">
        <v>11</v>
      </c>
      <c r="N1950" s="1" t="s">
        <v>54</v>
      </c>
      <c r="O1950" s="1" t="s">
        <v>837</v>
      </c>
      <c r="P1950" s="1" t="s">
        <v>56</v>
      </c>
      <c r="Q1950" s="1" t="s">
        <v>69</v>
      </c>
      <c r="R1950" s="1">
        <v>783.24</v>
      </c>
      <c r="S1950" s="1" t="s">
        <v>46</v>
      </c>
      <c r="T1950" s="1" t="s">
        <v>232</v>
      </c>
      <c r="U1950" s="1" t="s">
        <v>35</v>
      </c>
      <c r="V1950" s="1" t="s">
        <v>36</v>
      </c>
    </row>
    <row r="1951" spans="1:22" x14ac:dyDescent="0.3">
      <c r="A1951" s="1" t="s">
        <v>8910</v>
      </c>
      <c r="B1951" s="1" t="s">
        <v>8911</v>
      </c>
      <c r="C1951" s="1">
        <v>27</v>
      </c>
      <c r="D1951" s="1" t="s">
        <v>8912</v>
      </c>
      <c r="E1951" s="1" t="s">
        <v>88</v>
      </c>
      <c r="F1951" s="1" t="s">
        <v>3143</v>
      </c>
      <c r="G1951" s="1" t="s">
        <v>8913</v>
      </c>
      <c r="H1951" s="1">
        <v>5</v>
      </c>
      <c r="I1951" s="1" t="s">
        <v>27</v>
      </c>
      <c r="J1951" s="2">
        <v>45208</v>
      </c>
      <c r="K1951" s="1" t="s">
        <v>8914</v>
      </c>
      <c r="L1951" s="1">
        <v>1</v>
      </c>
      <c r="M1951" s="1">
        <v>5</v>
      </c>
      <c r="N1951" s="1" t="s">
        <v>30</v>
      </c>
      <c r="O1951" s="1" t="s">
        <v>624</v>
      </c>
      <c r="P1951" s="1" t="s">
        <v>30</v>
      </c>
      <c r="Q1951" s="1" t="s">
        <v>32</v>
      </c>
      <c r="R1951" s="1">
        <v>1249.74</v>
      </c>
      <c r="S1951" s="1" t="s">
        <v>33</v>
      </c>
      <c r="T1951" s="1" t="s">
        <v>57</v>
      </c>
      <c r="U1951" s="1" t="s">
        <v>35</v>
      </c>
      <c r="V1951" s="1" t="s">
        <v>188</v>
      </c>
    </row>
    <row r="1952" spans="1:22" x14ac:dyDescent="0.3">
      <c r="A1952" s="1" t="s">
        <v>8915</v>
      </c>
      <c r="B1952" s="1" t="s">
        <v>8916</v>
      </c>
      <c r="C1952" s="1">
        <v>19</v>
      </c>
      <c r="D1952" s="1" t="s">
        <v>8917</v>
      </c>
      <c r="E1952" s="1" t="s">
        <v>88</v>
      </c>
      <c r="F1952" s="2">
        <v>44840</v>
      </c>
      <c r="G1952" s="1" t="s">
        <v>1563</v>
      </c>
      <c r="H1952" s="1">
        <v>4</v>
      </c>
      <c r="I1952" s="1" t="s">
        <v>64</v>
      </c>
      <c r="J1952" s="2">
        <v>45150</v>
      </c>
      <c r="K1952" s="1" t="s">
        <v>8918</v>
      </c>
      <c r="L1952" s="1">
        <v>4</v>
      </c>
      <c r="M1952" s="1">
        <v>49</v>
      </c>
      <c r="N1952" s="1" t="s">
        <v>30</v>
      </c>
      <c r="O1952" s="1" t="s">
        <v>99</v>
      </c>
      <c r="P1952" s="1" t="s">
        <v>56</v>
      </c>
      <c r="Q1952" s="1" t="s">
        <v>69</v>
      </c>
      <c r="R1952" s="1">
        <v>1163.24</v>
      </c>
      <c r="S1952" s="1" t="s">
        <v>46</v>
      </c>
      <c r="T1952" s="1" t="s">
        <v>100</v>
      </c>
      <c r="U1952" s="1" t="s">
        <v>35</v>
      </c>
      <c r="V1952" s="1" t="s">
        <v>71</v>
      </c>
    </row>
    <row r="1953" spans="1:22" x14ac:dyDescent="0.3">
      <c r="A1953" s="1" t="s">
        <v>8919</v>
      </c>
      <c r="B1953" s="1" t="s">
        <v>8920</v>
      </c>
      <c r="C1953" s="1">
        <v>21</v>
      </c>
      <c r="D1953" s="1" t="s">
        <v>8921</v>
      </c>
      <c r="E1953" s="1" t="s">
        <v>61</v>
      </c>
      <c r="F1953" s="2">
        <v>44381</v>
      </c>
      <c r="G1953" s="2">
        <v>45542</v>
      </c>
      <c r="H1953" s="1">
        <v>0</v>
      </c>
      <c r="I1953" s="1" t="s">
        <v>27</v>
      </c>
      <c r="J1953" s="1" t="s">
        <v>3398</v>
      </c>
      <c r="K1953" s="1" t="s">
        <v>8922</v>
      </c>
      <c r="L1953" s="1">
        <v>5</v>
      </c>
      <c r="M1953" s="1">
        <v>5</v>
      </c>
      <c r="N1953" s="1" t="s">
        <v>68</v>
      </c>
      <c r="O1953" s="1" t="s">
        <v>231</v>
      </c>
      <c r="P1953" s="1" t="s">
        <v>30</v>
      </c>
      <c r="Q1953" s="1" t="s">
        <v>69</v>
      </c>
      <c r="R1953" s="1">
        <v>1830.45</v>
      </c>
      <c r="S1953" s="1" t="s">
        <v>46</v>
      </c>
      <c r="T1953" s="1" t="s">
        <v>100</v>
      </c>
      <c r="U1953" s="1" t="s">
        <v>35</v>
      </c>
      <c r="V1953" s="1" t="s">
        <v>36</v>
      </c>
    </row>
    <row r="1954" spans="1:22" x14ac:dyDescent="0.3">
      <c r="A1954" s="1" t="s">
        <v>8923</v>
      </c>
      <c r="B1954" s="1" t="s">
        <v>8924</v>
      </c>
      <c r="C1954" s="1">
        <v>61</v>
      </c>
      <c r="D1954" s="1" t="s">
        <v>8925</v>
      </c>
      <c r="E1954" s="1" t="s">
        <v>51</v>
      </c>
      <c r="F1954" s="2">
        <v>44632</v>
      </c>
      <c r="G1954" s="2">
        <v>45782</v>
      </c>
      <c r="H1954" s="1">
        <v>2</v>
      </c>
      <c r="I1954" s="1" t="s">
        <v>27</v>
      </c>
      <c r="J1954" s="1" t="s">
        <v>2758</v>
      </c>
      <c r="K1954" s="1" t="s">
        <v>8926</v>
      </c>
      <c r="L1954" s="1">
        <v>3</v>
      </c>
      <c r="M1954" s="1">
        <v>36</v>
      </c>
      <c r="N1954" s="1" t="s">
        <v>30</v>
      </c>
      <c r="O1954" s="1" t="s">
        <v>269</v>
      </c>
      <c r="P1954" s="1" t="s">
        <v>56</v>
      </c>
      <c r="Q1954" s="1" t="s">
        <v>32</v>
      </c>
      <c r="R1954" s="1">
        <v>103.59</v>
      </c>
      <c r="S1954" s="1" t="s">
        <v>46</v>
      </c>
      <c r="T1954" s="1" t="s">
        <v>47</v>
      </c>
      <c r="U1954" s="1" t="s">
        <v>35</v>
      </c>
      <c r="V1954" s="1" t="s">
        <v>36</v>
      </c>
    </row>
    <row r="1955" spans="1:22" x14ac:dyDescent="0.3">
      <c r="A1955" s="1" t="s">
        <v>8927</v>
      </c>
      <c r="B1955" s="1" t="s">
        <v>8928</v>
      </c>
      <c r="C1955" s="1">
        <v>60</v>
      </c>
      <c r="D1955" s="1" t="s">
        <v>8929</v>
      </c>
      <c r="E1955" s="1" t="s">
        <v>95</v>
      </c>
      <c r="F1955" s="1" t="s">
        <v>8930</v>
      </c>
      <c r="G1955" s="1" t="s">
        <v>6841</v>
      </c>
      <c r="H1955" s="1">
        <v>0</v>
      </c>
      <c r="I1955" s="1" t="s">
        <v>27</v>
      </c>
      <c r="J1955" s="1" t="s">
        <v>3430</v>
      </c>
      <c r="K1955" s="1" t="s">
        <v>8931</v>
      </c>
      <c r="L1955" s="1">
        <v>8</v>
      </c>
      <c r="M1955" s="1">
        <v>34</v>
      </c>
      <c r="N1955" s="1" t="s">
        <v>30</v>
      </c>
      <c r="O1955" s="1" t="s">
        <v>142</v>
      </c>
      <c r="P1955" s="1" t="s">
        <v>68</v>
      </c>
      <c r="Q1955" s="1" t="s">
        <v>32</v>
      </c>
      <c r="R1955" s="1">
        <v>901.84</v>
      </c>
      <c r="S1955" s="1" t="s">
        <v>46</v>
      </c>
      <c r="T1955" s="1" t="s">
        <v>47</v>
      </c>
      <c r="U1955" s="1" t="s">
        <v>35</v>
      </c>
      <c r="V1955" s="1" t="s">
        <v>36</v>
      </c>
    </row>
    <row r="1956" spans="1:22" x14ac:dyDescent="0.3">
      <c r="A1956" s="1" t="s">
        <v>8932</v>
      </c>
      <c r="B1956" s="1" t="s">
        <v>8933</v>
      </c>
      <c r="C1956" s="1">
        <v>62</v>
      </c>
      <c r="D1956" s="1" t="s">
        <v>8934</v>
      </c>
      <c r="E1956" s="1" t="s">
        <v>25</v>
      </c>
      <c r="F1956" s="1" t="s">
        <v>318</v>
      </c>
      <c r="G1956" s="1" t="s">
        <v>3899</v>
      </c>
      <c r="H1956" s="1">
        <v>2</v>
      </c>
      <c r="I1956" s="1" t="s">
        <v>52</v>
      </c>
      <c r="J1956" s="1" t="s">
        <v>2763</v>
      </c>
      <c r="K1956" s="1" t="s">
        <v>8935</v>
      </c>
      <c r="L1956" s="1">
        <v>1</v>
      </c>
      <c r="M1956" s="1">
        <v>8</v>
      </c>
      <c r="N1956" s="1" t="s">
        <v>68</v>
      </c>
      <c r="O1956" s="1" t="s">
        <v>610</v>
      </c>
      <c r="P1956" s="1" t="s">
        <v>68</v>
      </c>
      <c r="Q1956" s="1" t="s">
        <v>69</v>
      </c>
      <c r="R1956" s="1">
        <v>1019.71</v>
      </c>
      <c r="S1956" s="1" t="s">
        <v>33</v>
      </c>
      <c r="T1956" s="1" t="s">
        <v>47</v>
      </c>
      <c r="U1956" s="1" t="s">
        <v>35</v>
      </c>
      <c r="V1956" s="1" t="s">
        <v>36</v>
      </c>
    </row>
    <row r="1957" spans="1:22" x14ac:dyDescent="0.3">
      <c r="A1957" s="1" t="s">
        <v>8936</v>
      </c>
      <c r="B1957" s="1" t="s">
        <v>8937</v>
      </c>
      <c r="C1957" s="1">
        <v>51</v>
      </c>
      <c r="D1957" s="1" t="s">
        <v>8938</v>
      </c>
      <c r="E1957" s="1" t="s">
        <v>61</v>
      </c>
      <c r="F1957" s="2">
        <v>45232</v>
      </c>
      <c r="G1957" s="2">
        <v>45844</v>
      </c>
      <c r="H1957" s="1">
        <v>4</v>
      </c>
      <c r="I1957" s="1" t="s">
        <v>27</v>
      </c>
      <c r="J1957" s="2">
        <v>45573</v>
      </c>
      <c r="K1957" s="1" t="s">
        <v>8939</v>
      </c>
      <c r="L1957" s="1">
        <v>6</v>
      </c>
      <c r="M1957" s="1">
        <v>4</v>
      </c>
      <c r="N1957" s="1" t="s">
        <v>56</v>
      </c>
      <c r="O1957" s="1" t="s">
        <v>245</v>
      </c>
      <c r="P1957" s="1" t="s">
        <v>54</v>
      </c>
      <c r="Q1957" s="1" t="s">
        <v>69</v>
      </c>
      <c r="R1957" s="1">
        <v>449.94</v>
      </c>
      <c r="S1957" s="1" t="s">
        <v>46</v>
      </c>
      <c r="T1957" s="1" t="s">
        <v>47</v>
      </c>
      <c r="U1957" s="1" t="s">
        <v>101</v>
      </c>
      <c r="V1957" s="1" t="s">
        <v>188</v>
      </c>
    </row>
    <row r="1958" spans="1:22" x14ac:dyDescent="0.3">
      <c r="A1958" s="1" t="s">
        <v>8940</v>
      </c>
      <c r="B1958" s="1" t="s">
        <v>8941</v>
      </c>
      <c r="C1958" s="1">
        <v>69</v>
      </c>
      <c r="D1958" s="1" t="s">
        <v>8942</v>
      </c>
      <c r="E1958" s="1" t="s">
        <v>51</v>
      </c>
      <c r="F1958" s="2">
        <v>45202</v>
      </c>
      <c r="G1958" s="1" t="s">
        <v>1356</v>
      </c>
      <c r="H1958" s="1">
        <v>4</v>
      </c>
      <c r="I1958" s="1" t="s">
        <v>27</v>
      </c>
      <c r="J1958" s="1" t="s">
        <v>681</v>
      </c>
      <c r="K1958" s="1" t="s">
        <v>8943</v>
      </c>
      <c r="L1958" s="1">
        <v>4</v>
      </c>
      <c r="M1958" s="1">
        <v>44</v>
      </c>
      <c r="N1958" s="1" t="s">
        <v>56</v>
      </c>
      <c r="O1958" s="1" t="s">
        <v>109</v>
      </c>
      <c r="P1958" s="1" t="s">
        <v>68</v>
      </c>
      <c r="Q1958" s="1" t="s">
        <v>32</v>
      </c>
      <c r="R1958" s="1">
        <v>1736.08</v>
      </c>
      <c r="S1958" s="1" t="s">
        <v>46</v>
      </c>
      <c r="T1958" s="1" t="s">
        <v>232</v>
      </c>
      <c r="U1958" s="1" t="s">
        <v>35</v>
      </c>
      <c r="V1958" s="1" t="s">
        <v>188</v>
      </c>
    </row>
    <row r="1959" spans="1:22" x14ac:dyDescent="0.3">
      <c r="A1959" s="1" t="s">
        <v>8944</v>
      </c>
      <c r="B1959" s="1" t="s">
        <v>8945</v>
      </c>
      <c r="C1959" s="1">
        <v>42</v>
      </c>
      <c r="D1959" s="1" t="s">
        <v>8946</v>
      </c>
      <c r="E1959" s="1" t="s">
        <v>95</v>
      </c>
      <c r="F1959" s="2">
        <v>44146</v>
      </c>
      <c r="G1959" s="1" t="s">
        <v>4068</v>
      </c>
      <c r="H1959" s="1">
        <v>4</v>
      </c>
      <c r="I1959" s="1" t="s">
        <v>27</v>
      </c>
      <c r="J1959" s="1" t="s">
        <v>6356</v>
      </c>
      <c r="K1959" s="1" t="s">
        <v>8947</v>
      </c>
      <c r="L1959" s="1">
        <v>4</v>
      </c>
      <c r="M1959" s="1">
        <v>32</v>
      </c>
      <c r="N1959" s="1" t="s">
        <v>54</v>
      </c>
      <c r="O1959" s="1" t="s">
        <v>109</v>
      </c>
      <c r="P1959" s="1" t="s">
        <v>68</v>
      </c>
      <c r="Q1959" s="1" t="s">
        <v>32</v>
      </c>
      <c r="R1959" s="1">
        <v>1433.28</v>
      </c>
      <c r="S1959" s="1" t="s">
        <v>46</v>
      </c>
      <c r="T1959" s="1" t="s">
        <v>34</v>
      </c>
      <c r="U1959" s="1" t="s">
        <v>35</v>
      </c>
      <c r="V1959" s="1" t="s">
        <v>188</v>
      </c>
    </row>
    <row r="1960" spans="1:22" x14ac:dyDescent="0.3">
      <c r="A1960" s="1" t="s">
        <v>8948</v>
      </c>
      <c r="B1960" s="1" t="s">
        <v>8949</v>
      </c>
      <c r="C1960" s="1">
        <v>54</v>
      </c>
      <c r="D1960" s="1" t="s">
        <v>8950</v>
      </c>
      <c r="E1960" s="1" t="s">
        <v>88</v>
      </c>
      <c r="F1960" s="2">
        <v>44386</v>
      </c>
      <c r="G1960" s="2">
        <v>45057</v>
      </c>
      <c r="H1960" s="1">
        <v>4</v>
      </c>
      <c r="I1960" s="1" t="s">
        <v>27</v>
      </c>
      <c r="J1960" s="1" t="s">
        <v>1402</v>
      </c>
      <c r="K1960" s="1" t="s">
        <v>8951</v>
      </c>
      <c r="L1960" s="1">
        <v>9</v>
      </c>
      <c r="M1960" s="1">
        <v>48</v>
      </c>
      <c r="N1960" s="1" t="s">
        <v>45</v>
      </c>
      <c r="O1960" s="1" t="s">
        <v>418</v>
      </c>
      <c r="P1960" s="1" t="s">
        <v>56</v>
      </c>
      <c r="Q1960" s="1" t="s">
        <v>69</v>
      </c>
      <c r="R1960" s="1">
        <v>1705.68</v>
      </c>
      <c r="S1960" s="1" t="s">
        <v>46</v>
      </c>
      <c r="T1960" s="1" t="s">
        <v>47</v>
      </c>
      <c r="U1960" s="1" t="s">
        <v>35</v>
      </c>
      <c r="V1960" s="1" t="s">
        <v>188</v>
      </c>
    </row>
    <row r="1961" spans="1:22" x14ac:dyDescent="0.3">
      <c r="A1961" s="1" t="s">
        <v>8952</v>
      </c>
      <c r="B1961" s="1" t="s">
        <v>8953</v>
      </c>
      <c r="C1961" s="1">
        <v>55</v>
      </c>
      <c r="D1961" s="1" t="s">
        <v>8954</v>
      </c>
      <c r="E1961" s="1" t="s">
        <v>61</v>
      </c>
      <c r="F1961" s="2">
        <v>44623</v>
      </c>
      <c r="G1961" s="1" t="s">
        <v>884</v>
      </c>
      <c r="H1961" s="1">
        <v>0</v>
      </c>
      <c r="I1961" s="1" t="s">
        <v>64</v>
      </c>
      <c r="J1961" s="1" t="s">
        <v>3493</v>
      </c>
      <c r="K1961" s="1" t="s">
        <v>8955</v>
      </c>
      <c r="L1961" s="1">
        <v>3</v>
      </c>
      <c r="M1961" s="1">
        <v>19</v>
      </c>
      <c r="N1961" s="1" t="s">
        <v>45</v>
      </c>
      <c r="O1961" s="1" t="s">
        <v>67</v>
      </c>
      <c r="P1961" s="1" t="s">
        <v>68</v>
      </c>
      <c r="Q1961" s="1" t="s">
        <v>69</v>
      </c>
      <c r="R1961" s="1">
        <v>719.28</v>
      </c>
      <c r="S1961" s="1" t="s">
        <v>46</v>
      </c>
      <c r="T1961" s="1" t="s">
        <v>47</v>
      </c>
      <c r="U1961" s="1" t="s">
        <v>35</v>
      </c>
      <c r="V1961" s="1" t="s">
        <v>71</v>
      </c>
    </row>
    <row r="1962" spans="1:22" x14ac:dyDescent="0.3">
      <c r="A1962" s="1" t="s">
        <v>8956</v>
      </c>
      <c r="B1962" s="1" t="s">
        <v>8957</v>
      </c>
      <c r="C1962" s="1">
        <v>67</v>
      </c>
      <c r="D1962" s="1" t="s">
        <v>8958</v>
      </c>
      <c r="E1962" s="1" t="s">
        <v>95</v>
      </c>
      <c r="F1962" s="1" t="s">
        <v>6798</v>
      </c>
      <c r="G1962" s="1" t="s">
        <v>2781</v>
      </c>
      <c r="H1962" s="1">
        <v>4</v>
      </c>
      <c r="I1962" s="1" t="s">
        <v>52</v>
      </c>
      <c r="J1962" s="2">
        <v>45296</v>
      </c>
      <c r="K1962" s="1" t="s">
        <v>8959</v>
      </c>
      <c r="L1962" s="1">
        <v>9</v>
      </c>
      <c r="M1962" s="1">
        <v>5</v>
      </c>
      <c r="N1962" s="1" t="s">
        <v>54</v>
      </c>
      <c r="O1962" s="1" t="s">
        <v>238</v>
      </c>
      <c r="P1962" s="1" t="s">
        <v>45</v>
      </c>
      <c r="Q1962" s="1" t="s">
        <v>69</v>
      </c>
      <c r="R1962" s="1">
        <v>390.78</v>
      </c>
      <c r="S1962" s="1" t="s">
        <v>46</v>
      </c>
      <c r="T1962" s="1" t="s">
        <v>232</v>
      </c>
      <c r="U1962" s="1" t="s">
        <v>101</v>
      </c>
      <c r="V1962" s="1" t="s">
        <v>36</v>
      </c>
    </row>
    <row r="1963" spans="1:22" x14ac:dyDescent="0.3">
      <c r="A1963" s="1" t="s">
        <v>8960</v>
      </c>
      <c r="B1963" s="1" t="s">
        <v>8961</v>
      </c>
      <c r="C1963" s="1">
        <v>37</v>
      </c>
      <c r="D1963" s="1" t="s">
        <v>8962</v>
      </c>
      <c r="E1963" s="1" t="s">
        <v>25</v>
      </c>
      <c r="F1963" s="2">
        <v>44959</v>
      </c>
      <c r="G1963" s="1" t="s">
        <v>1041</v>
      </c>
      <c r="H1963" s="1">
        <v>4</v>
      </c>
      <c r="I1963" s="1" t="s">
        <v>27</v>
      </c>
      <c r="J1963" s="1" t="s">
        <v>2061</v>
      </c>
      <c r="K1963" s="1" t="s">
        <v>8963</v>
      </c>
      <c r="L1963" s="1">
        <v>2</v>
      </c>
      <c r="M1963" s="1">
        <v>2</v>
      </c>
      <c r="N1963" s="1" t="s">
        <v>45</v>
      </c>
      <c r="O1963" s="1" t="s">
        <v>135</v>
      </c>
      <c r="P1963" s="1" t="s">
        <v>45</v>
      </c>
      <c r="Q1963" s="1" t="s">
        <v>69</v>
      </c>
      <c r="R1963" s="1">
        <v>307.74</v>
      </c>
      <c r="S1963" s="1" t="s">
        <v>33</v>
      </c>
      <c r="T1963" s="1" t="s">
        <v>34</v>
      </c>
      <c r="U1963" s="1" t="s">
        <v>70</v>
      </c>
      <c r="V1963" s="1" t="s">
        <v>188</v>
      </c>
    </row>
    <row r="1964" spans="1:22" x14ac:dyDescent="0.3">
      <c r="A1964" s="1" t="s">
        <v>8964</v>
      </c>
      <c r="B1964" s="1" t="s">
        <v>8965</v>
      </c>
      <c r="C1964" s="1">
        <v>21</v>
      </c>
      <c r="D1964" s="1" t="s">
        <v>8966</v>
      </c>
      <c r="E1964" s="1" t="s">
        <v>95</v>
      </c>
      <c r="F1964" s="1" t="s">
        <v>1994</v>
      </c>
      <c r="G1964" s="1" t="s">
        <v>319</v>
      </c>
      <c r="H1964" s="1">
        <v>4</v>
      </c>
      <c r="I1964" s="1" t="s">
        <v>64</v>
      </c>
      <c r="J1964" s="2">
        <v>44743</v>
      </c>
      <c r="K1964" s="1" t="s">
        <v>8967</v>
      </c>
      <c r="L1964" s="1">
        <v>4</v>
      </c>
      <c r="M1964" s="1">
        <v>15</v>
      </c>
      <c r="N1964" s="1" t="s">
        <v>54</v>
      </c>
      <c r="O1964" s="1" t="s">
        <v>157</v>
      </c>
      <c r="P1964" s="1" t="s">
        <v>68</v>
      </c>
      <c r="Q1964" s="1" t="s">
        <v>69</v>
      </c>
      <c r="R1964" s="1">
        <v>32.4</v>
      </c>
      <c r="S1964" s="1" t="s">
        <v>46</v>
      </c>
      <c r="T1964" s="1" t="s">
        <v>100</v>
      </c>
      <c r="U1964" s="1" t="s">
        <v>70</v>
      </c>
      <c r="V1964" s="1" t="s">
        <v>71</v>
      </c>
    </row>
    <row r="1965" spans="1:22" x14ac:dyDescent="0.3">
      <c r="A1965" s="1" t="s">
        <v>8968</v>
      </c>
      <c r="B1965" s="1" t="s">
        <v>8969</v>
      </c>
      <c r="C1965" s="1">
        <v>43</v>
      </c>
      <c r="D1965" s="1" t="s">
        <v>8970</v>
      </c>
      <c r="E1965" s="1" t="s">
        <v>25</v>
      </c>
      <c r="F1965" s="1" t="s">
        <v>835</v>
      </c>
      <c r="G1965" s="1" t="s">
        <v>2332</v>
      </c>
      <c r="H1965" s="1">
        <v>4</v>
      </c>
      <c r="I1965" s="1" t="s">
        <v>64</v>
      </c>
      <c r="J1965" s="1" t="s">
        <v>1650</v>
      </c>
      <c r="K1965" s="1" t="s">
        <v>8971</v>
      </c>
      <c r="L1965" s="1">
        <v>4</v>
      </c>
      <c r="M1965" s="1">
        <v>16</v>
      </c>
      <c r="N1965" s="1" t="s">
        <v>30</v>
      </c>
      <c r="O1965" s="1" t="s">
        <v>55</v>
      </c>
      <c r="P1965" s="1" t="s">
        <v>56</v>
      </c>
      <c r="Q1965" s="1" t="s">
        <v>69</v>
      </c>
      <c r="R1965" s="1">
        <v>1302.1199999999999</v>
      </c>
      <c r="S1965" s="1" t="s">
        <v>46</v>
      </c>
      <c r="T1965" s="1" t="s">
        <v>34</v>
      </c>
      <c r="U1965" s="1" t="s">
        <v>35</v>
      </c>
      <c r="V1965" s="1" t="s">
        <v>71</v>
      </c>
    </row>
    <row r="1966" spans="1:22" x14ac:dyDescent="0.3">
      <c r="A1966" s="1" t="s">
        <v>8972</v>
      </c>
      <c r="B1966" s="1" t="s">
        <v>8973</v>
      </c>
      <c r="C1966" s="1">
        <v>58</v>
      </c>
      <c r="D1966" s="1" t="s">
        <v>8974</v>
      </c>
      <c r="E1966" s="1" t="s">
        <v>61</v>
      </c>
      <c r="F1966" s="1" t="s">
        <v>2885</v>
      </c>
      <c r="G1966" s="2">
        <v>44990</v>
      </c>
      <c r="H1966" s="1">
        <v>3</v>
      </c>
      <c r="I1966" s="1" t="s">
        <v>64</v>
      </c>
      <c r="J1966" s="1" t="s">
        <v>911</v>
      </c>
      <c r="K1966" s="1" t="s">
        <v>8975</v>
      </c>
      <c r="L1966" s="1">
        <v>8</v>
      </c>
      <c r="M1966" s="1">
        <v>6</v>
      </c>
      <c r="N1966" s="1" t="s">
        <v>68</v>
      </c>
      <c r="O1966" s="1" t="s">
        <v>149</v>
      </c>
      <c r="P1966" s="1" t="s">
        <v>30</v>
      </c>
      <c r="Q1966" s="1" t="s">
        <v>69</v>
      </c>
      <c r="R1966" s="1">
        <v>1691.68</v>
      </c>
      <c r="S1966" s="1" t="s">
        <v>46</v>
      </c>
      <c r="T1966" s="1" t="s">
        <v>47</v>
      </c>
      <c r="U1966" s="1" t="s">
        <v>35</v>
      </c>
      <c r="V1966" s="1" t="s">
        <v>71</v>
      </c>
    </row>
    <row r="1967" spans="1:22" x14ac:dyDescent="0.3">
      <c r="A1967" s="1" t="s">
        <v>8976</v>
      </c>
      <c r="B1967" s="1" t="s">
        <v>8977</v>
      </c>
      <c r="C1967" s="1">
        <v>31</v>
      </c>
      <c r="D1967" s="1" t="s">
        <v>8978</v>
      </c>
      <c r="E1967" s="1" t="s">
        <v>40</v>
      </c>
      <c r="F1967" s="2">
        <v>44720</v>
      </c>
      <c r="G1967" s="2">
        <v>45026</v>
      </c>
      <c r="H1967" s="1">
        <v>0</v>
      </c>
      <c r="I1967" s="1" t="s">
        <v>27</v>
      </c>
      <c r="J1967" s="1" t="s">
        <v>4664</v>
      </c>
      <c r="K1967" s="1" t="s">
        <v>8979</v>
      </c>
      <c r="L1967" s="1">
        <v>2</v>
      </c>
      <c r="M1967" s="1">
        <v>1</v>
      </c>
      <c r="N1967" s="1" t="s">
        <v>56</v>
      </c>
      <c r="O1967" s="1" t="s">
        <v>269</v>
      </c>
      <c r="P1967" s="1" t="s">
        <v>56</v>
      </c>
      <c r="Q1967" s="1" t="s">
        <v>32</v>
      </c>
      <c r="R1967" s="1">
        <v>587.4</v>
      </c>
      <c r="S1967" s="1" t="s">
        <v>33</v>
      </c>
      <c r="T1967" s="1" t="s">
        <v>57</v>
      </c>
      <c r="U1967" s="1" t="s">
        <v>70</v>
      </c>
      <c r="V1967" s="1" t="s">
        <v>36</v>
      </c>
    </row>
    <row r="1968" spans="1:22" x14ac:dyDescent="0.3">
      <c r="A1968" s="1" t="s">
        <v>8980</v>
      </c>
      <c r="B1968" s="1" t="s">
        <v>8981</v>
      </c>
      <c r="C1968" s="1">
        <v>31</v>
      </c>
      <c r="D1968" s="1" t="s">
        <v>8982</v>
      </c>
      <c r="E1968" s="1" t="s">
        <v>51</v>
      </c>
      <c r="F1968" s="1" t="s">
        <v>1753</v>
      </c>
      <c r="G1968" s="1" t="s">
        <v>4731</v>
      </c>
      <c r="H1968" s="1">
        <v>4</v>
      </c>
      <c r="I1968" s="1" t="s">
        <v>27</v>
      </c>
      <c r="J1968" s="1" t="s">
        <v>5101</v>
      </c>
      <c r="K1968" s="1" t="s">
        <v>8983</v>
      </c>
      <c r="L1968" s="1">
        <v>8</v>
      </c>
      <c r="M1968" s="1">
        <v>41</v>
      </c>
      <c r="N1968" s="1" t="s">
        <v>30</v>
      </c>
      <c r="O1968" s="1" t="s">
        <v>604</v>
      </c>
      <c r="P1968" s="1" t="s">
        <v>45</v>
      </c>
      <c r="Q1968" s="1" t="s">
        <v>32</v>
      </c>
      <c r="R1968" s="1">
        <v>1262.8800000000001</v>
      </c>
      <c r="S1968" s="1" t="s">
        <v>46</v>
      </c>
      <c r="T1968" s="1" t="s">
        <v>57</v>
      </c>
      <c r="U1968" s="1" t="s">
        <v>35</v>
      </c>
      <c r="V1968" s="1" t="s">
        <v>188</v>
      </c>
    </row>
    <row r="1969" spans="1:22" x14ac:dyDescent="0.3">
      <c r="A1969" s="1" t="s">
        <v>8984</v>
      </c>
      <c r="B1969" s="1" t="s">
        <v>8985</v>
      </c>
      <c r="C1969" s="1">
        <v>42</v>
      </c>
      <c r="D1969" s="1" t="s">
        <v>8986</v>
      </c>
      <c r="E1969" s="1" t="s">
        <v>95</v>
      </c>
      <c r="F1969" s="1" t="s">
        <v>377</v>
      </c>
      <c r="G1969" s="2">
        <v>45720</v>
      </c>
      <c r="H1969" s="1">
        <v>1</v>
      </c>
      <c r="I1969" s="1" t="s">
        <v>52</v>
      </c>
      <c r="J1969" s="1" t="s">
        <v>1884</v>
      </c>
      <c r="K1969" s="1" t="s">
        <v>8987</v>
      </c>
      <c r="L1969" s="1">
        <v>2</v>
      </c>
      <c r="M1969" s="1">
        <v>16</v>
      </c>
      <c r="N1969" s="1" t="s">
        <v>54</v>
      </c>
      <c r="O1969" s="1" t="s">
        <v>149</v>
      </c>
      <c r="P1969" s="1" t="s">
        <v>30</v>
      </c>
      <c r="Q1969" s="1" t="s">
        <v>32</v>
      </c>
      <c r="R1969" s="1">
        <v>1854.44</v>
      </c>
      <c r="S1969" s="1" t="s">
        <v>46</v>
      </c>
      <c r="T1969" s="1" t="s">
        <v>34</v>
      </c>
      <c r="U1969" s="1" t="s">
        <v>35</v>
      </c>
      <c r="V1969" s="1" t="s">
        <v>36</v>
      </c>
    </row>
    <row r="1970" spans="1:22" x14ac:dyDescent="0.3">
      <c r="A1970" s="1" t="s">
        <v>8988</v>
      </c>
      <c r="B1970" s="1" t="s">
        <v>8989</v>
      </c>
      <c r="C1970" s="1">
        <v>57</v>
      </c>
      <c r="D1970" s="1" t="s">
        <v>8990</v>
      </c>
      <c r="E1970" s="1" t="s">
        <v>40</v>
      </c>
      <c r="F1970" s="1" t="s">
        <v>808</v>
      </c>
      <c r="G1970" s="1" t="s">
        <v>6635</v>
      </c>
      <c r="H1970" s="1">
        <v>5</v>
      </c>
      <c r="I1970" s="1" t="s">
        <v>64</v>
      </c>
      <c r="J1970" s="1" t="s">
        <v>2933</v>
      </c>
      <c r="K1970" s="1" t="s">
        <v>8991</v>
      </c>
      <c r="L1970" s="1">
        <v>5</v>
      </c>
      <c r="M1970" s="1">
        <v>8</v>
      </c>
      <c r="N1970" s="1" t="s">
        <v>45</v>
      </c>
      <c r="O1970" s="1" t="s">
        <v>142</v>
      </c>
      <c r="P1970" s="1" t="s">
        <v>68</v>
      </c>
      <c r="Q1970" s="1" t="s">
        <v>69</v>
      </c>
      <c r="R1970" s="1">
        <v>167.95</v>
      </c>
      <c r="S1970" s="1" t="s">
        <v>46</v>
      </c>
      <c r="T1970" s="1" t="s">
        <v>47</v>
      </c>
      <c r="U1970" s="1" t="s">
        <v>101</v>
      </c>
      <c r="V1970" s="1" t="s">
        <v>71</v>
      </c>
    </row>
    <row r="1971" spans="1:22" x14ac:dyDescent="0.3">
      <c r="A1971" s="1" t="s">
        <v>8992</v>
      </c>
      <c r="B1971" s="1" t="s">
        <v>8993</v>
      </c>
      <c r="C1971" s="1">
        <v>56</v>
      </c>
      <c r="D1971" s="1" t="s">
        <v>8994</v>
      </c>
      <c r="E1971" s="1" t="s">
        <v>40</v>
      </c>
      <c r="F1971" s="1" t="s">
        <v>6022</v>
      </c>
      <c r="G1971" s="1" t="s">
        <v>3744</v>
      </c>
      <c r="H1971" s="1">
        <v>4</v>
      </c>
      <c r="I1971" s="1" t="s">
        <v>27</v>
      </c>
      <c r="J1971" s="2">
        <v>44899</v>
      </c>
      <c r="K1971" s="1" t="s">
        <v>8995</v>
      </c>
      <c r="L1971" s="1">
        <v>4</v>
      </c>
      <c r="M1971" s="1">
        <v>21</v>
      </c>
      <c r="N1971" s="1" t="s">
        <v>30</v>
      </c>
      <c r="O1971" s="1" t="s">
        <v>418</v>
      </c>
      <c r="P1971" s="1" t="s">
        <v>56</v>
      </c>
      <c r="Q1971" s="1" t="s">
        <v>32</v>
      </c>
      <c r="R1971" s="1">
        <v>1181.72</v>
      </c>
      <c r="S1971" s="1" t="s">
        <v>46</v>
      </c>
      <c r="T1971" s="1" t="s">
        <v>47</v>
      </c>
      <c r="U1971" s="1" t="s">
        <v>35</v>
      </c>
      <c r="V1971" s="1" t="s">
        <v>188</v>
      </c>
    </row>
    <row r="1972" spans="1:22" x14ac:dyDescent="0.3">
      <c r="A1972" s="1" t="s">
        <v>8996</v>
      </c>
      <c r="B1972" s="1" t="s">
        <v>8997</v>
      </c>
      <c r="C1972" s="1">
        <v>33</v>
      </c>
      <c r="D1972" s="1" t="s">
        <v>8998</v>
      </c>
      <c r="E1972" s="1" t="s">
        <v>61</v>
      </c>
      <c r="F1972" s="2">
        <v>44842</v>
      </c>
      <c r="G1972" s="2">
        <v>45359</v>
      </c>
      <c r="H1972" s="1">
        <v>1</v>
      </c>
      <c r="I1972" s="1" t="s">
        <v>52</v>
      </c>
      <c r="J1972" s="2">
        <v>45722</v>
      </c>
      <c r="K1972" s="1" t="s">
        <v>8999</v>
      </c>
      <c r="L1972" s="1">
        <v>9</v>
      </c>
      <c r="M1972" s="1">
        <v>23</v>
      </c>
      <c r="N1972" s="1" t="s">
        <v>45</v>
      </c>
      <c r="O1972" s="1" t="s">
        <v>142</v>
      </c>
      <c r="P1972" s="1" t="s">
        <v>68</v>
      </c>
      <c r="Q1972" s="1" t="s">
        <v>69</v>
      </c>
      <c r="R1972" s="1">
        <v>827.1</v>
      </c>
      <c r="S1972" s="1" t="s">
        <v>46</v>
      </c>
      <c r="T1972" s="1" t="s">
        <v>57</v>
      </c>
      <c r="U1972" s="1" t="s">
        <v>35</v>
      </c>
      <c r="V1972" s="1" t="s">
        <v>36</v>
      </c>
    </row>
    <row r="1973" spans="1:22" x14ac:dyDescent="0.3">
      <c r="A1973" s="1" t="s">
        <v>9000</v>
      </c>
      <c r="B1973" s="1" t="s">
        <v>9001</v>
      </c>
      <c r="C1973" s="1">
        <v>43</v>
      </c>
      <c r="D1973" s="1" t="s">
        <v>9002</v>
      </c>
      <c r="E1973" s="1" t="s">
        <v>61</v>
      </c>
      <c r="F1973" s="1" t="s">
        <v>1425</v>
      </c>
      <c r="G1973" s="1" t="s">
        <v>756</v>
      </c>
      <c r="H1973" s="1">
        <v>5</v>
      </c>
      <c r="I1973" s="1" t="s">
        <v>27</v>
      </c>
      <c r="J1973" s="2">
        <v>45173</v>
      </c>
      <c r="K1973" s="1" t="s">
        <v>9003</v>
      </c>
      <c r="L1973" s="1">
        <v>2</v>
      </c>
      <c r="M1973" s="1">
        <v>18</v>
      </c>
      <c r="N1973" s="1" t="s">
        <v>56</v>
      </c>
      <c r="O1973" s="1" t="s">
        <v>77</v>
      </c>
      <c r="P1973" s="1" t="s">
        <v>54</v>
      </c>
      <c r="Q1973" s="1" t="s">
        <v>69</v>
      </c>
      <c r="R1973" s="1">
        <v>1062.74</v>
      </c>
      <c r="S1973" s="1" t="s">
        <v>46</v>
      </c>
      <c r="T1973" s="1" t="s">
        <v>34</v>
      </c>
      <c r="U1973" s="1" t="s">
        <v>35</v>
      </c>
      <c r="V1973" s="1" t="s">
        <v>188</v>
      </c>
    </row>
    <row r="1974" spans="1:22" x14ac:dyDescent="0.3">
      <c r="A1974" s="1" t="s">
        <v>9004</v>
      </c>
      <c r="B1974" s="1" t="s">
        <v>9005</v>
      </c>
      <c r="C1974" s="1">
        <v>41</v>
      </c>
      <c r="D1974" s="1" t="s">
        <v>9006</v>
      </c>
      <c r="E1974" s="1" t="s">
        <v>61</v>
      </c>
      <c r="F1974" s="2">
        <v>44236</v>
      </c>
      <c r="G1974" s="2">
        <v>45333</v>
      </c>
      <c r="H1974" s="1">
        <v>4</v>
      </c>
      <c r="I1974" s="1" t="s">
        <v>27</v>
      </c>
      <c r="J1974" s="2">
        <v>45141</v>
      </c>
      <c r="K1974" s="1" t="s">
        <v>9007</v>
      </c>
      <c r="L1974" s="1">
        <v>4</v>
      </c>
      <c r="M1974" s="1">
        <v>38</v>
      </c>
      <c r="N1974" s="1" t="s">
        <v>30</v>
      </c>
      <c r="O1974" s="1" t="s">
        <v>366</v>
      </c>
      <c r="P1974" s="1" t="s">
        <v>54</v>
      </c>
      <c r="Q1974" s="1" t="s">
        <v>69</v>
      </c>
      <c r="R1974" s="1">
        <v>573.76</v>
      </c>
      <c r="S1974" s="1" t="s">
        <v>46</v>
      </c>
      <c r="T1974" s="1" t="s">
        <v>34</v>
      </c>
      <c r="U1974" s="1" t="s">
        <v>35</v>
      </c>
      <c r="V1974" s="1" t="s">
        <v>188</v>
      </c>
    </row>
    <row r="1975" spans="1:22" x14ac:dyDescent="0.3">
      <c r="A1975" s="1" t="s">
        <v>9008</v>
      </c>
      <c r="B1975" s="1" t="s">
        <v>9009</v>
      </c>
      <c r="C1975" s="1">
        <v>46</v>
      </c>
      <c r="D1975" s="1" t="s">
        <v>9010</v>
      </c>
      <c r="E1975" s="1" t="s">
        <v>95</v>
      </c>
      <c r="F1975" s="2">
        <v>45206</v>
      </c>
      <c r="G1975" s="2">
        <v>45997</v>
      </c>
      <c r="H1975" s="1">
        <v>1</v>
      </c>
      <c r="I1975" s="1" t="s">
        <v>27</v>
      </c>
      <c r="J1975" s="1" t="s">
        <v>2077</v>
      </c>
      <c r="K1975" s="1" t="s">
        <v>9011</v>
      </c>
      <c r="L1975" s="1">
        <v>4</v>
      </c>
      <c r="M1975" s="1">
        <v>46</v>
      </c>
      <c r="N1975" s="1" t="s">
        <v>56</v>
      </c>
      <c r="O1975" s="1" t="s">
        <v>149</v>
      </c>
      <c r="P1975" s="1" t="s">
        <v>30</v>
      </c>
      <c r="Q1975" s="1" t="s">
        <v>69</v>
      </c>
      <c r="R1975" s="1">
        <v>1731.36</v>
      </c>
      <c r="S1975" s="1" t="s">
        <v>46</v>
      </c>
      <c r="T1975" s="1" t="s">
        <v>34</v>
      </c>
      <c r="U1975" s="1" t="s">
        <v>35</v>
      </c>
      <c r="V1975" s="1" t="s">
        <v>36</v>
      </c>
    </row>
    <row r="1976" spans="1:22" x14ac:dyDescent="0.3">
      <c r="A1976" s="1" t="s">
        <v>9012</v>
      </c>
      <c r="B1976" s="1" t="s">
        <v>9013</v>
      </c>
      <c r="C1976" s="1">
        <v>56</v>
      </c>
      <c r="D1976" s="1" t="s">
        <v>9014</v>
      </c>
      <c r="E1976" s="1" t="s">
        <v>51</v>
      </c>
      <c r="F1976" s="1" t="s">
        <v>1949</v>
      </c>
      <c r="G1976" s="2">
        <v>44932</v>
      </c>
      <c r="H1976" s="1">
        <v>1</v>
      </c>
      <c r="I1976" s="1" t="s">
        <v>27</v>
      </c>
      <c r="J1976" s="2">
        <v>45876</v>
      </c>
      <c r="K1976" s="1" t="s">
        <v>9015</v>
      </c>
      <c r="L1976" s="1">
        <v>4</v>
      </c>
      <c r="M1976" s="1">
        <v>13</v>
      </c>
      <c r="N1976" s="1" t="s">
        <v>56</v>
      </c>
      <c r="O1976" s="1" t="s">
        <v>199</v>
      </c>
      <c r="P1976" s="1" t="s">
        <v>54</v>
      </c>
      <c r="Q1976" s="1" t="s">
        <v>69</v>
      </c>
      <c r="R1976" s="1">
        <v>246.52</v>
      </c>
      <c r="S1976" s="1" t="s">
        <v>46</v>
      </c>
      <c r="T1976" s="1" t="s">
        <v>47</v>
      </c>
      <c r="U1976" s="1" t="s">
        <v>35</v>
      </c>
      <c r="V1976" s="1" t="s">
        <v>36</v>
      </c>
    </row>
    <row r="1977" spans="1:22" x14ac:dyDescent="0.3">
      <c r="A1977" s="1" t="s">
        <v>9016</v>
      </c>
      <c r="B1977" s="1" t="s">
        <v>9017</v>
      </c>
      <c r="C1977" s="1">
        <v>24</v>
      </c>
      <c r="D1977" s="1" t="s">
        <v>9018</v>
      </c>
      <c r="E1977" s="1" t="s">
        <v>88</v>
      </c>
      <c r="F1977" s="1" t="s">
        <v>808</v>
      </c>
      <c r="G1977" s="2">
        <v>44813</v>
      </c>
      <c r="H1977" s="1">
        <v>3</v>
      </c>
      <c r="I1977" s="1" t="s">
        <v>27</v>
      </c>
      <c r="J1977" s="1" t="s">
        <v>502</v>
      </c>
      <c r="K1977" s="1" t="s">
        <v>9019</v>
      </c>
      <c r="L1977" s="1">
        <v>7</v>
      </c>
      <c r="M1977" s="1">
        <v>28</v>
      </c>
      <c r="N1977" s="1" t="s">
        <v>30</v>
      </c>
      <c r="O1977" s="1" t="s">
        <v>77</v>
      </c>
      <c r="P1977" s="1" t="s">
        <v>54</v>
      </c>
      <c r="Q1977" s="1" t="s">
        <v>69</v>
      </c>
      <c r="R1977" s="1">
        <v>1024.03</v>
      </c>
      <c r="S1977" s="1" t="s">
        <v>46</v>
      </c>
      <c r="T1977" s="1" t="s">
        <v>100</v>
      </c>
      <c r="U1977" s="1" t="s">
        <v>35</v>
      </c>
      <c r="V1977" s="1" t="s">
        <v>36</v>
      </c>
    </row>
    <row r="1978" spans="1:22" x14ac:dyDescent="0.3">
      <c r="A1978" s="1" t="s">
        <v>9020</v>
      </c>
      <c r="B1978" s="1" t="s">
        <v>9021</v>
      </c>
      <c r="C1978" s="1">
        <v>28</v>
      </c>
      <c r="D1978" s="1" t="s">
        <v>9022</v>
      </c>
      <c r="E1978" s="1" t="s">
        <v>95</v>
      </c>
      <c r="F1978" s="1" t="s">
        <v>1836</v>
      </c>
      <c r="G1978" s="1" t="s">
        <v>1020</v>
      </c>
      <c r="H1978" s="1">
        <v>0</v>
      </c>
      <c r="I1978" s="1" t="s">
        <v>27</v>
      </c>
      <c r="J1978" s="1" t="s">
        <v>712</v>
      </c>
      <c r="K1978" s="1" t="s">
        <v>9023</v>
      </c>
      <c r="L1978" s="1">
        <v>2</v>
      </c>
      <c r="M1978" s="1">
        <v>35</v>
      </c>
      <c r="N1978" s="1" t="s">
        <v>54</v>
      </c>
      <c r="O1978" s="1" t="s">
        <v>238</v>
      </c>
      <c r="P1978" s="1" t="s">
        <v>45</v>
      </c>
      <c r="Q1978" s="1" t="s">
        <v>32</v>
      </c>
      <c r="R1978" s="1">
        <v>285.26</v>
      </c>
      <c r="S1978" s="1" t="s">
        <v>46</v>
      </c>
      <c r="T1978" s="1" t="s">
        <v>57</v>
      </c>
      <c r="U1978" s="1" t="s">
        <v>35</v>
      </c>
      <c r="V1978" s="1" t="s">
        <v>36</v>
      </c>
    </row>
    <row r="1979" spans="1:22" x14ac:dyDescent="0.3">
      <c r="A1979" s="1" t="s">
        <v>9024</v>
      </c>
      <c r="B1979" s="1" t="s">
        <v>9025</v>
      </c>
      <c r="C1979" s="1">
        <v>61</v>
      </c>
      <c r="D1979" s="1" t="s">
        <v>9026</v>
      </c>
      <c r="E1979" s="1" t="s">
        <v>61</v>
      </c>
      <c r="F1979" s="2">
        <v>44961</v>
      </c>
      <c r="G1979" s="1" t="s">
        <v>82</v>
      </c>
      <c r="H1979" s="1">
        <v>3</v>
      </c>
      <c r="I1979" s="1" t="s">
        <v>27</v>
      </c>
      <c r="J1979" s="1" t="s">
        <v>1726</v>
      </c>
      <c r="K1979" s="1" t="s">
        <v>9027</v>
      </c>
      <c r="L1979" s="1">
        <v>5</v>
      </c>
      <c r="M1979" s="1">
        <v>12</v>
      </c>
      <c r="N1979" s="1" t="s">
        <v>56</v>
      </c>
      <c r="O1979" s="1" t="s">
        <v>425</v>
      </c>
      <c r="P1979" s="1" t="s">
        <v>30</v>
      </c>
      <c r="Q1979" s="1" t="s">
        <v>32</v>
      </c>
      <c r="R1979" s="1">
        <v>1407.55</v>
      </c>
      <c r="S1979" s="1" t="s">
        <v>46</v>
      </c>
      <c r="T1979" s="1" t="s">
        <v>47</v>
      </c>
      <c r="U1979" s="1" t="s">
        <v>35</v>
      </c>
      <c r="V1979" s="1" t="s">
        <v>36</v>
      </c>
    </row>
    <row r="1980" spans="1:22" x14ac:dyDescent="0.3">
      <c r="A1980" s="1" t="s">
        <v>9028</v>
      </c>
      <c r="B1980" s="1" t="s">
        <v>9029</v>
      </c>
      <c r="C1980" s="1">
        <v>61</v>
      </c>
      <c r="D1980" s="1" t="s">
        <v>9030</v>
      </c>
      <c r="E1980" s="1" t="s">
        <v>95</v>
      </c>
      <c r="F1980" s="1" t="s">
        <v>9031</v>
      </c>
      <c r="G1980" s="2">
        <v>45536</v>
      </c>
      <c r="H1980" s="1">
        <v>0</v>
      </c>
      <c r="I1980" s="1" t="s">
        <v>27</v>
      </c>
      <c r="J1980" s="1" t="s">
        <v>9032</v>
      </c>
      <c r="K1980" s="1" t="s">
        <v>9033</v>
      </c>
      <c r="L1980" s="1">
        <v>4</v>
      </c>
      <c r="M1980" s="1">
        <v>46</v>
      </c>
      <c r="N1980" s="1" t="s">
        <v>45</v>
      </c>
      <c r="O1980" s="1" t="s">
        <v>837</v>
      </c>
      <c r="P1980" s="1" t="s">
        <v>56</v>
      </c>
      <c r="Q1980" s="1" t="s">
        <v>69</v>
      </c>
      <c r="R1980" s="1">
        <v>1257.1600000000001</v>
      </c>
      <c r="S1980" s="1" t="s">
        <v>46</v>
      </c>
      <c r="T1980" s="1" t="s">
        <v>47</v>
      </c>
      <c r="U1980" s="1" t="s">
        <v>35</v>
      </c>
      <c r="V1980" s="1" t="s">
        <v>36</v>
      </c>
    </row>
    <row r="1981" spans="1:22" x14ac:dyDescent="0.3">
      <c r="A1981" s="1" t="s">
        <v>9034</v>
      </c>
      <c r="B1981" s="1" t="s">
        <v>9035</v>
      </c>
      <c r="C1981" s="1">
        <v>25</v>
      </c>
      <c r="D1981" s="1" t="s">
        <v>9036</v>
      </c>
      <c r="E1981" s="1" t="s">
        <v>51</v>
      </c>
      <c r="F1981" s="1" t="s">
        <v>370</v>
      </c>
      <c r="G1981" s="2">
        <v>44023</v>
      </c>
      <c r="H1981" s="1">
        <v>4</v>
      </c>
      <c r="I1981" s="1" t="s">
        <v>52</v>
      </c>
      <c r="J1981" s="1" t="s">
        <v>2982</v>
      </c>
      <c r="K1981" s="1" t="s">
        <v>9037</v>
      </c>
      <c r="L1981" s="1">
        <v>3</v>
      </c>
      <c r="M1981" s="1">
        <v>14</v>
      </c>
      <c r="N1981" s="1" t="s">
        <v>54</v>
      </c>
      <c r="O1981" s="1" t="s">
        <v>99</v>
      </c>
      <c r="P1981" s="1" t="s">
        <v>56</v>
      </c>
      <c r="Q1981" s="1" t="s">
        <v>69</v>
      </c>
      <c r="R1981" s="1">
        <v>1884.12</v>
      </c>
      <c r="S1981" s="1" t="s">
        <v>46</v>
      </c>
      <c r="T1981" s="1" t="s">
        <v>57</v>
      </c>
      <c r="U1981" s="1" t="s">
        <v>35</v>
      </c>
      <c r="V1981" s="1" t="s">
        <v>36</v>
      </c>
    </row>
    <row r="1982" spans="1:22" x14ac:dyDescent="0.3">
      <c r="A1982" s="1" t="s">
        <v>9038</v>
      </c>
      <c r="B1982" s="1" t="s">
        <v>9039</v>
      </c>
      <c r="C1982" s="1">
        <v>40</v>
      </c>
      <c r="D1982" s="1" t="s">
        <v>9040</v>
      </c>
      <c r="E1982" s="1" t="s">
        <v>95</v>
      </c>
      <c r="F1982" s="1" t="s">
        <v>3690</v>
      </c>
      <c r="G1982" s="1" t="s">
        <v>2966</v>
      </c>
      <c r="H1982" s="1">
        <v>3</v>
      </c>
      <c r="I1982" s="1" t="s">
        <v>64</v>
      </c>
      <c r="J1982" s="2">
        <v>45078</v>
      </c>
      <c r="K1982" s="1" t="s">
        <v>9041</v>
      </c>
      <c r="L1982" s="1">
        <v>3</v>
      </c>
      <c r="M1982" s="1">
        <v>28</v>
      </c>
      <c r="N1982" s="1" t="s">
        <v>30</v>
      </c>
      <c r="O1982" s="1" t="s">
        <v>223</v>
      </c>
      <c r="P1982" s="1" t="s">
        <v>56</v>
      </c>
      <c r="Q1982" s="1" t="s">
        <v>69</v>
      </c>
      <c r="R1982" s="1">
        <v>435.9</v>
      </c>
      <c r="S1982" s="1" t="s">
        <v>46</v>
      </c>
      <c r="T1982" s="1" t="s">
        <v>34</v>
      </c>
      <c r="U1982" s="1" t="s">
        <v>35</v>
      </c>
      <c r="V1982" s="1" t="s">
        <v>71</v>
      </c>
    </row>
    <row r="1983" spans="1:22" x14ac:dyDescent="0.3">
      <c r="A1983" s="1" t="s">
        <v>9042</v>
      </c>
      <c r="B1983" s="1" t="s">
        <v>9043</v>
      </c>
      <c r="C1983" s="1">
        <v>56</v>
      </c>
      <c r="D1983" s="1" t="s">
        <v>9044</v>
      </c>
      <c r="E1983" s="1" t="s">
        <v>61</v>
      </c>
      <c r="F1983" s="1" t="s">
        <v>6086</v>
      </c>
      <c r="G1983" s="2">
        <v>45303</v>
      </c>
      <c r="H1983" s="1">
        <v>1</v>
      </c>
      <c r="I1983" s="1" t="s">
        <v>52</v>
      </c>
      <c r="J1983" s="1" t="s">
        <v>1074</v>
      </c>
      <c r="K1983" s="1" t="s">
        <v>9045</v>
      </c>
      <c r="L1983" s="1">
        <v>3</v>
      </c>
      <c r="M1983" s="1">
        <v>10</v>
      </c>
      <c r="N1983" s="1" t="s">
        <v>54</v>
      </c>
      <c r="O1983" s="1" t="s">
        <v>251</v>
      </c>
      <c r="P1983" s="1" t="s">
        <v>30</v>
      </c>
      <c r="Q1983" s="1" t="s">
        <v>69</v>
      </c>
      <c r="R1983" s="1">
        <v>245.58</v>
      </c>
      <c r="S1983" s="1" t="s">
        <v>46</v>
      </c>
      <c r="T1983" s="1" t="s">
        <v>47</v>
      </c>
      <c r="U1983" s="1" t="s">
        <v>101</v>
      </c>
      <c r="V1983" s="1" t="s">
        <v>36</v>
      </c>
    </row>
    <row r="1984" spans="1:22" x14ac:dyDescent="0.3">
      <c r="A1984" s="1" t="s">
        <v>9046</v>
      </c>
      <c r="B1984" s="1" t="s">
        <v>9047</v>
      </c>
      <c r="C1984" s="1">
        <v>26</v>
      </c>
      <c r="D1984" s="1" t="s">
        <v>9048</v>
      </c>
      <c r="E1984" s="1" t="s">
        <v>51</v>
      </c>
      <c r="F1984" s="2">
        <v>44777</v>
      </c>
      <c r="G1984" s="1" t="s">
        <v>2690</v>
      </c>
      <c r="H1984" s="1">
        <v>0</v>
      </c>
      <c r="I1984" s="1" t="s">
        <v>27</v>
      </c>
      <c r="J1984" s="1" t="s">
        <v>221</v>
      </c>
      <c r="K1984" s="1" t="s">
        <v>9049</v>
      </c>
      <c r="L1984" s="1">
        <v>4</v>
      </c>
      <c r="M1984" s="1">
        <v>3</v>
      </c>
      <c r="N1984" s="1" t="s">
        <v>45</v>
      </c>
      <c r="O1984" s="1" t="s">
        <v>821</v>
      </c>
      <c r="P1984" s="1" t="s">
        <v>68</v>
      </c>
      <c r="Q1984" s="1" t="s">
        <v>32</v>
      </c>
      <c r="R1984" s="1">
        <v>1913.16</v>
      </c>
      <c r="S1984" s="1" t="s">
        <v>46</v>
      </c>
      <c r="T1984" s="1" t="s">
        <v>57</v>
      </c>
      <c r="U1984" s="1" t="s">
        <v>35</v>
      </c>
      <c r="V1984" s="1" t="s">
        <v>36</v>
      </c>
    </row>
    <row r="1985" spans="1:22" x14ac:dyDescent="0.3">
      <c r="A1985" s="1" t="s">
        <v>9050</v>
      </c>
      <c r="B1985" s="1" t="s">
        <v>9051</v>
      </c>
      <c r="C1985" s="1">
        <v>53</v>
      </c>
      <c r="D1985" s="1" t="s">
        <v>9052</v>
      </c>
      <c r="E1985" s="1" t="s">
        <v>40</v>
      </c>
      <c r="F1985" s="1" t="s">
        <v>1742</v>
      </c>
      <c r="G1985" s="1" t="s">
        <v>312</v>
      </c>
      <c r="H1985" s="1">
        <v>4</v>
      </c>
      <c r="I1985" s="1" t="s">
        <v>64</v>
      </c>
      <c r="J1985" s="1" t="s">
        <v>4101</v>
      </c>
      <c r="K1985" s="1" t="s">
        <v>9053</v>
      </c>
      <c r="L1985" s="1">
        <v>2</v>
      </c>
      <c r="M1985" s="1">
        <v>9</v>
      </c>
      <c r="N1985" s="1" t="s">
        <v>54</v>
      </c>
      <c r="O1985" s="1" t="s">
        <v>44</v>
      </c>
      <c r="P1985" s="1" t="s">
        <v>45</v>
      </c>
      <c r="Q1985" s="1" t="s">
        <v>32</v>
      </c>
      <c r="R1985" s="1">
        <v>772.34</v>
      </c>
      <c r="S1985" s="1" t="s">
        <v>46</v>
      </c>
      <c r="T1985" s="1" t="s">
        <v>47</v>
      </c>
      <c r="U1985" s="1" t="s">
        <v>35</v>
      </c>
      <c r="V1985" s="1" t="s">
        <v>71</v>
      </c>
    </row>
    <row r="1986" spans="1:22" x14ac:dyDescent="0.3">
      <c r="A1986" s="1" t="s">
        <v>9054</v>
      </c>
      <c r="B1986" s="1" t="s">
        <v>9055</v>
      </c>
      <c r="C1986" s="1">
        <v>23</v>
      </c>
      <c r="D1986" s="1" t="s">
        <v>9056</v>
      </c>
      <c r="E1986" s="1" t="s">
        <v>61</v>
      </c>
      <c r="F1986" s="2">
        <v>44898</v>
      </c>
      <c r="G1986" s="2">
        <v>45355</v>
      </c>
      <c r="H1986" s="1">
        <v>2</v>
      </c>
      <c r="I1986" s="1" t="s">
        <v>27</v>
      </c>
      <c r="J1986" s="1" t="s">
        <v>9057</v>
      </c>
      <c r="K1986" s="1" t="s">
        <v>9058</v>
      </c>
      <c r="L1986" s="1">
        <v>1</v>
      </c>
      <c r="M1986" s="1">
        <v>28</v>
      </c>
      <c r="N1986" s="1" t="s">
        <v>30</v>
      </c>
      <c r="O1986" s="1" t="s">
        <v>536</v>
      </c>
      <c r="P1986" s="1" t="s">
        <v>68</v>
      </c>
      <c r="Q1986" s="1" t="s">
        <v>32</v>
      </c>
      <c r="R1986" s="1">
        <v>1902.06</v>
      </c>
      <c r="S1986" s="1" t="s">
        <v>46</v>
      </c>
      <c r="T1986" s="1" t="s">
        <v>100</v>
      </c>
      <c r="U1986" s="1" t="s">
        <v>35</v>
      </c>
      <c r="V1986" s="1" t="s">
        <v>36</v>
      </c>
    </row>
    <row r="1987" spans="1:22" x14ac:dyDescent="0.3">
      <c r="A1987" s="1" t="s">
        <v>9059</v>
      </c>
      <c r="B1987" s="1" t="s">
        <v>9060</v>
      </c>
      <c r="C1987" s="1">
        <v>52</v>
      </c>
      <c r="D1987" s="1" t="s">
        <v>9061</v>
      </c>
      <c r="E1987" s="1" t="s">
        <v>95</v>
      </c>
      <c r="F1987" s="1" t="s">
        <v>3684</v>
      </c>
      <c r="G1987" s="1" t="s">
        <v>712</v>
      </c>
      <c r="H1987" s="1">
        <v>3</v>
      </c>
      <c r="I1987" s="1" t="s">
        <v>52</v>
      </c>
      <c r="J1987" s="2">
        <v>45810</v>
      </c>
      <c r="K1987" s="1" t="s">
        <v>9062</v>
      </c>
      <c r="L1987" s="1">
        <v>8</v>
      </c>
      <c r="M1987" s="1">
        <v>6</v>
      </c>
      <c r="N1987" s="1" t="s">
        <v>30</v>
      </c>
      <c r="O1987" s="1" t="s">
        <v>366</v>
      </c>
      <c r="P1987" s="1" t="s">
        <v>54</v>
      </c>
      <c r="Q1987" s="1" t="s">
        <v>32</v>
      </c>
      <c r="R1987" s="1">
        <v>89.84</v>
      </c>
      <c r="S1987" s="1" t="s">
        <v>46</v>
      </c>
      <c r="T1987" s="1" t="s">
        <v>47</v>
      </c>
      <c r="U1987" s="1" t="s">
        <v>70</v>
      </c>
      <c r="V1987" s="1" t="s">
        <v>36</v>
      </c>
    </row>
    <row r="1988" spans="1:22" x14ac:dyDescent="0.3">
      <c r="A1988" s="1" t="s">
        <v>9063</v>
      </c>
      <c r="B1988" s="1" t="s">
        <v>9064</v>
      </c>
      <c r="C1988" s="1">
        <v>21</v>
      </c>
      <c r="D1988" s="1" t="s">
        <v>9065</v>
      </c>
      <c r="E1988" s="1" t="s">
        <v>40</v>
      </c>
      <c r="F1988" s="1" t="s">
        <v>4416</v>
      </c>
      <c r="G1988" s="2">
        <v>45359</v>
      </c>
      <c r="H1988" s="1">
        <v>1</v>
      </c>
      <c r="I1988" s="1" t="s">
        <v>27</v>
      </c>
      <c r="J1988" s="2">
        <v>45356</v>
      </c>
      <c r="K1988" s="1" t="s">
        <v>9066</v>
      </c>
      <c r="L1988" s="1">
        <v>2</v>
      </c>
      <c r="M1988" s="1">
        <v>2</v>
      </c>
      <c r="N1988" s="1" t="s">
        <v>56</v>
      </c>
      <c r="O1988" s="1" t="s">
        <v>116</v>
      </c>
      <c r="P1988" s="1" t="s">
        <v>54</v>
      </c>
      <c r="Q1988" s="1" t="s">
        <v>32</v>
      </c>
      <c r="R1988" s="1">
        <v>1045.9000000000001</v>
      </c>
      <c r="S1988" s="1" t="s">
        <v>46</v>
      </c>
      <c r="T1988" s="1" t="s">
        <v>100</v>
      </c>
      <c r="U1988" s="1" t="s">
        <v>101</v>
      </c>
      <c r="V1988" s="1" t="s">
        <v>36</v>
      </c>
    </row>
    <row r="1989" spans="1:22" x14ac:dyDescent="0.3">
      <c r="A1989" s="1" t="s">
        <v>9067</v>
      </c>
      <c r="B1989" s="1" t="s">
        <v>9068</v>
      </c>
      <c r="C1989" s="1">
        <v>65</v>
      </c>
      <c r="D1989" s="1" t="s">
        <v>9069</v>
      </c>
      <c r="E1989" s="1" t="s">
        <v>25</v>
      </c>
      <c r="F1989" s="2">
        <v>43963</v>
      </c>
      <c r="G1989" s="1" t="s">
        <v>1106</v>
      </c>
      <c r="H1989" s="1">
        <v>3</v>
      </c>
      <c r="I1989" s="1" t="s">
        <v>27</v>
      </c>
      <c r="J1989" s="1" t="s">
        <v>4416</v>
      </c>
      <c r="K1989" s="1" t="s">
        <v>9070</v>
      </c>
      <c r="L1989" s="1">
        <v>4</v>
      </c>
      <c r="M1989" s="1">
        <v>47</v>
      </c>
      <c r="N1989" s="1" t="s">
        <v>54</v>
      </c>
      <c r="O1989" s="1" t="s">
        <v>142</v>
      </c>
      <c r="P1989" s="1" t="s">
        <v>68</v>
      </c>
      <c r="Q1989" s="1" t="s">
        <v>69</v>
      </c>
      <c r="R1989" s="1">
        <v>1418.36</v>
      </c>
      <c r="S1989" s="1" t="s">
        <v>46</v>
      </c>
      <c r="T1989" s="1" t="s">
        <v>232</v>
      </c>
      <c r="U1989" s="1" t="s">
        <v>35</v>
      </c>
      <c r="V1989" s="1" t="s">
        <v>36</v>
      </c>
    </row>
    <row r="1990" spans="1:22" x14ac:dyDescent="0.3">
      <c r="A1990" s="1" t="s">
        <v>9071</v>
      </c>
      <c r="B1990" s="1" t="s">
        <v>9072</v>
      </c>
      <c r="C1990" s="1">
        <v>50</v>
      </c>
      <c r="D1990" s="1" t="s">
        <v>9073</v>
      </c>
      <c r="E1990" s="1" t="s">
        <v>25</v>
      </c>
      <c r="F1990" s="1" t="s">
        <v>8620</v>
      </c>
      <c r="G1990" s="2">
        <v>45572</v>
      </c>
      <c r="H1990" s="1">
        <v>0</v>
      </c>
      <c r="I1990" s="1" t="s">
        <v>27</v>
      </c>
      <c r="J1990" s="2">
        <v>44992</v>
      </c>
      <c r="K1990" s="1" t="s">
        <v>9074</v>
      </c>
      <c r="L1990" s="1">
        <v>8</v>
      </c>
      <c r="M1990" s="1">
        <v>38</v>
      </c>
      <c r="N1990" s="1" t="s">
        <v>56</v>
      </c>
      <c r="O1990" s="1" t="s">
        <v>77</v>
      </c>
      <c r="P1990" s="1" t="s">
        <v>54</v>
      </c>
      <c r="Q1990" s="1" t="s">
        <v>69</v>
      </c>
      <c r="R1990" s="1">
        <v>285.60000000000002</v>
      </c>
      <c r="S1990" s="1" t="s">
        <v>46</v>
      </c>
      <c r="T1990" s="1" t="s">
        <v>47</v>
      </c>
      <c r="U1990" s="1" t="s">
        <v>35</v>
      </c>
      <c r="V1990" s="1" t="s">
        <v>36</v>
      </c>
    </row>
    <row r="1991" spans="1:22" x14ac:dyDescent="0.3">
      <c r="A1991" s="1" t="s">
        <v>9075</v>
      </c>
      <c r="B1991" s="1" t="s">
        <v>9076</v>
      </c>
      <c r="C1991" s="1">
        <v>36</v>
      </c>
      <c r="D1991" s="1" t="s">
        <v>9077</v>
      </c>
      <c r="E1991" s="1" t="s">
        <v>88</v>
      </c>
      <c r="F1991" s="1" t="s">
        <v>9078</v>
      </c>
      <c r="G1991" s="2">
        <v>45783</v>
      </c>
      <c r="H1991" s="1">
        <v>2</v>
      </c>
      <c r="I1991" s="1" t="s">
        <v>52</v>
      </c>
      <c r="J1991" s="1" t="s">
        <v>5351</v>
      </c>
      <c r="K1991" s="1" t="s">
        <v>9079</v>
      </c>
      <c r="L1991" s="1">
        <v>5</v>
      </c>
      <c r="M1991" s="1">
        <v>43</v>
      </c>
      <c r="N1991" s="1" t="s">
        <v>68</v>
      </c>
      <c r="O1991" s="1" t="s">
        <v>211</v>
      </c>
      <c r="P1991" s="1" t="s">
        <v>68</v>
      </c>
      <c r="Q1991" s="1" t="s">
        <v>32</v>
      </c>
      <c r="R1991" s="1">
        <v>1973</v>
      </c>
      <c r="S1991" s="1" t="s">
        <v>33</v>
      </c>
      <c r="T1991" s="1" t="s">
        <v>34</v>
      </c>
      <c r="U1991" s="1" t="s">
        <v>35</v>
      </c>
      <c r="V1991" s="1" t="s">
        <v>36</v>
      </c>
    </row>
    <row r="1992" spans="1:22" x14ac:dyDescent="0.3">
      <c r="A1992" s="1" t="s">
        <v>9080</v>
      </c>
      <c r="B1992" s="1" t="s">
        <v>9081</v>
      </c>
      <c r="C1992" s="1">
        <v>69</v>
      </c>
      <c r="D1992" s="1" t="s">
        <v>9082</v>
      </c>
      <c r="E1992" s="1" t="s">
        <v>25</v>
      </c>
      <c r="F1992" s="1" t="s">
        <v>1243</v>
      </c>
      <c r="G1992" s="1" t="s">
        <v>508</v>
      </c>
      <c r="H1992" s="1">
        <v>4</v>
      </c>
      <c r="I1992" s="1" t="s">
        <v>64</v>
      </c>
      <c r="J1992" s="1" t="s">
        <v>712</v>
      </c>
      <c r="K1992" s="1" t="s">
        <v>9083</v>
      </c>
      <c r="L1992" s="1">
        <v>5</v>
      </c>
      <c r="M1992" s="1">
        <v>17</v>
      </c>
      <c r="N1992" s="1" t="s">
        <v>56</v>
      </c>
      <c r="O1992" s="1" t="s">
        <v>31</v>
      </c>
      <c r="P1992" s="1" t="s">
        <v>30</v>
      </c>
      <c r="Q1992" s="1" t="s">
        <v>32</v>
      </c>
      <c r="R1992" s="1">
        <v>358.1</v>
      </c>
      <c r="S1992" s="1" t="s">
        <v>46</v>
      </c>
      <c r="T1992" s="1" t="s">
        <v>232</v>
      </c>
      <c r="U1992" s="1" t="s">
        <v>35</v>
      </c>
      <c r="V1992" s="1" t="s">
        <v>71</v>
      </c>
    </row>
    <row r="1993" spans="1:22" x14ac:dyDescent="0.3">
      <c r="A1993" s="1" t="s">
        <v>9084</v>
      </c>
      <c r="B1993" s="1" t="s">
        <v>9085</v>
      </c>
      <c r="C1993" s="1">
        <v>55</v>
      </c>
      <c r="D1993" s="1" t="s">
        <v>9086</v>
      </c>
      <c r="E1993" s="1" t="s">
        <v>61</v>
      </c>
      <c r="F1993" s="1" t="s">
        <v>973</v>
      </c>
      <c r="G1993" s="1" t="s">
        <v>3069</v>
      </c>
      <c r="H1993" s="1">
        <v>4</v>
      </c>
      <c r="I1993" s="1" t="s">
        <v>27</v>
      </c>
      <c r="J1993" s="1" t="s">
        <v>3685</v>
      </c>
      <c r="K1993" s="1" t="s">
        <v>9087</v>
      </c>
      <c r="L1993" s="1">
        <v>3</v>
      </c>
      <c r="M1993" s="1">
        <v>36</v>
      </c>
      <c r="N1993" s="1" t="s">
        <v>56</v>
      </c>
      <c r="O1993" s="1" t="s">
        <v>135</v>
      </c>
      <c r="P1993" s="1" t="s">
        <v>45</v>
      </c>
      <c r="Q1993" s="1" t="s">
        <v>69</v>
      </c>
      <c r="R1993" s="1">
        <v>781.11</v>
      </c>
      <c r="S1993" s="1" t="s">
        <v>46</v>
      </c>
      <c r="T1993" s="1" t="s">
        <v>47</v>
      </c>
      <c r="U1993" s="1" t="s">
        <v>35</v>
      </c>
      <c r="V1993" s="1" t="s">
        <v>188</v>
      </c>
    </row>
    <row r="1994" spans="1:22" x14ac:dyDescent="0.3">
      <c r="A1994" s="1" t="s">
        <v>9088</v>
      </c>
      <c r="B1994" s="1" t="s">
        <v>9089</v>
      </c>
      <c r="C1994" s="1">
        <v>35</v>
      </c>
      <c r="D1994" s="1" t="s">
        <v>9090</v>
      </c>
      <c r="E1994" s="1" t="s">
        <v>88</v>
      </c>
      <c r="F1994" s="2">
        <v>44319</v>
      </c>
      <c r="G1994" s="1" t="s">
        <v>809</v>
      </c>
      <c r="H1994" s="1">
        <v>5</v>
      </c>
      <c r="I1994" s="1" t="s">
        <v>27</v>
      </c>
      <c r="J1994" s="2">
        <v>45690</v>
      </c>
      <c r="K1994" s="1" t="s">
        <v>9091</v>
      </c>
      <c r="L1994" s="1">
        <v>3</v>
      </c>
      <c r="M1994" s="1">
        <v>46</v>
      </c>
      <c r="N1994" s="1" t="s">
        <v>54</v>
      </c>
      <c r="O1994" s="1" t="s">
        <v>91</v>
      </c>
      <c r="P1994" s="1" t="s">
        <v>54</v>
      </c>
      <c r="Q1994" s="1" t="s">
        <v>69</v>
      </c>
      <c r="R1994" s="1">
        <v>844.26</v>
      </c>
      <c r="S1994" s="1" t="s">
        <v>33</v>
      </c>
      <c r="T1994" s="1" t="s">
        <v>34</v>
      </c>
      <c r="U1994" s="1" t="s">
        <v>35</v>
      </c>
      <c r="V1994" s="1" t="s">
        <v>188</v>
      </c>
    </row>
    <row r="1995" spans="1:22" x14ac:dyDescent="0.3">
      <c r="A1995" s="1" t="s">
        <v>9092</v>
      </c>
      <c r="B1995" s="1" t="s">
        <v>9093</v>
      </c>
      <c r="C1995" s="1">
        <v>23</v>
      </c>
      <c r="D1995" s="1" t="s">
        <v>9094</v>
      </c>
      <c r="E1995" s="1" t="s">
        <v>51</v>
      </c>
      <c r="F1995" s="1" t="s">
        <v>658</v>
      </c>
      <c r="G1995" s="2">
        <v>44447</v>
      </c>
      <c r="H1995" s="1">
        <v>3</v>
      </c>
      <c r="I1995" s="1" t="s">
        <v>27</v>
      </c>
      <c r="J1995" s="1" t="s">
        <v>6333</v>
      </c>
      <c r="K1995" s="1" t="s">
        <v>9095</v>
      </c>
      <c r="L1995" s="1">
        <v>9</v>
      </c>
      <c r="M1995" s="1">
        <v>29</v>
      </c>
      <c r="N1995" s="1" t="s">
        <v>56</v>
      </c>
      <c r="O1995" s="1" t="s">
        <v>604</v>
      </c>
      <c r="P1995" s="1" t="s">
        <v>45</v>
      </c>
      <c r="Q1995" s="1" t="s">
        <v>32</v>
      </c>
      <c r="R1995" s="1">
        <v>486.45</v>
      </c>
      <c r="S1995" s="1" t="s">
        <v>46</v>
      </c>
      <c r="T1995" s="1" t="s">
        <v>100</v>
      </c>
      <c r="U1995" s="1" t="s">
        <v>35</v>
      </c>
      <c r="V1995" s="1" t="s">
        <v>36</v>
      </c>
    </row>
    <row r="1996" spans="1:22" x14ac:dyDescent="0.3">
      <c r="A1996" s="1" t="s">
        <v>9096</v>
      </c>
      <c r="B1996" s="1" t="s">
        <v>9097</v>
      </c>
      <c r="C1996" s="1">
        <v>40</v>
      </c>
      <c r="D1996" s="1" t="s">
        <v>9098</v>
      </c>
      <c r="E1996" s="1" t="s">
        <v>61</v>
      </c>
      <c r="F1996" s="2">
        <v>44379</v>
      </c>
      <c r="G1996" s="1" t="s">
        <v>4943</v>
      </c>
      <c r="H1996" s="1">
        <v>4</v>
      </c>
      <c r="I1996" s="1" t="s">
        <v>27</v>
      </c>
      <c r="J1996" s="1" t="s">
        <v>718</v>
      </c>
      <c r="K1996" s="1" t="s">
        <v>9099</v>
      </c>
      <c r="L1996" s="1">
        <v>4</v>
      </c>
      <c r="M1996" s="1">
        <v>5</v>
      </c>
      <c r="N1996" s="1" t="s">
        <v>45</v>
      </c>
      <c r="O1996" s="1" t="s">
        <v>194</v>
      </c>
      <c r="P1996" s="1" t="s">
        <v>56</v>
      </c>
      <c r="Q1996" s="1" t="s">
        <v>69</v>
      </c>
      <c r="R1996" s="1">
        <v>311.68</v>
      </c>
      <c r="S1996" s="1" t="s">
        <v>46</v>
      </c>
      <c r="T1996" s="1" t="s">
        <v>34</v>
      </c>
      <c r="U1996" s="1" t="s">
        <v>101</v>
      </c>
      <c r="V1996" s="1" t="s">
        <v>188</v>
      </c>
    </row>
    <row r="1997" spans="1:22" x14ac:dyDescent="0.3">
      <c r="A1997" s="1" t="s">
        <v>9100</v>
      </c>
      <c r="B1997" s="1" t="s">
        <v>9101</v>
      </c>
      <c r="C1997" s="1">
        <v>27</v>
      </c>
      <c r="D1997" s="1" t="s">
        <v>9102</v>
      </c>
      <c r="E1997" s="1" t="s">
        <v>95</v>
      </c>
      <c r="F1997" s="2">
        <v>44507</v>
      </c>
      <c r="G1997" s="1" t="s">
        <v>256</v>
      </c>
      <c r="H1997" s="1">
        <v>0</v>
      </c>
      <c r="I1997" s="1" t="s">
        <v>27</v>
      </c>
      <c r="J1997" s="1" t="s">
        <v>1841</v>
      </c>
      <c r="K1997" s="1" t="s">
        <v>9103</v>
      </c>
      <c r="L1997" s="1">
        <v>7</v>
      </c>
      <c r="M1997" s="1">
        <v>25</v>
      </c>
      <c r="N1997" s="1" t="s">
        <v>68</v>
      </c>
      <c r="O1997" s="1" t="s">
        <v>175</v>
      </c>
      <c r="P1997" s="1" t="s">
        <v>56</v>
      </c>
      <c r="Q1997" s="1" t="s">
        <v>32</v>
      </c>
      <c r="R1997" s="1">
        <v>212.38</v>
      </c>
      <c r="S1997" s="1" t="s">
        <v>46</v>
      </c>
      <c r="T1997" s="1" t="s">
        <v>57</v>
      </c>
      <c r="U1997" s="1" t="s">
        <v>35</v>
      </c>
      <c r="V1997" s="1" t="s">
        <v>36</v>
      </c>
    </row>
    <row r="1998" spans="1:22" x14ac:dyDescent="0.3">
      <c r="A1998" s="1" t="s">
        <v>9104</v>
      </c>
      <c r="B1998" s="1" t="s">
        <v>9105</v>
      </c>
      <c r="C1998" s="1">
        <v>59</v>
      </c>
      <c r="D1998" s="1" t="s">
        <v>9106</v>
      </c>
      <c r="E1998" s="1" t="s">
        <v>25</v>
      </c>
      <c r="F1998" s="1" t="s">
        <v>2522</v>
      </c>
      <c r="G1998" s="1" t="s">
        <v>1790</v>
      </c>
      <c r="H1998" s="1">
        <v>4</v>
      </c>
      <c r="I1998" s="1" t="s">
        <v>64</v>
      </c>
      <c r="J1998" s="2">
        <v>45415</v>
      </c>
      <c r="K1998" s="1" t="s">
        <v>9107</v>
      </c>
      <c r="L1998" s="1">
        <v>3</v>
      </c>
      <c r="M1998" s="1">
        <v>12</v>
      </c>
      <c r="N1998" s="1" t="s">
        <v>54</v>
      </c>
      <c r="O1998" s="1" t="s">
        <v>597</v>
      </c>
      <c r="P1998" s="1" t="s">
        <v>45</v>
      </c>
      <c r="Q1998" s="1" t="s">
        <v>69</v>
      </c>
      <c r="R1998" s="1">
        <v>1144.1400000000001</v>
      </c>
      <c r="S1998" s="1" t="s">
        <v>46</v>
      </c>
      <c r="T1998" s="1" t="s">
        <v>47</v>
      </c>
      <c r="U1998" s="1" t="s">
        <v>35</v>
      </c>
      <c r="V1998" s="1" t="s">
        <v>71</v>
      </c>
    </row>
    <row r="1999" spans="1:22" x14ac:dyDescent="0.3">
      <c r="A1999" s="1" t="s">
        <v>9108</v>
      </c>
      <c r="B1999" s="1" t="s">
        <v>9109</v>
      </c>
      <c r="C1999" s="1">
        <v>41</v>
      </c>
      <c r="D1999" s="1" t="s">
        <v>9110</v>
      </c>
      <c r="E1999" s="1" t="s">
        <v>61</v>
      </c>
      <c r="F1999" s="1" t="s">
        <v>4169</v>
      </c>
      <c r="G1999" s="1" t="s">
        <v>457</v>
      </c>
      <c r="H1999" s="1">
        <v>1</v>
      </c>
      <c r="I1999" s="1" t="s">
        <v>27</v>
      </c>
      <c r="J1999" s="1" t="s">
        <v>1754</v>
      </c>
      <c r="K1999" s="1" t="s">
        <v>9111</v>
      </c>
      <c r="L1999" s="1">
        <v>6</v>
      </c>
      <c r="M1999" s="1">
        <v>38</v>
      </c>
      <c r="N1999" s="1" t="s">
        <v>68</v>
      </c>
      <c r="O1999" s="1" t="s">
        <v>211</v>
      </c>
      <c r="P1999" s="1" t="s">
        <v>68</v>
      </c>
      <c r="Q1999" s="1" t="s">
        <v>69</v>
      </c>
      <c r="R1999" s="1">
        <v>1830.3</v>
      </c>
      <c r="S1999" s="1" t="s">
        <v>33</v>
      </c>
      <c r="T1999" s="1" t="s">
        <v>34</v>
      </c>
      <c r="U1999" s="1" t="s">
        <v>35</v>
      </c>
      <c r="V1999" s="1" t="s">
        <v>36</v>
      </c>
    </row>
    <row r="2000" spans="1:22" x14ac:dyDescent="0.3">
      <c r="A2000" s="1" t="s">
        <v>9112</v>
      </c>
      <c r="B2000" s="1" t="s">
        <v>9113</v>
      </c>
      <c r="C2000" s="1">
        <v>20</v>
      </c>
      <c r="D2000" s="1" t="s">
        <v>9114</v>
      </c>
      <c r="E2000" s="1" t="s">
        <v>40</v>
      </c>
      <c r="F2000" s="1" t="s">
        <v>940</v>
      </c>
      <c r="G2000" s="1" t="s">
        <v>1726</v>
      </c>
      <c r="H2000" s="1">
        <v>0</v>
      </c>
      <c r="I2000" s="1" t="s">
        <v>27</v>
      </c>
      <c r="J2000" s="1" t="s">
        <v>297</v>
      </c>
      <c r="K2000" s="1" t="s">
        <v>9115</v>
      </c>
      <c r="L2000" s="1">
        <v>1</v>
      </c>
      <c r="M2000" s="1">
        <v>49</v>
      </c>
      <c r="N2000" s="1" t="s">
        <v>68</v>
      </c>
      <c r="O2000" s="1" t="s">
        <v>157</v>
      </c>
      <c r="P2000" s="1" t="s">
        <v>68</v>
      </c>
      <c r="Q2000" s="1" t="s">
        <v>69</v>
      </c>
      <c r="R2000" s="1">
        <v>229.14</v>
      </c>
      <c r="S2000" s="1" t="s">
        <v>33</v>
      </c>
      <c r="T2000" s="1" t="s">
        <v>100</v>
      </c>
      <c r="U2000" s="1" t="s">
        <v>35</v>
      </c>
      <c r="V2000" s="1" t="s">
        <v>36</v>
      </c>
    </row>
    <row r="2001" spans="1:22" x14ac:dyDescent="0.3">
      <c r="A2001" s="1" t="s">
        <v>9116</v>
      </c>
      <c r="B2001" s="1" t="s">
        <v>9117</v>
      </c>
      <c r="C2001" s="1">
        <v>54</v>
      </c>
      <c r="D2001" s="1" t="s">
        <v>9118</v>
      </c>
      <c r="E2001" s="1" t="s">
        <v>61</v>
      </c>
      <c r="F2001" s="1" t="s">
        <v>2593</v>
      </c>
      <c r="G2001" s="1" t="s">
        <v>4817</v>
      </c>
      <c r="H2001" s="1">
        <v>5</v>
      </c>
      <c r="I2001" s="1" t="s">
        <v>52</v>
      </c>
      <c r="J2001" s="1" t="s">
        <v>1312</v>
      </c>
      <c r="K2001" s="1" t="s">
        <v>9119</v>
      </c>
      <c r="L2001" s="1">
        <v>7</v>
      </c>
      <c r="M2001" s="1">
        <v>24</v>
      </c>
      <c r="N2001" s="1" t="s">
        <v>68</v>
      </c>
      <c r="O2001" s="1" t="s">
        <v>55</v>
      </c>
      <c r="P2001" s="1" t="s">
        <v>56</v>
      </c>
      <c r="Q2001" s="1" t="s">
        <v>69</v>
      </c>
      <c r="R2001" s="1">
        <v>30.87</v>
      </c>
      <c r="S2001" s="1" t="s">
        <v>46</v>
      </c>
      <c r="T2001" s="1" t="s">
        <v>47</v>
      </c>
      <c r="U2001" s="1" t="s">
        <v>70</v>
      </c>
      <c r="V2001" s="1" t="s">
        <v>36</v>
      </c>
    </row>
    <row r="2002" spans="1:22" x14ac:dyDescent="0.3">
      <c r="A2002" s="1"/>
      <c r="B2002" s="1"/>
      <c r="C2002" s="1"/>
      <c r="D2002" s="1"/>
      <c r="E2002" s="1"/>
      <c r="F2002" s="1"/>
      <c r="G2002" s="1"/>
      <c r="H2002" s="1"/>
      <c r="I2002" s="1"/>
      <c r="J2002" s="1"/>
      <c r="K2002" s="1"/>
      <c r="L2002" s="1"/>
      <c r="M2002" s="1"/>
      <c r="N2002" s="1"/>
      <c r="O2002" s="1"/>
      <c r="P2002" s="1"/>
      <c r="Q2002" s="1"/>
      <c r="R2002" s="1"/>
      <c r="S2002" s="1"/>
      <c r="T2002" s="1"/>
      <c r="U2002" s="1"/>
      <c r="V2002" s="1"/>
    </row>
    <row r="2003" spans="1:22" x14ac:dyDescent="0.3">
      <c r="Q2003" s="42" t="s">
        <v>9198</v>
      </c>
      <c r="R2003">
        <f>SUM(Data!R2:R2001)</f>
        <v>2051690.6500000055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8F79-5AE9-4E85-BC27-6E50BE3738DB}">
  <dimension ref="A1:M22"/>
  <sheetViews>
    <sheetView topLeftCell="B1" workbookViewId="0">
      <selection activeCell="G8" sqref="G8"/>
    </sheetView>
  </sheetViews>
  <sheetFormatPr defaultRowHeight="14.4" x14ac:dyDescent="0.3"/>
  <cols>
    <col min="1" max="2" width="30.77734375" customWidth="1"/>
    <col min="3" max="3" width="22.77734375" customWidth="1"/>
    <col min="4" max="5" width="30.77734375" customWidth="1"/>
  </cols>
  <sheetData>
    <row r="1" spans="1:13" ht="40.049999999999997" customHeight="1" x14ac:dyDescent="0.3">
      <c r="A1" s="81" t="s">
        <v>9121</v>
      </c>
      <c r="B1" s="81"/>
      <c r="C1" s="81"/>
      <c r="D1" s="81"/>
      <c r="E1" s="81"/>
    </row>
    <row r="2" spans="1:13" ht="34.950000000000003" customHeight="1" x14ac:dyDescent="0.3">
      <c r="A2" s="5" t="s">
        <v>9122</v>
      </c>
      <c r="B2" s="5" t="s">
        <v>9123</v>
      </c>
      <c r="C2" s="5" t="s">
        <v>9124</v>
      </c>
      <c r="D2" s="5" t="s">
        <v>9125</v>
      </c>
      <c r="E2" s="5" t="s">
        <v>9126</v>
      </c>
    </row>
    <row r="3" spans="1:13" ht="25.05" customHeight="1" x14ac:dyDescent="0.3">
      <c r="A3" s="6" t="s">
        <v>9127</v>
      </c>
      <c r="B3" s="7" t="s">
        <v>9146</v>
      </c>
      <c r="C3" s="8">
        <f>SUM(Table1[gross_revenue])</f>
        <v>2051690.6500000055</v>
      </c>
      <c r="D3" s="9" t="s">
        <v>9164</v>
      </c>
      <c r="E3" s="7" t="s">
        <v>9174</v>
      </c>
    </row>
    <row r="4" spans="1:13" ht="25.05" customHeight="1" x14ac:dyDescent="0.3">
      <c r="A4" s="10" t="s">
        <v>9128</v>
      </c>
      <c r="B4" s="11" t="s">
        <v>9147</v>
      </c>
      <c r="C4" s="12">
        <f>COUNTA(Table1[customer_id])</f>
        <v>2000</v>
      </c>
      <c r="D4" s="13" t="s">
        <v>9165</v>
      </c>
      <c r="E4" s="11" t="s">
        <v>9175</v>
      </c>
    </row>
    <row r="5" spans="1:13" ht="25.05" customHeight="1" x14ac:dyDescent="0.3">
      <c r="A5" s="14" t="s">
        <v>9129</v>
      </c>
      <c r="B5" s="15" t="s">
        <v>9148</v>
      </c>
      <c r="C5" s="16">
        <f>COUNTA(_xlfn.UNIQUE(Table1[customer_id]))</f>
        <v>2000</v>
      </c>
      <c r="D5" s="17" t="s">
        <v>9166</v>
      </c>
      <c r="E5" s="15" t="s">
        <v>9176</v>
      </c>
    </row>
    <row r="6" spans="1:13" ht="25.05" customHeight="1" x14ac:dyDescent="0.3">
      <c r="A6" s="6" t="s">
        <v>9130</v>
      </c>
      <c r="B6" s="7" t="s">
        <v>9149</v>
      </c>
      <c r="C6" s="8">
        <f>AVERAGE(Table1[gross_revenue])</f>
        <v>1025.8453250000027</v>
      </c>
      <c r="D6" s="9" t="s">
        <v>9164</v>
      </c>
      <c r="E6" s="7" t="s">
        <v>9177</v>
      </c>
    </row>
    <row r="7" spans="1:13" ht="25.05" customHeight="1" x14ac:dyDescent="0.3">
      <c r="A7" s="18" t="s">
        <v>9131</v>
      </c>
      <c r="B7" s="11" t="s">
        <v>9150</v>
      </c>
      <c r="C7" s="12">
        <f>AVERAGE(Table1[quantity])</f>
        <v>4.9485000000000001</v>
      </c>
      <c r="D7" s="13" t="s">
        <v>9165</v>
      </c>
      <c r="E7" s="11" t="s">
        <v>9178</v>
      </c>
    </row>
    <row r="8" spans="1:13" ht="25.05" customHeight="1" x14ac:dyDescent="0.3">
      <c r="A8" s="10" t="s">
        <v>9132</v>
      </c>
      <c r="B8" s="7" t="s">
        <v>9151</v>
      </c>
      <c r="C8" s="19">
        <f>AVERAGE(Table1[purchase_frequency])</f>
        <v>25.158000000000001</v>
      </c>
      <c r="D8" s="9" t="s">
        <v>9167</v>
      </c>
      <c r="E8" s="7" t="s">
        <v>9179</v>
      </c>
    </row>
    <row r="9" spans="1:13" ht="25.05" customHeight="1" x14ac:dyDescent="0.3">
      <c r="A9" s="6" t="s">
        <v>9133</v>
      </c>
      <c r="B9" s="21" t="s">
        <v>9152</v>
      </c>
      <c r="C9" s="22">
        <f>COUNTIF(Table1[subscription_status], "active") / COUNTA(Table1[subscription_status])</f>
        <v>0.60199999999999998</v>
      </c>
      <c r="D9" s="23" t="s">
        <v>9168</v>
      </c>
      <c r="E9" s="21" t="s">
        <v>9180</v>
      </c>
    </row>
    <row r="10" spans="1:13" ht="25.05" customHeight="1" x14ac:dyDescent="0.3">
      <c r="A10" s="20" t="s">
        <v>9134</v>
      </c>
      <c r="B10" s="25" t="s">
        <v>9153</v>
      </c>
      <c r="C10" s="26">
        <f>COUNTIF(Table1[subscription_status], "cancelled") / COUNTA(Table1[subscription_status])</f>
        <v>0.2465</v>
      </c>
      <c r="D10" s="27" t="s">
        <v>9169</v>
      </c>
      <c r="E10" s="25" t="s">
        <v>9181</v>
      </c>
    </row>
    <row r="11" spans="1:13" ht="25.05" customHeight="1" x14ac:dyDescent="0.3">
      <c r="A11" s="24" t="s">
        <v>9135</v>
      </c>
      <c r="B11" s="25" t="s">
        <v>9154</v>
      </c>
      <c r="C11" s="26">
        <f>COUNTIF(Table1[subscription_status], "paused") / COUNTA(Table1[subscription_status])</f>
        <v>0.1515</v>
      </c>
      <c r="D11" s="27" t="s">
        <v>9169</v>
      </c>
      <c r="E11" s="25" t="s">
        <v>9182</v>
      </c>
      <c r="M11" t="s">
        <v>9197</v>
      </c>
    </row>
    <row r="12" spans="1:13" ht="25.05" customHeight="1" x14ac:dyDescent="0.3">
      <c r="A12" s="24" t="s">
        <v>9136</v>
      </c>
      <c r="B12" s="29" t="s">
        <v>9155</v>
      </c>
      <c r="C12" s="30">
        <f>COUNTIF(Data!S2:S2001, "Aligned") / COUNTA(Data!A2:A2001)</f>
        <v>0.20849999999999999</v>
      </c>
      <c r="D12" s="31" t="s">
        <v>9170</v>
      </c>
      <c r="E12" s="29" t="s">
        <v>9183</v>
      </c>
    </row>
    <row r="13" spans="1:13" ht="25.05" customHeight="1" x14ac:dyDescent="0.3">
      <c r="A13" s="28" t="s">
        <v>9137</v>
      </c>
      <c r="B13" s="25" t="s">
        <v>9156</v>
      </c>
      <c r="C13" s="32">
        <f>AVERAGE(Data!H2:H2001)</f>
        <v>2.4415</v>
      </c>
      <c r="D13" s="27" t="s">
        <v>9171</v>
      </c>
      <c r="E13" s="25" t="s">
        <v>9184</v>
      </c>
    </row>
    <row r="14" spans="1:13" ht="25.05" customHeight="1" x14ac:dyDescent="0.3">
      <c r="A14" s="24" t="s">
        <v>9138</v>
      </c>
      <c r="B14" s="25" t="s">
        <v>9157</v>
      </c>
      <c r="C14" s="32">
        <f>COUNTIF(Data!V2:V2001, "Critical Risk")</f>
        <v>388</v>
      </c>
      <c r="D14" s="27" t="s">
        <v>9169</v>
      </c>
      <c r="E14" s="25" t="s">
        <v>9185</v>
      </c>
    </row>
    <row r="15" spans="1:13" ht="25.05" customHeight="1" x14ac:dyDescent="0.3">
      <c r="A15" s="24" t="s">
        <v>9139</v>
      </c>
      <c r="B15" s="34" t="s">
        <v>9158</v>
      </c>
      <c r="C15" s="35" cm="1">
        <f t="array" ref="C15">MAX(SUMIF(Data!P2:P2001, Data!P2:P2001, Data!R2:R2001))</f>
        <v>439803.15</v>
      </c>
      <c r="D15" s="36" t="s">
        <v>9125</v>
      </c>
      <c r="E15" s="34" t="s">
        <v>9186</v>
      </c>
    </row>
    <row r="16" spans="1:13" ht="25.05" customHeight="1" x14ac:dyDescent="0.3">
      <c r="A16" s="33" t="s">
        <v>9140</v>
      </c>
      <c r="B16" s="29" t="s">
        <v>9159</v>
      </c>
      <c r="C16" s="37" cm="1">
        <f t="array" ref="C16">MAX(SUMIF(Data!E2:E2001, Data!E2:E2001, Data!R2:R2001))</f>
        <v>368249.31000000023</v>
      </c>
      <c r="D16" s="31" t="s">
        <v>9172</v>
      </c>
      <c r="E16" s="29" t="s">
        <v>9187</v>
      </c>
    </row>
    <row r="17" spans="1:5" ht="25.05" customHeight="1" x14ac:dyDescent="0.3">
      <c r="A17" s="28" t="s">
        <v>9141</v>
      </c>
      <c r="B17" s="39" t="s">
        <v>9160</v>
      </c>
      <c r="C17" s="40">
        <f>COUNTIF(Data!Q2:Q2001, "Female") / COUNTA(Data!Q2:Q2001)</f>
        <v>0.50749999999999995</v>
      </c>
      <c r="D17" s="41" t="s">
        <v>9173</v>
      </c>
      <c r="E17" s="39" t="s">
        <v>9188</v>
      </c>
    </row>
    <row r="18" spans="1:5" ht="25.05" customHeight="1" x14ac:dyDescent="0.3">
      <c r="A18" s="38" t="s">
        <v>9142</v>
      </c>
      <c r="B18" s="39" t="s">
        <v>9161</v>
      </c>
      <c r="C18" s="40">
        <f>COUNTIF(Data!Q2:Q2001, "Male") / COUNTA(Data!Q2:Q2001)</f>
        <v>0.45850000000000002</v>
      </c>
      <c r="D18" s="41" t="s">
        <v>9173</v>
      </c>
      <c r="E18" s="39" t="s">
        <v>9189</v>
      </c>
    </row>
    <row r="19" spans="1:5" ht="25.05" customHeight="1" x14ac:dyDescent="0.3">
      <c r="A19" s="38" t="s">
        <v>9143</v>
      </c>
      <c r="B19" s="7" t="s">
        <v>9162</v>
      </c>
      <c r="C19" s="8">
        <f>MAX(Data!R2:R2001)</f>
        <v>1998.08</v>
      </c>
      <c r="D19" s="9" t="s">
        <v>9164</v>
      </c>
      <c r="E19" s="7" t="s">
        <v>9190</v>
      </c>
    </row>
    <row r="20" spans="1:5" ht="25.05" customHeight="1" x14ac:dyDescent="0.3">
      <c r="A20" s="6" t="s">
        <v>9144</v>
      </c>
      <c r="B20" s="25" t="s">
        <v>9163</v>
      </c>
      <c r="C20" s="32">
        <f>SUM(Data!H2:H2001)</f>
        <v>4883</v>
      </c>
      <c r="D20" s="27" t="s">
        <v>9171</v>
      </c>
      <c r="E20" s="25" t="s">
        <v>9191</v>
      </c>
    </row>
    <row r="21" spans="1:5" ht="25.05" customHeight="1" x14ac:dyDescent="0.3">
      <c r="A21" s="24" t="s">
        <v>9145</v>
      </c>
    </row>
    <row r="22" spans="1:5" ht="25.05" customHeight="1" x14ac:dyDescent="0.3"/>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DF5E5-18CD-4DCD-9EBC-F3EEE8B65461}">
  <dimension ref="A1:L32"/>
  <sheetViews>
    <sheetView topLeftCell="A15" workbookViewId="0">
      <selection activeCell="H32" sqref="H32"/>
    </sheetView>
  </sheetViews>
  <sheetFormatPr defaultRowHeight="14.4" x14ac:dyDescent="0.3"/>
  <cols>
    <col min="1" max="1" width="14.6640625" bestFit="1" customWidth="1"/>
    <col min="2" max="2" width="13.77734375" bestFit="1" customWidth="1"/>
    <col min="3" max="3" width="10.88671875" bestFit="1" customWidth="1"/>
    <col min="4" max="4" width="15" bestFit="1" customWidth="1"/>
    <col min="5" max="5" width="13.33203125" bestFit="1" customWidth="1"/>
    <col min="6" max="6" width="13.109375" customWidth="1"/>
    <col min="7" max="7" width="10.5546875" bestFit="1" customWidth="1"/>
    <col min="8" max="9" width="14.6640625" bestFit="1" customWidth="1"/>
    <col min="10" max="10" width="18.88671875" bestFit="1" customWidth="1"/>
    <col min="11" max="11" width="15" bestFit="1" customWidth="1"/>
    <col min="12" max="12" width="17" bestFit="1" customWidth="1"/>
  </cols>
  <sheetData>
    <row r="1" spans="1:12" x14ac:dyDescent="0.3">
      <c r="A1" s="83" t="s">
        <v>9203</v>
      </c>
      <c r="B1" s="83"/>
      <c r="C1" s="83"/>
      <c r="D1" s="83"/>
      <c r="E1" s="83"/>
      <c r="H1" s="82" t="s">
        <v>9209</v>
      </c>
      <c r="I1" s="82"/>
      <c r="J1" s="82"/>
      <c r="K1" s="82"/>
      <c r="L1" s="82"/>
    </row>
    <row r="2" spans="1:12" x14ac:dyDescent="0.3">
      <c r="A2" s="44" t="s">
        <v>9192</v>
      </c>
      <c r="B2" s="45" t="s">
        <v>9200</v>
      </c>
      <c r="C2" s="45" t="s">
        <v>9205</v>
      </c>
      <c r="D2" s="45" t="s">
        <v>9199</v>
      </c>
      <c r="E2" s="45" t="s">
        <v>9202</v>
      </c>
      <c r="H2" s="3" t="s">
        <v>9192</v>
      </c>
      <c r="I2" t="s">
        <v>9196</v>
      </c>
      <c r="J2" t="s">
        <v>9194</v>
      </c>
      <c r="K2" t="s">
        <v>9207</v>
      </c>
      <c r="L2" t="s">
        <v>9208</v>
      </c>
    </row>
    <row r="3" spans="1:12" x14ac:dyDescent="0.3">
      <c r="A3" s="45" t="s">
        <v>68</v>
      </c>
      <c r="B3" s="46">
        <v>405850.74000000022</v>
      </c>
      <c r="C3" s="85">
        <v>396</v>
      </c>
      <c r="D3" s="46">
        <v>1024.8756060606065</v>
      </c>
      <c r="E3" s="46">
        <v>5.012626262626263</v>
      </c>
      <c r="H3" s="4" t="s">
        <v>27</v>
      </c>
      <c r="I3">
        <v>1204</v>
      </c>
      <c r="J3">
        <v>1231160.2599999988</v>
      </c>
      <c r="K3" s="43">
        <v>2.4393687707641196</v>
      </c>
      <c r="L3" s="43">
        <v>24.843023255813954</v>
      </c>
    </row>
    <row r="4" spans="1:12" x14ac:dyDescent="0.3">
      <c r="A4" s="45" t="s">
        <v>56</v>
      </c>
      <c r="B4" s="46">
        <v>439803.15</v>
      </c>
      <c r="C4" s="85">
        <v>426</v>
      </c>
      <c r="D4" s="46">
        <v>1032.4017605633803</v>
      </c>
      <c r="E4" s="46">
        <v>5.117370892018779</v>
      </c>
      <c r="H4" s="4" t="s">
        <v>52</v>
      </c>
      <c r="I4">
        <v>493</v>
      </c>
      <c r="J4">
        <v>516068.28000000009</v>
      </c>
      <c r="K4" s="43">
        <v>2.4787018255578093</v>
      </c>
      <c r="L4" s="43">
        <v>26.06288032454361</v>
      </c>
    </row>
    <row r="5" spans="1:12" x14ac:dyDescent="0.3">
      <c r="A5" s="45" t="s">
        <v>54</v>
      </c>
      <c r="B5" s="46">
        <v>411628.81000000011</v>
      </c>
      <c r="C5" s="85">
        <v>414</v>
      </c>
      <c r="D5" s="46">
        <v>994.27248792270564</v>
      </c>
      <c r="E5" s="46">
        <v>4.6908212560386477</v>
      </c>
      <c r="H5" s="4" t="s">
        <v>64</v>
      </c>
      <c r="I5">
        <v>303</v>
      </c>
      <c r="J5">
        <v>304462.10999999993</v>
      </c>
      <c r="K5" s="43">
        <v>2.3894389438943895</v>
      </c>
      <c r="L5" s="43">
        <v>24.937293729372936</v>
      </c>
    </row>
    <row r="6" spans="1:12" x14ac:dyDescent="0.3">
      <c r="A6" s="45" t="s">
        <v>45</v>
      </c>
      <c r="B6" s="46">
        <v>392086.74000000017</v>
      </c>
      <c r="C6" s="85">
        <v>374</v>
      </c>
      <c r="D6" s="46">
        <v>1048.3602673796795</v>
      </c>
      <c r="E6" s="46">
        <v>4.8930481283422456</v>
      </c>
      <c r="H6" s="4" t="s">
        <v>9193</v>
      </c>
      <c r="I6">
        <v>2000</v>
      </c>
      <c r="J6">
        <v>2051690.6500000046</v>
      </c>
      <c r="K6" s="43">
        <v>2.4415</v>
      </c>
      <c r="L6" s="43">
        <v>25.158000000000001</v>
      </c>
    </row>
    <row r="7" spans="1:12" x14ac:dyDescent="0.3">
      <c r="A7" s="45" t="s">
        <v>30</v>
      </c>
      <c r="B7" s="46">
        <v>402321.2099999999</v>
      </c>
      <c r="C7" s="85">
        <v>390</v>
      </c>
      <c r="D7" s="46">
        <v>1031.5928461538458</v>
      </c>
      <c r="E7" s="46">
        <v>5.0256410256410255</v>
      </c>
    </row>
    <row r="8" spans="1:12" x14ac:dyDescent="0.3">
      <c r="A8" s="45" t="s">
        <v>9193</v>
      </c>
      <c r="B8" s="46">
        <v>2051690.6500000032</v>
      </c>
      <c r="C8" s="85">
        <v>2000</v>
      </c>
      <c r="D8" s="46">
        <v>1025.8453250000016</v>
      </c>
      <c r="E8" s="46">
        <v>4.9485000000000001</v>
      </c>
    </row>
    <row r="9" spans="1:12" x14ac:dyDescent="0.3">
      <c r="A9" s="45"/>
      <c r="B9" s="48">
        <f>SUM(B3:B7)</f>
        <v>2051690.6500000006</v>
      </c>
      <c r="C9" s="45">
        <f>SUM(C3:C7)</f>
        <v>2000</v>
      </c>
      <c r="D9" s="46">
        <f>AVERAGE(Data!R2:R2001)</f>
        <v>1025.8453250000027</v>
      </c>
      <c r="E9" s="45"/>
      <c r="H9" s="82" t="s">
        <v>9211</v>
      </c>
      <c r="I9" s="82"/>
      <c r="J9" s="82"/>
      <c r="K9" s="82"/>
      <c r="L9" s="82"/>
    </row>
    <row r="10" spans="1:12" x14ac:dyDescent="0.3">
      <c r="A10" s="83" t="s">
        <v>9206</v>
      </c>
      <c r="B10" s="83"/>
      <c r="C10" s="83"/>
      <c r="D10" s="83"/>
      <c r="E10" s="83"/>
      <c r="H10" s="3" t="s">
        <v>9192</v>
      </c>
      <c r="I10" t="s">
        <v>9210</v>
      </c>
      <c r="J10" t="s">
        <v>9194</v>
      </c>
      <c r="K10" t="s">
        <v>9199</v>
      </c>
      <c r="L10" t="s">
        <v>9208</v>
      </c>
    </row>
    <row r="11" spans="1:12" x14ac:dyDescent="0.3">
      <c r="A11" s="44" t="s">
        <v>9192</v>
      </c>
      <c r="B11" s="45" t="s">
        <v>9200</v>
      </c>
      <c r="C11" s="45" t="s">
        <v>9205</v>
      </c>
      <c r="D11" s="45" t="s">
        <v>9204</v>
      </c>
      <c r="E11" s="45" t="s">
        <v>9199</v>
      </c>
      <c r="H11" s="4" t="s">
        <v>100</v>
      </c>
      <c r="I11" s="43">
        <v>258</v>
      </c>
      <c r="J11" s="84">
        <v>263546.12</v>
      </c>
      <c r="K11" s="43">
        <v>1021.4965891472868</v>
      </c>
      <c r="L11" s="43">
        <v>25.120155038759691</v>
      </c>
    </row>
    <row r="12" spans="1:12" x14ac:dyDescent="0.3">
      <c r="A12" s="45" t="s">
        <v>25</v>
      </c>
      <c r="B12" s="46">
        <v>321518.31999999977</v>
      </c>
      <c r="C12" s="45">
        <v>315</v>
      </c>
      <c r="D12" s="47">
        <v>315</v>
      </c>
      <c r="E12" s="46">
        <v>1020.6930793650787</v>
      </c>
      <c r="H12" s="4" t="s">
        <v>57</v>
      </c>
      <c r="I12" s="43">
        <v>345</v>
      </c>
      <c r="J12" s="84">
        <v>361799.49</v>
      </c>
      <c r="K12" s="43">
        <v>1048.6941739130434</v>
      </c>
      <c r="L12" s="43">
        <v>24.930434782608696</v>
      </c>
    </row>
    <row r="13" spans="1:12" x14ac:dyDescent="0.3">
      <c r="A13" s="45" t="s">
        <v>88</v>
      </c>
      <c r="B13" s="46">
        <v>368249.31000000023</v>
      </c>
      <c r="C13" s="45">
        <v>360</v>
      </c>
      <c r="D13" s="47">
        <v>360</v>
      </c>
      <c r="E13" s="46">
        <v>1022.9147500000006</v>
      </c>
      <c r="H13" s="4" t="s">
        <v>34</v>
      </c>
      <c r="I13" s="43">
        <v>584</v>
      </c>
      <c r="J13" s="84">
        <v>598548.38000000012</v>
      </c>
      <c r="K13" s="43">
        <v>1024.9116095890413</v>
      </c>
      <c r="L13" s="43">
        <v>25.332191780821919</v>
      </c>
    </row>
    <row r="14" spans="1:12" x14ac:dyDescent="0.3">
      <c r="A14" s="45" t="s">
        <v>61</v>
      </c>
      <c r="B14" s="46">
        <v>336791.52999999997</v>
      </c>
      <c r="C14" s="45">
        <v>324</v>
      </c>
      <c r="D14" s="47">
        <v>324</v>
      </c>
      <c r="E14" s="46">
        <v>1039.4800308641975</v>
      </c>
      <c r="H14" s="4" t="s">
        <v>47</v>
      </c>
      <c r="I14" s="43">
        <v>632</v>
      </c>
      <c r="J14" s="84">
        <v>633398.31999999948</v>
      </c>
      <c r="K14" s="43">
        <v>1002.2125316455688</v>
      </c>
      <c r="L14" s="43">
        <v>24.7626582278481</v>
      </c>
    </row>
    <row r="15" spans="1:12" x14ac:dyDescent="0.3">
      <c r="A15" s="45" t="s">
        <v>51</v>
      </c>
      <c r="B15" s="46">
        <v>343162.68</v>
      </c>
      <c r="C15" s="45">
        <v>332</v>
      </c>
      <c r="D15" s="47">
        <v>332</v>
      </c>
      <c r="E15" s="46">
        <v>1033.622530120482</v>
      </c>
      <c r="H15" s="4" t="s">
        <v>232</v>
      </c>
      <c r="I15" s="43">
        <v>181</v>
      </c>
      <c r="J15" s="84">
        <v>194398.33999999991</v>
      </c>
      <c r="K15" s="43">
        <v>1074.0239779005519</v>
      </c>
      <c r="L15" s="43">
        <v>26.464088397790054</v>
      </c>
    </row>
    <row r="16" spans="1:12" x14ac:dyDescent="0.3">
      <c r="A16" s="45" t="s">
        <v>95</v>
      </c>
      <c r="B16" s="46">
        <v>353312.03000000009</v>
      </c>
      <c r="C16" s="45">
        <v>350</v>
      </c>
      <c r="D16" s="47">
        <v>350</v>
      </c>
      <c r="E16" s="46">
        <v>1009.462942857143</v>
      </c>
      <c r="H16" s="4" t="s">
        <v>9193</v>
      </c>
      <c r="I16" s="84">
        <v>2000</v>
      </c>
      <c r="J16" s="84">
        <v>2051690.6500000036</v>
      </c>
      <c r="K16" s="43">
        <v>1025.8453250000018</v>
      </c>
      <c r="L16" s="43">
        <v>25.158000000000001</v>
      </c>
    </row>
    <row r="17" spans="1:12" x14ac:dyDescent="0.3">
      <c r="A17" s="45" t="s">
        <v>40</v>
      </c>
      <c r="B17" s="46">
        <v>328656.78000000009</v>
      </c>
      <c r="C17" s="45">
        <v>319</v>
      </c>
      <c r="D17" s="47">
        <v>319</v>
      </c>
      <c r="E17" s="46">
        <v>1030.272037617555</v>
      </c>
    </row>
    <row r="18" spans="1:12" x14ac:dyDescent="0.3">
      <c r="A18" s="45" t="s">
        <v>9193</v>
      </c>
      <c r="B18" s="46">
        <v>2051690.6500000025</v>
      </c>
      <c r="C18" s="45">
        <v>2000</v>
      </c>
      <c r="D18" s="47">
        <v>2000</v>
      </c>
      <c r="E18" s="46">
        <v>1025.8453250000011</v>
      </c>
    </row>
    <row r="19" spans="1:12" x14ac:dyDescent="0.3">
      <c r="D19" s="43">
        <f>SUM(D12:D17)</f>
        <v>2000</v>
      </c>
      <c r="H19" s="82" t="s">
        <v>9216</v>
      </c>
      <c r="I19" s="82"/>
      <c r="J19" s="82"/>
      <c r="K19" s="82"/>
      <c r="L19" s="82"/>
    </row>
    <row r="20" spans="1:12" x14ac:dyDescent="0.3">
      <c r="H20" s="3" t="s">
        <v>9194</v>
      </c>
      <c r="I20" s="3" t="s">
        <v>9195</v>
      </c>
    </row>
    <row r="21" spans="1:12" x14ac:dyDescent="0.3">
      <c r="A21" s="82" t="s">
        <v>9215</v>
      </c>
      <c r="B21" s="82"/>
      <c r="C21" s="82"/>
      <c r="D21" s="82"/>
      <c r="E21" s="82"/>
      <c r="H21" s="3" t="s">
        <v>9192</v>
      </c>
      <c r="I21" t="s">
        <v>32</v>
      </c>
      <c r="J21" t="s">
        <v>69</v>
      </c>
      <c r="K21" t="s">
        <v>322</v>
      </c>
      <c r="L21" t="s">
        <v>9193</v>
      </c>
    </row>
    <row r="22" spans="1:12" x14ac:dyDescent="0.3">
      <c r="A22" s="3" t="s">
        <v>9192</v>
      </c>
      <c r="B22" t="s">
        <v>9201</v>
      </c>
      <c r="C22" t="s">
        <v>9213</v>
      </c>
      <c r="D22" t="s">
        <v>9199</v>
      </c>
      <c r="E22" t="s">
        <v>9214</v>
      </c>
      <c r="H22" s="4" t="s">
        <v>68</v>
      </c>
      <c r="I22">
        <v>216591.81999999977</v>
      </c>
      <c r="J22">
        <v>169530.33999999988</v>
      </c>
      <c r="K22">
        <v>19728.579999999998</v>
      </c>
      <c r="L22">
        <v>405850.7399999997</v>
      </c>
    </row>
    <row r="23" spans="1:12" x14ac:dyDescent="0.3">
      <c r="A23" s="4" t="s">
        <v>32</v>
      </c>
      <c r="B23" s="43">
        <v>1015</v>
      </c>
      <c r="C23">
        <v>1032431.9999999991</v>
      </c>
      <c r="D23" s="43">
        <v>1017.1743842364523</v>
      </c>
      <c r="E23" s="43">
        <v>4.9891625615763546</v>
      </c>
      <c r="H23" s="4" t="s">
        <v>56</v>
      </c>
      <c r="I23">
        <v>194857.89</v>
      </c>
      <c r="J23">
        <v>230559.54000000004</v>
      </c>
      <c r="K23">
        <v>14385.720000000001</v>
      </c>
      <c r="L23">
        <v>439803.15</v>
      </c>
    </row>
    <row r="24" spans="1:12" x14ac:dyDescent="0.3">
      <c r="A24" s="4" t="s">
        <v>69</v>
      </c>
      <c r="B24" s="43">
        <v>917</v>
      </c>
      <c r="C24">
        <v>954161.46999999916</v>
      </c>
      <c r="D24" s="43">
        <v>1040.5250490730634</v>
      </c>
      <c r="E24" s="43">
        <v>4.9018538713195206</v>
      </c>
      <c r="H24" s="4" t="s">
        <v>54</v>
      </c>
      <c r="I24">
        <v>188809.57000000004</v>
      </c>
      <c r="J24">
        <v>214104.17000000004</v>
      </c>
      <c r="K24">
        <v>8715.07</v>
      </c>
      <c r="L24">
        <v>411628.81000000011</v>
      </c>
    </row>
    <row r="25" spans="1:12" x14ac:dyDescent="0.3">
      <c r="A25" s="4" t="s">
        <v>322</v>
      </c>
      <c r="B25" s="43">
        <v>68</v>
      </c>
      <c r="C25">
        <v>65097.18</v>
      </c>
      <c r="D25" s="43">
        <v>957.31147058823535</v>
      </c>
      <c r="E25" s="43">
        <v>4.9705882352941178</v>
      </c>
      <c r="H25" s="4" t="s">
        <v>45</v>
      </c>
      <c r="I25">
        <v>223832.45000000004</v>
      </c>
      <c r="J25">
        <v>158138.06</v>
      </c>
      <c r="K25">
        <v>10116.23</v>
      </c>
      <c r="L25">
        <v>392086.74</v>
      </c>
    </row>
    <row r="26" spans="1:12" x14ac:dyDescent="0.3">
      <c r="A26" s="4" t="s">
        <v>9198</v>
      </c>
      <c r="C26">
        <v>2051690.6500000055</v>
      </c>
      <c r="D26" s="43">
        <v>2051690.6500000055</v>
      </c>
      <c r="E26" s="43"/>
      <c r="H26" s="4" t="s">
        <v>30</v>
      </c>
      <c r="I26">
        <v>208340.26999999996</v>
      </c>
      <c r="J26">
        <v>181829.35999999987</v>
      </c>
      <c r="K26">
        <v>12151.58</v>
      </c>
      <c r="L26">
        <v>402321.20999999985</v>
      </c>
    </row>
    <row r="27" spans="1:12" x14ac:dyDescent="0.3">
      <c r="A27" s="4" t="s">
        <v>9212</v>
      </c>
      <c r="D27" s="43"/>
      <c r="E27" s="43"/>
      <c r="H27" s="4" t="s">
        <v>9193</v>
      </c>
      <c r="I27">
        <v>1032431.9999999998</v>
      </c>
      <c r="J27">
        <v>954161.46999999974</v>
      </c>
      <c r="K27">
        <v>65097.180000000008</v>
      </c>
      <c r="L27">
        <v>2051690.6499999994</v>
      </c>
    </row>
    <row r="28" spans="1:12" x14ac:dyDescent="0.3">
      <c r="A28" s="4" t="s">
        <v>9193</v>
      </c>
      <c r="B28">
        <v>2000</v>
      </c>
      <c r="C28">
        <v>4103381.3000000077</v>
      </c>
      <c r="D28" s="43">
        <v>2050.6653173413333</v>
      </c>
      <c r="E28" s="43">
        <v>4.9485000000000001</v>
      </c>
    </row>
    <row r="32" spans="1:12" x14ac:dyDescent="0.3">
      <c r="A32" s="49" t="s">
        <v>9217</v>
      </c>
      <c r="B32" s="50">
        <f>COUNTIF(Table1[subscription_status], "CANCELLED") / ROWS(Table1[])</f>
        <v>0.2465</v>
      </c>
      <c r="D32" s="49" t="s">
        <v>9218</v>
      </c>
      <c r="E32" s="51">
        <f>COUNTIF(Table1[subscription_status], "ACTIVE") / ROWS(Table1[])</f>
        <v>0.60199999999999998</v>
      </c>
    </row>
  </sheetData>
  <mergeCells count="6">
    <mergeCell ref="A21:E21"/>
    <mergeCell ref="A1:E1"/>
    <mergeCell ref="A10:E10"/>
    <mergeCell ref="H19:L19"/>
    <mergeCell ref="H1:L1"/>
    <mergeCell ref="H9:L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9DE68-212C-4837-82B8-0CF8FA98856A}">
  <dimension ref="A1"/>
  <sheetViews>
    <sheetView showGridLines="0" topLeftCell="A31" workbookViewId="0">
      <selection activeCell="I57" sqref="I57"/>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BC0F0-C082-42A6-92E6-5E4DCF90BA01}">
  <dimension ref="B12:T58"/>
  <sheetViews>
    <sheetView showGridLines="0" tabSelected="1" zoomScale="75" workbookViewId="0">
      <selection activeCell="I18" sqref="I18"/>
    </sheetView>
  </sheetViews>
  <sheetFormatPr defaultRowHeight="14.4" x14ac:dyDescent="0.3"/>
  <cols>
    <col min="1" max="1" width="6.109375" customWidth="1"/>
    <col min="2" max="2" width="10.44140625" customWidth="1"/>
    <col min="3" max="3" width="13.44140625" customWidth="1"/>
    <col min="4" max="4" width="12.5546875" customWidth="1"/>
    <col min="5" max="5" width="16.33203125" customWidth="1"/>
    <col min="6" max="6" width="17" customWidth="1"/>
    <col min="7" max="7" width="12.21875" customWidth="1"/>
    <col min="8" max="8" width="16.109375" customWidth="1"/>
    <col min="9" max="9" width="15.109375" customWidth="1"/>
    <col min="10" max="10" width="19.77734375" customWidth="1"/>
    <col min="11" max="11" width="15.6640625" customWidth="1"/>
    <col min="12" max="12" width="17.6640625" customWidth="1"/>
    <col min="13" max="13" width="11.6640625" customWidth="1"/>
    <col min="14" max="14" width="14.5546875" customWidth="1"/>
    <col min="15" max="15" width="10.109375" customWidth="1"/>
    <col min="16" max="16" width="14.109375" customWidth="1"/>
    <col min="17" max="17" width="12.44140625" customWidth="1"/>
    <col min="18" max="18" width="14.21875" customWidth="1"/>
    <col min="20" max="20" width="14.109375" customWidth="1"/>
  </cols>
  <sheetData>
    <row r="12" spans="4:20" x14ac:dyDescent="0.3">
      <c r="F12" s="45"/>
    </row>
    <row r="13" spans="4:20" ht="19.8" customHeight="1" x14ac:dyDescent="0.3">
      <c r="M13" s="58"/>
      <c r="P13" s="75" t="s">
        <v>9206</v>
      </c>
      <c r="Q13" s="76"/>
      <c r="R13" s="76"/>
      <c r="S13" s="76"/>
      <c r="T13" s="77"/>
    </row>
    <row r="14" spans="4:20" x14ac:dyDescent="0.3">
      <c r="D14" s="75" t="s">
        <v>9203</v>
      </c>
      <c r="E14" s="76"/>
      <c r="F14" s="76"/>
      <c r="G14" s="76"/>
      <c r="H14" s="77"/>
      <c r="J14" s="75" t="s">
        <v>9209</v>
      </c>
      <c r="K14" s="76"/>
      <c r="L14" s="76"/>
      <c r="M14" s="76"/>
      <c r="N14" s="77"/>
      <c r="P14" s="66" t="s">
        <v>4</v>
      </c>
      <c r="Q14" s="66" t="s">
        <v>9200</v>
      </c>
      <c r="R14" s="66" t="s">
        <v>9205</v>
      </c>
      <c r="S14" s="66" t="s">
        <v>9204</v>
      </c>
      <c r="T14" s="66" t="s">
        <v>9199</v>
      </c>
    </row>
    <row r="15" spans="4:20" x14ac:dyDescent="0.3">
      <c r="D15" s="52" t="s">
        <v>9125</v>
      </c>
      <c r="E15" s="53" t="s">
        <v>9200</v>
      </c>
      <c r="F15" s="53" t="s">
        <v>9205</v>
      </c>
      <c r="G15" s="53" t="s">
        <v>9199</v>
      </c>
      <c r="H15" s="53" t="s">
        <v>9202</v>
      </c>
      <c r="J15" s="63" t="s">
        <v>9219</v>
      </c>
      <c r="K15" s="63" t="s">
        <v>9220</v>
      </c>
      <c r="L15" s="63" t="s">
        <v>9194</v>
      </c>
      <c r="M15" s="63" t="s">
        <v>9207</v>
      </c>
      <c r="N15" s="63" t="s">
        <v>9208</v>
      </c>
      <c r="P15" s="54" t="str">
        <f>'Pivot Table'!A12</f>
        <v>Canada</v>
      </c>
      <c r="Q15" s="54">
        <f>'Pivot Table'!B12</f>
        <v>321518.31999999977</v>
      </c>
      <c r="R15" s="54">
        <f>'Pivot Table'!C12</f>
        <v>315</v>
      </c>
      <c r="S15" s="54">
        <f>'Pivot Table'!D12</f>
        <v>315</v>
      </c>
      <c r="T15" s="56">
        <f>'Pivot Table'!E12</f>
        <v>1020.6930793650787</v>
      </c>
    </row>
    <row r="16" spans="4:20" x14ac:dyDescent="0.3">
      <c r="D16" s="59" t="str">
        <f>'Pivot Table'!A3</f>
        <v>Beauty</v>
      </c>
      <c r="E16" s="59">
        <f>'Pivot Table'!B3</f>
        <v>405850.74000000022</v>
      </c>
      <c r="F16" s="59">
        <f>'Pivot Table'!C3</f>
        <v>396</v>
      </c>
      <c r="G16" s="60">
        <f>'Pivot Table'!D3</f>
        <v>1024.8756060606065</v>
      </c>
      <c r="H16" s="60">
        <f>'Pivot Table'!E3</f>
        <v>5.012626262626263</v>
      </c>
      <c r="J16" s="64" t="str">
        <f>'Pivot Table'!H3</f>
        <v>active</v>
      </c>
      <c r="K16" s="64">
        <f>'Pivot Table'!I3</f>
        <v>1204</v>
      </c>
      <c r="L16" s="64">
        <f>'Pivot Table'!J3</f>
        <v>1231160.2599999988</v>
      </c>
      <c r="M16" s="65">
        <f>'Pivot Table'!K3</f>
        <v>2.4393687707641196</v>
      </c>
      <c r="N16" s="65">
        <f>'Pivot Table'!L3</f>
        <v>24.843023255813954</v>
      </c>
      <c r="P16" s="54" t="str">
        <f>'Pivot Table'!A13</f>
        <v>Germany</v>
      </c>
      <c r="Q16" s="54">
        <f>'Pivot Table'!B13</f>
        <v>368249.31000000023</v>
      </c>
      <c r="R16" s="54">
        <f>'Pivot Table'!C13</f>
        <v>360</v>
      </c>
      <c r="S16" s="54">
        <f>'Pivot Table'!D13</f>
        <v>360</v>
      </c>
      <c r="T16" s="56">
        <f>'Pivot Table'!E13</f>
        <v>1022.9147500000006</v>
      </c>
    </row>
    <row r="17" spans="2:20" x14ac:dyDescent="0.3">
      <c r="D17" s="59" t="str">
        <f>'Pivot Table'!A4</f>
        <v>Clothing</v>
      </c>
      <c r="E17" s="59">
        <f>'Pivot Table'!B4</f>
        <v>439803.15</v>
      </c>
      <c r="F17" s="59">
        <f>'Pivot Table'!C4</f>
        <v>426</v>
      </c>
      <c r="G17" s="60">
        <f>'Pivot Table'!D4</f>
        <v>1032.4017605633803</v>
      </c>
      <c r="H17" s="60">
        <f>'Pivot Table'!E4</f>
        <v>5.117370892018779</v>
      </c>
      <c r="J17" s="64" t="str">
        <f>'Pivot Table'!H4</f>
        <v>cancelled</v>
      </c>
      <c r="K17" s="64">
        <f>'Pivot Table'!I4</f>
        <v>493</v>
      </c>
      <c r="L17" s="64">
        <f>'Pivot Table'!J4</f>
        <v>516068.28000000009</v>
      </c>
      <c r="M17" s="65">
        <f>'Pivot Table'!K4</f>
        <v>2.4787018255578093</v>
      </c>
      <c r="N17" s="65">
        <f>'Pivot Table'!L4</f>
        <v>26.06288032454361</v>
      </c>
      <c r="P17" s="54" t="str">
        <f>'Pivot Table'!A14</f>
        <v>India</v>
      </c>
      <c r="Q17" s="54">
        <f>'Pivot Table'!B14</f>
        <v>336791.52999999997</v>
      </c>
      <c r="R17" s="54">
        <f>'Pivot Table'!C14</f>
        <v>324</v>
      </c>
      <c r="S17" s="54">
        <f>'Pivot Table'!D14</f>
        <v>324</v>
      </c>
      <c r="T17" s="56">
        <f>'Pivot Table'!E14</f>
        <v>1039.4800308641975</v>
      </c>
    </row>
    <row r="18" spans="2:20" x14ac:dyDescent="0.3">
      <c r="D18" s="59" t="str">
        <f>'Pivot Table'!A5</f>
        <v>Electronics</v>
      </c>
      <c r="E18" s="59">
        <f>'Pivot Table'!B5</f>
        <v>411628.81000000011</v>
      </c>
      <c r="F18" s="59">
        <f>'Pivot Table'!C5</f>
        <v>414</v>
      </c>
      <c r="G18" s="60">
        <f>'Pivot Table'!D5</f>
        <v>994.27248792270564</v>
      </c>
      <c r="H18" s="60">
        <f>'Pivot Table'!E5</f>
        <v>4.6908212560386477</v>
      </c>
      <c r="J18" s="64" t="str">
        <f>'Pivot Table'!H5</f>
        <v>paused</v>
      </c>
      <c r="K18" s="64">
        <f>'Pivot Table'!I5</f>
        <v>303</v>
      </c>
      <c r="L18" s="64">
        <f>'Pivot Table'!J5</f>
        <v>304462.10999999993</v>
      </c>
      <c r="M18" s="65">
        <f>'Pivot Table'!K5</f>
        <v>2.3894389438943895</v>
      </c>
      <c r="N18" s="65">
        <f>'Pivot Table'!L5</f>
        <v>24.937293729372936</v>
      </c>
      <c r="P18" s="54" t="str">
        <f>'Pivot Table'!A15</f>
        <v>Pakistan</v>
      </c>
      <c r="Q18" s="54">
        <f>'Pivot Table'!B15</f>
        <v>343162.68</v>
      </c>
      <c r="R18" s="54">
        <f>'Pivot Table'!C15</f>
        <v>332</v>
      </c>
      <c r="S18" s="54">
        <f>'Pivot Table'!D15</f>
        <v>332</v>
      </c>
      <c r="T18" s="56">
        <f>'Pivot Table'!E15</f>
        <v>1033.622530120482</v>
      </c>
    </row>
    <row r="19" spans="2:20" x14ac:dyDescent="0.3">
      <c r="D19" s="59" t="str">
        <f>'Pivot Table'!A6</f>
        <v>Home</v>
      </c>
      <c r="E19" s="59">
        <f>'Pivot Table'!B6</f>
        <v>392086.74000000017</v>
      </c>
      <c r="F19" s="59">
        <f>'Pivot Table'!C6</f>
        <v>374</v>
      </c>
      <c r="G19" s="60">
        <f>'Pivot Table'!D6</f>
        <v>1048.3602673796795</v>
      </c>
      <c r="H19" s="60">
        <f>'Pivot Table'!E6</f>
        <v>4.8930481283422456</v>
      </c>
      <c r="J19" s="61" t="str">
        <f>'Pivot Table'!H6</f>
        <v>Grand Total</v>
      </c>
      <c r="K19" s="61">
        <f>'Pivot Table'!I6</f>
        <v>2000</v>
      </c>
      <c r="L19" s="61">
        <f>'Pivot Table'!J6</f>
        <v>2051690.6500000046</v>
      </c>
      <c r="M19" s="62">
        <f>'Pivot Table'!K6</f>
        <v>2.4415</v>
      </c>
      <c r="N19" s="62">
        <f>'Pivot Table'!L6</f>
        <v>25.158000000000001</v>
      </c>
      <c r="P19" s="54" t="str">
        <f>'Pivot Table'!A16</f>
        <v>UK</v>
      </c>
      <c r="Q19" s="54">
        <f>'Pivot Table'!B16</f>
        <v>353312.03000000009</v>
      </c>
      <c r="R19" s="54">
        <f>'Pivot Table'!C16</f>
        <v>350</v>
      </c>
      <c r="S19" s="54">
        <f>'Pivot Table'!D16</f>
        <v>350</v>
      </c>
      <c r="T19" s="56">
        <f>'Pivot Table'!E16</f>
        <v>1009.462942857143</v>
      </c>
    </row>
    <row r="20" spans="2:20" x14ac:dyDescent="0.3">
      <c r="D20" s="59" t="str">
        <f>'Pivot Table'!A7</f>
        <v>Sports</v>
      </c>
      <c r="E20" s="59">
        <f>'Pivot Table'!B7</f>
        <v>402321.2099999999</v>
      </c>
      <c r="F20" s="59">
        <f>'Pivot Table'!C7</f>
        <v>390</v>
      </c>
      <c r="G20" s="60">
        <f>'Pivot Table'!D7</f>
        <v>1031.5928461538458</v>
      </c>
      <c r="H20" s="60">
        <f>'Pivot Table'!E7</f>
        <v>5.0256410256410255</v>
      </c>
      <c r="P20" s="54" t="str">
        <f>'Pivot Table'!A17</f>
        <v>USA</v>
      </c>
      <c r="Q20" s="54">
        <f>'Pivot Table'!B17</f>
        <v>328656.78000000009</v>
      </c>
      <c r="R20" s="54">
        <f>'Pivot Table'!C17</f>
        <v>319</v>
      </c>
      <c r="S20" s="54">
        <f>'Pivot Table'!D17</f>
        <v>319</v>
      </c>
      <c r="T20" s="56">
        <f>'Pivot Table'!E17</f>
        <v>1030.272037617555</v>
      </c>
    </row>
    <row r="21" spans="2:20" x14ac:dyDescent="0.3">
      <c r="D21" s="61" t="str">
        <f>'Pivot Table'!A8</f>
        <v>Grand Total</v>
      </c>
      <c r="E21" s="61">
        <f>'Pivot Table'!B8</f>
        <v>2051690.6500000032</v>
      </c>
      <c r="F21" s="61">
        <f>'Pivot Table'!C8</f>
        <v>2000</v>
      </c>
      <c r="G21" s="62">
        <f>'Pivot Table'!D8</f>
        <v>1025.8453250000016</v>
      </c>
      <c r="H21" s="62">
        <f>'Pivot Table'!E8</f>
        <v>4.9485000000000001</v>
      </c>
      <c r="P21" s="55" t="str">
        <f>'Pivot Table'!A18</f>
        <v>Grand Total</v>
      </c>
      <c r="Q21" s="55">
        <f>'Pivot Table'!B18</f>
        <v>2051690.6500000025</v>
      </c>
      <c r="R21" s="55">
        <f>'Pivot Table'!C18</f>
        <v>2000</v>
      </c>
      <c r="S21" s="55">
        <f>'Pivot Table'!D18</f>
        <v>2000</v>
      </c>
      <c r="T21" s="57">
        <f>'Pivot Table'!E18</f>
        <v>1025.8453250000011</v>
      </c>
    </row>
    <row r="24" spans="2:20" ht="21" x14ac:dyDescent="0.4">
      <c r="B24" s="79" t="s">
        <v>9224</v>
      </c>
      <c r="C24" s="79"/>
      <c r="D24" s="79"/>
      <c r="E24" s="79"/>
      <c r="F24" s="79"/>
      <c r="G24" s="79"/>
      <c r="I24" s="74" t="s">
        <v>9221</v>
      </c>
      <c r="J24" s="74"/>
      <c r="K24" s="74"/>
      <c r="L24" s="74"/>
      <c r="N24" s="80" t="s">
        <v>9225</v>
      </c>
      <c r="O24" s="80"/>
      <c r="P24" s="80"/>
      <c r="Q24" s="80"/>
      <c r="R24" s="80"/>
      <c r="S24" s="80"/>
    </row>
    <row r="46" spans="3:19" ht="15.6" x14ac:dyDescent="0.3">
      <c r="C46" s="72" t="s">
        <v>9211</v>
      </c>
      <c r="D46" s="72"/>
      <c r="E46" s="72"/>
      <c r="F46" s="72"/>
      <c r="G46" s="72"/>
      <c r="I46" s="73" t="s">
        <v>9215</v>
      </c>
      <c r="J46" s="73"/>
      <c r="K46" s="73"/>
      <c r="L46" s="73"/>
      <c r="M46" s="73"/>
      <c r="O46" s="73" t="s">
        <v>9216</v>
      </c>
      <c r="P46" s="73"/>
      <c r="Q46" s="73"/>
      <c r="R46" s="73"/>
      <c r="S46" s="73"/>
    </row>
    <row r="47" spans="3:19" x14ac:dyDescent="0.3">
      <c r="C47" s="67" t="s">
        <v>9222</v>
      </c>
      <c r="D47" s="67" t="s">
        <v>9210</v>
      </c>
      <c r="E47" s="67" t="s">
        <v>9194</v>
      </c>
      <c r="F47" s="67" t="s">
        <v>9199</v>
      </c>
      <c r="G47" s="67" t="s">
        <v>9208</v>
      </c>
      <c r="I47" s="67" t="s">
        <v>9223</v>
      </c>
      <c r="J47" s="67" t="s">
        <v>9201</v>
      </c>
      <c r="K47" s="67" t="s">
        <v>9213</v>
      </c>
      <c r="L47" s="67" t="s">
        <v>9199</v>
      </c>
      <c r="M47" s="67" t="s">
        <v>9214</v>
      </c>
      <c r="O47" s="67" t="s">
        <v>9223</v>
      </c>
      <c r="P47" s="67" t="s">
        <v>32</v>
      </c>
      <c r="Q47" s="67" t="s">
        <v>69</v>
      </c>
      <c r="R47" s="67" t="s">
        <v>322</v>
      </c>
      <c r="S47" s="67" t="s">
        <v>9193</v>
      </c>
    </row>
    <row r="48" spans="3:19" x14ac:dyDescent="0.3">
      <c r="C48" s="54" t="str">
        <f>'Pivot Table'!H11</f>
        <v>18-24 Gen Z</v>
      </c>
      <c r="D48" s="56">
        <f>'Pivot Table'!I11</f>
        <v>258</v>
      </c>
      <c r="E48" s="54">
        <f>'Pivot Table'!J11</f>
        <v>263546.12</v>
      </c>
      <c r="F48" s="56">
        <f>'Pivot Table'!K11</f>
        <v>1021.4965891472868</v>
      </c>
      <c r="G48" s="56">
        <f>'Pivot Table'!L11</f>
        <v>25.120155038759691</v>
      </c>
      <c r="I48" s="54" t="str">
        <f>'Pivot Table'!A23</f>
        <v>Female</v>
      </c>
      <c r="J48" s="54">
        <f>'Pivot Table'!B23</f>
        <v>1015</v>
      </c>
      <c r="K48" s="54">
        <f>'Pivot Table'!C23</f>
        <v>1032431.9999999991</v>
      </c>
      <c r="L48" s="54">
        <f>'Pivot Table'!D23</f>
        <v>1017.1743842364523</v>
      </c>
      <c r="M48" s="54">
        <f>'Pivot Table'!E23</f>
        <v>4.9891625615763546</v>
      </c>
      <c r="O48" s="54" t="str">
        <f>'Pivot Table'!H22</f>
        <v>Beauty</v>
      </c>
      <c r="P48" s="54">
        <f>'Pivot Table'!I22</f>
        <v>216591.81999999977</v>
      </c>
      <c r="Q48" s="54">
        <f>'Pivot Table'!J22</f>
        <v>169530.33999999988</v>
      </c>
      <c r="R48" s="54">
        <f>'Pivot Table'!K22</f>
        <v>19728.579999999998</v>
      </c>
      <c r="S48" s="54">
        <f>'Pivot Table'!L22</f>
        <v>405850.7399999997</v>
      </c>
    </row>
    <row r="49" spans="2:20" x14ac:dyDescent="0.3">
      <c r="C49" s="54" t="str">
        <f>'Pivot Table'!H12</f>
        <v>25-34 Millennials</v>
      </c>
      <c r="D49" s="56">
        <f>'Pivot Table'!I12</f>
        <v>345</v>
      </c>
      <c r="E49" s="54">
        <f>'Pivot Table'!J12</f>
        <v>361799.49</v>
      </c>
      <c r="F49" s="56">
        <f>'Pivot Table'!K12</f>
        <v>1048.6941739130434</v>
      </c>
      <c r="G49" s="56">
        <f>'Pivot Table'!L12</f>
        <v>24.930434782608696</v>
      </c>
      <c r="I49" s="54" t="str">
        <f>'Pivot Table'!A24</f>
        <v>Male</v>
      </c>
      <c r="J49" s="54">
        <f>'Pivot Table'!B24</f>
        <v>917</v>
      </c>
      <c r="K49" s="54">
        <f>'Pivot Table'!C24</f>
        <v>954161.46999999916</v>
      </c>
      <c r="L49" s="54">
        <f>'Pivot Table'!D24</f>
        <v>1040.5250490730634</v>
      </c>
      <c r="M49" s="54">
        <f>'Pivot Table'!E24</f>
        <v>4.9018538713195206</v>
      </c>
      <c r="O49" s="54" t="str">
        <f>'Pivot Table'!H23</f>
        <v>Clothing</v>
      </c>
      <c r="P49" s="54">
        <f>'Pivot Table'!I23</f>
        <v>194857.89</v>
      </c>
      <c r="Q49" s="54">
        <f>'Pivot Table'!J23</f>
        <v>230559.54000000004</v>
      </c>
      <c r="R49" s="54">
        <f>'Pivot Table'!K23</f>
        <v>14385.720000000001</v>
      </c>
      <c r="S49" s="54">
        <f>'Pivot Table'!L23</f>
        <v>439803.15</v>
      </c>
    </row>
    <row r="50" spans="2:20" x14ac:dyDescent="0.3">
      <c r="C50" s="54" t="str">
        <f>'Pivot Table'!H13</f>
        <v>35-49 Gen X</v>
      </c>
      <c r="D50" s="56">
        <f>'Pivot Table'!I13</f>
        <v>584</v>
      </c>
      <c r="E50" s="54">
        <f>'Pivot Table'!J13</f>
        <v>598548.38000000012</v>
      </c>
      <c r="F50" s="56">
        <f>'Pivot Table'!K13</f>
        <v>1024.9116095890413</v>
      </c>
      <c r="G50" s="56">
        <f>'Pivot Table'!L13</f>
        <v>25.332191780821919</v>
      </c>
      <c r="I50" s="54" t="str">
        <f>'Pivot Table'!A25</f>
        <v>Other</v>
      </c>
      <c r="J50" s="54">
        <f>'Pivot Table'!B25</f>
        <v>68</v>
      </c>
      <c r="K50" s="54">
        <f>'Pivot Table'!C25</f>
        <v>65097.18</v>
      </c>
      <c r="L50" s="54">
        <f>'Pivot Table'!D25</f>
        <v>957.31147058823535</v>
      </c>
      <c r="M50" s="54">
        <f>'Pivot Table'!E25</f>
        <v>4.9705882352941178</v>
      </c>
      <c r="O50" s="54" t="str">
        <f>'Pivot Table'!H24</f>
        <v>Electronics</v>
      </c>
      <c r="P50" s="54">
        <f>'Pivot Table'!I24</f>
        <v>188809.57000000004</v>
      </c>
      <c r="Q50" s="54">
        <f>'Pivot Table'!J24</f>
        <v>214104.17000000004</v>
      </c>
      <c r="R50" s="54">
        <f>'Pivot Table'!K24</f>
        <v>8715.07</v>
      </c>
      <c r="S50" s="54">
        <f>'Pivot Table'!L24</f>
        <v>411628.81000000011</v>
      </c>
    </row>
    <row r="51" spans="2:20" x14ac:dyDescent="0.3">
      <c r="C51" s="54" t="str">
        <f>'Pivot Table'!H14</f>
        <v>50-64 Boomers</v>
      </c>
      <c r="D51" s="56">
        <f>'Pivot Table'!I14</f>
        <v>632</v>
      </c>
      <c r="E51" s="54">
        <f>'Pivot Table'!J14</f>
        <v>633398.31999999948</v>
      </c>
      <c r="F51" s="56">
        <f>'Pivot Table'!K14</f>
        <v>1002.2125316455688</v>
      </c>
      <c r="G51" s="56">
        <f>'Pivot Table'!L14</f>
        <v>24.7626582278481</v>
      </c>
      <c r="I51" s="54" t="str">
        <f>'Pivot Table'!A26</f>
        <v>total_revenue</v>
      </c>
      <c r="J51" s="54">
        <f>'Pivot Table'!B26</f>
        <v>0</v>
      </c>
      <c r="K51" s="54">
        <f>'Pivot Table'!C26</f>
        <v>2051690.6500000055</v>
      </c>
      <c r="L51" s="54">
        <f>'Pivot Table'!D26</f>
        <v>2051690.6500000055</v>
      </c>
      <c r="M51" s="54">
        <f>'Pivot Table'!E26</f>
        <v>0</v>
      </c>
      <c r="O51" s="54" t="str">
        <f>'Pivot Table'!H25</f>
        <v>Home</v>
      </c>
      <c r="P51" s="54">
        <f>'Pivot Table'!I25</f>
        <v>223832.45000000004</v>
      </c>
      <c r="Q51" s="54">
        <f>'Pivot Table'!J25</f>
        <v>158138.06</v>
      </c>
      <c r="R51" s="54">
        <f>'Pivot Table'!K25</f>
        <v>10116.23</v>
      </c>
      <c r="S51" s="54">
        <f>'Pivot Table'!L25</f>
        <v>392086.74</v>
      </c>
    </row>
    <row r="52" spans="2:20" x14ac:dyDescent="0.3">
      <c r="C52" s="54" t="str">
        <f>'Pivot Table'!H15</f>
        <v>65+ Seniors</v>
      </c>
      <c r="D52" s="56">
        <f>'Pivot Table'!I15</f>
        <v>181</v>
      </c>
      <c r="E52" s="54">
        <f>'Pivot Table'!J15</f>
        <v>194398.33999999991</v>
      </c>
      <c r="F52" s="56">
        <f>'Pivot Table'!K15</f>
        <v>1074.0239779005519</v>
      </c>
      <c r="G52" s="56">
        <f>'Pivot Table'!L15</f>
        <v>26.464088397790054</v>
      </c>
      <c r="I52" s="54" t="str">
        <f>'Pivot Table'!A27</f>
        <v>(blank)</v>
      </c>
      <c r="J52" s="54">
        <f>'Pivot Table'!B27</f>
        <v>0</v>
      </c>
      <c r="K52" s="54">
        <f>'Pivot Table'!C27</f>
        <v>0</v>
      </c>
      <c r="L52" s="54">
        <f>'Pivot Table'!D27</f>
        <v>0</v>
      </c>
      <c r="M52" s="54">
        <f>'Pivot Table'!E27</f>
        <v>0</v>
      </c>
      <c r="O52" s="54" t="str">
        <f>'Pivot Table'!H26</f>
        <v>Sports</v>
      </c>
      <c r="P52" s="54">
        <f>'Pivot Table'!I26</f>
        <v>208340.26999999996</v>
      </c>
      <c r="Q52" s="54">
        <f>'Pivot Table'!J26</f>
        <v>181829.35999999987</v>
      </c>
      <c r="R52" s="54">
        <f>'Pivot Table'!K26</f>
        <v>12151.58</v>
      </c>
      <c r="S52" s="54">
        <f>'Pivot Table'!L26</f>
        <v>402321.20999999985</v>
      </c>
    </row>
    <row r="53" spans="2:20" x14ac:dyDescent="0.3">
      <c r="C53" s="55" t="str">
        <f>'Pivot Table'!H16</f>
        <v>Grand Total</v>
      </c>
      <c r="D53" s="55">
        <f>'Pivot Table'!I16</f>
        <v>2000</v>
      </c>
      <c r="E53" s="55">
        <f>'Pivot Table'!J16</f>
        <v>2051690.6500000036</v>
      </c>
      <c r="F53" s="57">
        <f>'Pivot Table'!K16</f>
        <v>1025.8453250000018</v>
      </c>
      <c r="G53" s="57">
        <f>'Pivot Table'!L16</f>
        <v>25.158000000000001</v>
      </c>
      <c r="I53" s="55" t="str">
        <f>'Pivot Table'!A28</f>
        <v>Grand Total</v>
      </c>
      <c r="J53" s="55">
        <f>'Pivot Table'!B28</f>
        <v>2000</v>
      </c>
      <c r="K53" s="55">
        <f>'Pivot Table'!C28</f>
        <v>4103381.3000000077</v>
      </c>
      <c r="L53" s="55">
        <f>'Pivot Table'!D28</f>
        <v>2050.6653173413333</v>
      </c>
      <c r="M53" s="55">
        <f>'Pivot Table'!E28</f>
        <v>4.9485000000000001</v>
      </c>
      <c r="O53" s="55" t="str">
        <f>'Pivot Table'!H27</f>
        <v>Grand Total</v>
      </c>
      <c r="P53" s="55">
        <f>'Pivot Table'!I27</f>
        <v>1032431.9999999998</v>
      </c>
      <c r="Q53" s="55">
        <f>'Pivot Table'!J27</f>
        <v>954161.46999999974</v>
      </c>
      <c r="R53" s="55">
        <f>'Pivot Table'!K27</f>
        <v>65097.180000000008</v>
      </c>
      <c r="S53" s="55">
        <f>'Pivot Table'!L27</f>
        <v>2051690.6499999994</v>
      </c>
    </row>
    <row r="54" spans="2:20" x14ac:dyDescent="0.3">
      <c r="H54" s="68"/>
    </row>
    <row r="55" spans="2:20" ht="18" x14ac:dyDescent="0.35">
      <c r="O55" s="71"/>
      <c r="P55" s="71"/>
      <c r="Q55" s="71"/>
      <c r="R55" s="71"/>
      <c r="S55" s="71"/>
      <c r="T55" s="71"/>
    </row>
    <row r="56" spans="2:20" ht="18" x14ac:dyDescent="0.35">
      <c r="C56" s="74" t="s">
        <v>9211</v>
      </c>
      <c r="D56" s="74"/>
      <c r="E56" s="74"/>
      <c r="F56" s="74"/>
      <c r="G56" s="74"/>
      <c r="I56" s="78" t="s">
        <v>9215</v>
      </c>
      <c r="J56" s="78"/>
      <c r="K56" s="78"/>
      <c r="L56" s="78"/>
      <c r="M56" s="78"/>
      <c r="O56" s="74" t="s">
        <v>9216</v>
      </c>
      <c r="P56" s="74"/>
      <c r="Q56" s="74"/>
      <c r="R56" s="74"/>
      <c r="S56" s="74"/>
      <c r="T56" s="74"/>
    </row>
    <row r="57" spans="2:20" ht="14.4" customHeight="1" x14ac:dyDescent="0.3">
      <c r="B57" s="70"/>
      <c r="C57" s="70"/>
      <c r="D57" s="70"/>
      <c r="E57" s="70"/>
      <c r="F57" s="70"/>
    </row>
    <row r="58" spans="2:20" ht="15.6" x14ac:dyDescent="0.3">
      <c r="B58" s="69"/>
    </row>
  </sheetData>
  <mergeCells count="11">
    <mergeCell ref="C56:G56"/>
    <mergeCell ref="B24:G24"/>
    <mergeCell ref="I24:L24"/>
    <mergeCell ref="N24:S24"/>
    <mergeCell ref="J14:N14"/>
    <mergeCell ref="D14:H14"/>
    <mergeCell ref="O46:S46"/>
    <mergeCell ref="O56:T56"/>
    <mergeCell ref="P13:T13"/>
    <mergeCell ref="I46:M46"/>
    <mergeCell ref="I56:M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Data</vt:lpstr>
      <vt:lpstr>KPI Calculation</vt:lpstr>
      <vt:lpstr>Pivot Table</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Taqi k</dc:creator>
  <cp:lastModifiedBy>S0065390</cp:lastModifiedBy>
  <dcterms:created xsi:type="dcterms:W3CDTF">2026-06-06T17:45:24Z</dcterms:created>
  <dcterms:modified xsi:type="dcterms:W3CDTF">2026-06-08T10:19:56Z</dcterms:modified>
</cp:coreProperties>
</file>